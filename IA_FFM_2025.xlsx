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a4090e471ff419/Documents/GitHub/finevalgroup/"/>
    </mc:Choice>
  </mc:AlternateContent>
  <xr:revisionPtr revIDLastSave="1" documentId="13_ncr:1_{296019AE-EE27-4A97-8029-C54C7966A0F0}" xr6:coauthVersionLast="47" xr6:coauthVersionMax="47" xr10:uidLastSave="{0F20DA57-7E49-443A-8956-F4B316D83511}"/>
  <bookViews>
    <workbookView xWindow="-120" yWindow="-120" windowWidth="29040" windowHeight="15720" tabRatio="825" firstSheet="1" activeTab="10" xr2:uid="{00000000-000D-0000-FFFF-FFFF00000000}"/>
  </bookViews>
  <sheets>
    <sheet name="1" sheetId="2" r:id="rId1"/>
    <sheet name="Annual Summary" sheetId="5" r:id="rId2"/>
    <sheet name="2023 Overview" sheetId="15" state="hidden" r:id="rId3"/>
    <sheet name="2025 Overview (Budget)" sheetId="30" r:id="rId4"/>
    <sheet name="2025 Overview" sheetId="29" r:id="rId5"/>
    <sheet name="2025 AOP" sheetId="28" r:id="rId6"/>
    <sheet name="2024 Overview" sheetId="24" state="hidden" r:id="rId7"/>
    <sheet name="2022 Overview" sheetId="6" state="hidden" r:id="rId8"/>
    <sheet name="Quarterly Overview" sheetId="26" r:id="rId9"/>
    <sheet name="2" sheetId="3" r:id="rId10"/>
    <sheet name="Monthly Detail" sheetId="1" r:id="rId11"/>
    <sheet name="3" sheetId="4" r:id="rId12"/>
    <sheet name="October" sheetId="11" state="hidden" r:id="rId13"/>
    <sheet name="September" sheetId="12" state="hidden" r:id="rId14"/>
    <sheet name="August" sheetId="13" state="hidden" r:id="rId15"/>
    <sheet name="Actual vs. Forecast" sheetId="27" r:id="rId16"/>
    <sheet name="People Plan" sheetId="25" r:id="rId17"/>
    <sheet name="Holidays" sheetId="9" state="hidden" r:id="rId18"/>
    <sheet name="December" sheetId="19" state="hidden" r:id="rId19"/>
    <sheet name="November" sheetId="16" state="hidden" r:id="rId20"/>
    <sheet name="River" sheetId="18" state="hidden" r:id="rId21"/>
  </sheets>
  <definedNames>
    <definedName name="_xlnm._FilterDatabase" localSheetId="18" hidden="1">December!$A$1:$K$16</definedName>
    <definedName name="_xlnm._FilterDatabase" localSheetId="19" hidden="1">November!$A$1:$L$25</definedName>
    <definedName name="_xlnm._FilterDatabase" localSheetId="12" hidden="1">October!$A$1:$K$41</definedName>
    <definedName name="MLNK04527a7a692d4c5a962de6ed08306286" localSheetId="6" hidden="1">#REF!</definedName>
    <definedName name="MLNK04527a7a692d4c5a962de6ed08306286" localSheetId="5" hidden="1">#REF!</definedName>
    <definedName name="MLNK04527a7a692d4c5a962de6ed08306286" localSheetId="4" hidden="1">#REF!</definedName>
    <definedName name="MLNK04527a7a692d4c5a962de6ed08306286" localSheetId="3" hidden="1">#REF!</definedName>
    <definedName name="MLNK04527a7a692d4c5a962de6ed08306286" localSheetId="15" hidden="1">#REF!</definedName>
    <definedName name="MLNK04527a7a692d4c5a962de6ed08306286" localSheetId="16" hidden="1">#REF!</definedName>
    <definedName name="MLNK04527a7a692d4c5a962de6ed08306286" localSheetId="8" hidden="1">#REF!</definedName>
    <definedName name="MLNK04527a7a692d4c5a962de6ed08306286" hidden="1">#REF!</definedName>
    <definedName name="_xlnm.Print_Area" localSheetId="7">'2022 Overview'!$B$2:$P$31</definedName>
    <definedName name="_xlnm.Print_Area" localSheetId="1">'Annual Summary'!$B$9:$X$48</definedName>
  </definedNames>
  <calcPr calcId="191029"/>
  <pivotCaches>
    <pivotCache cacheId="0" r:id="rId22"/>
    <pivotCache cacheId="1" r:id="rId23"/>
    <pivotCache cacheId="2" r:id="rId24"/>
    <pivotCache cacheId="3" r:id="rId2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6" i="30" l="1"/>
  <c r="K36" i="29"/>
  <c r="J36" i="29"/>
  <c r="I36" i="29"/>
  <c r="H36" i="29"/>
  <c r="G36" i="29"/>
  <c r="F36" i="29"/>
  <c r="E36" i="29"/>
  <c r="D36" i="29"/>
  <c r="C36" i="29"/>
  <c r="L36" i="29"/>
  <c r="Y15" i="25"/>
  <c r="AF51" i="27"/>
  <c r="AS51" i="27" s="1"/>
  <c r="AT51" i="27" l="1"/>
  <c r="D12" i="1"/>
  <c r="E12" i="1"/>
  <c r="F12" i="1"/>
  <c r="G12" i="1"/>
  <c r="G13" i="1" s="1"/>
  <c r="H12" i="1"/>
  <c r="H13" i="1" s="1"/>
  <c r="I12" i="1"/>
  <c r="I13" i="1" s="1"/>
  <c r="J12" i="1"/>
  <c r="J13" i="1" s="1"/>
  <c r="AX12" i="1"/>
  <c r="F13" i="1"/>
  <c r="AW13" i="1"/>
  <c r="X13" i="25"/>
  <c r="X18" i="25"/>
  <c r="AT41" i="27"/>
  <c r="AS41" i="27"/>
  <c r="AT40" i="27"/>
  <c r="AS40" i="27"/>
  <c r="AT33" i="27"/>
  <c r="AS33" i="27"/>
  <c r="AT32" i="27"/>
  <c r="AS32" i="27"/>
  <c r="AT30" i="27"/>
  <c r="AS30" i="27"/>
  <c r="AW108" i="1"/>
  <c r="AX108" i="1" s="1"/>
  <c r="AW107" i="1"/>
  <c r="AX107" i="1" s="1"/>
  <c r="AW106" i="1"/>
  <c r="AX106" i="1" s="1"/>
  <c r="AW105" i="1"/>
  <c r="AW86" i="1"/>
  <c r="AX86" i="1" s="1"/>
  <c r="AW85" i="1"/>
  <c r="AX85" i="1" s="1"/>
  <c r="AW84" i="1"/>
  <c r="AW83" i="1"/>
  <c r="AW59" i="1"/>
  <c r="AW58" i="1"/>
  <c r="AW61" i="1" s="1"/>
  <c r="AW7" i="1"/>
  <c r="AW6" i="1"/>
  <c r="AW9" i="1" s="1"/>
  <c r="AW167" i="1"/>
  <c r="AW166" i="1"/>
  <c r="AW154" i="1"/>
  <c r="AW141" i="1"/>
  <c r="AW143" i="1" s="1"/>
  <c r="AW124" i="1"/>
  <c r="AW127" i="1" s="1"/>
  <c r="AW115" i="1"/>
  <c r="AW96" i="1"/>
  <c r="AW97" i="1" s="1"/>
  <c r="AW82" i="1"/>
  <c r="AW78" i="1"/>
  <c r="AW72" i="1"/>
  <c r="AW71" i="1"/>
  <c r="AW36" i="1"/>
  <c r="AW37" i="1" s="1"/>
  <c r="AW34" i="1"/>
  <c r="AW33" i="1"/>
  <c r="AW26" i="1"/>
  <c r="AW25" i="1"/>
  <c r="AW24" i="1"/>
  <c r="AW23" i="1"/>
  <c r="AW18" i="1"/>
  <c r="AW2" i="1"/>
  <c r="AX149" i="1"/>
  <c r="AX167" i="1" s="1"/>
  <c r="AX146" i="1"/>
  <c r="AX138" i="1"/>
  <c r="AX137" i="1"/>
  <c r="AX136" i="1"/>
  <c r="AX132" i="1"/>
  <c r="AX123" i="1"/>
  <c r="AX122" i="1"/>
  <c r="AX121" i="1"/>
  <c r="AX120" i="1"/>
  <c r="AX119" i="1"/>
  <c r="AX118" i="1"/>
  <c r="AX110" i="1"/>
  <c r="AX95" i="1"/>
  <c r="AX96" i="1" s="1"/>
  <c r="AX97" i="1" s="1"/>
  <c r="AX88" i="1"/>
  <c r="AX81" i="1"/>
  <c r="AX82" i="1" s="1"/>
  <c r="AX74" i="1"/>
  <c r="AX70" i="1"/>
  <c r="AX140" i="1" s="1"/>
  <c r="AX2" i="1"/>
  <c r="AV9" i="1"/>
  <c r="AV13" i="1" s="1"/>
  <c r="AV18" i="1"/>
  <c r="AV23" i="1"/>
  <c r="AV24" i="1"/>
  <c r="AV25" i="1"/>
  <c r="AV26" i="1"/>
  <c r="AV33" i="1"/>
  <c r="AV34" i="1"/>
  <c r="AV36" i="1"/>
  <c r="AV37" i="1" s="1"/>
  <c r="AV61" i="1"/>
  <c r="AV93" i="1" s="1"/>
  <c r="AV71" i="1"/>
  <c r="AV72" i="1"/>
  <c r="AV78" i="1"/>
  <c r="AV82" i="1"/>
  <c r="AV96" i="1"/>
  <c r="AV97" i="1" s="1"/>
  <c r="AV111" i="1"/>
  <c r="AV112" i="1" s="1"/>
  <c r="AV115" i="1"/>
  <c r="AV124" i="1"/>
  <c r="AV127" i="1" s="1"/>
  <c r="AV141" i="1"/>
  <c r="AV143" i="1" s="1"/>
  <c r="AV154" i="1"/>
  <c r="AF58" i="27" s="1"/>
  <c r="AY12" i="1" l="1"/>
  <c r="AW111" i="1"/>
  <c r="AW112" i="1" s="1"/>
  <c r="AW93" i="1"/>
  <c r="AX124" i="1"/>
  <c r="AX127" i="1" s="1"/>
  <c r="AT58" i="27"/>
  <c r="AS58" i="27"/>
  <c r="AW161" i="1"/>
  <c r="AW168" i="1"/>
  <c r="AX141" i="1"/>
  <c r="AX143" i="1" s="1"/>
  <c r="AW89" i="1"/>
  <c r="AW91" i="1" s="1"/>
  <c r="AV11" i="1"/>
  <c r="AV32" i="1"/>
  <c r="AW11" i="1"/>
  <c r="AW10" i="1"/>
  <c r="AW162" i="1"/>
  <c r="AX166" i="1"/>
  <c r="AX168" i="1" s="1"/>
  <c r="AV10" i="1"/>
  <c r="AV128" i="1"/>
  <c r="AV129" i="1" s="1"/>
  <c r="AV65" i="1"/>
  <c r="AV66" i="1" s="1"/>
  <c r="AV63" i="1"/>
  <c r="AV89" i="1"/>
  <c r="AV91" i="1" s="1"/>
  <c r="AU72" i="1"/>
  <c r="AX72" i="1" s="1"/>
  <c r="AU71" i="1"/>
  <c r="AT71" i="1"/>
  <c r="AU167" i="1"/>
  <c r="AU166" i="1"/>
  <c r="AU154" i="1"/>
  <c r="AU141" i="1"/>
  <c r="AU143" i="1" s="1"/>
  <c r="AU124" i="1"/>
  <c r="AU127" i="1" s="1"/>
  <c r="AU115" i="1"/>
  <c r="AU111" i="1"/>
  <c r="AU112" i="1" s="1"/>
  <c r="AU96" i="1"/>
  <c r="AU97" i="1" s="1"/>
  <c r="AU82" i="1"/>
  <c r="AU78" i="1"/>
  <c r="AU61" i="1"/>
  <c r="AU93" i="1" s="1"/>
  <c r="AU36" i="1"/>
  <c r="AU37" i="1" s="1"/>
  <c r="AU34" i="1"/>
  <c r="AU33" i="1"/>
  <c r="AU26" i="1"/>
  <c r="AU25" i="1"/>
  <c r="AU24" i="1"/>
  <c r="AU23" i="1"/>
  <c r="AU18" i="1"/>
  <c r="AU9" i="1"/>
  <c r="AU2" i="1"/>
  <c r="AV167" i="1"/>
  <c r="AV2" i="1"/>
  <c r="AT26" i="1"/>
  <c r="AT25" i="1"/>
  <c r="AT23" i="1"/>
  <c r="AT9" i="1"/>
  <c r="AT18" i="1"/>
  <c r="AT24" i="1"/>
  <c r="AT33" i="1"/>
  <c r="AT34" i="1"/>
  <c r="AT36" i="1"/>
  <c r="AT37" i="1" s="1"/>
  <c r="AT61" i="1"/>
  <c r="AT93" i="1" s="1"/>
  <c r="AT78" i="1"/>
  <c r="AT82" i="1"/>
  <c r="AT96" i="1"/>
  <c r="AT97" i="1" s="1"/>
  <c r="AT111" i="1"/>
  <c r="AT112" i="1" s="1"/>
  <c r="AT115" i="1"/>
  <c r="AT124" i="1"/>
  <c r="AT127" i="1" s="1"/>
  <c r="AT141" i="1"/>
  <c r="AT143" i="1" s="1"/>
  <c r="AT154" i="1"/>
  <c r="AW128" i="1" l="1"/>
  <c r="AW129" i="1" s="1"/>
  <c r="AU11" i="1"/>
  <c r="AU13" i="1"/>
  <c r="AT10" i="1"/>
  <c r="AT13" i="1"/>
  <c r="AZ12" i="1"/>
  <c r="AV62" i="1"/>
  <c r="AV116" i="1"/>
  <c r="AV38" i="1"/>
  <c r="AX162" i="1"/>
  <c r="AW63" i="1"/>
  <c r="AW65" i="1"/>
  <c r="AW92" i="1" s="1"/>
  <c r="AW116" i="1"/>
  <c r="AW62" i="1"/>
  <c r="AW32" i="1"/>
  <c r="AW38" i="1"/>
  <c r="AU168" i="1"/>
  <c r="AV92" i="1"/>
  <c r="AV98" i="1" s="1"/>
  <c r="AV40" i="1"/>
  <c r="AU162" i="1"/>
  <c r="AU161" i="1"/>
  <c r="AU89" i="1"/>
  <c r="AU91" i="1" s="1"/>
  <c r="AT11" i="1"/>
  <c r="AU128" i="1"/>
  <c r="AU129" i="1" s="1"/>
  <c r="AT89" i="1"/>
  <c r="AT91" i="1" s="1"/>
  <c r="AT72" i="1"/>
  <c r="AU62" i="1"/>
  <c r="AU10" i="1"/>
  <c r="AV162" i="1"/>
  <c r="AV166" i="1"/>
  <c r="AV168" i="1" s="1"/>
  <c r="AT128" i="1"/>
  <c r="AT129" i="1" s="1"/>
  <c r="BA12" i="1" l="1"/>
  <c r="AV39" i="1"/>
  <c r="AV41" i="1"/>
  <c r="AT62" i="1"/>
  <c r="AT65" i="1"/>
  <c r="AW66" i="1"/>
  <c r="AW98" i="1"/>
  <c r="AW40" i="1"/>
  <c r="AW39" i="1"/>
  <c r="AW41" i="1"/>
  <c r="AT116" i="1"/>
  <c r="AT63" i="1"/>
  <c r="AT38" i="1"/>
  <c r="AT41" i="1" s="1"/>
  <c r="AU32" i="1"/>
  <c r="AU38" i="1"/>
  <c r="AU39" i="1" s="1"/>
  <c r="AT32" i="1"/>
  <c r="AU63" i="1"/>
  <c r="AU65" i="1"/>
  <c r="AU116" i="1"/>
  <c r="P50" i="29"/>
  <c r="BB12" i="1" l="1"/>
  <c r="AT39" i="1"/>
  <c r="AT66" i="1"/>
  <c r="AT40" i="1"/>
  <c r="AT92" i="1"/>
  <c r="AT98" i="1" s="1"/>
  <c r="AW160" i="1"/>
  <c r="AW163" i="1" s="1"/>
  <c r="AW170" i="1" s="1"/>
  <c r="AU41" i="1"/>
  <c r="AU66" i="1"/>
  <c r="AU40" i="1"/>
  <c r="AU92" i="1"/>
  <c r="AU98" i="1" s="1"/>
  <c r="AU160" i="1" s="1"/>
  <c r="AU163" i="1" s="1"/>
  <c r="AU170" i="1" s="1"/>
  <c r="AS9" i="1"/>
  <c r="AS18" i="1"/>
  <c r="AS23" i="1"/>
  <c r="AS24" i="1"/>
  <c r="AS25" i="1"/>
  <c r="AS26" i="1"/>
  <c r="AS33" i="1"/>
  <c r="AS34" i="1"/>
  <c r="AS36" i="1"/>
  <c r="AS37" i="1" s="1"/>
  <c r="AS61" i="1"/>
  <c r="AS93" i="1" s="1"/>
  <c r="AS71" i="1"/>
  <c r="AS72" i="1"/>
  <c r="AS78" i="1"/>
  <c r="AS82" i="1"/>
  <c r="AS96" i="1"/>
  <c r="AS97" i="1"/>
  <c r="AS111" i="1"/>
  <c r="AS112" i="1" s="1"/>
  <c r="AS115" i="1"/>
  <c r="AS124" i="1"/>
  <c r="AS127" i="1" s="1"/>
  <c r="AS141" i="1"/>
  <c r="AS143" i="1" s="1"/>
  <c r="AS154" i="1"/>
  <c r="N54" i="30"/>
  <c r="M54" i="30"/>
  <c r="AR34" i="1"/>
  <c r="AS11" i="1" l="1"/>
  <c r="AS13" i="1"/>
  <c r="BC12" i="1"/>
  <c r="AS89" i="1"/>
  <c r="AS91" i="1" s="1"/>
  <c r="AS10" i="1"/>
  <c r="AS62" i="1"/>
  <c r="AS128" i="1"/>
  <c r="AS129" i="1" s="1"/>
  <c r="AR72" i="1"/>
  <c r="AQ72" i="1"/>
  <c r="AP72" i="1"/>
  <c r="AO72" i="1"/>
  <c r="AQ82" i="1"/>
  <c r="AP82" i="1"/>
  <c r="AO82" i="1"/>
  <c r="AN82" i="1"/>
  <c r="AR82" i="1"/>
  <c r="BD81" i="1"/>
  <c r="BP81" i="1" s="1"/>
  <c r="CB81" i="1" s="1"/>
  <c r="CN81" i="1" s="1"/>
  <c r="CZ81" i="1" s="1"/>
  <c r="BC81" i="1"/>
  <c r="BO81" i="1" s="1"/>
  <c r="CA81" i="1" s="1"/>
  <c r="CM81" i="1" s="1"/>
  <c r="CY81" i="1" s="1"/>
  <c r="BB81" i="1"/>
  <c r="BN81" i="1" s="1"/>
  <c r="BZ81" i="1" s="1"/>
  <c r="CL81" i="1" s="1"/>
  <c r="CX81" i="1" s="1"/>
  <c r="BA81" i="1"/>
  <c r="BM81" i="1" s="1"/>
  <c r="BY81" i="1" s="1"/>
  <c r="CK81" i="1" s="1"/>
  <c r="CW81" i="1" s="1"/>
  <c r="AY81" i="1"/>
  <c r="BK81" i="1" s="1"/>
  <c r="BW81" i="1" s="1"/>
  <c r="CI81" i="1" s="1"/>
  <c r="CU81" i="1" s="1"/>
  <c r="DG81" i="1" s="1"/>
  <c r="BJ81" i="1"/>
  <c r="BV81" i="1" s="1"/>
  <c r="CH81" i="1" s="1"/>
  <c r="CT81" i="1" s="1"/>
  <c r="DF81" i="1" s="1"/>
  <c r="BI81" i="1"/>
  <c r="BU81" i="1" s="1"/>
  <c r="CG81" i="1" s="1"/>
  <c r="CS81" i="1" s="1"/>
  <c r="DE81" i="1" s="1"/>
  <c r="BH81" i="1"/>
  <c r="BT81" i="1" s="1"/>
  <c r="CF81" i="1" s="1"/>
  <c r="CR81" i="1" s="1"/>
  <c r="DD81" i="1" s="1"/>
  <c r="BG81" i="1"/>
  <c r="BS81" i="1" s="1"/>
  <c r="CE81" i="1" s="1"/>
  <c r="CQ81" i="1" s="1"/>
  <c r="DC81" i="1" s="1"/>
  <c r="BF81" i="1"/>
  <c r="BR81" i="1" s="1"/>
  <c r="CD81" i="1" s="1"/>
  <c r="CP81" i="1" s="1"/>
  <c r="DB81" i="1" s="1"/>
  <c r="BE81" i="1"/>
  <c r="BQ81" i="1" s="1"/>
  <c r="CC81" i="1" s="1"/>
  <c r="CO81" i="1" s="1"/>
  <c r="DA81" i="1" s="1"/>
  <c r="AZ81" i="1"/>
  <c r="BL81" i="1" s="1"/>
  <c r="BX81" i="1" s="1"/>
  <c r="CJ81" i="1" s="1"/>
  <c r="CV81" i="1" s="1"/>
  <c r="AR71" i="1"/>
  <c r="AR9" i="1"/>
  <c r="AR18" i="1"/>
  <c r="AR23" i="1"/>
  <c r="AX23" i="1" s="1"/>
  <c r="AR24" i="1"/>
  <c r="AR25" i="1"/>
  <c r="AX25" i="1" s="1"/>
  <c r="AR26" i="1"/>
  <c r="AR33" i="1"/>
  <c r="AX33" i="1" s="1"/>
  <c r="AR36" i="1"/>
  <c r="AR37" i="1" s="1"/>
  <c r="AR61" i="1"/>
  <c r="AR93" i="1" s="1"/>
  <c r="AW43" i="1" s="1"/>
  <c r="AW45" i="1" s="1"/>
  <c r="AR78" i="1"/>
  <c r="AR96" i="1"/>
  <c r="AR97" i="1" s="1"/>
  <c r="AR111" i="1"/>
  <c r="AR112" i="1" s="1"/>
  <c r="AR115" i="1"/>
  <c r="AR124" i="1"/>
  <c r="AR127" i="1" s="1"/>
  <c r="AR141" i="1"/>
  <c r="AR143" i="1" s="1"/>
  <c r="AR154" i="1"/>
  <c r="AR166" i="1"/>
  <c r="AR167" i="1"/>
  <c r="AS166" i="1"/>
  <c r="AS167" i="1"/>
  <c r="R13" i="25"/>
  <c r="R18" i="25"/>
  <c r="BD12" i="1" l="1"/>
  <c r="AR10" i="1"/>
  <c r="AR13" i="1"/>
  <c r="AX10" i="1"/>
  <c r="AS38" i="1"/>
  <c r="AS63" i="1"/>
  <c r="AS116" i="1"/>
  <c r="AS32" i="1"/>
  <c r="AS65" i="1"/>
  <c r="AS92" i="1" s="1"/>
  <c r="AS98" i="1" s="1"/>
  <c r="AS168" i="1"/>
  <c r="AR168" i="1"/>
  <c r="AR128" i="1"/>
  <c r="AR129" i="1" s="1"/>
  <c r="AR11" i="1"/>
  <c r="AX11" i="1" s="1"/>
  <c r="AR89" i="1"/>
  <c r="AR91" i="1" s="1"/>
  <c r="AQ141" i="1"/>
  <c r="AQ143" i="1" s="1"/>
  <c r="AP141" i="1"/>
  <c r="AO141" i="1"/>
  <c r="AY70" i="1"/>
  <c r="AZ70" i="1" s="1"/>
  <c r="BA70" i="1" s="1"/>
  <c r="BB70" i="1" s="1"/>
  <c r="BC70" i="1" s="1"/>
  <c r="BD70" i="1" s="1"/>
  <c r="BE70" i="1" s="1"/>
  <c r="BF70" i="1" s="1"/>
  <c r="BG70" i="1" s="1"/>
  <c r="BH70" i="1" s="1"/>
  <c r="BI70" i="1" s="1"/>
  <c r="BJ70" i="1" s="1"/>
  <c r="BK70" i="1" s="1"/>
  <c r="BL70" i="1" s="1"/>
  <c r="BM70" i="1" s="1"/>
  <c r="BN70" i="1" s="1"/>
  <c r="BO70" i="1" s="1"/>
  <c r="BP70" i="1" s="1"/>
  <c r="BQ70" i="1" s="1"/>
  <c r="BR70" i="1" s="1"/>
  <c r="BS70" i="1" s="1"/>
  <c r="BT70" i="1" s="1"/>
  <c r="BU70" i="1" s="1"/>
  <c r="BV70" i="1" s="1"/>
  <c r="BW70" i="1" s="1"/>
  <c r="BX70" i="1" s="1"/>
  <c r="BY70" i="1" s="1"/>
  <c r="BZ70" i="1" s="1"/>
  <c r="CA70" i="1" s="1"/>
  <c r="CB70" i="1" s="1"/>
  <c r="CC70" i="1" s="1"/>
  <c r="CD70" i="1" s="1"/>
  <c r="CE70" i="1" s="1"/>
  <c r="CF70" i="1" s="1"/>
  <c r="CG70" i="1" s="1"/>
  <c r="CH70" i="1" s="1"/>
  <c r="CI70" i="1" s="1"/>
  <c r="CJ70" i="1" s="1"/>
  <c r="CK70" i="1" s="1"/>
  <c r="CL70" i="1" s="1"/>
  <c r="CM70" i="1" s="1"/>
  <c r="CN70" i="1" s="1"/>
  <c r="CO70" i="1" s="1"/>
  <c r="CP70" i="1" s="1"/>
  <c r="CQ70" i="1" s="1"/>
  <c r="CR70" i="1" s="1"/>
  <c r="CS70" i="1" s="1"/>
  <c r="CT70" i="1" s="1"/>
  <c r="CU70" i="1" s="1"/>
  <c r="CV70" i="1" s="1"/>
  <c r="CW70" i="1" s="1"/>
  <c r="CX70" i="1" s="1"/>
  <c r="CY70" i="1" s="1"/>
  <c r="CZ70" i="1" s="1"/>
  <c r="DA70" i="1" s="1"/>
  <c r="DB70" i="1" s="1"/>
  <c r="DC70" i="1" s="1"/>
  <c r="DD70" i="1" s="1"/>
  <c r="DE70" i="1" s="1"/>
  <c r="DF70" i="1" s="1"/>
  <c r="DG70" i="1" s="1"/>
  <c r="AQ9" i="1"/>
  <c r="AQ18" i="1"/>
  <c r="AQ23" i="1"/>
  <c r="AQ24" i="1"/>
  <c r="AQ25" i="1"/>
  <c r="AQ26" i="1"/>
  <c r="AQ33" i="1"/>
  <c r="AQ34" i="1"/>
  <c r="AQ36" i="1"/>
  <c r="AQ37" i="1" s="1"/>
  <c r="AQ61" i="1"/>
  <c r="AQ93" i="1" s="1"/>
  <c r="AV43" i="1" s="1"/>
  <c r="AV45" i="1" s="1"/>
  <c r="AQ71" i="1"/>
  <c r="AQ78" i="1"/>
  <c r="AQ96" i="1"/>
  <c r="AQ97" i="1" s="1"/>
  <c r="AQ111" i="1"/>
  <c r="AQ112" i="1" s="1"/>
  <c r="AQ115" i="1"/>
  <c r="AR161" i="1" s="1"/>
  <c r="AQ124" i="1"/>
  <c r="AQ127" i="1" s="1"/>
  <c r="AQ10" i="1" l="1"/>
  <c r="AQ13" i="1"/>
  <c r="AQ38" i="1" s="1"/>
  <c r="AQ41" i="1" s="1"/>
  <c r="BE12" i="1"/>
  <c r="AR162" i="1"/>
  <c r="AS66" i="1"/>
  <c r="AS39" i="1"/>
  <c r="AS41" i="1"/>
  <c r="AS40" i="1"/>
  <c r="AR38" i="1"/>
  <c r="AR116" i="1"/>
  <c r="AR65" i="1"/>
  <c r="AR32" i="1"/>
  <c r="AX32" i="1" s="1"/>
  <c r="AR62" i="1"/>
  <c r="AR63" i="1"/>
  <c r="AS162" i="1"/>
  <c r="AQ89" i="1"/>
  <c r="AQ91" i="1" s="1"/>
  <c r="AY139" i="1"/>
  <c r="AZ139" i="1" s="1"/>
  <c r="BA139" i="1" s="1"/>
  <c r="BB139" i="1" s="1"/>
  <c r="BC139" i="1" s="1"/>
  <c r="BD139" i="1" s="1"/>
  <c r="BE139" i="1" s="1"/>
  <c r="BF139" i="1" s="1"/>
  <c r="BG139" i="1" s="1"/>
  <c r="BH139" i="1" s="1"/>
  <c r="BI139" i="1" s="1"/>
  <c r="BJ139" i="1" s="1"/>
  <c r="BK139" i="1" s="1"/>
  <c r="BL139" i="1" s="1"/>
  <c r="BM139" i="1" s="1"/>
  <c r="BN139" i="1" s="1"/>
  <c r="BO139" i="1" s="1"/>
  <c r="BP139" i="1" s="1"/>
  <c r="BQ139" i="1" s="1"/>
  <c r="BR139" i="1" s="1"/>
  <c r="BS139" i="1" s="1"/>
  <c r="BT139" i="1" s="1"/>
  <c r="BU139" i="1" s="1"/>
  <c r="BV139" i="1" s="1"/>
  <c r="BW139" i="1" s="1"/>
  <c r="BX139" i="1" s="1"/>
  <c r="BY139" i="1" s="1"/>
  <c r="BZ139" i="1" s="1"/>
  <c r="CA139" i="1" s="1"/>
  <c r="CB139" i="1" s="1"/>
  <c r="CC139" i="1" s="1"/>
  <c r="CD139" i="1" s="1"/>
  <c r="CE139" i="1" s="1"/>
  <c r="CF139" i="1" s="1"/>
  <c r="CG139" i="1" s="1"/>
  <c r="CH139" i="1" s="1"/>
  <c r="CI139" i="1" s="1"/>
  <c r="CJ139" i="1" s="1"/>
  <c r="CK139" i="1" s="1"/>
  <c r="CL139" i="1" s="1"/>
  <c r="CM139" i="1" s="1"/>
  <c r="CN139" i="1" s="1"/>
  <c r="CO139" i="1" s="1"/>
  <c r="CP139" i="1" s="1"/>
  <c r="CQ139" i="1" s="1"/>
  <c r="CR139" i="1" s="1"/>
  <c r="CS139" i="1" s="1"/>
  <c r="CT139" i="1" s="1"/>
  <c r="CU139" i="1" s="1"/>
  <c r="CV139" i="1" s="1"/>
  <c r="CW139" i="1" s="1"/>
  <c r="CX139" i="1" s="1"/>
  <c r="CY139" i="1" s="1"/>
  <c r="CZ139" i="1" s="1"/>
  <c r="DA139" i="1" s="1"/>
  <c r="DB139" i="1" s="1"/>
  <c r="DC139" i="1" s="1"/>
  <c r="DD139" i="1" s="1"/>
  <c r="DE139" i="1" s="1"/>
  <c r="DF139" i="1" s="1"/>
  <c r="DG139" i="1" s="1"/>
  <c r="AQ154" i="1"/>
  <c r="AQ128" i="1"/>
  <c r="AQ129" i="1" s="1"/>
  <c r="AQ11" i="1"/>
  <c r="AP33" i="1"/>
  <c r="AP34" i="1"/>
  <c r="AP36" i="1"/>
  <c r="AP37" i="1" s="1"/>
  <c r="AP61" i="1"/>
  <c r="AP93" i="1" s="1"/>
  <c r="AU43" i="1" s="1"/>
  <c r="AU45" i="1" s="1"/>
  <c r="AP71" i="1"/>
  <c r="AP78" i="1"/>
  <c r="AP96" i="1"/>
  <c r="AP97" i="1" s="1"/>
  <c r="AP111" i="1"/>
  <c r="AP112" i="1" s="1"/>
  <c r="AP115" i="1"/>
  <c r="AP124" i="1"/>
  <c r="AP127" i="1" s="1"/>
  <c r="AP143" i="1"/>
  <c r="AP154" i="1"/>
  <c r="AP9" i="1"/>
  <c r="AP18" i="1"/>
  <c r="AP23" i="1"/>
  <c r="AP24" i="1"/>
  <c r="AP25" i="1"/>
  <c r="AP26" i="1"/>
  <c r="J52" i="27"/>
  <c r="J53" i="27" s="1"/>
  <c r="J59" i="27" s="1"/>
  <c r="AK33" i="1"/>
  <c r="BF12" i="1" l="1"/>
  <c r="AP10" i="1"/>
  <c r="AP13" i="1"/>
  <c r="AR40" i="1"/>
  <c r="AR66" i="1"/>
  <c r="AR92" i="1"/>
  <c r="AR98" i="1" s="1"/>
  <c r="AR160" i="1" s="1"/>
  <c r="AR163" i="1" s="1"/>
  <c r="AR170" i="1" s="1"/>
  <c r="AR39" i="1"/>
  <c r="AW42" i="1" s="1"/>
  <c r="AW44" i="1" s="1"/>
  <c r="AR41" i="1"/>
  <c r="AQ65" i="1"/>
  <c r="AQ92" i="1" s="1"/>
  <c r="AQ98" i="1" s="1"/>
  <c r="AQ32" i="1"/>
  <c r="AQ39" i="1"/>
  <c r="AQ62" i="1"/>
  <c r="AQ63" i="1"/>
  <c r="AQ116" i="1"/>
  <c r="AP116" i="1"/>
  <c r="AP128" i="1"/>
  <c r="AP129" i="1" s="1"/>
  <c r="AP89" i="1"/>
  <c r="AP11" i="1"/>
  <c r="J54" i="27"/>
  <c r="N49" i="30"/>
  <c r="M49" i="30"/>
  <c r="N55" i="30"/>
  <c r="M55" i="30"/>
  <c r="N53" i="30"/>
  <c r="M53" i="30"/>
  <c r="N52" i="30"/>
  <c r="M52" i="30"/>
  <c r="N51" i="30"/>
  <c r="M51" i="30"/>
  <c r="N50" i="30"/>
  <c r="M50" i="30"/>
  <c r="N48" i="30"/>
  <c r="M48" i="30"/>
  <c r="N47" i="30"/>
  <c r="M47" i="30"/>
  <c r="N46" i="30"/>
  <c r="M46" i="30"/>
  <c r="N36" i="30"/>
  <c r="N37" i="30" s="1"/>
  <c r="M36" i="30"/>
  <c r="N30" i="30"/>
  <c r="M30" i="30"/>
  <c r="N29" i="30"/>
  <c r="M29" i="30"/>
  <c r="N28" i="30"/>
  <c r="M28" i="30"/>
  <c r="N25" i="30"/>
  <c r="M25" i="30"/>
  <c r="N24" i="30"/>
  <c r="M24" i="30"/>
  <c r="N23" i="30"/>
  <c r="M23" i="30"/>
  <c r="N22" i="30"/>
  <c r="M22" i="30"/>
  <c r="N21" i="30"/>
  <c r="M21" i="30"/>
  <c r="N20" i="30"/>
  <c r="M20" i="30"/>
  <c r="M37" i="30"/>
  <c r="N31" i="30"/>
  <c r="M31" i="30"/>
  <c r="N33" i="30"/>
  <c r="AY138" i="1"/>
  <c r="AZ138" i="1" s="1"/>
  <c r="BA138" i="1" s="1"/>
  <c r="BB138" i="1" s="1"/>
  <c r="BC138" i="1" s="1"/>
  <c r="BD138" i="1" s="1"/>
  <c r="BE138" i="1" s="1"/>
  <c r="BF138" i="1" s="1"/>
  <c r="BG138" i="1" s="1"/>
  <c r="BH138" i="1" s="1"/>
  <c r="BI138" i="1" s="1"/>
  <c r="BJ138" i="1" s="1"/>
  <c r="BK138" i="1" s="1"/>
  <c r="BL138" i="1" s="1"/>
  <c r="BM138" i="1" s="1"/>
  <c r="BN138" i="1" s="1"/>
  <c r="BO138" i="1" s="1"/>
  <c r="BP138" i="1" s="1"/>
  <c r="BQ138" i="1" s="1"/>
  <c r="BR138" i="1" s="1"/>
  <c r="BS138" i="1" s="1"/>
  <c r="BT138" i="1" s="1"/>
  <c r="BU138" i="1" s="1"/>
  <c r="BV138" i="1" s="1"/>
  <c r="BW138" i="1" s="1"/>
  <c r="BX138" i="1" s="1"/>
  <c r="BY138" i="1" s="1"/>
  <c r="BZ138" i="1" s="1"/>
  <c r="CA138" i="1" s="1"/>
  <c r="CB138" i="1" s="1"/>
  <c r="CC138" i="1" s="1"/>
  <c r="CD138" i="1" s="1"/>
  <c r="CE138" i="1" s="1"/>
  <c r="CF138" i="1" s="1"/>
  <c r="CG138" i="1" s="1"/>
  <c r="CH138" i="1" s="1"/>
  <c r="CI138" i="1" s="1"/>
  <c r="CJ138" i="1" s="1"/>
  <c r="CK138" i="1" s="1"/>
  <c r="CL138" i="1" s="1"/>
  <c r="CM138" i="1" s="1"/>
  <c r="CN138" i="1" s="1"/>
  <c r="CO138" i="1" s="1"/>
  <c r="CP138" i="1" s="1"/>
  <c r="CQ138" i="1" s="1"/>
  <c r="CR138" i="1" s="1"/>
  <c r="CS138" i="1" s="1"/>
  <c r="CT138" i="1" s="1"/>
  <c r="CU138" i="1" s="1"/>
  <c r="CV138" i="1" s="1"/>
  <c r="CW138" i="1" s="1"/>
  <c r="CX138" i="1" s="1"/>
  <c r="CY138" i="1" s="1"/>
  <c r="CZ138" i="1" s="1"/>
  <c r="DA138" i="1" s="1"/>
  <c r="DB138" i="1" s="1"/>
  <c r="DC138" i="1" s="1"/>
  <c r="DD138" i="1" s="1"/>
  <c r="DE138" i="1" s="1"/>
  <c r="DF138" i="1" s="1"/>
  <c r="DG138" i="1" s="1"/>
  <c r="AY137" i="1"/>
  <c r="AZ137" i="1" s="1"/>
  <c r="BA137" i="1" s="1"/>
  <c r="BB137" i="1" s="1"/>
  <c r="BC137" i="1" s="1"/>
  <c r="BD137" i="1" s="1"/>
  <c r="BE137" i="1" s="1"/>
  <c r="BF137" i="1" s="1"/>
  <c r="BG137" i="1" s="1"/>
  <c r="BH137" i="1" s="1"/>
  <c r="BI137" i="1" s="1"/>
  <c r="BJ137" i="1" s="1"/>
  <c r="BK137" i="1" s="1"/>
  <c r="BL137" i="1" s="1"/>
  <c r="BM137" i="1" s="1"/>
  <c r="BN137" i="1" s="1"/>
  <c r="BO137" i="1" s="1"/>
  <c r="BP137" i="1" s="1"/>
  <c r="BQ137" i="1" s="1"/>
  <c r="BR137" i="1" s="1"/>
  <c r="BS137" i="1" s="1"/>
  <c r="BT137" i="1" s="1"/>
  <c r="BU137" i="1" s="1"/>
  <c r="BV137" i="1" s="1"/>
  <c r="BW137" i="1" s="1"/>
  <c r="BX137" i="1" s="1"/>
  <c r="BY137" i="1" s="1"/>
  <c r="BZ137" i="1" s="1"/>
  <c r="CA137" i="1" s="1"/>
  <c r="CB137" i="1" s="1"/>
  <c r="CC137" i="1" s="1"/>
  <c r="CD137" i="1" s="1"/>
  <c r="CE137" i="1" s="1"/>
  <c r="CF137" i="1" s="1"/>
  <c r="CG137" i="1" s="1"/>
  <c r="CH137" i="1" s="1"/>
  <c r="CI137" i="1" s="1"/>
  <c r="CJ137" i="1" s="1"/>
  <c r="CK137" i="1" s="1"/>
  <c r="CL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DC137" i="1" s="1"/>
  <c r="DD137" i="1" s="1"/>
  <c r="DE137" i="1" s="1"/>
  <c r="DF137" i="1" s="1"/>
  <c r="DG137" i="1" s="1"/>
  <c r="AO143" i="1"/>
  <c r="AO111" i="1"/>
  <c r="AO112" i="1" s="1"/>
  <c r="AO9" i="1"/>
  <c r="AO18" i="1"/>
  <c r="AO23" i="1"/>
  <c r="AO24" i="1"/>
  <c r="AO25" i="1"/>
  <c r="AO26" i="1"/>
  <c r="AO33" i="1"/>
  <c r="AO34" i="1"/>
  <c r="AO36" i="1"/>
  <c r="AO37" i="1" s="1"/>
  <c r="AO61" i="1"/>
  <c r="AO71" i="1"/>
  <c r="AO78" i="1"/>
  <c r="AO96" i="1"/>
  <c r="AO97" i="1" s="1"/>
  <c r="AO115" i="1"/>
  <c r="AO124" i="1"/>
  <c r="AO127" i="1" s="1"/>
  <c r="AO154" i="1"/>
  <c r="AO166" i="1"/>
  <c r="AO167" i="1"/>
  <c r="AY135" i="1"/>
  <c r="AZ135" i="1" s="1"/>
  <c r="BA135" i="1" s="1"/>
  <c r="BB135" i="1" s="1"/>
  <c r="BC135" i="1" s="1"/>
  <c r="BD135" i="1" s="1"/>
  <c r="BE135" i="1" s="1"/>
  <c r="BF135" i="1" s="1"/>
  <c r="BG135" i="1" s="1"/>
  <c r="BH135" i="1" s="1"/>
  <c r="BI135" i="1" s="1"/>
  <c r="BJ135" i="1" s="1"/>
  <c r="BK135" i="1" s="1"/>
  <c r="BL135" i="1" s="1"/>
  <c r="BM135" i="1" s="1"/>
  <c r="BN135" i="1" s="1"/>
  <c r="BO135" i="1" s="1"/>
  <c r="BP135" i="1" s="1"/>
  <c r="BQ135" i="1" s="1"/>
  <c r="BR135" i="1" s="1"/>
  <c r="BS135" i="1" s="1"/>
  <c r="BT135" i="1" s="1"/>
  <c r="BU135" i="1" s="1"/>
  <c r="BV135" i="1" s="1"/>
  <c r="BW135" i="1" s="1"/>
  <c r="BX135" i="1" s="1"/>
  <c r="BY135" i="1" s="1"/>
  <c r="BZ135" i="1" s="1"/>
  <c r="CA135" i="1" s="1"/>
  <c r="CB135" i="1" s="1"/>
  <c r="CC135" i="1" s="1"/>
  <c r="CD135" i="1" s="1"/>
  <c r="CE135" i="1" s="1"/>
  <c r="CF135" i="1" s="1"/>
  <c r="CG135" i="1" s="1"/>
  <c r="CH135" i="1" s="1"/>
  <c r="CI135" i="1" s="1"/>
  <c r="CJ135" i="1" s="1"/>
  <c r="CK135" i="1" s="1"/>
  <c r="CL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DC135" i="1" s="1"/>
  <c r="DD135" i="1" s="1"/>
  <c r="DE135" i="1" s="1"/>
  <c r="DF135" i="1" s="1"/>
  <c r="DG135" i="1" s="1"/>
  <c r="AP166" i="1"/>
  <c r="AP167" i="1"/>
  <c r="AN143" i="1"/>
  <c r="AL143" i="1"/>
  <c r="AM143" i="1"/>
  <c r="AN111" i="1"/>
  <c r="AN112" i="1" s="1"/>
  <c r="AN115" i="1"/>
  <c r="AN124" i="1"/>
  <c r="AN127" i="1" s="1"/>
  <c r="AN154" i="1"/>
  <c r="AN96" i="1"/>
  <c r="AN97" i="1" s="1"/>
  <c r="AN78" i="1"/>
  <c r="AN71" i="1"/>
  <c r="AN9" i="1"/>
  <c r="AN18" i="1"/>
  <c r="AN23" i="1"/>
  <c r="AN24" i="1"/>
  <c r="AN25" i="1"/>
  <c r="AN26" i="1"/>
  <c r="AN33" i="1"/>
  <c r="AN34" i="1"/>
  <c r="AN36" i="1"/>
  <c r="AN37" i="1" s="1"/>
  <c r="AN61" i="1"/>
  <c r="AO10" i="1" l="1"/>
  <c r="AO13" i="1"/>
  <c r="AO62" i="1" s="1"/>
  <c r="AN11" i="1"/>
  <c r="AN13" i="1"/>
  <c r="BG12" i="1"/>
  <c r="AO128" i="1"/>
  <c r="AO129" i="1" s="1"/>
  <c r="AN93" i="1"/>
  <c r="AQ40" i="1"/>
  <c r="AV42" i="1" s="1"/>
  <c r="AV44" i="1" s="1"/>
  <c r="AQ66" i="1"/>
  <c r="AP32" i="1"/>
  <c r="AP62" i="1"/>
  <c r="AX62" i="1" s="1"/>
  <c r="AP63" i="1"/>
  <c r="AX63" i="1" s="1"/>
  <c r="AP65" i="1"/>
  <c r="AP66" i="1" s="1"/>
  <c r="AP38" i="1"/>
  <c r="AP41" i="1" s="1"/>
  <c r="AP91" i="1"/>
  <c r="AO89" i="1"/>
  <c r="AO91" i="1" s="1"/>
  <c r="M33" i="30"/>
  <c r="M34" i="30"/>
  <c r="M39" i="30"/>
  <c r="N39" i="30"/>
  <c r="N34" i="30"/>
  <c r="AO168" i="1"/>
  <c r="AO161" i="1"/>
  <c r="AO11" i="1"/>
  <c r="AO162" i="1"/>
  <c r="AP168" i="1"/>
  <c r="AO93" i="1"/>
  <c r="AT43" i="1" s="1"/>
  <c r="AT45" i="1" s="1"/>
  <c r="AP162" i="1"/>
  <c r="AN89" i="1"/>
  <c r="AN91" i="1" s="1"/>
  <c r="AN128" i="1"/>
  <c r="AN129" i="1" s="1"/>
  <c r="AN10" i="1"/>
  <c r="AM154" i="1"/>
  <c r="AM9" i="1"/>
  <c r="AM18" i="1"/>
  <c r="AM23" i="1"/>
  <c r="AM24" i="1"/>
  <c r="AM25" i="1"/>
  <c r="AM26" i="1"/>
  <c r="AM33" i="1"/>
  <c r="AM34" i="1"/>
  <c r="AM36" i="1"/>
  <c r="AM37" i="1" s="1"/>
  <c r="AM61" i="1"/>
  <c r="AM93" i="1" s="1"/>
  <c r="AM71" i="1"/>
  <c r="AM78" i="1"/>
  <c r="AM82" i="1"/>
  <c r="AM96" i="1"/>
  <c r="AM97" i="1" s="1"/>
  <c r="AM111" i="1"/>
  <c r="AM112" i="1" s="1"/>
  <c r="AM115" i="1"/>
  <c r="AM124" i="1"/>
  <c r="AM127" i="1"/>
  <c r="AY155" i="1"/>
  <c r="AE71" i="1"/>
  <c r="AF71" i="1"/>
  <c r="AG71" i="1"/>
  <c r="AH71" i="1"/>
  <c r="AI71" i="1"/>
  <c r="AJ71" i="1"/>
  <c r="AK71" i="1"/>
  <c r="AL71" i="1"/>
  <c r="BX73" i="1"/>
  <c r="BY73" i="1" s="1"/>
  <c r="BZ73" i="1" s="1"/>
  <c r="CJ73" i="1"/>
  <c r="AD71" i="1"/>
  <c r="AC71" i="1"/>
  <c r="AB71" i="1"/>
  <c r="AA71" i="1"/>
  <c r="Z71" i="1"/>
  <c r="Y71" i="1"/>
  <c r="X71" i="1"/>
  <c r="W71" i="1"/>
  <c r="V71" i="1"/>
  <c r="U71" i="1"/>
  <c r="T71" i="1"/>
  <c r="Z15" i="25"/>
  <c r="AA15" i="25" s="1"/>
  <c r="AB15" i="25" s="1"/>
  <c r="AC15" i="25" s="1"/>
  <c r="AD15" i="25" s="1"/>
  <c r="AE15" i="25" s="1"/>
  <c r="AF15" i="25" s="1"/>
  <c r="AG15" i="25" s="1"/>
  <c r="AH15" i="25" s="1"/>
  <c r="AI15" i="25" s="1"/>
  <c r="AJ15" i="25" s="1"/>
  <c r="AK15" i="25" s="1"/>
  <c r="AL15" i="25" s="1"/>
  <c r="AM15" i="25" s="1"/>
  <c r="AN15" i="25" s="1"/>
  <c r="AO15" i="25" s="1"/>
  <c r="AP15" i="25" s="1"/>
  <c r="AQ15" i="25" s="1"/>
  <c r="AR15" i="25" s="1"/>
  <c r="AS15" i="25" s="1"/>
  <c r="AT15" i="25" s="1"/>
  <c r="AU15" i="25" s="1"/>
  <c r="AV15" i="25" s="1"/>
  <c r="AW15" i="25" s="1"/>
  <c r="AX15" i="25" s="1"/>
  <c r="AY15" i="25" s="1"/>
  <c r="AZ15" i="25" s="1"/>
  <c r="BA15" i="25" s="1"/>
  <c r="BB15" i="25" s="1"/>
  <c r="BC15" i="25" s="1"/>
  <c r="BD15" i="25" s="1"/>
  <c r="BE15" i="25" s="1"/>
  <c r="BF15" i="25" s="1"/>
  <c r="BG15" i="25" s="1"/>
  <c r="BH15" i="25" s="1"/>
  <c r="BI15" i="25" s="1"/>
  <c r="BJ15" i="25" s="1"/>
  <c r="BK15" i="25" s="1"/>
  <c r="BL15" i="25" s="1"/>
  <c r="BM15" i="25" s="1"/>
  <c r="BN15" i="25" s="1"/>
  <c r="BO15" i="25" s="1"/>
  <c r="BP15" i="25" s="1"/>
  <c r="BQ15" i="25" s="1"/>
  <c r="BR15" i="25" s="1"/>
  <c r="BS15" i="25" s="1"/>
  <c r="BT15" i="25" s="1"/>
  <c r="BU15" i="25" s="1"/>
  <c r="BV15" i="25" s="1"/>
  <c r="BW15" i="25" s="1"/>
  <c r="BX15" i="25" s="1"/>
  <c r="BY15" i="25" s="1"/>
  <c r="BZ15" i="25" s="1"/>
  <c r="CA15" i="25" s="1"/>
  <c r="CB15" i="25" s="1"/>
  <c r="CC15" i="25" s="1"/>
  <c r="CD15" i="25" s="1"/>
  <c r="CE15" i="25" s="1"/>
  <c r="CF15" i="25" s="1"/>
  <c r="CG15" i="25" s="1"/>
  <c r="CH15" i="25" s="1"/>
  <c r="CI15" i="25" s="1"/>
  <c r="CJ15" i="25" s="1"/>
  <c r="CK15" i="25" s="1"/>
  <c r="CL15" i="25" s="1"/>
  <c r="CM15" i="25" s="1"/>
  <c r="CN15" i="25" s="1"/>
  <c r="CO15" i="25" s="1"/>
  <c r="CP15" i="25" s="1"/>
  <c r="CQ15" i="25" s="1"/>
  <c r="CR15" i="25" s="1"/>
  <c r="CS15" i="25" s="1"/>
  <c r="CT15" i="25" s="1"/>
  <c r="CU15" i="25" s="1"/>
  <c r="CV15" i="25" s="1"/>
  <c r="CW15" i="25" s="1"/>
  <c r="CX15" i="25" s="1"/>
  <c r="CY15" i="25" s="1"/>
  <c r="CZ15" i="25" s="1"/>
  <c r="DA15" i="25" s="1"/>
  <c r="DB15" i="25" s="1"/>
  <c r="DC15" i="25" s="1"/>
  <c r="DD15" i="25" s="1"/>
  <c r="DE15" i="25" s="1"/>
  <c r="DF15" i="25" s="1"/>
  <c r="DG15" i="25" s="1"/>
  <c r="DH15" i="25" s="1"/>
  <c r="DI15" i="25" s="1"/>
  <c r="DJ15" i="25" s="1"/>
  <c r="DK15" i="25" s="1"/>
  <c r="DL15" i="25" s="1"/>
  <c r="DM15" i="25" s="1"/>
  <c r="DN15" i="25" s="1"/>
  <c r="DO15" i="25" s="1"/>
  <c r="DP15" i="25" s="1"/>
  <c r="DQ15" i="25" s="1"/>
  <c r="DR15" i="25" s="1"/>
  <c r="DS15" i="25" s="1"/>
  <c r="DT15" i="25" s="1"/>
  <c r="DU15" i="25" s="1"/>
  <c r="DV15" i="25" s="1"/>
  <c r="DW15" i="25" s="1"/>
  <c r="DX15" i="25" s="1"/>
  <c r="DY15" i="25" s="1"/>
  <c r="DZ15" i="25" s="1"/>
  <c r="EA15" i="25" s="1"/>
  <c r="EB15" i="25" s="1"/>
  <c r="EC15" i="25" s="1"/>
  <c r="ED15" i="25" s="1"/>
  <c r="EE15" i="25" s="1"/>
  <c r="EF15" i="25" s="1"/>
  <c r="EG15" i="25" s="1"/>
  <c r="EH15" i="25" s="1"/>
  <c r="EI15" i="25" s="1"/>
  <c r="EJ15" i="25" s="1"/>
  <c r="EK15" i="25" s="1"/>
  <c r="EL15" i="25" s="1"/>
  <c r="EM15" i="25" s="1"/>
  <c r="EN15" i="25" s="1"/>
  <c r="EO15" i="25" s="1"/>
  <c r="EP15" i="25" s="1"/>
  <c r="EQ15" i="25" s="1"/>
  <c r="ER15" i="25" s="1"/>
  <c r="ES15" i="25" s="1"/>
  <c r="ET15" i="25" s="1"/>
  <c r="EU15" i="25" s="1"/>
  <c r="EV15" i="25" s="1"/>
  <c r="EW15" i="25" s="1"/>
  <c r="EX15" i="25" s="1"/>
  <c r="EY15" i="25" s="1"/>
  <c r="EZ15" i="25" s="1"/>
  <c r="FA15" i="25" s="1"/>
  <c r="FB15" i="25" s="1"/>
  <c r="O18" i="25"/>
  <c r="N18" i="25"/>
  <c r="M18" i="25"/>
  <c r="L18" i="25"/>
  <c r="K18" i="25"/>
  <c r="J18" i="25"/>
  <c r="I18" i="25"/>
  <c r="H18" i="25"/>
  <c r="G18" i="25"/>
  <c r="N8" i="25"/>
  <c r="AM10" i="1" l="1"/>
  <c r="AM13" i="1"/>
  <c r="BH12" i="1"/>
  <c r="AR43" i="1"/>
  <c r="AR45" i="1" s="1"/>
  <c r="AS43" i="1"/>
  <c r="AS45" i="1" s="1"/>
  <c r="AP40" i="1"/>
  <c r="AP39" i="1"/>
  <c r="AU42" i="1" s="1"/>
  <c r="AU44" i="1" s="1"/>
  <c r="AP92" i="1"/>
  <c r="AP98" i="1" s="1"/>
  <c r="AO65" i="1"/>
  <c r="AO66" i="1" s="1"/>
  <c r="AO63" i="1"/>
  <c r="AO32" i="1"/>
  <c r="AO38" i="1"/>
  <c r="AO41" i="1" s="1"/>
  <c r="AN65" i="1"/>
  <c r="AN92" i="1" s="1"/>
  <c r="AN98" i="1" s="1"/>
  <c r="AN151" i="1" s="1"/>
  <c r="AO116" i="1"/>
  <c r="M40" i="30"/>
  <c r="N40" i="30"/>
  <c r="AM89" i="1"/>
  <c r="AM91" i="1" s="1"/>
  <c r="AN38" i="1"/>
  <c r="AN116" i="1"/>
  <c r="AN32" i="1"/>
  <c r="AN62" i="1"/>
  <c r="AN63" i="1"/>
  <c r="AM32" i="1"/>
  <c r="AZ155" i="1"/>
  <c r="BA155" i="1" s="1"/>
  <c r="BB155" i="1" s="1"/>
  <c r="BC155" i="1" s="1"/>
  <c r="BD155" i="1" s="1"/>
  <c r="BE155" i="1" s="1"/>
  <c r="BF155" i="1" s="1"/>
  <c r="BG155" i="1" s="1"/>
  <c r="BH155" i="1" s="1"/>
  <c r="BI155" i="1" s="1"/>
  <c r="BJ155" i="1" s="1"/>
  <c r="BK155" i="1" s="1"/>
  <c r="BL155" i="1" s="1"/>
  <c r="BM155" i="1" s="1"/>
  <c r="BN155" i="1" s="1"/>
  <c r="BO155" i="1" s="1"/>
  <c r="BP155" i="1" s="1"/>
  <c r="BQ155" i="1" s="1"/>
  <c r="BR155" i="1" s="1"/>
  <c r="BS155" i="1" s="1"/>
  <c r="BT155" i="1" s="1"/>
  <c r="BU155" i="1" s="1"/>
  <c r="BV155" i="1" s="1"/>
  <c r="BW155" i="1" s="1"/>
  <c r="BX155" i="1" s="1"/>
  <c r="BY155" i="1" s="1"/>
  <c r="BZ155" i="1" s="1"/>
  <c r="CA155" i="1" s="1"/>
  <c r="CB155" i="1" s="1"/>
  <c r="CC155" i="1" s="1"/>
  <c r="CD155" i="1" s="1"/>
  <c r="CE155" i="1" s="1"/>
  <c r="CF155" i="1" s="1"/>
  <c r="CG155" i="1" s="1"/>
  <c r="CH155" i="1" s="1"/>
  <c r="CI155" i="1" s="1"/>
  <c r="CJ155" i="1" s="1"/>
  <c r="CK155" i="1" s="1"/>
  <c r="CL155" i="1" s="1"/>
  <c r="CM155" i="1" s="1"/>
  <c r="CN155" i="1" s="1"/>
  <c r="CO155" i="1" s="1"/>
  <c r="CP155" i="1" s="1"/>
  <c r="CQ155" i="1" s="1"/>
  <c r="CR155" i="1" s="1"/>
  <c r="CS155" i="1" s="1"/>
  <c r="CT155" i="1" s="1"/>
  <c r="CU155" i="1" s="1"/>
  <c r="CV155" i="1" s="1"/>
  <c r="CW155" i="1" s="1"/>
  <c r="CX155" i="1" s="1"/>
  <c r="CY155" i="1" s="1"/>
  <c r="AY146" i="1"/>
  <c r="AM128" i="1"/>
  <c r="AM129" i="1" s="1"/>
  <c r="AM11" i="1"/>
  <c r="CA73" i="1"/>
  <c r="CK73" i="1"/>
  <c r="P18" i="25"/>
  <c r="AL9" i="1"/>
  <c r="AL18" i="1"/>
  <c r="AL23" i="1"/>
  <c r="AL24" i="1"/>
  <c r="AL25" i="1"/>
  <c r="AL26" i="1"/>
  <c r="AX26" i="1" s="1"/>
  <c r="BJ26" i="1" s="1"/>
  <c r="BV26" i="1" s="1"/>
  <c r="CH26" i="1" s="1"/>
  <c r="CT26" i="1" s="1"/>
  <c r="DF26" i="1" s="1"/>
  <c r="AL33" i="1"/>
  <c r="AL34" i="1"/>
  <c r="AL36" i="1"/>
  <c r="AL37" i="1" s="1"/>
  <c r="AL61" i="1"/>
  <c r="AL93" i="1" s="1"/>
  <c r="AQ43" i="1" s="1"/>
  <c r="AQ45" i="1" s="1"/>
  <c r="AL78" i="1"/>
  <c r="AL82" i="1"/>
  <c r="AL96" i="1"/>
  <c r="AL97" i="1" s="1"/>
  <c r="AL111" i="1"/>
  <c r="AL112" i="1" s="1"/>
  <c r="AL115" i="1"/>
  <c r="AL124" i="1"/>
  <c r="AL127" i="1"/>
  <c r="AL154" i="1"/>
  <c r="AK23" i="1"/>
  <c r="L13" i="25"/>
  <c r="AK9" i="1"/>
  <c r="AK18" i="1"/>
  <c r="AK24" i="1"/>
  <c r="AK25" i="1"/>
  <c r="AK26" i="1"/>
  <c r="AK34" i="1"/>
  <c r="AK36" i="1"/>
  <c r="AK37" i="1" s="1"/>
  <c r="AK61" i="1"/>
  <c r="AK93" i="1" s="1"/>
  <c r="AK78" i="1"/>
  <c r="AK82" i="1"/>
  <c r="AK96" i="1"/>
  <c r="AK97" i="1" s="1"/>
  <c r="AK111" i="1"/>
  <c r="AK112" i="1" s="1"/>
  <c r="AK115" i="1"/>
  <c r="AK124" i="1"/>
  <c r="AK127" i="1"/>
  <c r="AK143" i="1"/>
  <c r="AK154" i="1"/>
  <c r="AJ33" i="1"/>
  <c r="AI33" i="1"/>
  <c r="AH33" i="1"/>
  <c r="AG33" i="1"/>
  <c r="AE33" i="1"/>
  <c r="AD33" i="1"/>
  <c r="AC33" i="1"/>
  <c r="AB33" i="1"/>
  <c r="AF33" i="1"/>
  <c r="E52" i="27"/>
  <c r="E53" i="27" s="1"/>
  <c r="E54" i="27" s="1"/>
  <c r="DK2" i="25"/>
  <c r="DK8" i="25" s="1"/>
  <c r="DJ2" i="25"/>
  <c r="DJ8" i="25" s="1"/>
  <c r="DI2" i="25"/>
  <c r="DI8" i="25" s="1"/>
  <c r="DH2" i="25"/>
  <c r="DH8" i="25" s="1"/>
  <c r="DG2" i="25"/>
  <c r="DG8" i="25" s="1"/>
  <c r="DF2" i="25"/>
  <c r="DF8" i="25" s="1"/>
  <c r="DE2" i="25"/>
  <c r="DE8" i="25" s="1"/>
  <c r="DD2" i="25"/>
  <c r="DD8" i="25" s="1"/>
  <c r="DC2" i="25"/>
  <c r="DC8" i="25" s="1"/>
  <c r="DB2" i="25"/>
  <c r="DB8" i="25" s="1"/>
  <c r="DA2" i="25"/>
  <c r="DA8" i="25" s="1"/>
  <c r="CZ2" i="25"/>
  <c r="CY2" i="25"/>
  <c r="CY8" i="25" s="1"/>
  <c r="CX2" i="25"/>
  <c r="CX8" i="25" s="1"/>
  <c r="CW2" i="25"/>
  <c r="CW8" i="25" s="1"/>
  <c r="CV2" i="25"/>
  <c r="CV8" i="25" s="1"/>
  <c r="CU2" i="25"/>
  <c r="CU8" i="25" s="1"/>
  <c r="CT2" i="25"/>
  <c r="CT8" i="25" s="1"/>
  <c r="CS2" i="25"/>
  <c r="CS8" i="25" s="1"/>
  <c r="CR2" i="25"/>
  <c r="CR8" i="25" s="1"/>
  <c r="CQ2" i="25"/>
  <c r="CQ8" i="25" s="1"/>
  <c r="CP2" i="25"/>
  <c r="CP8" i="25" s="1"/>
  <c r="CO2" i="25"/>
  <c r="CO8" i="25" s="1"/>
  <c r="CN2" i="25"/>
  <c r="CM2" i="25"/>
  <c r="CM8" i="25" s="1"/>
  <c r="CL2" i="25"/>
  <c r="CL8" i="25" s="1"/>
  <c r="CK2" i="25"/>
  <c r="CK8" i="25" s="1"/>
  <c r="CJ2" i="25"/>
  <c r="CJ8" i="25" s="1"/>
  <c r="CI2" i="25"/>
  <c r="CI8" i="25" s="1"/>
  <c r="M2" i="25"/>
  <c r="L2" i="25"/>
  <c r="K2" i="25"/>
  <c r="J2" i="25"/>
  <c r="I2" i="25"/>
  <c r="H2" i="25"/>
  <c r="FB8" i="25"/>
  <c r="FA8" i="25"/>
  <c r="EZ8" i="25"/>
  <c r="EY8" i="25"/>
  <c r="EX8" i="25"/>
  <c r="EW8" i="25"/>
  <c r="EV8" i="25"/>
  <c r="EU8" i="25"/>
  <c r="ET8" i="25"/>
  <c r="ES8" i="25"/>
  <c r="ER8" i="25"/>
  <c r="EQ8" i="25"/>
  <c r="EP8" i="25"/>
  <c r="EO8" i="25"/>
  <c r="EN8" i="25"/>
  <c r="EM8" i="25"/>
  <c r="EL8" i="25"/>
  <c r="EK8" i="25"/>
  <c r="EJ8" i="25"/>
  <c r="EI8" i="25"/>
  <c r="EH8" i="25"/>
  <c r="EG8" i="25"/>
  <c r="EF8" i="25"/>
  <c r="EE8" i="25"/>
  <c r="ED8" i="25"/>
  <c r="EC8" i="25"/>
  <c r="EB8" i="25"/>
  <c r="EA8" i="25"/>
  <c r="DZ8" i="25"/>
  <c r="DY8" i="25"/>
  <c r="DX8" i="25"/>
  <c r="DW8" i="25"/>
  <c r="DV8" i="25"/>
  <c r="DU8" i="25"/>
  <c r="DT8" i="25"/>
  <c r="DS8" i="25"/>
  <c r="DR8" i="25"/>
  <c r="DQ8" i="25"/>
  <c r="DP8" i="25"/>
  <c r="DO8" i="25"/>
  <c r="DN8" i="25"/>
  <c r="DM8" i="25"/>
  <c r="DL8" i="25"/>
  <c r="FB9" i="25"/>
  <c r="FA9" i="25"/>
  <c r="EZ9" i="25"/>
  <c r="EY9" i="25"/>
  <c r="EX9" i="25"/>
  <c r="EW9" i="25"/>
  <c r="EV9" i="25"/>
  <c r="EU9" i="25"/>
  <c r="ET9" i="25"/>
  <c r="ES9" i="25"/>
  <c r="ER9" i="25"/>
  <c r="EQ9" i="25"/>
  <c r="EP9" i="25"/>
  <c r="EO9" i="25"/>
  <c r="EN9" i="25"/>
  <c r="EM9" i="25"/>
  <c r="EL9" i="25"/>
  <c r="EK9" i="25"/>
  <c r="EJ9" i="25"/>
  <c r="EI9" i="25"/>
  <c r="EH9" i="25"/>
  <c r="EG9" i="25"/>
  <c r="EF9" i="25"/>
  <c r="EE9" i="25"/>
  <c r="ED9" i="25"/>
  <c r="EC9" i="25"/>
  <c r="EB9" i="25"/>
  <c r="EA9" i="25"/>
  <c r="DZ9" i="25"/>
  <c r="DY9" i="25"/>
  <c r="DX9" i="25"/>
  <c r="DW9" i="25"/>
  <c r="DV9" i="25"/>
  <c r="DU9" i="25"/>
  <c r="DT9" i="25"/>
  <c r="DS9" i="25"/>
  <c r="DR9" i="25"/>
  <c r="DQ9" i="25"/>
  <c r="DP9" i="25"/>
  <c r="DO9" i="25"/>
  <c r="DN9" i="25"/>
  <c r="DM9" i="25"/>
  <c r="DL9" i="25"/>
  <c r="DK9" i="25"/>
  <c r="DJ9" i="25"/>
  <c r="DI9" i="25"/>
  <c r="DH9" i="25"/>
  <c r="DG9" i="25"/>
  <c r="DF9" i="25"/>
  <c r="DE9" i="25"/>
  <c r="DD9" i="25"/>
  <c r="DC9" i="25"/>
  <c r="DB9" i="25"/>
  <c r="DA9" i="25"/>
  <c r="CZ9" i="25"/>
  <c r="CY9" i="25"/>
  <c r="CX9" i="25"/>
  <c r="CW9" i="25"/>
  <c r="CV9" i="25"/>
  <c r="CU9" i="25"/>
  <c r="CT9" i="25"/>
  <c r="CS9" i="25"/>
  <c r="CR9" i="25"/>
  <c r="CQ9" i="25"/>
  <c r="CP9" i="25"/>
  <c r="CO9" i="25"/>
  <c r="CN9" i="25"/>
  <c r="CM9" i="25"/>
  <c r="CL9" i="25"/>
  <c r="CK9" i="25"/>
  <c r="CJ9" i="25"/>
  <c r="CI9" i="25"/>
  <c r="AK10" i="1" l="1"/>
  <c r="AK13" i="1"/>
  <c r="AL10" i="1"/>
  <c r="AL13" i="1"/>
  <c r="BI12" i="1"/>
  <c r="BI26" i="1"/>
  <c r="BU26" i="1" s="1"/>
  <c r="CG26" i="1" s="1"/>
  <c r="CS26" i="1" s="1"/>
  <c r="DE26" i="1" s="1"/>
  <c r="AY140" i="1"/>
  <c r="AP43" i="1"/>
  <c r="AP45" i="1" s="1"/>
  <c r="AZ146" i="1"/>
  <c r="BA146" i="1" s="1"/>
  <c r="BB146" i="1" s="1"/>
  <c r="BC146" i="1" s="1"/>
  <c r="BD146" i="1" s="1"/>
  <c r="BE146" i="1" s="1"/>
  <c r="BF146" i="1" s="1"/>
  <c r="BG146" i="1" s="1"/>
  <c r="BH146" i="1" s="1"/>
  <c r="BI146" i="1" s="1"/>
  <c r="BJ146" i="1" s="1"/>
  <c r="BK146" i="1" s="1"/>
  <c r="BL146" i="1" s="1"/>
  <c r="BM146" i="1" s="1"/>
  <c r="BN146" i="1" s="1"/>
  <c r="BO146" i="1" s="1"/>
  <c r="BP146" i="1" s="1"/>
  <c r="BQ146" i="1" s="1"/>
  <c r="BR146" i="1" s="1"/>
  <c r="BS146" i="1" s="1"/>
  <c r="BT146" i="1" s="1"/>
  <c r="BU146" i="1" s="1"/>
  <c r="BV146" i="1" s="1"/>
  <c r="BW146" i="1" s="1"/>
  <c r="BX146" i="1" s="1"/>
  <c r="BY146" i="1" s="1"/>
  <c r="BZ146" i="1" s="1"/>
  <c r="CA146" i="1" s="1"/>
  <c r="CB146" i="1" s="1"/>
  <c r="CC146" i="1" s="1"/>
  <c r="CD146" i="1" s="1"/>
  <c r="CE146" i="1" s="1"/>
  <c r="CF146" i="1" s="1"/>
  <c r="CG146" i="1" s="1"/>
  <c r="CH146" i="1" s="1"/>
  <c r="CI146" i="1" s="1"/>
  <c r="CJ146" i="1" s="1"/>
  <c r="CK146" i="1" s="1"/>
  <c r="CL146" i="1" s="1"/>
  <c r="CM146" i="1" s="1"/>
  <c r="CN146" i="1" s="1"/>
  <c r="CO146" i="1" s="1"/>
  <c r="CP146" i="1" s="1"/>
  <c r="CQ146" i="1" s="1"/>
  <c r="CR146" i="1" s="1"/>
  <c r="CS146" i="1" s="1"/>
  <c r="CT146" i="1" s="1"/>
  <c r="CU146" i="1" s="1"/>
  <c r="CV146" i="1" s="1"/>
  <c r="CW146" i="1" s="1"/>
  <c r="CX146" i="1" s="1"/>
  <c r="CY146" i="1" s="1"/>
  <c r="CZ146" i="1" s="1"/>
  <c r="DA146" i="1" s="1"/>
  <c r="DB146" i="1" s="1"/>
  <c r="DC146" i="1" s="1"/>
  <c r="DD146" i="1" s="1"/>
  <c r="DE146" i="1" s="1"/>
  <c r="DF146" i="1" s="1"/>
  <c r="DG146" i="1" s="1"/>
  <c r="AO40" i="1"/>
  <c r="AO92" i="1"/>
  <c r="AO98" i="1" s="1"/>
  <c r="AO160" i="1" s="1"/>
  <c r="AO163" i="1" s="1"/>
  <c r="AO170" i="1" s="1"/>
  <c r="AO39" i="1"/>
  <c r="AN66" i="1"/>
  <c r="AN40" i="1"/>
  <c r="AK89" i="1"/>
  <c r="AK91" i="1" s="1"/>
  <c r="AL89" i="1"/>
  <c r="AL91" i="1" s="1"/>
  <c r="AM116" i="1"/>
  <c r="AN39" i="1"/>
  <c r="AN41" i="1"/>
  <c r="AM63" i="1"/>
  <c r="AM62" i="1"/>
  <c r="AM38" i="1"/>
  <c r="AM39" i="1" s="1"/>
  <c r="AM65" i="1"/>
  <c r="AM66" i="1" s="1"/>
  <c r="CL73" i="1"/>
  <c r="CB73" i="1"/>
  <c r="Q18" i="25"/>
  <c r="AL128" i="1"/>
  <c r="AL129" i="1" s="1"/>
  <c r="AL65" i="1"/>
  <c r="AL11" i="1"/>
  <c r="AK128" i="1"/>
  <c r="AK129" i="1" s="1"/>
  <c r="AK38" i="1"/>
  <c r="AK39" i="1" s="1"/>
  <c r="AK11" i="1"/>
  <c r="AJ111" i="1"/>
  <c r="AJ112" i="1" s="1"/>
  <c r="AJ115" i="1"/>
  <c r="AJ124" i="1"/>
  <c r="AJ127" i="1"/>
  <c r="AJ143" i="1"/>
  <c r="AJ154" i="1"/>
  <c r="AJ9" i="1"/>
  <c r="AJ18" i="1"/>
  <c r="AJ23" i="1"/>
  <c r="AJ24" i="1"/>
  <c r="AJ25" i="1"/>
  <c r="AJ26" i="1"/>
  <c r="BH26" i="1" s="1"/>
  <c r="BT26" i="1" s="1"/>
  <c r="CF26" i="1" s="1"/>
  <c r="CR26" i="1" s="1"/>
  <c r="DD26" i="1" s="1"/>
  <c r="AJ34" i="1"/>
  <c r="AJ36" i="1"/>
  <c r="AJ37" i="1" s="1"/>
  <c r="AJ61" i="1"/>
  <c r="AJ78" i="1"/>
  <c r="AJ82" i="1"/>
  <c r="AJ96" i="1"/>
  <c r="AJ97" i="1" s="1"/>
  <c r="BI88" i="1"/>
  <c r="BU88" i="1" s="1"/>
  <c r="CG88" i="1" s="1"/>
  <c r="CS88" i="1" s="1"/>
  <c r="DE88" i="1" s="1"/>
  <c r="BH88" i="1"/>
  <c r="BT88" i="1" s="1"/>
  <c r="CF88" i="1" s="1"/>
  <c r="CR88" i="1" s="1"/>
  <c r="DD88" i="1" s="1"/>
  <c r="BG88" i="1"/>
  <c r="BS88" i="1" s="1"/>
  <c r="CE88" i="1" s="1"/>
  <c r="CQ88" i="1" s="1"/>
  <c r="DC88" i="1" s="1"/>
  <c r="BF88" i="1"/>
  <c r="BR88" i="1" s="1"/>
  <c r="CD88" i="1" s="1"/>
  <c r="CP88" i="1" s="1"/>
  <c r="DB88" i="1" s="1"/>
  <c r="BE88" i="1"/>
  <c r="BQ88" i="1" s="1"/>
  <c r="CC88" i="1" s="1"/>
  <c r="CO88" i="1" s="1"/>
  <c r="DA88" i="1" s="1"/>
  <c r="BD88" i="1"/>
  <c r="BP88" i="1" s="1"/>
  <c r="CB88" i="1" s="1"/>
  <c r="CN88" i="1" s="1"/>
  <c r="CZ88" i="1" s="1"/>
  <c r="BC88" i="1"/>
  <c r="BO88" i="1" s="1"/>
  <c r="CA88" i="1" s="1"/>
  <c r="CM88" i="1" s="1"/>
  <c r="CY88" i="1" s="1"/>
  <c r="BB88" i="1"/>
  <c r="BN88" i="1" s="1"/>
  <c r="BZ88" i="1" s="1"/>
  <c r="CL88" i="1" s="1"/>
  <c r="CX88" i="1" s="1"/>
  <c r="BA88" i="1"/>
  <c r="BM88" i="1" s="1"/>
  <c r="BY88" i="1" s="1"/>
  <c r="CK88" i="1" s="1"/>
  <c r="CW88" i="1" s="1"/>
  <c r="AY88" i="1"/>
  <c r="BK88" i="1" s="1"/>
  <c r="BW88" i="1" s="1"/>
  <c r="CI88" i="1" s="1"/>
  <c r="CU88" i="1" s="1"/>
  <c r="DG88" i="1" s="1"/>
  <c r="BJ88" i="1"/>
  <c r="BV88" i="1" s="1"/>
  <c r="CH88" i="1" s="1"/>
  <c r="CT88" i="1" s="1"/>
  <c r="DF88" i="1" s="1"/>
  <c r="AZ88" i="1"/>
  <c r="BL88" i="1" s="1"/>
  <c r="BX88" i="1" s="1"/>
  <c r="CJ88" i="1" s="1"/>
  <c r="CV88" i="1" s="1"/>
  <c r="EU13" i="25"/>
  <c r="EM13" i="25"/>
  <c r="EE13" i="25"/>
  <c r="DW13" i="25"/>
  <c r="DO13" i="25"/>
  <c r="DG13" i="25"/>
  <c r="CY13" i="25"/>
  <c r="CQ13" i="25"/>
  <c r="CI13" i="25"/>
  <c r="EV13" i="25"/>
  <c r="EN13" i="25"/>
  <c r="EF13" i="25"/>
  <c r="DX13" i="25"/>
  <c r="CJ13" i="25"/>
  <c r="H1" i="25"/>
  <c r="H3" i="25" s="1"/>
  <c r="I4" i="25"/>
  <c r="I1" i="25" s="1"/>
  <c r="I3" i="25" s="1"/>
  <c r="K13" i="25"/>
  <c r="AI111" i="1"/>
  <c r="AI112" i="1" s="1"/>
  <c r="AH111" i="1"/>
  <c r="AH112" i="1" s="1"/>
  <c r="AG111" i="1"/>
  <c r="AF111" i="1"/>
  <c r="AD111" i="1"/>
  <c r="AC111" i="1"/>
  <c r="AB111" i="1"/>
  <c r="AE111" i="1"/>
  <c r="FB13" i="25"/>
  <c r="FA13" i="25"/>
  <c r="EZ13" i="25"/>
  <c r="EY13" i="25"/>
  <c r="EX13" i="25"/>
  <c r="EW13" i="25"/>
  <c r="ET13" i="25"/>
  <c r="ES13" i="25"/>
  <c r="ER13" i="25"/>
  <c r="EQ13" i="25"/>
  <c r="EO13" i="25"/>
  <c r="EL13" i="25"/>
  <c r="EK13" i="25"/>
  <c r="EJ13" i="25"/>
  <c r="EI13" i="25"/>
  <c r="EH13" i="25"/>
  <c r="EG13" i="25"/>
  <c r="ED13" i="25"/>
  <c r="EC13" i="25"/>
  <c r="EB13" i="25"/>
  <c r="EA13" i="25"/>
  <c r="DZ13" i="25"/>
  <c r="DY13" i="25"/>
  <c r="DV13" i="25"/>
  <c r="DU13" i="25"/>
  <c r="DT13" i="25"/>
  <c r="DS13" i="25"/>
  <c r="DQ13" i="25"/>
  <c r="DP13" i="25"/>
  <c r="DN13" i="25"/>
  <c r="DM13" i="25"/>
  <c r="DL13" i="25"/>
  <c r="DK13" i="25"/>
  <c r="DI13" i="25"/>
  <c r="DH13" i="25"/>
  <c r="DF13" i="25"/>
  <c r="DE13" i="25"/>
  <c r="DD13" i="25"/>
  <c r="DC13" i="25"/>
  <c r="DB13" i="25"/>
  <c r="DA13" i="25"/>
  <c r="CX13" i="25"/>
  <c r="CW13" i="25"/>
  <c r="CV13" i="25"/>
  <c r="CU13" i="25"/>
  <c r="CT13" i="25"/>
  <c r="CS13" i="25"/>
  <c r="CR13" i="25"/>
  <c r="CP13" i="25"/>
  <c r="CO13" i="25"/>
  <c r="CM13" i="25"/>
  <c r="CK13" i="25"/>
  <c r="EP13" i="25"/>
  <c r="DR13" i="25"/>
  <c r="DJ13" i="25"/>
  <c r="CL13" i="25"/>
  <c r="J13" i="25"/>
  <c r="I13" i="25"/>
  <c r="H13" i="25"/>
  <c r="G13" i="25"/>
  <c r="I6" i="25"/>
  <c r="J6" i="25" s="1"/>
  <c r="K6" i="25" s="1"/>
  <c r="L6" i="25" s="1"/>
  <c r="M6" i="25" s="1"/>
  <c r="N6" i="25" s="1"/>
  <c r="O6" i="25" s="1"/>
  <c r="P6" i="25" s="1"/>
  <c r="Q6" i="25" s="1"/>
  <c r="R6" i="25" s="1"/>
  <c r="S6" i="25" s="1"/>
  <c r="T6" i="25" s="1"/>
  <c r="U6" i="25" s="1"/>
  <c r="V6" i="25" s="1"/>
  <c r="W6" i="25" s="1"/>
  <c r="X6" i="25" s="1"/>
  <c r="Y6" i="25" s="1"/>
  <c r="Z6" i="25" s="1"/>
  <c r="AA6" i="25" s="1"/>
  <c r="AB6" i="25" s="1"/>
  <c r="AC6" i="25" s="1"/>
  <c r="AD6" i="25" s="1"/>
  <c r="AE6" i="25" s="1"/>
  <c r="AF6" i="25" s="1"/>
  <c r="AG6" i="25" s="1"/>
  <c r="AH6" i="25" s="1"/>
  <c r="AI6" i="25" s="1"/>
  <c r="AJ6" i="25" s="1"/>
  <c r="AK6" i="25" s="1"/>
  <c r="AL6" i="25" s="1"/>
  <c r="AM6" i="25" s="1"/>
  <c r="AN6" i="25" s="1"/>
  <c r="AO6" i="25" s="1"/>
  <c r="AP6" i="25" s="1"/>
  <c r="AQ6" i="25" s="1"/>
  <c r="AR6" i="25" s="1"/>
  <c r="AS6" i="25" s="1"/>
  <c r="AT6" i="25" s="1"/>
  <c r="AU6" i="25" s="1"/>
  <c r="AV6" i="25" s="1"/>
  <c r="AW6" i="25" s="1"/>
  <c r="AX6" i="25" s="1"/>
  <c r="AY6" i="25" s="1"/>
  <c r="AZ6" i="25" s="1"/>
  <c r="BA6" i="25" s="1"/>
  <c r="BB6" i="25" s="1"/>
  <c r="BC6" i="25" s="1"/>
  <c r="BD6" i="25" s="1"/>
  <c r="BE6" i="25" s="1"/>
  <c r="BF6" i="25" s="1"/>
  <c r="BG6" i="25" s="1"/>
  <c r="BH6" i="25" s="1"/>
  <c r="BI6" i="25" s="1"/>
  <c r="BJ6" i="25" s="1"/>
  <c r="BK6" i="25" s="1"/>
  <c r="BL6" i="25" s="1"/>
  <c r="BM6" i="25" s="1"/>
  <c r="BN6" i="25" s="1"/>
  <c r="BO6" i="25" s="1"/>
  <c r="BP6" i="25" s="1"/>
  <c r="BQ6" i="25" s="1"/>
  <c r="BR6" i="25" s="1"/>
  <c r="BS6" i="25" s="1"/>
  <c r="BT6" i="25" s="1"/>
  <c r="BU6" i="25" s="1"/>
  <c r="BV6" i="25" s="1"/>
  <c r="BW6" i="25" s="1"/>
  <c r="BX6" i="25" s="1"/>
  <c r="BY6" i="25" s="1"/>
  <c r="BZ6" i="25" s="1"/>
  <c r="CA6" i="25" s="1"/>
  <c r="CB6" i="25" s="1"/>
  <c r="CC6" i="25" s="1"/>
  <c r="CD6" i="25" s="1"/>
  <c r="CE6" i="25" s="1"/>
  <c r="CF6" i="25" s="1"/>
  <c r="CG6" i="25" s="1"/>
  <c r="CH6" i="25" s="1"/>
  <c r="CI6" i="25" s="1"/>
  <c r="CJ6" i="25" s="1"/>
  <c r="CK6" i="25" s="1"/>
  <c r="CL6" i="25" s="1"/>
  <c r="CM6" i="25" s="1"/>
  <c r="CN6" i="25" s="1"/>
  <c r="CO6" i="25" s="1"/>
  <c r="CP6" i="25" s="1"/>
  <c r="CQ6" i="25" s="1"/>
  <c r="CR6" i="25" s="1"/>
  <c r="CS6" i="25" s="1"/>
  <c r="CT6" i="25" s="1"/>
  <c r="CU6" i="25" s="1"/>
  <c r="CV6" i="25" s="1"/>
  <c r="CW6" i="25" s="1"/>
  <c r="CX6" i="25" s="1"/>
  <c r="CY6" i="25" s="1"/>
  <c r="CZ6" i="25" s="1"/>
  <c r="DA6" i="25" s="1"/>
  <c r="DB6" i="25" s="1"/>
  <c r="DC6" i="25" s="1"/>
  <c r="DD6" i="25" s="1"/>
  <c r="DE6" i="25" s="1"/>
  <c r="DF6" i="25" s="1"/>
  <c r="DG6" i="25" s="1"/>
  <c r="DH6" i="25" s="1"/>
  <c r="DI6" i="25" s="1"/>
  <c r="DJ6" i="25" s="1"/>
  <c r="DK6" i="25" s="1"/>
  <c r="DL6" i="25" s="1"/>
  <c r="DM6" i="25" s="1"/>
  <c r="DN6" i="25" s="1"/>
  <c r="DO6" i="25" s="1"/>
  <c r="DP6" i="25" s="1"/>
  <c r="DQ6" i="25" s="1"/>
  <c r="DR6" i="25" s="1"/>
  <c r="DS6" i="25" s="1"/>
  <c r="DT6" i="25" s="1"/>
  <c r="DU6" i="25" s="1"/>
  <c r="DV6" i="25" s="1"/>
  <c r="DW6" i="25" s="1"/>
  <c r="DX6" i="25" s="1"/>
  <c r="DY6" i="25" s="1"/>
  <c r="DZ6" i="25" s="1"/>
  <c r="EA6" i="25" s="1"/>
  <c r="EB6" i="25" s="1"/>
  <c r="EC6" i="25" s="1"/>
  <c r="ED6" i="25" s="1"/>
  <c r="EE6" i="25" s="1"/>
  <c r="EF6" i="25" s="1"/>
  <c r="EG6" i="25" s="1"/>
  <c r="EH6" i="25" s="1"/>
  <c r="EI6" i="25" s="1"/>
  <c r="EJ6" i="25" s="1"/>
  <c r="EK6" i="25" s="1"/>
  <c r="EL6" i="25" s="1"/>
  <c r="EM6" i="25" s="1"/>
  <c r="EN6" i="25" s="1"/>
  <c r="EO6" i="25" s="1"/>
  <c r="EP6" i="25" s="1"/>
  <c r="EQ6" i="25" s="1"/>
  <c r="ER6" i="25" s="1"/>
  <c r="ES6" i="25" s="1"/>
  <c r="ET6" i="25" s="1"/>
  <c r="EU6" i="25" s="1"/>
  <c r="EV6" i="25" s="1"/>
  <c r="EW6" i="25" s="1"/>
  <c r="EX6" i="25" s="1"/>
  <c r="EY6" i="25" s="1"/>
  <c r="EZ6" i="25" s="1"/>
  <c r="FA6" i="25" s="1"/>
  <c r="FB6" i="25" s="1"/>
  <c r="AI82" i="1"/>
  <c r="AH82" i="1"/>
  <c r="AG82" i="1"/>
  <c r="AF82" i="1"/>
  <c r="AE82" i="1"/>
  <c r="AD82" i="1"/>
  <c r="AC82" i="1"/>
  <c r="AB82" i="1"/>
  <c r="AH36" i="1"/>
  <c r="AH37" i="1" s="1"/>
  <c r="AB127" i="1"/>
  <c r="AC26" i="1"/>
  <c r="AD26" i="1"/>
  <c r="BB26" i="1" s="1"/>
  <c r="BN26" i="1" s="1"/>
  <c r="BZ26" i="1" s="1"/>
  <c r="CL26" i="1" s="1"/>
  <c r="CX26" i="1" s="1"/>
  <c r="AI127" i="1"/>
  <c r="AH127" i="1"/>
  <c r="AG127" i="1"/>
  <c r="AF127" i="1"/>
  <c r="AE127" i="1"/>
  <c r="AD127" i="1"/>
  <c r="AC127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I9" i="1"/>
  <c r="AH9" i="1"/>
  <c r="AG9" i="1"/>
  <c r="AF9" i="1"/>
  <c r="AE9" i="1"/>
  <c r="AD9" i="1"/>
  <c r="AC9" i="1"/>
  <c r="AB9" i="1"/>
  <c r="AB61" i="1"/>
  <c r="AB93" i="1" s="1"/>
  <c r="AI78" i="1"/>
  <c r="AH78" i="1"/>
  <c r="AG78" i="1"/>
  <c r="AF78" i="1"/>
  <c r="AE78" i="1"/>
  <c r="AD78" i="1"/>
  <c r="AC78" i="1"/>
  <c r="AB78" i="1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90" i="9" s="1"/>
  <c r="B81" i="9"/>
  <c r="B91" i="9" s="1"/>
  <c r="B82" i="9"/>
  <c r="B83" i="9"/>
  <c r="B84" i="9"/>
  <c r="B85" i="9"/>
  <c r="B86" i="9"/>
  <c r="B87" i="9"/>
  <c r="B88" i="9"/>
  <c r="B89" i="9"/>
  <c r="B92" i="9"/>
  <c r="B93" i="9"/>
  <c r="B63" i="9"/>
  <c r="AI26" i="1"/>
  <c r="BG26" i="1" s="1"/>
  <c r="BS26" i="1" s="1"/>
  <c r="CE26" i="1" s="1"/>
  <c r="CQ26" i="1" s="1"/>
  <c r="DC26" i="1" s="1"/>
  <c r="AI24" i="1"/>
  <c r="AI96" i="1"/>
  <c r="AI97" i="1" s="1"/>
  <c r="AI115" i="1"/>
  <c r="AI124" i="1"/>
  <c r="AI154" i="1"/>
  <c r="AI18" i="1"/>
  <c r="AI25" i="1"/>
  <c r="AI34" i="1"/>
  <c r="AI36" i="1"/>
  <c r="AI37" i="1" s="1"/>
  <c r="AI61" i="1"/>
  <c r="AH25" i="1"/>
  <c r="AH24" i="1"/>
  <c r="AH96" i="1"/>
  <c r="AH97" i="1" s="1"/>
  <c r="AH115" i="1"/>
  <c r="AH124" i="1"/>
  <c r="AH154" i="1"/>
  <c r="AH18" i="1"/>
  <c r="AH23" i="1"/>
  <c r="AH26" i="1"/>
  <c r="BF26" i="1" s="1"/>
  <c r="BR26" i="1" s="1"/>
  <c r="CD26" i="1" s="1"/>
  <c r="CP26" i="1" s="1"/>
  <c r="DB26" i="1" s="1"/>
  <c r="AH34" i="1"/>
  <c r="AH61" i="1"/>
  <c r="AH93" i="1" s="1"/>
  <c r="AG61" i="1"/>
  <c r="AG93" i="1" s="1"/>
  <c r="AF61" i="1"/>
  <c r="AF93" i="1" s="1"/>
  <c r="AE61" i="1"/>
  <c r="AE93" i="1" s="1"/>
  <c r="AD61" i="1"/>
  <c r="AD93" i="1" s="1"/>
  <c r="AC61" i="1"/>
  <c r="AC93" i="1" s="1"/>
  <c r="H47" i="24"/>
  <c r="G47" i="24"/>
  <c r="F47" i="24"/>
  <c r="E47" i="24"/>
  <c r="D47" i="24"/>
  <c r="C47" i="24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AB166" i="1"/>
  <c r="AB168" i="1" s="1"/>
  <c r="AF166" i="1"/>
  <c r="AE166" i="1"/>
  <c r="AD166" i="1"/>
  <c r="AC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AG166" i="1"/>
  <c r="AG167" i="1"/>
  <c r="W154" i="1"/>
  <c r="AG24" i="1"/>
  <c r="AG26" i="1"/>
  <c r="AG36" i="1"/>
  <c r="AG37" i="1" s="1"/>
  <c r="AG23" i="1"/>
  <c r="H46" i="26"/>
  <c r="H45" i="26"/>
  <c r="H44" i="26"/>
  <c r="H43" i="26"/>
  <c r="H42" i="26"/>
  <c r="F42" i="26"/>
  <c r="F43" i="26"/>
  <c r="F44" i="26"/>
  <c r="F45" i="26"/>
  <c r="F46" i="26"/>
  <c r="D44" i="26"/>
  <c r="D45" i="26"/>
  <c r="D46" i="26"/>
  <c r="C46" i="26"/>
  <c r="C45" i="26"/>
  <c r="C44" i="26"/>
  <c r="D43" i="26"/>
  <c r="D42" i="26"/>
  <c r="C43" i="26"/>
  <c r="C42" i="26"/>
  <c r="BJ12" i="1" l="1"/>
  <c r="AH13" i="1"/>
  <c r="AH116" i="1" s="1"/>
  <c r="AE10" i="1"/>
  <c r="AE13" i="1"/>
  <c r="AF10" i="1"/>
  <c r="AF13" i="1"/>
  <c r="AJ11" i="1"/>
  <c r="AJ13" i="1"/>
  <c r="AG10" i="1"/>
  <c r="AG13" i="1"/>
  <c r="AI13" i="1"/>
  <c r="AI62" i="1" s="1"/>
  <c r="AB11" i="1"/>
  <c r="AB13" i="1"/>
  <c r="AD10" i="1"/>
  <c r="AD13" i="1"/>
  <c r="AC11" i="1"/>
  <c r="AC13" i="1"/>
  <c r="AS42" i="1"/>
  <c r="AS44" i="1" s="1"/>
  <c r="AT42" i="1"/>
  <c r="AT44" i="1" s="1"/>
  <c r="BE26" i="1"/>
  <c r="BQ26" i="1" s="1"/>
  <c r="CC26" i="1" s="1"/>
  <c r="CO26" i="1" s="1"/>
  <c r="DA26" i="1" s="1"/>
  <c r="AZ140" i="1"/>
  <c r="AG89" i="1"/>
  <c r="AG91" i="1" s="1"/>
  <c r="AO151" i="1"/>
  <c r="AP151" i="1" s="1"/>
  <c r="AQ151" i="1" s="1"/>
  <c r="AR151" i="1" s="1"/>
  <c r="AS151" i="1" s="1"/>
  <c r="AT151" i="1" s="1"/>
  <c r="AH89" i="1"/>
  <c r="AH91" i="1" s="1"/>
  <c r="AF89" i="1"/>
  <c r="AI89" i="1"/>
  <c r="AI91" i="1" s="1"/>
  <c r="AE89" i="1"/>
  <c r="AD89" i="1"/>
  <c r="AB89" i="1"/>
  <c r="AJ89" i="1"/>
  <c r="AJ91" i="1" s="1"/>
  <c r="AC89" i="1"/>
  <c r="AM40" i="1"/>
  <c r="AM41" i="1"/>
  <c r="AM92" i="1"/>
  <c r="AM98" i="1" s="1"/>
  <c r="BA26" i="1"/>
  <c r="BM26" i="1" s="1"/>
  <c r="BY26" i="1" s="1"/>
  <c r="CK26" i="1" s="1"/>
  <c r="CW26" i="1" s="1"/>
  <c r="AJ128" i="1"/>
  <c r="AJ129" i="1" s="1"/>
  <c r="CM73" i="1"/>
  <c r="CC73" i="1"/>
  <c r="AL38" i="1"/>
  <c r="AL32" i="1"/>
  <c r="AL63" i="1"/>
  <c r="AL116" i="1"/>
  <c r="AL62" i="1"/>
  <c r="AL92" i="1"/>
  <c r="AL98" i="1" s="1"/>
  <c r="AL40" i="1"/>
  <c r="AL66" i="1"/>
  <c r="AK62" i="1"/>
  <c r="AK116" i="1"/>
  <c r="AG162" i="1"/>
  <c r="AK41" i="1"/>
  <c r="AK63" i="1"/>
  <c r="AK32" i="1"/>
  <c r="AK65" i="1"/>
  <c r="AK40" i="1" s="1"/>
  <c r="AJ10" i="1"/>
  <c r="AI10" i="1"/>
  <c r="AJ116" i="1"/>
  <c r="AJ93" i="1"/>
  <c r="AO43" i="1" s="1"/>
  <c r="AO45" i="1" s="1"/>
  <c r="J4" i="25"/>
  <c r="K4" i="25" s="1"/>
  <c r="L4" i="25" s="1"/>
  <c r="AI11" i="1"/>
  <c r="AB10" i="1"/>
  <c r="AH10" i="1"/>
  <c r="AC10" i="1"/>
  <c r="AD11" i="1"/>
  <c r="AE11" i="1"/>
  <c r="AF11" i="1"/>
  <c r="AG11" i="1"/>
  <c r="AH11" i="1"/>
  <c r="AG43" i="1"/>
  <c r="AI23" i="1"/>
  <c r="AI93" i="1"/>
  <c r="AI43" i="1" s="1"/>
  <c r="AH43" i="1"/>
  <c r="AI65" i="1"/>
  <c r="AI40" i="1" s="1"/>
  <c r="AI128" i="1"/>
  <c r="AI129" i="1" s="1"/>
  <c r="AH128" i="1"/>
  <c r="AH129" i="1" s="1"/>
  <c r="AH65" i="1"/>
  <c r="AH40" i="1" s="1"/>
  <c r="AH32" i="1"/>
  <c r="AH63" i="1"/>
  <c r="AH38" i="1"/>
  <c r="AH62" i="1"/>
  <c r="AA168" i="1"/>
  <c r="W168" i="1"/>
  <c r="AE168" i="1"/>
  <c r="AG168" i="1"/>
  <c r="V168" i="1"/>
  <c r="AC168" i="1"/>
  <c r="AD168" i="1"/>
  <c r="X168" i="1"/>
  <c r="AF168" i="1"/>
  <c r="Y168" i="1"/>
  <c r="Z168" i="1"/>
  <c r="AH166" i="1"/>
  <c r="AG96" i="1"/>
  <c r="AG97" i="1" s="1"/>
  <c r="AG112" i="1"/>
  <c r="AG115" i="1"/>
  <c r="AG124" i="1"/>
  <c r="AG154" i="1"/>
  <c r="AG38" i="1"/>
  <c r="AG39" i="1" s="1"/>
  <c r="AG18" i="1"/>
  <c r="AG25" i="1"/>
  <c r="AG34" i="1"/>
  <c r="H11" i="26"/>
  <c r="F11" i="26"/>
  <c r="D11" i="26"/>
  <c r="C11" i="26"/>
  <c r="AI63" i="1" l="1"/>
  <c r="AI116" i="1"/>
  <c r="AI38" i="1"/>
  <c r="AI39" i="1" s="1"/>
  <c r="AI32" i="1"/>
  <c r="BK12" i="1"/>
  <c r="AU151" i="1"/>
  <c r="AV151" i="1" s="1"/>
  <c r="AW151" i="1" s="1"/>
  <c r="AR42" i="1"/>
  <c r="AR44" i="1" s="1"/>
  <c r="BA140" i="1"/>
  <c r="AM43" i="1"/>
  <c r="AM45" i="1" s="1"/>
  <c r="CN73" i="1"/>
  <c r="CD73" i="1"/>
  <c r="S18" i="25"/>
  <c r="AY11" i="1"/>
  <c r="AZ11" i="1" s="1"/>
  <c r="BA11" i="1" s="1"/>
  <c r="BB11" i="1" s="1"/>
  <c r="BC11" i="1" s="1"/>
  <c r="BD11" i="1" s="1"/>
  <c r="BE11" i="1" s="1"/>
  <c r="BF11" i="1" s="1"/>
  <c r="BG11" i="1" s="1"/>
  <c r="BH11" i="1" s="1"/>
  <c r="BI11" i="1" s="1"/>
  <c r="BJ11" i="1" s="1"/>
  <c r="BK11" i="1" s="1"/>
  <c r="BL11" i="1" s="1"/>
  <c r="BM11" i="1" s="1"/>
  <c r="BN11" i="1" s="1"/>
  <c r="BO11" i="1" s="1"/>
  <c r="BP11" i="1" s="1"/>
  <c r="BQ11" i="1" s="1"/>
  <c r="BR11" i="1" s="1"/>
  <c r="BS11" i="1" s="1"/>
  <c r="BT11" i="1" s="1"/>
  <c r="BU11" i="1" s="1"/>
  <c r="BV11" i="1" s="1"/>
  <c r="BW11" i="1" s="1"/>
  <c r="BX11" i="1" s="1"/>
  <c r="BY11" i="1" s="1"/>
  <c r="BZ11" i="1" s="1"/>
  <c r="CA11" i="1" s="1"/>
  <c r="CB11" i="1" s="1"/>
  <c r="CC11" i="1" s="1"/>
  <c r="CD11" i="1" s="1"/>
  <c r="CE11" i="1" s="1"/>
  <c r="CF11" i="1" s="1"/>
  <c r="CG11" i="1" s="1"/>
  <c r="CH11" i="1" s="1"/>
  <c r="CI11" i="1" s="1"/>
  <c r="CJ11" i="1" s="1"/>
  <c r="CK11" i="1" s="1"/>
  <c r="CL11" i="1" s="1"/>
  <c r="CM11" i="1" s="1"/>
  <c r="CN11" i="1" s="1"/>
  <c r="CO11" i="1" s="1"/>
  <c r="CP11" i="1" s="1"/>
  <c r="CQ11" i="1" s="1"/>
  <c r="CR11" i="1" s="1"/>
  <c r="CS11" i="1" s="1"/>
  <c r="CT11" i="1" s="1"/>
  <c r="CU11" i="1" s="1"/>
  <c r="CV11" i="1" s="1"/>
  <c r="CW11" i="1" s="1"/>
  <c r="CX11" i="1" s="1"/>
  <c r="CY11" i="1" s="1"/>
  <c r="CZ11" i="1" s="1"/>
  <c r="DA11" i="1" s="1"/>
  <c r="DB11" i="1" s="1"/>
  <c r="DC11" i="1" s="1"/>
  <c r="DD11" i="1" s="1"/>
  <c r="DE11" i="1" s="1"/>
  <c r="DF11" i="1" s="1"/>
  <c r="DG11" i="1" s="1"/>
  <c r="AY10" i="1"/>
  <c r="AZ10" i="1" s="1"/>
  <c r="BA10" i="1" s="1"/>
  <c r="BB10" i="1" s="1"/>
  <c r="BC10" i="1" s="1"/>
  <c r="BD10" i="1" s="1"/>
  <c r="BE10" i="1" s="1"/>
  <c r="BF10" i="1" s="1"/>
  <c r="BG10" i="1" s="1"/>
  <c r="BH10" i="1" s="1"/>
  <c r="BI10" i="1" s="1"/>
  <c r="BJ10" i="1" s="1"/>
  <c r="BK10" i="1" s="1"/>
  <c r="BL10" i="1" s="1"/>
  <c r="BM10" i="1" s="1"/>
  <c r="BN10" i="1" s="1"/>
  <c r="BO10" i="1" s="1"/>
  <c r="BP10" i="1" s="1"/>
  <c r="BQ10" i="1" s="1"/>
  <c r="BR10" i="1" s="1"/>
  <c r="BS10" i="1" s="1"/>
  <c r="BT10" i="1" s="1"/>
  <c r="BU10" i="1" s="1"/>
  <c r="BV10" i="1" s="1"/>
  <c r="BW10" i="1" s="1"/>
  <c r="BX10" i="1" s="1"/>
  <c r="BY10" i="1" s="1"/>
  <c r="BZ10" i="1" s="1"/>
  <c r="CA10" i="1" s="1"/>
  <c r="CB10" i="1" s="1"/>
  <c r="CC10" i="1" s="1"/>
  <c r="CD10" i="1" s="1"/>
  <c r="CE10" i="1" s="1"/>
  <c r="CF10" i="1" s="1"/>
  <c r="CG10" i="1" s="1"/>
  <c r="CH10" i="1" s="1"/>
  <c r="CI10" i="1" s="1"/>
  <c r="CJ10" i="1" s="1"/>
  <c r="CK10" i="1" s="1"/>
  <c r="CL10" i="1" s="1"/>
  <c r="CM10" i="1" s="1"/>
  <c r="CN10" i="1" s="1"/>
  <c r="CO10" i="1" s="1"/>
  <c r="CP10" i="1" s="1"/>
  <c r="CQ10" i="1" s="1"/>
  <c r="CR10" i="1" s="1"/>
  <c r="CS10" i="1" s="1"/>
  <c r="CT10" i="1" s="1"/>
  <c r="CU10" i="1" s="1"/>
  <c r="CV10" i="1" s="1"/>
  <c r="CW10" i="1" s="1"/>
  <c r="CX10" i="1" s="1"/>
  <c r="CY10" i="1" s="1"/>
  <c r="CZ10" i="1" s="1"/>
  <c r="DA10" i="1" s="1"/>
  <c r="DB10" i="1" s="1"/>
  <c r="DC10" i="1" s="1"/>
  <c r="DD10" i="1" s="1"/>
  <c r="DE10" i="1" s="1"/>
  <c r="DF10" i="1" s="1"/>
  <c r="DG10" i="1" s="1"/>
  <c r="AL43" i="1"/>
  <c r="AL45" i="1" s="1"/>
  <c r="AL39" i="1"/>
  <c r="AP42" i="1" s="1"/>
  <c r="AP44" i="1" s="1"/>
  <c r="AL41" i="1"/>
  <c r="AK92" i="1"/>
  <c r="AK98" i="1" s="1"/>
  <c r="AJ43" i="1"/>
  <c r="AK43" i="1"/>
  <c r="AK45" i="1" s="1"/>
  <c r="AJ65" i="1"/>
  <c r="AJ92" i="1" s="1"/>
  <c r="AJ98" i="1" s="1"/>
  <c r="AJ63" i="1"/>
  <c r="AJ62" i="1"/>
  <c r="AK66" i="1"/>
  <c r="AJ38" i="1"/>
  <c r="AJ32" i="1"/>
  <c r="J1" i="25"/>
  <c r="J3" i="25" s="1"/>
  <c r="K1" i="25"/>
  <c r="K3" i="25" s="1"/>
  <c r="M4" i="25"/>
  <c r="L1" i="25"/>
  <c r="L3" i="25" s="1"/>
  <c r="AI92" i="1"/>
  <c r="AI98" i="1" s="1"/>
  <c r="AI66" i="1"/>
  <c r="AH92" i="1"/>
  <c r="AH98" i="1" s="1"/>
  <c r="AH66" i="1"/>
  <c r="AI41" i="1"/>
  <c r="AH41" i="1"/>
  <c r="AH39" i="1"/>
  <c r="AG116" i="1"/>
  <c r="AG32" i="1"/>
  <c r="AG128" i="1"/>
  <c r="AG129" i="1" s="1"/>
  <c r="AG65" i="1"/>
  <c r="AG40" i="1" s="1"/>
  <c r="AG63" i="1"/>
  <c r="AG62" i="1"/>
  <c r="BL12" i="1" l="1"/>
  <c r="BB140" i="1"/>
  <c r="AQ42" i="1"/>
  <c r="AQ44" i="1" s="1"/>
  <c r="AY110" i="1"/>
  <c r="CE73" i="1"/>
  <c r="CO73" i="1"/>
  <c r="T18" i="25"/>
  <c r="AJ66" i="1"/>
  <c r="AJ40" i="1"/>
  <c r="AJ45" i="1" s="1"/>
  <c r="AJ39" i="1"/>
  <c r="AJ41" i="1"/>
  <c r="N4" i="25"/>
  <c r="M1" i="25"/>
  <c r="M3" i="25" s="1"/>
  <c r="AG92" i="1"/>
  <c r="AG98" i="1" s="1"/>
  <c r="AG66" i="1"/>
  <c r="AG41" i="1"/>
  <c r="BM12" i="1" l="1"/>
  <c r="AM42" i="1"/>
  <c r="AM44" i="1" s="1"/>
  <c r="BC140" i="1"/>
  <c r="AY136" i="1"/>
  <c r="AY141" i="1" s="1"/>
  <c r="AZ110" i="1"/>
  <c r="AO42" i="1"/>
  <c r="AO44" i="1" s="1"/>
  <c r="AN42" i="1"/>
  <c r="CP73" i="1"/>
  <c r="CF73" i="1"/>
  <c r="U18" i="25"/>
  <c r="AL42" i="1"/>
  <c r="AL44" i="1" s="1"/>
  <c r="O4" i="25"/>
  <c r="N1" i="25"/>
  <c r="N3" i="25" s="1"/>
  <c r="G25" i="24"/>
  <c r="F25" i="24"/>
  <c r="E25" i="24"/>
  <c r="D25" i="24"/>
  <c r="C25" i="24"/>
  <c r="AF26" i="1"/>
  <c r="AF36" i="1"/>
  <c r="AF37" i="1" s="1"/>
  <c r="AF25" i="1"/>
  <c r="AE25" i="1"/>
  <c r="AD25" i="1"/>
  <c r="AC25" i="1"/>
  <c r="AB25" i="1"/>
  <c r="AA25" i="1"/>
  <c r="Z25" i="1"/>
  <c r="Y25" i="1"/>
  <c r="W25" i="1"/>
  <c r="X25" i="1"/>
  <c r="AF24" i="1"/>
  <c r="AE24" i="1"/>
  <c r="AD24" i="1"/>
  <c r="AC24" i="1"/>
  <c r="AB24" i="1"/>
  <c r="AA24" i="1"/>
  <c r="Z24" i="1"/>
  <c r="Y24" i="1"/>
  <c r="X24" i="1"/>
  <c r="AF23" i="1"/>
  <c r="AE36" i="1"/>
  <c r="AE37" i="1" s="1"/>
  <c r="AD36" i="1"/>
  <c r="AA33" i="1"/>
  <c r="Z33" i="1"/>
  <c r="Y33" i="1"/>
  <c r="X33" i="1"/>
  <c r="W33" i="1"/>
  <c r="AF34" i="1"/>
  <c r="AD34" i="1"/>
  <c r="AE26" i="1"/>
  <c r="BC26" i="1" s="1"/>
  <c r="BO26" i="1" s="1"/>
  <c r="CA26" i="1" s="1"/>
  <c r="CM26" i="1" s="1"/>
  <c r="CY26" i="1" s="1"/>
  <c r="AB26" i="1"/>
  <c r="AZ26" i="1" s="1"/>
  <c r="BL26" i="1" s="1"/>
  <c r="BX26" i="1" s="1"/>
  <c r="CJ26" i="1" s="1"/>
  <c r="CV26" i="1" s="1"/>
  <c r="AA26" i="1"/>
  <c r="Z26" i="1"/>
  <c r="Y26" i="1"/>
  <c r="X26" i="1"/>
  <c r="W26" i="1"/>
  <c r="W23" i="1"/>
  <c r="AF18" i="1"/>
  <c r="AE18" i="1"/>
  <c r="AD18" i="1"/>
  <c r="AC18" i="1"/>
  <c r="AB18" i="1"/>
  <c r="AA18" i="1"/>
  <c r="Z18" i="1"/>
  <c r="Y18" i="1"/>
  <c r="X18" i="1"/>
  <c r="E18" i="1"/>
  <c r="W18" i="1"/>
  <c r="G23" i="24"/>
  <c r="F23" i="24"/>
  <c r="E23" i="24"/>
  <c r="D23" i="24"/>
  <c r="C23" i="24"/>
  <c r="AF154" i="1"/>
  <c r="G51" i="24" s="1"/>
  <c r="AE154" i="1"/>
  <c r="AD154" i="1"/>
  <c r="E51" i="24" s="1"/>
  <c r="AC154" i="1"/>
  <c r="D51" i="24" s="1"/>
  <c r="AB154" i="1"/>
  <c r="C51" i="24" s="1"/>
  <c r="AA154" i="1"/>
  <c r="Z154" i="1"/>
  <c r="Y154" i="1"/>
  <c r="X154" i="1"/>
  <c r="BN12" i="1" l="1"/>
  <c r="BD140" i="1"/>
  <c r="BD26" i="1"/>
  <c r="BP26" i="1" s="1"/>
  <c r="CB26" i="1" s="1"/>
  <c r="CN26" i="1" s="1"/>
  <c r="CZ26" i="1" s="1"/>
  <c r="AZ136" i="1"/>
  <c r="AZ141" i="1" s="1"/>
  <c r="BA110" i="1"/>
  <c r="CG73" i="1"/>
  <c r="CQ73" i="1"/>
  <c r="V18" i="25"/>
  <c r="P4" i="25"/>
  <c r="O1" i="25"/>
  <c r="O3" i="25" s="1"/>
  <c r="F51" i="24"/>
  <c r="AY26" i="1"/>
  <c r="BK26" i="1" s="1"/>
  <c r="BW26" i="1" s="1"/>
  <c r="CI26" i="1" s="1"/>
  <c r="CU26" i="1" s="1"/>
  <c r="DG26" i="1" s="1"/>
  <c r="BO12" i="1" l="1"/>
  <c r="BE140" i="1"/>
  <c r="BA136" i="1"/>
  <c r="BA141" i="1" s="1"/>
  <c r="BB110" i="1"/>
  <c r="CR73" i="1"/>
  <c r="CH73" i="1"/>
  <c r="W18" i="25"/>
  <c r="P1" i="25"/>
  <c r="P3" i="25" s="1"/>
  <c r="Q4" i="25"/>
  <c r="G50" i="24"/>
  <c r="V15" i="1"/>
  <c r="BP12" i="1" l="1"/>
  <c r="BF140" i="1"/>
  <c r="BB136" i="1"/>
  <c r="BB141" i="1" s="1"/>
  <c r="BC110" i="1"/>
  <c r="AY72" i="1"/>
  <c r="CS73" i="1"/>
  <c r="CZ8" i="25"/>
  <c r="CZ13" i="25" s="1"/>
  <c r="CN8" i="25"/>
  <c r="CN13" i="25" s="1"/>
  <c r="Q1" i="25"/>
  <c r="Q3" i="25" s="1"/>
  <c r="R4" i="25"/>
  <c r="AY33" i="1"/>
  <c r="AZ33" i="1" s="1"/>
  <c r="BA33" i="1" s="1"/>
  <c r="BB33" i="1" s="1"/>
  <c r="BC33" i="1" s="1"/>
  <c r="BD33" i="1" s="1"/>
  <c r="BE33" i="1" s="1"/>
  <c r="BF33" i="1" s="1"/>
  <c r="BG33" i="1" s="1"/>
  <c r="BH33" i="1" s="1"/>
  <c r="BI33" i="1" s="1"/>
  <c r="BJ33" i="1" s="1"/>
  <c r="BK33" i="1" s="1"/>
  <c r="BL33" i="1" s="1"/>
  <c r="BM33" i="1" s="1"/>
  <c r="BN33" i="1" s="1"/>
  <c r="BO33" i="1" s="1"/>
  <c r="BP33" i="1" s="1"/>
  <c r="BQ33" i="1" s="1"/>
  <c r="BR33" i="1" s="1"/>
  <c r="BS33" i="1" s="1"/>
  <c r="BT33" i="1" s="1"/>
  <c r="BU33" i="1" s="1"/>
  <c r="BV33" i="1" s="1"/>
  <c r="BW33" i="1" s="1"/>
  <c r="BX33" i="1" s="1"/>
  <c r="BY33" i="1" s="1"/>
  <c r="BZ33" i="1" s="1"/>
  <c r="CA33" i="1" s="1"/>
  <c r="CB33" i="1" s="1"/>
  <c r="CC33" i="1" s="1"/>
  <c r="CD33" i="1" s="1"/>
  <c r="CE33" i="1" s="1"/>
  <c r="CF33" i="1" s="1"/>
  <c r="CG33" i="1" s="1"/>
  <c r="CH33" i="1" s="1"/>
  <c r="CI33" i="1" s="1"/>
  <c r="CJ33" i="1" s="1"/>
  <c r="CK33" i="1" s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DC33" i="1" s="1"/>
  <c r="DD33" i="1" s="1"/>
  <c r="DE33" i="1" s="1"/>
  <c r="DF33" i="1" s="1"/>
  <c r="DG33" i="1" s="1"/>
  <c r="AH167" i="1"/>
  <c r="AH168" i="1" s="1"/>
  <c r="V34" i="1"/>
  <c r="X23" i="1"/>
  <c r="AE23" i="1"/>
  <c r="AD23" i="1"/>
  <c r="AC23" i="1"/>
  <c r="AB23" i="1"/>
  <c r="AA23" i="1"/>
  <c r="Z23" i="1"/>
  <c r="Y23" i="1"/>
  <c r="V23" i="1"/>
  <c r="AE34" i="1"/>
  <c r="AC34" i="1"/>
  <c r="AB34" i="1"/>
  <c r="AA34" i="1"/>
  <c r="Z34" i="1"/>
  <c r="Y34" i="1"/>
  <c r="W34" i="1"/>
  <c r="BQ12" i="1" l="1"/>
  <c r="BG140" i="1"/>
  <c r="BC136" i="1"/>
  <c r="BC141" i="1" s="1"/>
  <c r="BD110" i="1"/>
  <c r="AZ72" i="1"/>
  <c r="AY73" i="1"/>
  <c r="CT73" i="1"/>
  <c r="Y18" i="25"/>
  <c r="AX68" i="1" s="1"/>
  <c r="AX69" i="1" s="1"/>
  <c r="AX71" i="1" s="1"/>
  <c r="AY25" i="1"/>
  <c r="AZ25" i="1" s="1"/>
  <c r="BA25" i="1" s="1"/>
  <c r="BB25" i="1" s="1"/>
  <c r="BC25" i="1" s="1"/>
  <c r="BD25" i="1" s="1"/>
  <c r="BE25" i="1" s="1"/>
  <c r="BF25" i="1" s="1"/>
  <c r="BG25" i="1" s="1"/>
  <c r="BH25" i="1" s="1"/>
  <c r="BI25" i="1" s="1"/>
  <c r="BJ25" i="1" s="1"/>
  <c r="BK25" i="1" s="1"/>
  <c r="BL25" i="1" s="1"/>
  <c r="BM25" i="1" s="1"/>
  <c r="BN25" i="1" s="1"/>
  <c r="BO25" i="1" s="1"/>
  <c r="BP25" i="1" s="1"/>
  <c r="BQ25" i="1" s="1"/>
  <c r="BR25" i="1" s="1"/>
  <c r="BS25" i="1" s="1"/>
  <c r="BT25" i="1" s="1"/>
  <c r="BU25" i="1" s="1"/>
  <c r="BV25" i="1" s="1"/>
  <c r="BW25" i="1" s="1"/>
  <c r="BX25" i="1" s="1"/>
  <c r="BY25" i="1" s="1"/>
  <c r="BZ25" i="1" s="1"/>
  <c r="CA25" i="1" s="1"/>
  <c r="CB25" i="1" s="1"/>
  <c r="CC25" i="1" s="1"/>
  <c r="CD25" i="1" s="1"/>
  <c r="CE25" i="1" s="1"/>
  <c r="CF25" i="1" s="1"/>
  <c r="CG25" i="1" s="1"/>
  <c r="CH25" i="1" s="1"/>
  <c r="CI25" i="1" s="1"/>
  <c r="CJ25" i="1" s="1"/>
  <c r="CK25" i="1" s="1"/>
  <c r="CL25" i="1" s="1"/>
  <c r="CM25" i="1" s="1"/>
  <c r="CN25" i="1" s="1"/>
  <c r="CO25" i="1" s="1"/>
  <c r="CP25" i="1" s="1"/>
  <c r="CQ25" i="1" s="1"/>
  <c r="CR25" i="1" s="1"/>
  <c r="CS25" i="1" s="1"/>
  <c r="CT25" i="1" s="1"/>
  <c r="CU25" i="1" s="1"/>
  <c r="CV25" i="1" s="1"/>
  <c r="CW25" i="1" s="1"/>
  <c r="CX25" i="1" s="1"/>
  <c r="CY25" i="1" s="1"/>
  <c r="CZ25" i="1" s="1"/>
  <c r="DA25" i="1" s="1"/>
  <c r="DB25" i="1" s="1"/>
  <c r="DC25" i="1" s="1"/>
  <c r="DD25" i="1" s="1"/>
  <c r="DE25" i="1" s="1"/>
  <c r="DF25" i="1" s="1"/>
  <c r="DG25" i="1" s="1"/>
  <c r="S4" i="25"/>
  <c r="R1" i="25"/>
  <c r="R3" i="25" s="1"/>
  <c r="AY119" i="1"/>
  <c r="AZ119" i="1" s="1"/>
  <c r="BA119" i="1" s="1"/>
  <c r="BB119" i="1" s="1"/>
  <c r="BC119" i="1" s="1"/>
  <c r="BD119" i="1" s="1"/>
  <c r="BE119" i="1" s="1"/>
  <c r="BF119" i="1" s="1"/>
  <c r="BG119" i="1" s="1"/>
  <c r="BH119" i="1" s="1"/>
  <c r="BI119" i="1" s="1"/>
  <c r="BJ119" i="1" s="1"/>
  <c r="BK119" i="1" s="1"/>
  <c r="BL119" i="1" s="1"/>
  <c r="BM119" i="1" s="1"/>
  <c r="BN119" i="1" s="1"/>
  <c r="BO119" i="1" s="1"/>
  <c r="BP119" i="1" s="1"/>
  <c r="BQ119" i="1" s="1"/>
  <c r="BR119" i="1" s="1"/>
  <c r="BS119" i="1" s="1"/>
  <c r="BT119" i="1" s="1"/>
  <c r="BU119" i="1" s="1"/>
  <c r="BV119" i="1" s="1"/>
  <c r="BW119" i="1" s="1"/>
  <c r="BX119" i="1" s="1"/>
  <c r="BY119" i="1" s="1"/>
  <c r="BZ119" i="1" s="1"/>
  <c r="CA119" i="1" s="1"/>
  <c r="CB119" i="1" s="1"/>
  <c r="CC119" i="1" s="1"/>
  <c r="CD119" i="1" s="1"/>
  <c r="CE119" i="1" s="1"/>
  <c r="CF119" i="1" s="1"/>
  <c r="CG119" i="1" s="1"/>
  <c r="CH119" i="1" s="1"/>
  <c r="CI119" i="1" s="1"/>
  <c r="CJ119" i="1" s="1"/>
  <c r="CK119" i="1" s="1"/>
  <c r="CL119" i="1" s="1"/>
  <c r="CM119" i="1" s="1"/>
  <c r="CN119" i="1" s="1"/>
  <c r="CO119" i="1" s="1"/>
  <c r="CP119" i="1" s="1"/>
  <c r="CQ119" i="1" s="1"/>
  <c r="CR119" i="1" s="1"/>
  <c r="CS119" i="1" s="1"/>
  <c r="CT119" i="1" s="1"/>
  <c r="CU119" i="1" s="1"/>
  <c r="CV119" i="1" s="1"/>
  <c r="CW119" i="1" s="1"/>
  <c r="CX119" i="1" s="1"/>
  <c r="CY119" i="1" s="1"/>
  <c r="CZ119" i="1" s="1"/>
  <c r="DA119" i="1" s="1"/>
  <c r="DB119" i="1" s="1"/>
  <c r="DC119" i="1" s="1"/>
  <c r="DD119" i="1" s="1"/>
  <c r="DE119" i="1" s="1"/>
  <c r="DF119" i="1" s="1"/>
  <c r="DG119" i="1" s="1"/>
  <c r="AY120" i="1"/>
  <c r="AZ120" i="1" s="1"/>
  <c r="BA120" i="1" s="1"/>
  <c r="BB120" i="1" s="1"/>
  <c r="BC120" i="1" s="1"/>
  <c r="BD120" i="1" s="1"/>
  <c r="BE120" i="1" s="1"/>
  <c r="BF120" i="1" s="1"/>
  <c r="BG120" i="1" s="1"/>
  <c r="BH120" i="1" s="1"/>
  <c r="BI120" i="1" s="1"/>
  <c r="BJ120" i="1" s="1"/>
  <c r="BK120" i="1" s="1"/>
  <c r="BL120" i="1" s="1"/>
  <c r="BM120" i="1" s="1"/>
  <c r="BN120" i="1" s="1"/>
  <c r="BO120" i="1" s="1"/>
  <c r="BP120" i="1" s="1"/>
  <c r="BQ120" i="1" s="1"/>
  <c r="BR120" i="1" s="1"/>
  <c r="BS120" i="1" s="1"/>
  <c r="BT120" i="1" s="1"/>
  <c r="BU120" i="1" s="1"/>
  <c r="BV120" i="1" s="1"/>
  <c r="BW120" i="1" s="1"/>
  <c r="BX120" i="1" s="1"/>
  <c r="BY120" i="1" s="1"/>
  <c r="BZ120" i="1" s="1"/>
  <c r="CA120" i="1" s="1"/>
  <c r="CB120" i="1" s="1"/>
  <c r="CC120" i="1" s="1"/>
  <c r="CD120" i="1" s="1"/>
  <c r="CE120" i="1" s="1"/>
  <c r="CF120" i="1" s="1"/>
  <c r="CG120" i="1" s="1"/>
  <c r="CH120" i="1" s="1"/>
  <c r="CI120" i="1" s="1"/>
  <c r="CJ120" i="1" s="1"/>
  <c r="CK120" i="1" s="1"/>
  <c r="CL120" i="1" s="1"/>
  <c r="CM120" i="1" s="1"/>
  <c r="CN120" i="1" s="1"/>
  <c r="CO120" i="1" s="1"/>
  <c r="CP120" i="1" s="1"/>
  <c r="CQ120" i="1" s="1"/>
  <c r="CR120" i="1" s="1"/>
  <c r="CS120" i="1" s="1"/>
  <c r="CT120" i="1" s="1"/>
  <c r="CU120" i="1" s="1"/>
  <c r="CV120" i="1" s="1"/>
  <c r="CW120" i="1" s="1"/>
  <c r="CX120" i="1" s="1"/>
  <c r="CY120" i="1" s="1"/>
  <c r="CZ120" i="1" s="1"/>
  <c r="DA120" i="1" s="1"/>
  <c r="DB120" i="1" s="1"/>
  <c r="DC120" i="1" s="1"/>
  <c r="DD120" i="1" s="1"/>
  <c r="DE120" i="1" s="1"/>
  <c r="DF120" i="1" s="1"/>
  <c r="DG120" i="1" s="1"/>
  <c r="AY121" i="1"/>
  <c r="AZ121" i="1" s="1"/>
  <c r="BA121" i="1" s="1"/>
  <c r="BB121" i="1" s="1"/>
  <c r="BC121" i="1" s="1"/>
  <c r="BD121" i="1" s="1"/>
  <c r="BE121" i="1" s="1"/>
  <c r="BF121" i="1" s="1"/>
  <c r="BG121" i="1" s="1"/>
  <c r="BH121" i="1" s="1"/>
  <c r="BI121" i="1" s="1"/>
  <c r="BJ121" i="1" s="1"/>
  <c r="BK121" i="1" s="1"/>
  <c r="BL121" i="1" s="1"/>
  <c r="BM121" i="1" s="1"/>
  <c r="BN121" i="1" s="1"/>
  <c r="BO121" i="1" s="1"/>
  <c r="BP121" i="1" s="1"/>
  <c r="BQ121" i="1" s="1"/>
  <c r="BR121" i="1" s="1"/>
  <c r="BS121" i="1" s="1"/>
  <c r="BT121" i="1" s="1"/>
  <c r="BU121" i="1" s="1"/>
  <c r="BV121" i="1" s="1"/>
  <c r="BW121" i="1" s="1"/>
  <c r="BX121" i="1" s="1"/>
  <c r="BY121" i="1" s="1"/>
  <c r="BZ121" i="1" s="1"/>
  <c r="CA121" i="1" s="1"/>
  <c r="CB121" i="1" s="1"/>
  <c r="CC121" i="1" s="1"/>
  <c r="CD121" i="1" s="1"/>
  <c r="CE121" i="1" s="1"/>
  <c r="CF121" i="1" s="1"/>
  <c r="CG121" i="1" s="1"/>
  <c r="CH121" i="1" s="1"/>
  <c r="CI121" i="1" s="1"/>
  <c r="CJ121" i="1" s="1"/>
  <c r="CK121" i="1" s="1"/>
  <c r="CL121" i="1" s="1"/>
  <c r="CM121" i="1" s="1"/>
  <c r="CN121" i="1" s="1"/>
  <c r="CO121" i="1" s="1"/>
  <c r="CP121" i="1" s="1"/>
  <c r="CQ121" i="1" s="1"/>
  <c r="CR121" i="1" s="1"/>
  <c r="CS121" i="1" s="1"/>
  <c r="CT121" i="1" s="1"/>
  <c r="CU121" i="1" s="1"/>
  <c r="CV121" i="1" s="1"/>
  <c r="CW121" i="1" s="1"/>
  <c r="CX121" i="1" s="1"/>
  <c r="CY121" i="1" s="1"/>
  <c r="CZ121" i="1" s="1"/>
  <c r="DA121" i="1" s="1"/>
  <c r="DB121" i="1" s="1"/>
  <c r="DC121" i="1" s="1"/>
  <c r="DD121" i="1" s="1"/>
  <c r="DE121" i="1" s="1"/>
  <c r="DF121" i="1" s="1"/>
  <c r="DG121" i="1" s="1"/>
  <c r="AY122" i="1"/>
  <c r="AZ122" i="1" s="1"/>
  <c r="BA122" i="1" s="1"/>
  <c r="BB122" i="1" s="1"/>
  <c r="BC122" i="1" s="1"/>
  <c r="BD122" i="1" s="1"/>
  <c r="BE122" i="1" s="1"/>
  <c r="BF122" i="1" s="1"/>
  <c r="BG122" i="1" s="1"/>
  <c r="BH122" i="1" s="1"/>
  <c r="BI122" i="1" s="1"/>
  <c r="BJ122" i="1" s="1"/>
  <c r="BK122" i="1" s="1"/>
  <c r="BL122" i="1" s="1"/>
  <c r="BM122" i="1" s="1"/>
  <c r="BN122" i="1" s="1"/>
  <c r="BO122" i="1" s="1"/>
  <c r="BP122" i="1" s="1"/>
  <c r="BQ122" i="1" s="1"/>
  <c r="BR122" i="1" s="1"/>
  <c r="BS122" i="1" s="1"/>
  <c r="BT122" i="1" s="1"/>
  <c r="BU122" i="1" s="1"/>
  <c r="BV122" i="1" s="1"/>
  <c r="BW122" i="1" s="1"/>
  <c r="BX122" i="1" s="1"/>
  <c r="BY122" i="1" s="1"/>
  <c r="BZ122" i="1" s="1"/>
  <c r="CA122" i="1" s="1"/>
  <c r="CB122" i="1" s="1"/>
  <c r="CC122" i="1" s="1"/>
  <c r="CD122" i="1" s="1"/>
  <c r="CE122" i="1" s="1"/>
  <c r="CF122" i="1" s="1"/>
  <c r="CG122" i="1" s="1"/>
  <c r="CH122" i="1" s="1"/>
  <c r="CI122" i="1" s="1"/>
  <c r="CJ122" i="1" s="1"/>
  <c r="CK122" i="1" s="1"/>
  <c r="CL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DC122" i="1" s="1"/>
  <c r="DD122" i="1" s="1"/>
  <c r="DE122" i="1" s="1"/>
  <c r="DF122" i="1" s="1"/>
  <c r="DG122" i="1" s="1"/>
  <c r="AF124" i="1"/>
  <c r="AE124" i="1"/>
  <c r="AD124" i="1"/>
  <c r="AC124" i="1"/>
  <c r="AB124" i="1"/>
  <c r="AA124" i="1"/>
  <c r="Z124" i="1"/>
  <c r="Y124" i="1"/>
  <c r="X124" i="1"/>
  <c r="W124" i="1"/>
  <c r="AF115" i="1"/>
  <c r="D50" i="24"/>
  <c r="AA89" i="1"/>
  <c r="Z89" i="1"/>
  <c r="Y89" i="1"/>
  <c r="X89" i="1"/>
  <c r="W89" i="1"/>
  <c r="V89" i="1"/>
  <c r="BR12" i="1" l="1"/>
  <c r="BH140" i="1"/>
  <c r="BD136" i="1"/>
  <c r="BD141" i="1" s="1"/>
  <c r="BE110" i="1"/>
  <c r="CU73" i="1"/>
  <c r="AZ73" i="1"/>
  <c r="BA72" i="1"/>
  <c r="Z18" i="25"/>
  <c r="AY68" i="1" s="1"/>
  <c r="AY69" i="1" s="1"/>
  <c r="T4" i="25"/>
  <c r="S1" i="25"/>
  <c r="S3" i="25" s="1"/>
  <c r="AF112" i="1"/>
  <c r="G46" i="24" s="1"/>
  <c r="AF38" i="1"/>
  <c r="AF41" i="1" s="1"/>
  <c r="F50" i="24"/>
  <c r="C50" i="24"/>
  <c r="E50" i="24"/>
  <c r="AF32" i="1"/>
  <c r="AY123" i="1"/>
  <c r="AF63" i="1"/>
  <c r="AF116" i="1"/>
  <c r="AF128" i="1"/>
  <c r="AF129" i="1" s="1"/>
  <c r="AF62" i="1"/>
  <c r="AF91" i="1"/>
  <c r="BS12" i="1" l="1"/>
  <c r="AZ123" i="1"/>
  <c r="BI140" i="1"/>
  <c r="BE136" i="1"/>
  <c r="BE141" i="1" s="1"/>
  <c r="BF110" i="1"/>
  <c r="AY71" i="1"/>
  <c r="BB72" i="1"/>
  <c r="BA73" i="1"/>
  <c r="CV73" i="1"/>
  <c r="AA18" i="25"/>
  <c r="AZ68" i="1" s="1"/>
  <c r="AZ69" i="1" s="1"/>
  <c r="U4" i="25"/>
  <c r="T1" i="25"/>
  <c r="T3" i="25" s="1"/>
  <c r="AF39" i="1"/>
  <c r="G24" i="24"/>
  <c r="AC38" i="1"/>
  <c r="AC41" i="1" s="1"/>
  <c r="AE38" i="1"/>
  <c r="AE41" i="1" s="1"/>
  <c r="AC91" i="1"/>
  <c r="AE91" i="1"/>
  <c r="AD91" i="1"/>
  <c r="AB96" i="1"/>
  <c r="AB97" i="1" s="1"/>
  <c r="AC96" i="1"/>
  <c r="AC97" i="1" s="1"/>
  <c r="AD96" i="1"/>
  <c r="AD97" i="1" s="1"/>
  <c r="AE96" i="1"/>
  <c r="AE97" i="1" s="1"/>
  <c r="AB115" i="1"/>
  <c r="AC115" i="1"/>
  <c r="AD115" i="1"/>
  <c r="AE115" i="1"/>
  <c r="AA9" i="1"/>
  <c r="AA61" i="1"/>
  <c r="AA93" i="1" s="1"/>
  <c r="AF43" i="1" s="1"/>
  <c r="AA91" i="1"/>
  <c r="AA96" i="1"/>
  <c r="AA97" i="1" s="1"/>
  <c r="AA111" i="1"/>
  <c r="AA115" i="1"/>
  <c r="AA127" i="1"/>
  <c r="AA13" i="1" l="1"/>
  <c r="AA38" i="1" s="1"/>
  <c r="AA41" i="1" s="1"/>
  <c r="BT12" i="1"/>
  <c r="BA123" i="1"/>
  <c r="BJ140" i="1"/>
  <c r="BF136" i="1"/>
  <c r="BF141" i="1" s="1"/>
  <c r="BG110" i="1"/>
  <c r="AZ71" i="1"/>
  <c r="CW73" i="1"/>
  <c r="BB73" i="1"/>
  <c r="BC72" i="1"/>
  <c r="AB18" i="25"/>
  <c r="BA68" i="1" s="1"/>
  <c r="BA69" i="1" s="1"/>
  <c r="V4" i="25"/>
  <c r="U1" i="25"/>
  <c r="U3" i="25" s="1"/>
  <c r="AD38" i="1"/>
  <c r="AD41" i="1" s="1"/>
  <c r="AD32" i="1"/>
  <c r="AY75" i="1"/>
  <c r="AZ75" i="1" s="1"/>
  <c r="BA75" i="1" s="1"/>
  <c r="BB75" i="1" s="1"/>
  <c r="BC75" i="1" s="1"/>
  <c r="BD75" i="1" s="1"/>
  <c r="BE75" i="1" s="1"/>
  <c r="BF75" i="1" s="1"/>
  <c r="BG75" i="1" s="1"/>
  <c r="BH75" i="1" s="1"/>
  <c r="BI75" i="1" s="1"/>
  <c r="BJ75" i="1" s="1"/>
  <c r="BK75" i="1" s="1"/>
  <c r="BL75" i="1" s="1"/>
  <c r="BM75" i="1" s="1"/>
  <c r="BN75" i="1" s="1"/>
  <c r="BO75" i="1" s="1"/>
  <c r="BP75" i="1" s="1"/>
  <c r="BQ75" i="1" s="1"/>
  <c r="BR75" i="1" s="1"/>
  <c r="BS75" i="1" s="1"/>
  <c r="BT75" i="1" s="1"/>
  <c r="BU75" i="1" s="1"/>
  <c r="BV75" i="1" s="1"/>
  <c r="BW75" i="1" s="1"/>
  <c r="BX75" i="1" s="1"/>
  <c r="BY75" i="1" s="1"/>
  <c r="BZ75" i="1" s="1"/>
  <c r="CA75" i="1" s="1"/>
  <c r="CB75" i="1" s="1"/>
  <c r="CC75" i="1" s="1"/>
  <c r="CD75" i="1" s="1"/>
  <c r="CE75" i="1" s="1"/>
  <c r="CF75" i="1" s="1"/>
  <c r="CG75" i="1" s="1"/>
  <c r="CH75" i="1" s="1"/>
  <c r="CI75" i="1" s="1"/>
  <c r="CJ75" i="1" s="1"/>
  <c r="CK75" i="1" s="1"/>
  <c r="CL75" i="1" s="1"/>
  <c r="CM75" i="1" s="1"/>
  <c r="CN75" i="1" s="1"/>
  <c r="CO75" i="1" s="1"/>
  <c r="CP75" i="1" s="1"/>
  <c r="CQ75" i="1" s="1"/>
  <c r="CR75" i="1" s="1"/>
  <c r="CS75" i="1" s="1"/>
  <c r="CT75" i="1" s="1"/>
  <c r="CU75" i="1" s="1"/>
  <c r="CV75" i="1" s="1"/>
  <c r="CW75" i="1" s="1"/>
  <c r="CX75" i="1" s="1"/>
  <c r="CY75" i="1" s="1"/>
  <c r="CZ75" i="1" s="1"/>
  <c r="DA75" i="1" s="1"/>
  <c r="DB75" i="1" s="1"/>
  <c r="DC75" i="1" s="1"/>
  <c r="DD75" i="1" s="1"/>
  <c r="DE75" i="1" s="1"/>
  <c r="DF75" i="1" s="1"/>
  <c r="DG75" i="1" s="1"/>
  <c r="AE112" i="1"/>
  <c r="F46" i="24" s="1"/>
  <c r="AD112" i="1"/>
  <c r="E46" i="24" s="1"/>
  <c r="AC112" i="1"/>
  <c r="D46" i="24" s="1"/>
  <c r="AB112" i="1"/>
  <c r="C46" i="24" s="1"/>
  <c r="C54" i="24" s="1"/>
  <c r="AB38" i="1"/>
  <c r="AE63" i="1"/>
  <c r="AE62" i="1"/>
  <c r="AD62" i="1"/>
  <c r="AD63" i="1"/>
  <c r="AA32" i="1"/>
  <c r="AA63" i="1"/>
  <c r="AA62" i="1"/>
  <c r="AC63" i="1"/>
  <c r="AC62" i="1"/>
  <c r="AB63" i="1"/>
  <c r="AB62" i="1"/>
  <c r="AE162" i="1"/>
  <c r="AD162" i="1"/>
  <c r="AD128" i="1"/>
  <c r="AD129" i="1" s="1"/>
  <c r="AB161" i="1"/>
  <c r="AA128" i="1"/>
  <c r="AA129" i="1" s="1"/>
  <c r="AB128" i="1"/>
  <c r="AB129" i="1" s="1"/>
  <c r="AE128" i="1"/>
  <c r="AC162" i="1"/>
  <c r="AC128" i="1"/>
  <c r="AD65" i="1"/>
  <c r="AD40" i="1" s="1"/>
  <c r="AE32" i="1"/>
  <c r="AE65" i="1"/>
  <c r="AE40" i="1" s="1"/>
  <c r="AC65" i="1"/>
  <c r="AC40" i="1" s="1"/>
  <c r="AC32" i="1"/>
  <c r="AA65" i="1"/>
  <c r="AA92" i="1" s="1"/>
  <c r="AA40" i="1" s="1"/>
  <c r="AA116" i="1"/>
  <c r="AB116" i="1"/>
  <c r="AB32" i="1"/>
  <c r="AB65" i="1"/>
  <c r="AE161" i="1"/>
  <c r="AE116" i="1"/>
  <c r="AB162" i="1"/>
  <c r="AB91" i="1"/>
  <c r="AD161" i="1"/>
  <c r="AD116" i="1"/>
  <c r="AC161" i="1"/>
  <c r="AC116" i="1"/>
  <c r="AF161" i="1"/>
  <c r="D1" i="1"/>
  <c r="E1" i="1"/>
  <c r="E3" i="1" s="1"/>
  <c r="D9" i="1"/>
  <c r="D13" i="1" s="1"/>
  <c r="E9" i="1"/>
  <c r="E13" i="1" s="1"/>
  <c r="F19" i="1"/>
  <c r="G19" i="1"/>
  <c r="H19" i="1"/>
  <c r="I19" i="1"/>
  <c r="F20" i="1"/>
  <c r="G20" i="1"/>
  <c r="H20" i="1"/>
  <c r="I20" i="1"/>
  <c r="D96" i="1"/>
  <c r="D97" i="1" s="1"/>
  <c r="E96" i="1"/>
  <c r="E97" i="1" s="1"/>
  <c r="F96" i="1"/>
  <c r="F97" i="1" s="1"/>
  <c r="G96" i="1"/>
  <c r="G97" i="1" s="1"/>
  <c r="H96" i="1"/>
  <c r="H97" i="1" s="1"/>
  <c r="I96" i="1"/>
  <c r="I97" i="1" s="1"/>
  <c r="D115" i="1"/>
  <c r="D161" i="1" s="1"/>
  <c r="E115" i="1"/>
  <c r="F115" i="1"/>
  <c r="G115" i="1"/>
  <c r="I115" i="1"/>
  <c r="I128" i="1" s="1"/>
  <c r="I129" i="1" s="1"/>
  <c r="E172" i="1"/>
  <c r="K9" i="1"/>
  <c r="L9" i="1"/>
  <c r="M9" i="1"/>
  <c r="M13" i="1" s="1"/>
  <c r="N9" i="1"/>
  <c r="N13" i="1" s="1"/>
  <c r="O9" i="1"/>
  <c r="O13" i="1" s="1"/>
  <c r="J19" i="1"/>
  <c r="K19" i="1"/>
  <c r="L19" i="1"/>
  <c r="M19" i="1"/>
  <c r="N19" i="1"/>
  <c r="O19" i="1"/>
  <c r="J20" i="1"/>
  <c r="K20" i="1"/>
  <c r="L20" i="1"/>
  <c r="M20" i="1"/>
  <c r="N20" i="1"/>
  <c r="O20" i="1"/>
  <c r="L30" i="1"/>
  <c r="J89" i="1"/>
  <c r="K89" i="1"/>
  <c r="K91" i="1" s="1"/>
  <c r="L89" i="1"/>
  <c r="L91" i="1" s="1"/>
  <c r="M89" i="1"/>
  <c r="M91" i="1" s="1"/>
  <c r="N89" i="1"/>
  <c r="N91" i="1" s="1"/>
  <c r="O89" i="1"/>
  <c r="O91" i="1" s="1"/>
  <c r="J96" i="1"/>
  <c r="J97" i="1" s="1"/>
  <c r="N96" i="1"/>
  <c r="N97" i="1" s="1"/>
  <c r="O96" i="1"/>
  <c r="O97" i="1" s="1"/>
  <c r="K97" i="1"/>
  <c r="L97" i="1"/>
  <c r="M97" i="1"/>
  <c r="J111" i="1"/>
  <c r="K111" i="1"/>
  <c r="L111" i="1"/>
  <c r="M111" i="1"/>
  <c r="N111" i="1"/>
  <c r="O111" i="1"/>
  <c r="J115" i="1"/>
  <c r="K115" i="1"/>
  <c r="L115" i="1"/>
  <c r="M115" i="1"/>
  <c r="N115" i="1"/>
  <c r="O115" i="1"/>
  <c r="J162" i="1"/>
  <c r="K162" i="1"/>
  <c r="K168" i="1"/>
  <c r="L168" i="1"/>
  <c r="M168" i="1"/>
  <c r="N168" i="1"/>
  <c r="O168" i="1"/>
  <c r="W61" i="1"/>
  <c r="W93" i="1" s="1"/>
  <c r="X61" i="1"/>
  <c r="X93" i="1" s="1"/>
  <c r="Y61" i="1"/>
  <c r="Y93" i="1" s="1"/>
  <c r="Z61" i="1"/>
  <c r="Z93" i="1" s="1"/>
  <c r="AE43" i="1" s="1"/>
  <c r="V61" i="1"/>
  <c r="Z91" i="1"/>
  <c r="Z96" i="1"/>
  <c r="Z97" i="1" s="1"/>
  <c r="Z111" i="1"/>
  <c r="Z115" i="1"/>
  <c r="AA161" i="1" s="1"/>
  <c r="Z127" i="1"/>
  <c r="Z9" i="1"/>
  <c r="W9" i="1"/>
  <c r="W13" i="1" s="1"/>
  <c r="X9" i="1"/>
  <c r="X13" i="1" s="1"/>
  <c r="Y9" i="1"/>
  <c r="AO2" i="1"/>
  <c r="P2" i="25" s="1"/>
  <c r="AP2" i="1"/>
  <c r="Q2" i="25" s="1"/>
  <c r="AQ2" i="1"/>
  <c r="R2" i="25" s="1"/>
  <c r="AR2" i="1"/>
  <c r="S2" i="25" s="1"/>
  <c r="AM2" i="1"/>
  <c r="AN2" i="1"/>
  <c r="O2" i="25" s="1"/>
  <c r="Y91" i="1"/>
  <c r="Y96" i="1"/>
  <c r="Y97" i="1" s="1"/>
  <c r="Y111" i="1"/>
  <c r="Y115" i="1"/>
  <c r="Y127" i="1"/>
  <c r="BU12" i="1" l="1"/>
  <c r="Z13" i="1"/>
  <c r="Z38" i="1" s="1"/>
  <c r="Z41" i="1" s="1"/>
  <c r="L13" i="1"/>
  <c r="L38" i="1" s="1"/>
  <c r="K13" i="1"/>
  <c r="K65" i="1" s="1"/>
  <c r="K92" i="1" s="1"/>
  <c r="K98" i="1" s="1"/>
  <c r="K160" i="1" s="1"/>
  <c r="Y13" i="1"/>
  <c r="Y38" i="1" s="1"/>
  <c r="Y41" i="1" s="1"/>
  <c r="BB123" i="1"/>
  <c r="BK140" i="1"/>
  <c r="BG136" i="1"/>
  <c r="BG141" i="1" s="1"/>
  <c r="BH110" i="1"/>
  <c r="BA71" i="1"/>
  <c r="BD72" i="1"/>
  <c r="BC73" i="1"/>
  <c r="CX73" i="1"/>
  <c r="AC18" i="25"/>
  <c r="BB68" i="1" s="1"/>
  <c r="BB69" i="1" s="1"/>
  <c r="N2" i="25"/>
  <c r="W4" i="25"/>
  <c r="V1" i="25"/>
  <c r="V3" i="25" s="1"/>
  <c r="AB66" i="1"/>
  <c r="AB40" i="1"/>
  <c r="AB92" i="1"/>
  <c r="AD92" i="1"/>
  <c r="AD98" i="1" s="1"/>
  <c r="AD160" i="1" s="1"/>
  <c r="AD163" i="1" s="1"/>
  <c r="AD66" i="1"/>
  <c r="AE92" i="1"/>
  <c r="AE45" i="1" s="1"/>
  <c r="AE66" i="1"/>
  <c r="AC92" i="1"/>
  <c r="AC66" i="1"/>
  <c r="AC43" i="1"/>
  <c r="AB43" i="1"/>
  <c r="AD43" i="1"/>
  <c r="M18" i="1"/>
  <c r="AA43" i="1"/>
  <c r="AA45" i="1" s="1"/>
  <c r="Z43" i="1"/>
  <c r="Y43" i="1"/>
  <c r="X43" i="1"/>
  <c r="AB41" i="1"/>
  <c r="G18" i="1"/>
  <c r="N18" i="1"/>
  <c r="J18" i="1"/>
  <c r="E24" i="24"/>
  <c r="H18" i="1"/>
  <c r="D24" i="24"/>
  <c r="F24" i="24"/>
  <c r="I18" i="1"/>
  <c r="O18" i="1"/>
  <c r="F18" i="1"/>
  <c r="L18" i="1"/>
  <c r="K18" i="1"/>
  <c r="AT2" i="1"/>
  <c r="U2" i="25" s="1"/>
  <c r="BA2" i="1"/>
  <c r="AB2" i="25" s="1"/>
  <c r="AB8" i="25" s="1"/>
  <c r="V2" i="25"/>
  <c r="BD2" i="1"/>
  <c r="AE2" i="25" s="1"/>
  <c r="AE8" i="25" s="1"/>
  <c r="BC2" i="1"/>
  <c r="AD2" i="25" s="1"/>
  <c r="AD8" i="25" s="1"/>
  <c r="BB2" i="1"/>
  <c r="AC2" i="25" s="1"/>
  <c r="AC8" i="25" s="1"/>
  <c r="X2" i="25"/>
  <c r="T2" i="25"/>
  <c r="Z116" i="1"/>
  <c r="Z63" i="1"/>
  <c r="Z62" i="1"/>
  <c r="J1" i="1"/>
  <c r="J3" i="1" s="1"/>
  <c r="K1" i="1"/>
  <c r="F1" i="1"/>
  <c r="F3" i="1" s="1"/>
  <c r="F161" i="1"/>
  <c r="AA162" i="1"/>
  <c r="L162" i="1"/>
  <c r="G128" i="1"/>
  <c r="G129" i="1" s="1"/>
  <c r="O128" i="1"/>
  <c r="O129" i="1" s="1"/>
  <c r="F128" i="1"/>
  <c r="F129" i="1" s="1"/>
  <c r="D111" i="1"/>
  <c r="D128" i="1" s="1"/>
  <c r="D129" i="1" s="1"/>
  <c r="H168" i="1"/>
  <c r="G161" i="1"/>
  <c r="L128" i="1"/>
  <c r="L129" i="1" s="1"/>
  <c r="O161" i="1"/>
  <c r="E32" i="1"/>
  <c r="D152" i="1"/>
  <c r="D153" i="1" s="1"/>
  <c r="E89" i="1"/>
  <c r="E91" i="1" s="1"/>
  <c r="G168" i="1"/>
  <c r="F168" i="1"/>
  <c r="H116" i="1"/>
  <c r="G89" i="1"/>
  <c r="G91" i="1" s="1"/>
  <c r="D89" i="1"/>
  <c r="D91" i="1" s="1"/>
  <c r="AA98" i="1"/>
  <c r="AA160" i="1" s="1"/>
  <c r="L1" i="1"/>
  <c r="L3" i="1" s="1"/>
  <c r="G1" i="1"/>
  <c r="G3" i="1" s="1"/>
  <c r="I32" i="1"/>
  <c r="I65" i="1"/>
  <c r="E168" i="1"/>
  <c r="AE129" i="1"/>
  <c r="E128" i="1"/>
  <c r="E129" i="1" s="1"/>
  <c r="O1" i="1"/>
  <c r="O3" i="1" s="1"/>
  <c r="N1" i="1"/>
  <c r="N3" i="1" s="1"/>
  <c r="M1" i="1"/>
  <c r="M3" i="1" s="1"/>
  <c r="E161" i="1"/>
  <c r="J168" i="1"/>
  <c r="F89" i="1"/>
  <c r="F91" i="1" s="1"/>
  <c r="D3" i="1"/>
  <c r="I1" i="1"/>
  <c r="AC129" i="1"/>
  <c r="H1" i="1"/>
  <c r="AE39" i="1"/>
  <c r="AA1" i="1"/>
  <c r="AA3" i="1" s="1"/>
  <c r="AY2" i="1"/>
  <c r="Z2" i="25" s="1"/>
  <c r="Z8" i="25" s="1"/>
  <c r="AF96" i="1"/>
  <c r="AF97" i="1" s="1"/>
  <c r="AZ2" i="1"/>
  <c r="AA2" i="25" s="1"/>
  <c r="AA8" i="25" s="1"/>
  <c r="D65" i="1"/>
  <c r="G32" i="1"/>
  <c r="G65" i="1"/>
  <c r="G116" i="1"/>
  <c r="N161" i="1"/>
  <c r="M128" i="1"/>
  <c r="M129" i="1" s="1"/>
  <c r="M161" i="1"/>
  <c r="F32" i="1"/>
  <c r="F65" i="1"/>
  <c r="I116" i="1"/>
  <c r="H115" i="1"/>
  <c r="I89" i="1"/>
  <c r="I91" i="1" s="1"/>
  <c r="O162" i="1"/>
  <c r="H89" i="1"/>
  <c r="H91" i="1" s="1"/>
  <c r="H32" i="1"/>
  <c r="H65" i="1"/>
  <c r="N128" i="1"/>
  <c r="N129" i="1" s="1"/>
  <c r="I168" i="1"/>
  <c r="F116" i="1"/>
  <c r="K161" i="1"/>
  <c r="O38" i="1"/>
  <c r="O32" i="1"/>
  <c r="O116" i="1"/>
  <c r="M65" i="1"/>
  <c r="M92" i="1" s="1"/>
  <c r="M40" i="1" s="1"/>
  <c r="M38" i="1"/>
  <c r="M116" i="1"/>
  <c r="J32" i="1"/>
  <c r="J116" i="1"/>
  <c r="M162" i="1"/>
  <c r="O43" i="1"/>
  <c r="J128" i="1"/>
  <c r="J129" i="1" s="1"/>
  <c r="J65" i="1"/>
  <c r="N38" i="1"/>
  <c r="N65" i="1"/>
  <c r="N92" i="1" s="1"/>
  <c r="N116" i="1"/>
  <c r="N32" i="1"/>
  <c r="L43" i="1"/>
  <c r="J91" i="1"/>
  <c r="N36" i="1"/>
  <c r="N37" i="1" s="1"/>
  <c r="K32" i="1"/>
  <c r="M36" i="1"/>
  <c r="M37" i="1" s="1"/>
  <c r="O36" i="1"/>
  <c r="O37" i="1" s="1"/>
  <c r="L36" i="1"/>
  <c r="L37" i="1" s="1"/>
  <c r="M43" i="1"/>
  <c r="N43" i="1"/>
  <c r="J161" i="1"/>
  <c r="N162" i="1"/>
  <c r="L161" i="1"/>
  <c r="K128" i="1"/>
  <c r="K129" i="1" s="1"/>
  <c r="O65" i="1"/>
  <c r="O92" i="1" s="1"/>
  <c r="M32" i="1"/>
  <c r="Z65" i="1"/>
  <c r="Z128" i="1"/>
  <c r="Y128" i="1"/>
  <c r="Y116" i="1"/>
  <c r="S89" i="1"/>
  <c r="S91" i="1" s="1"/>
  <c r="T89" i="1"/>
  <c r="U89" i="1"/>
  <c r="U91" i="1" s="1"/>
  <c r="V91" i="1"/>
  <c r="X34" i="1"/>
  <c r="X91" i="1"/>
  <c r="X96" i="1"/>
  <c r="X97" i="1" s="1"/>
  <c r="X111" i="1"/>
  <c r="X115" i="1"/>
  <c r="X127" i="1"/>
  <c r="X38" i="1"/>
  <c r="X41" i="1" s="1"/>
  <c r="R89" i="1"/>
  <c r="P89" i="1"/>
  <c r="W38" i="1"/>
  <c r="W41" i="1" s="1"/>
  <c r="W96" i="1"/>
  <c r="W97" i="1" s="1"/>
  <c r="W111" i="1"/>
  <c r="W115" i="1"/>
  <c r="W127" i="1"/>
  <c r="V20" i="1"/>
  <c r="AC36" i="1" s="1"/>
  <c r="U20" i="1"/>
  <c r="T20" i="1"/>
  <c r="S20" i="1"/>
  <c r="R20" i="1"/>
  <c r="Q20" i="1"/>
  <c r="P20" i="1"/>
  <c r="V19" i="1"/>
  <c r="U19" i="1"/>
  <c r="T19" i="1"/>
  <c r="S19" i="1"/>
  <c r="R19" i="1"/>
  <c r="Q19" i="1"/>
  <c r="P19" i="1"/>
  <c r="V127" i="1"/>
  <c r="U127" i="1"/>
  <c r="T127" i="1"/>
  <c r="S127" i="1"/>
  <c r="R127" i="1"/>
  <c r="Q127" i="1"/>
  <c r="P127" i="1"/>
  <c r="V9" i="1"/>
  <c r="V13" i="1" s="1"/>
  <c r="U9" i="1"/>
  <c r="S9" i="1"/>
  <c r="S13" i="1" s="1"/>
  <c r="S111" i="1"/>
  <c r="T111" i="1"/>
  <c r="U111" i="1"/>
  <c r="V111" i="1"/>
  <c r="S115" i="1"/>
  <c r="T115" i="1"/>
  <c r="U115" i="1"/>
  <c r="V115" i="1"/>
  <c r="T96" i="1"/>
  <c r="T97" i="1" s="1"/>
  <c r="U96" i="1"/>
  <c r="U97" i="1" s="1"/>
  <c r="V96" i="1"/>
  <c r="V97" i="1" s="1"/>
  <c r="S96" i="1"/>
  <c r="S97" i="1" s="1"/>
  <c r="T9" i="1"/>
  <c r="Y62" i="1" l="1"/>
  <c r="K116" i="1"/>
  <c r="Y63" i="1"/>
  <c r="Y32" i="1"/>
  <c r="Y65" i="1"/>
  <c r="Y92" i="1" s="1"/>
  <c r="Y98" i="1" s="1"/>
  <c r="U13" i="1"/>
  <c r="U116" i="1" s="1"/>
  <c r="L32" i="1"/>
  <c r="L65" i="1"/>
  <c r="L92" i="1" s="1"/>
  <c r="L40" i="1" s="1"/>
  <c r="L116" i="1"/>
  <c r="BV12" i="1"/>
  <c r="T13" i="1"/>
  <c r="T32" i="1" s="1"/>
  <c r="BC123" i="1"/>
  <c r="W2" i="25"/>
  <c r="BL140" i="1"/>
  <c r="BH136" i="1"/>
  <c r="BH141" i="1" s="1"/>
  <c r="BI110" i="1"/>
  <c r="BB71" i="1"/>
  <c r="CY73" i="1"/>
  <c r="BD73" i="1"/>
  <c r="BE72" i="1"/>
  <c r="H3" i="1"/>
  <c r="AD18" i="25"/>
  <c r="BC68" i="1" s="1"/>
  <c r="BC69" i="1" s="1"/>
  <c r="AY154" i="1"/>
  <c r="Y2" i="25"/>
  <c r="Y8" i="25" s="1"/>
  <c r="W1" i="25"/>
  <c r="W3" i="25" s="1"/>
  <c r="X4" i="25"/>
  <c r="AE98" i="1"/>
  <c r="AE160" i="1" s="1"/>
  <c r="AE163" i="1" s="1"/>
  <c r="AE170" i="1" s="1"/>
  <c r="AC98" i="1"/>
  <c r="AC160" i="1" s="1"/>
  <c r="AC163" i="1" s="1"/>
  <c r="AC170" i="1" s="1"/>
  <c r="AC45" i="1"/>
  <c r="C24" i="24"/>
  <c r="K3" i="1"/>
  <c r="I3" i="1"/>
  <c r="AD45" i="1"/>
  <c r="AA36" i="1"/>
  <c r="AA37" i="1" s="1"/>
  <c r="AA39" i="1" s="1"/>
  <c r="Z36" i="1"/>
  <c r="Z37" i="1" s="1"/>
  <c r="AB36" i="1"/>
  <c r="AB37" i="1" s="1"/>
  <c r="AB39" i="1" s="1"/>
  <c r="Y36" i="1"/>
  <c r="Y37" i="1" s="1"/>
  <c r="Y39" i="1" s="1"/>
  <c r="W36" i="1"/>
  <c r="W37" i="1" s="1"/>
  <c r="X36" i="1"/>
  <c r="X37" i="1" s="1"/>
  <c r="S18" i="1"/>
  <c r="V18" i="1"/>
  <c r="P18" i="1"/>
  <c r="Q18" i="1"/>
  <c r="R18" i="1"/>
  <c r="T18" i="1"/>
  <c r="U18" i="1"/>
  <c r="BN2" i="1"/>
  <c r="AO2" i="25" s="1"/>
  <c r="AO8" i="25" s="1"/>
  <c r="BG2" i="1"/>
  <c r="AH2" i="25" s="1"/>
  <c r="AH8" i="25" s="1"/>
  <c r="BE2" i="1"/>
  <c r="BJ2" i="1"/>
  <c r="AK2" i="25" s="1"/>
  <c r="AK8" i="25" s="1"/>
  <c r="BH2" i="1"/>
  <c r="AI2" i="25" s="1"/>
  <c r="AI8" i="25" s="1"/>
  <c r="BL2" i="1"/>
  <c r="AM2" i="25" s="1"/>
  <c r="AM8" i="25" s="1"/>
  <c r="BO2" i="1"/>
  <c r="AP2" i="25" s="1"/>
  <c r="AP8" i="25" s="1"/>
  <c r="BM2" i="1"/>
  <c r="AN2" i="25" s="1"/>
  <c r="AN8" i="25" s="1"/>
  <c r="BK2" i="1"/>
  <c r="AL2" i="25" s="1"/>
  <c r="AL8" i="25" s="1"/>
  <c r="BI2" i="1"/>
  <c r="AJ2" i="25" s="1"/>
  <c r="AJ8" i="25" s="1"/>
  <c r="BP2" i="1"/>
  <c r="AQ2" i="25" s="1"/>
  <c r="AQ8" i="25" s="1"/>
  <c r="BF2" i="1"/>
  <c r="AG2" i="25" s="1"/>
  <c r="AG8" i="25" s="1"/>
  <c r="AD37" i="1"/>
  <c r="AD39" i="1" s="1"/>
  <c r="AC37" i="1"/>
  <c r="AC39" i="1" s="1"/>
  <c r="D174" i="1"/>
  <c r="F92" i="1"/>
  <c r="F98" i="1" s="1"/>
  <c r="F160" i="1" s="1"/>
  <c r="F163" i="1" s="1"/>
  <c r="F170" i="1" s="1"/>
  <c r="AA163" i="1"/>
  <c r="X65" i="1"/>
  <c r="X92" i="1" s="1"/>
  <c r="X98" i="1" s="1"/>
  <c r="X63" i="1"/>
  <c r="X62" i="1"/>
  <c r="K163" i="1"/>
  <c r="K170" i="1" s="1"/>
  <c r="E116" i="1"/>
  <c r="W62" i="1"/>
  <c r="W63" i="1"/>
  <c r="E65" i="1"/>
  <c r="E92" i="1" s="1"/>
  <c r="E98" i="1" s="1"/>
  <c r="D156" i="1"/>
  <c r="I92" i="1"/>
  <c r="I98" i="1" s="1"/>
  <c r="I160" i="1" s="1"/>
  <c r="D92" i="1"/>
  <c r="D98" i="1" s="1"/>
  <c r="D160" i="1" s="1"/>
  <c r="D163" i="1" s="1"/>
  <c r="D170" i="1" s="1"/>
  <c r="G92" i="1"/>
  <c r="G98" i="1" s="1"/>
  <c r="G160" i="1" s="1"/>
  <c r="G163" i="1" s="1"/>
  <c r="G170" i="1" s="1"/>
  <c r="L39" i="1"/>
  <c r="O39" i="1"/>
  <c r="Y129" i="1"/>
  <c r="H92" i="1"/>
  <c r="H98" i="1" s="1"/>
  <c r="H160" i="1" s="1"/>
  <c r="Z129" i="1"/>
  <c r="AD170" i="1"/>
  <c r="AB98" i="1"/>
  <c r="AB151" i="1" s="1"/>
  <c r="AB1" i="1"/>
  <c r="AB3" i="1" s="1"/>
  <c r="M39" i="1"/>
  <c r="AF162" i="1"/>
  <c r="H161" i="1"/>
  <c r="H128" i="1"/>
  <c r="H129" i="1" s="1"/>
  <c r="M98" i="1"/>
  <c r="M160" i="1" s="1"/>
  <c r="M163" i="1" s="1"/>
  <c r="M170" i="1" s="1"/>
  <c r="I161" i="1"/>
  <c r="M45" i="1"/>
  <c r="J92" i="1"/>
  <c r="J98" i="1" s="1"/>
  <c r="J160" i="1" s="1"/>
  <c r="J163" i="1" s="1"/>
  <c r="J170" i="1" s="1"/>
  <c r="N40" i="1"/>
  <c r="N98" i="1"/>
  <c r="N160" i="1" s="1"/>
  <c r="N163" i="1" s="1"/>
  <c r="N170" i="1" s="1"/>
  <c r="N39" i="1"/>
  <c r="O40" i="1"/>
  <c r="O98" i="1"/>
  <c r="O160" i="1" s="1"/>
  <c r="O163" i="1" s="1"/>
  <c r="O170" i="1" s="1"/>
  <c r="W65" i="1"/>
  <c r="V32" i="1"/>
  <c r="V65" i="1"/>
  <c r="V92" i="1" s="1"/>
  <c r="P36" i="1"/>
  <c r="P37" i="1" s="1"/>
  <c r="V36" i="1"/>
  <c r="V37" i="1" s="1"/>
  <c r="Q36" i="1"/>
  <c r="Q37" i="1" s="1"/>
  <c r="R36" i="1"/>
  <c r="R37" i="1" s="1"/>
  <c r="S36" i="1"/>
  <c r="S37" i="1" s="1"/>
  <c r="T36" i="1"/>
  <c r="T37" i="1" s="1"/>
  <c r="U36" i="1"/>
  <c r="U37" i="1" s="1"/>
  <c r="X128" i="1"/>
  <c r="W91" i="1"/>
  <c r="Y40" i="1"/>
  <c r="X116" i="1"/>
  <c r="W32" i="1"/>
  <c r="X32" i="1"/>
  <c r="T43" i="1"/>
  <c r="Q89" i="1"/>
  <c r="S43" i="1" s="1"/>
  <c r="W162" i="1"/>
  <c r="W128" i="1"/>
  <c r="T91" i="1"/>
  <c r="V43" i="1"/>
  <c r="U43" i="1"/>
  <c r="V38" i="1"/>
  <c r="T38" i="1"/>
  <c r="W116" i="1"/>
  <c r="T162" i="1"/>
  <c r="V162" i="1"/>
  <c r="U162" i="1"/>
  <c r="S128" i="1"/>
  <c r="S129" i="1" s="1"/>
  <c r="U128" i="1"/>
  <c r="V128" i="1"/>
  <c r="T128" i="1"/>
  <c r="U65" i="1"/>
  <c r="U92" i="1" s="1"/>
  <c r="T65" i="1"/>
  <c r="V116" i="1"/>
  <c r="P168" i="1"/>
  <c r="R91" i="1"/>
  <c r="R96" i="1"/>
  <c r="R97" i="1" s="1"/>
  <c r="R111" i="1"/>
  <c r="R115" i="1"/>
  <c r="S162" i="1"/>
  <c r="R9" i="1"/>
  <c r="R13" i="1" s="1"/>
  <c r="Q9" i="1"/>
  <c r="Q13" i="1" s="1"/>
  <c r="Q96" i="1"/>
  <c r="Q97" i="1" s="1"/>
  <c r="Q111" i="1"/>
  <c r="Q115" i="1"/>
  <c r="P111" i="1"/>
  <c r="P96" i="1"/>
  <c r="P97" i="1" s="1"/>
  <c r="P91" i="1"/>
  <c r="P9" i="1"/>
  <c r="P13" i="1" s="1"/>
  <c r="T116" i="1" l="1"/>
  <c r="U38" i="1"/>
  <c r="U32" i="1"/>
  <c r="L98" i="1"/>
  <c r="L160" i="1" s="1"/>
  <c r="L163" i="1" s="1"/>
  <c r="L170" i="1" s="1"/>
  <c r="BW12" i="1"/>
  <c r="BD123" i="1"/>
  <c r="AF2" i="25"/>
  <c r="AF8" i="25" s="1"/>
  <c r="BM140" i="1"/>
  <c r="BI136" i="1"/>
  <c r="BI141" i="1" s="1"/>
  <c r="BJ110" i="1"/>
  <c r="AY149" i="1"/>
  <c r="BC71" i="1"/>
  <c r="BE73" i="1"/>
  <c r="BF72" i="1"/>
  <c r="CZ73" i="1"/>
  <c r="AE18" i="25"/>
  <c r="BD68" i="1" s="1"/>
  <c r="BD69" i="1" s="1"/>
  <c r="AZ154" i="1"/>
  <c r="BA154" i="1" s="1"/>
  <c r="BB154" i="1" s="1"/>
  <c r="BC154" i="1" s="1"/>
  <c r="BD154" i="1" s="1"/>
  <c r="BE154" i="1" s="1"/>
  <c r="BF154" i="1" s="1"/>
  <c r="BG154" i="1" s="1"/>
  <c r="BH154" i="1" s="1"/>
  <c r="BI154" i="1" s="1"/>
  <c r="BJ154" i="1" s="1"/>
  <c r="BK154" i="1" s="1"/>
  <c r="BL154" i="1" s="1"/>
  <c r="BM154" i="1" s="1"/>
  <c r="BN154" i="1" s="1"/>
  <c r="BO154" i="1" s="1"/>
  <c r="BP154" i="1" s="1"/>
  <c r="BQ154" i="1" s="1"/>
  <c r="BR154" i="1" s="1"/>
  <c r="BS154" i="1" s="1"/>
  <c r="BT154" i="1" s="1"/>
  <c r="BU154" i="1" s="1"/>
  <c r="BV154" i="1" s="1"/>
  <c r="BW154" i="1" s="1"/>
  <c r="BX154" i="1" s="1"/>
  <c r="BY154" i="1" s="1"/>
  <c r="BZ154" i="1" s="1"/>
  <c r="CA154" i="1" s="1"/>
  <c r="CB154" i="1" s="1"/>
  <c r="CC154" i="1" s="1"/>
  <c r="CD154" i="1" s="1"/>
  <c r="CE154" i="1" s="1"/>
  <c r="CF154" i="1" s="1"/>
  <c r="CG154" i="1" s="1"/>
  <c r="CH154" i="1" s="1"/>
  <c r="CI154" i="1" s="1"/>
  <c r="CJ154" i="1" s="1"/>
  <c r="CK154" i="1" s="1"/>
  <c r="CL154" i="1" s="1"/>
  <c r="CM154" i="1" s="1"/>
  <c r="CN154" i="1" s="1"/>
  <c r="CO154" i="1" s="1"/>
  <c r="CP154" i="1" s="1"/>
  <c r="CQ154" i="1" s="1"/>
  <c r="CR154" i="1" s="1"/>
  <c r="CS154" i="1" s="1"/>
  <c r="CT154" i="1" s="1"/>
  <c r="CU154" i="1" s="1"/>
  <c r="CV154" i="1" s="1"/>
  <c r="CW154" i="1" s="1"/>
  <c r="CX154" i="1" s="1"/>
  <c r="CY154" i="1" s="1"/>
  <c r="CZ154" i="1" s="1"/>
  <c r="DA154" i="1" s="1"/>
  <c r="DB154" i="1" s="1"/>
  <c r="DC154" i="1" s="1"/>
  <c r="DD154" i="1" s="1"/>
  <c r="DE154" i="1" s="1"/>
  <c r="DF154" i="1" s="1"/>
  <c r="DG154" i="1" s="1"/>
  <c r="X1" i="25"/>
  <c r="X3" i="25" s="1"/>
  <c r="Y4" i="25"/>
  <c r="M42" i="1"/>
  <c r="M44" i="1" s="1"/>
  <c r="O42" i="1"/>
  <c r="O44" i="1" s="1"/>
  <c r="L45" i="1"/>
  <c r="L42" i="1"/>
  <c r="L44" i="1" s="1"/>
  <c r="N45" i="1"/>
  <c r="N42" i="1"/>
  <c r="N44" i="1" s="1"/>
  <c r="BR2" i="1"/>
  <c r="AS2" i="25" s="1"/>
  <c r="AS8" i="25" s="1"/>
  <c r="BY2" i="1"/>
  <c r="AZ2" i="25" s="1"/>
  <c r="AZ8" i="25" s="1"/>
  <c r="BV2" i="1"/>
  <c r="CB2" i="1"/>
  <c r="BC2" i="25" s="1"/>
  <c r="BC8" i="25" s="1"/>
  <c r="CA2" i="1"/>
  <c r="BB2" i="25" s="1"/>
  <c r="BB8" i="25" s="1"/>
  <c r="BQ2" i="1"/>
  <c r="AR2" i="25" s="1"/>
  <c r="AR8" i="25" s="1"/>
  <c r="BU2" i="1"/>
  <c r="AV2" i="25" s="1"/>
  <c r="AV8" i="25" s="1"/>
  <c r="BX2" i="1"/>
  <c r="AY2" i="25" s="1"/>
  <c r="AY8" i="25" s="1"/>
  <c r="BS2" i="1"/>
  <c r="AT2" i="25" s="1"/>
  <c r="AT8" i="25" s="1"/>
  <c r="BW2" i="1"/>
  <c r="AX2" i="25" s="1"/>
  <c r="AX8" i="25" s="1"/>
  <c r="BT2" i="1"/>
  <c r="BZ2" i="1"/>
  <c r="BA2" i="25" s="1"/>
  <c r="BA8" i="25" s="1"/>
  <c r="AA170" i="1"/>
  <c r="I163" i="1"/>
  <c r="I170" i="1" s="1"/>
  <c r="H163" i="1"/>
  <c r="H170" i="1" s="1"/>
  <c r="E160" i="1"/>
  <c r="E163" i="1" s="1"/>
  <c r="E170" i="1" s="1"/>
  <c r="E173" i="1" s="1"/>
  <c r="T129" i="1"/>
  <c r="X129" i="1"/>
  <c r="G54" i="24"/>
  <c r="V129" i="1"/>
  <c r="E54" i="24"/>
  <c r="W129" i="1"/>
  <c r="F54" i="24"/>
  <c r="U129" i="1"/>
  <c r="D54" i="24"/>
  <c r="AB160" i="1"/>
  <c r="AB163" i="1" s="1"/>
  <c r="AB45" i="1"/>
  <c r="AC1" i="1"/>
  <c r="AC3" i="1" s="1"/>
  <c r="O45" i="1"/>
  <c r="W39" i="1"/>
  <c r="V39" i="1"/>
  <c r="Y45" i="1"/>
  <c r="X39" i="1"/>
  <c r="T92" i="1"/>
  <c r="T98" i="1" s="1"/>
  <c r="Q91" i="1"/>
  <c r="R43" i="1"/>
  <c r="U98" i="1"/>
  <c r="V98" i="1"/>
  <c r="S116" i="1"/>
  <c r="S38" i="1"/>
  <c r="S39" i="1" s="1"/>
  <c r="U39" i="1"/>
  <c r="T39" i="1"/>
  <c r="S65" i="1"/>
  <c r="S92" i="1" s="1"/>
  <c r="Q38" i="1"/>
  <c r="Q39" i="1" s="1"/>
  <c r="Q162" i="1"/>
  <c r="R162" i="1"/>
  <c r="X162" i="1"/>
  <c r="Q128" i="1"/>
  <c r="Q129" i="1" s="1"/>
  <c r="R128" i="1"/>
  <c r="R129" i="1" s="1"/>
  <c r="BX12" i="1" l="1"/>
  <c r="BE123" i="1"/>
  <c r="AU2" i="25"/>
  <c r="AU8" i="25" s="1"/>
  <c r="BN140" i="1"/>
  <c r="BJ136" i="1"/>
  <c r="BJ141" i="1" s="1"/>
  <c r="BK110" i="1"/>
  <c r="AZ149" i="1"/>
  <c r="BA149" i="1" s="1"/>
  <c r="BB149" i="1" s="1"/>
  <c r="BC149" i="1" s="1"/>
  <c r="BD149" i="1" s="1"/>
  <c r="BE149" i="1" s="1"/>
  <c r="BF149" i="1" s="1"/>
  <c r="BG149" i="1" s="1"/>
  <c r="BH149" i="1" s="1"/>
  <c r="BI149" i="1" s="1"/>
  <c r="BJ149" i="1" s="1"/>
  <c r="BK149" i="1" s="1"/>
  <c r="BL149" i="1" s="1"/>
  <c r="BM149" i="1" s="1"/>
  <c r="BN149" i="1" s="1"/>
  <c r="BO149" i="1" s="1"/>
  <c r="BP149" i="1" s="1"/>
  <c r="BQ149" i="1" s="1"/>
  <c r="BR149" i="1" s="1"/>
  <c r="BS149" i="1" s="1"/>
  <c r="BT149" i="1" s="1"/>
  <c r="BU149" i="1" s="1"/>
  <c r="BV149" i="1" s="1"/>
  <c r="BW149" i="1" s="1"/>
  <c r="BX149" i="1" s="1"/>
  <c r="BY149" i="1" s="1"/>
  <c r="BZ149" i="1" s="1"/>
  <c r="CA149" i="1" s="1"/>
  <c r="CB149" i="1" s="1"/>
  <c r="CC149" i="1" s="1"/>
  <c r="CD149" i="1" s="1"/>
  <c r="CE149" i="1" s="1"/>
  <c r="CF149" i="1" s="1"/>
  <c r="CG149" i="1" s="1"/>
  <c r="CH149" i="1" s="1"/>
  <c r="CI149" i="1" s="1"/>
  <c r="CJ149" i="1" s="1"/>
  <c r="CK149" i="1" s="1"/>
  <c r="CL149" i="1" s="1"/>
  <c r="CM149" i="1" s="1"/>
  <c r="CN149" i="1" s="1"/>
  <c r="CO149" i="1" s="1"/>
  <c r="CP149" i="1" s="1"/>
  <c r="CQ149" i="1" s="1"/>
  <c r="CR149" i="1" s="1"/>
  <c r="CS149" i="1" s="1"/>
  <c r="CT149" i="1" s="1"/>
  <c r="CU149" i="1" s="1"/>
  <c r="CV149" i="1" s="1"/>
  <c r="CW149" i="1" s="1"/>
  <c r="CX149" i="1" s="1"/>
  <c r="CY149" i="1" s="1"/>
  <c r="CZ149" i="1" s="1"/>
  <c r="DA149" i="1" s="1"/>
  <c r="DB149" i="1" s="1"/>
  <c r="DC149" i="1" s="1"/>
  <c r="DD149" i="1" s="1"/>
  <c r="DE149" i="1" s="1"/>
  <c r="DF149" i="1" s="1"/>
  <c r="DG149" i="1" s="1"/>
  <c r="BD71" i="1"/>
  <c r="DA73" i="1"/>
  <c r="BF73" i="1"/>
  <c r="BG72" i="1"/>
  <c r="AF18" i="25"/>
  <c r="BE68" i="1" s="1"/>
  <c r="BE69" i="1" s="1"/>
  <c r="AW2" i="25"/>
  <c r="AW8" i="25" s="1"/>
  <c r="Y1" i="25"/>
  <c r="Y3" i="25" s="1"/>
  <c r="Z4" i="25"/>
  <c r="Z1" i="25" s="1"/>
  <c r="Z3" i="25" s="1"/>
  <c r="CL2" i="1"/>
  <c r="BM2" i="25" s="1"/>
  <c r="BM8" i="25" s="1"/>
  <c r="CJ2" i="1"/>
  <c r="BK2" i="25" s="1"/>
  <c r="BK8" i="25" s="1"/>
  <c r="CN2" i="1"/>
  <c r="BO2" i="25" s="1"/>
  <c r="BO8" i="25" s="1"/>
  <c r="CF2" i="1"/>
  <c r="BG2" i="25" s="1"/>
  <c r="BG8" i="25" s="1"/>
  <c r="CG2" i="1"/>
  <c r="BH2" i="25" s="1"/>
  <c r="BH8" i="25" s="1"/>
  <c r="CH2" i="1"/>
  <c r="BI2" i="25" s="1"/>
  <c r="BI8" i="25" s="1"/>
  <c r="CI2" i="1"/>
  <c r="BJ2" i="25" s="1"/>
  <c r="BJ8" i="25" s="1"/>
  <c r="CC2" i="1"/>
  <c r="BD2" i="25" s="1"/>
  <c r="BD8" i="25" s="1"/>
  <c r="CK2" i="1"/>
  <c r="BL2" i="25" s="1"/>
  <c r="BL8" i="25" s="1"/>
  <c r="CE2" i="1"/>
  <c r="BF2" i="25" s="1"/>
  <c r="BF8" i="25" s="1"/>
  <c r="CM2" i="1"/>
  <c r="BN2" i="25" s="1"/>
  <c r="BN8" i="25" s="1"/>
  <c r="CD2" i="1"/>
  <c r="BE2" i="25" s="1"/>
  <c r="BE8" i="25" s="1"/>
  <c r="E152" i="1"/>
  <c r="E153" i="1" s="1"/>
  <c r="E156" i="1" s="1"/>
  <c r="F172" i="1"/>
  <c r="F173" i="1" s="1"/>
  <c r="E174" i="1"/>
  <c r="AB170" i="1"/>
  <c r="AD1" i="1"/>
  <c r="AD3" i="1" s="1"/>
  <c r="T45" i="1"/>
  <c r="P65" i="1"/>
  <c r="P92" i="1" s="1"/>
  <c r="P38" i="1"/>
  <c r="P39" i="1" s="1"/>
  <c r="R116" i="1"/>
  <c r="R38" i="1"/>
  <c r="R39" i="1" s="1"/>
  <c r="V42" i="1" s="1"/>
  <c r="S98" i="1"/>
  <c r="U45" i="1"/>
  <c r="R65" i="1"/>
  <c r="R92" i="1" s="1"/>
  <c r="R32" i="1"/>
  <c r="P32" i="1"/>
  <c r="K18" i="19"/>
  <c r="P162" i="1"/>
  <c r="BY12" i="1" l="1"/>
  <c r="BF123" i="1"/>
  <c r="BO140" i="1"/>
  <c r="BK136" i="1"/>
  <c r="BK141" i="1" s="1"/>
  <c r="BL110" i="1"/>
  <c r="BE71" i="1"/>
  <c r="BG73" i="1"/>
  <c r="DB73" i="1"/>
  <c r="BH72" i="1"/>
  <c r="AG18" i="25"/>
  <c r="BF68" i="1" s="1"/>
  <c r="BF69" i="1" s="1"/>
  <c r="CP2" i="1"/>
  <c r="BQ2" i="25" s="1"/>
  <c r="BQ8" i="25" s="1"/>
  <c r="CR2" i="1"/>
  <c r="CY2" i="1"/>
  <c r="CU2" i="1"/>
  <c r="BV2" i="25" s="1"/>
  <c r="BV8" i="25" s="1"/>
  <c r="CZ2" i="1"/>
  <c r="CO2" i="1"/>
  <c r="BP2" i="25" s="1"/>
  <c r="BP8" i="25" s="1"/>
  <c r="CQ2" i="1"/>
  <c r="BR2" i="25" s="1"/>
  <c r="BR8" i="25" s="1"/>
  <c r="CT2" i="1"/>
  <c r="CV2" i="1"/>
  <c r="CW2" i="1"/>
  <c r="CS2" i="1"/>
  <c r="BT2" i="25" s="1"/>
  <c r="BT8" i="25" s="1"/>
  <c r="CX2" i="1"/>
  <c r="F174" i="1"/>
  <c r="G172" i="1"/>
  <c r="G173" i="1" s="1"/>
  <c r="F152" i="1"/>
  <c r="F153" i="1" s="1"/>
  <c r="F156" i="1" s="1"/>
  <c r="AE1" i="1"/>
  <c r="AE3" i="1" s="1"/>
  <c r="S45" i="1"/>
  <c r="Q43" i="1"/>
  <c r="P43" i="1"/>
  <c r="P98" i="1"/>
  <c r="P40" i="1"/>
  <c r="R42" i="1" s="1"/>
  <c r="R98" i="1"/>
  <c r="BZ12" i="1" l="1"/>
  <c r="BG123" i="1"/>
  <c r="BS2" i="25"/>
  <c r="BS8" i="25" s="1"/>
  <c r="BP140" i="1"/>
  <c r="BL136" i="1"/>
  <c r="BL141" i="1" s="1"/>
  <c r="BM110" i="1"/>
  <c r="BF71" i="1"/>
  <c r="BI72" i="1"/>
  <c r="DC73" i="1"/>
  <c r="BH73" i="1"/>
  <c r="AH18" i="25"/>
  <c r="BG68" i="1" s="1"/>
  <c r="BG69" i="1" s="1"/>
  <c r="BU2" i="25"/>
  <c r="BU8" i="25" s="1"/>
  <c r="CA2" i="25"/>
  <c r="CA8" i="25" s="1"/>
  <c r="BX2" i="25"/>
  <c r="BX8" i="25" s="1"/>
  <c r="BW2" i="25"/>
  <c r="BW8" i="25" s="1"/>
  <c r="BY2" i="25"/>
  <c r="BY8" i="25" s="1"/>
  <c r="BZ2" i="25"/>
  <c r="BZ8" i="25" s="1"/>
  <c r="AA4" i="25"/>
  <c r="S42" i="1"/>
  <c r="T42" i="1"/>
  <c r="T44" i="1" s="1"/>
  <c r="P42" i="1"/>
  <c r="Q42" i="1"/>
  <c r="U42" i="1"/>
  <c r="U44" i="1" s="1"/>
  <c r="DG2" i="1"/>
  <c r="DE2" i="1"/>
  <c r="CF2" i="25" s="1"/>
  <c r="CF8" i="25" s="1"/>
  <c r="DA2" i="1"/>
  <c r="DD2" i="1"/>
  <c r="DF2" i="1"/>
  <c r="DC2" i="1"/>
  <c r="DB2" i="1"/>
  <c r="G152" i="1"/>
  <c r="G153" i="1" s="1"/>
  <c r="G156" i="1" s="1"/>
  <c r="G174" i="1"/>
  <c r="H172" i="1"/>
  <c r="H173" i="1" s="1"/>
  <c r="AF1" i="1"/>
  <c r="AF3" i="1" s="1"/>
  <c r="R45" i="1"/>
  <c r="P152" i="1"/>
  <c r="P160" i="1"/>
  <c r="P45" i="1"/>
  <c r="C45" i="18"/>
  <c r="B34" i="18"/>
  <c r="C34" i="18" s="1"/>
  <c r="B12" i="18"/>
  <c r="C12" i="18" s="1"/>
  <c r="E3" i="18"/>
  <c r="C2" i="18"/>
  <c r="K27" i="16"/>
  <c r="CA12" i="1" l="1"/>
  <c r="BH123" i="1"/>
  <c r="BQ140" i="1"/>
  <c r="BM136" i="1"/>
  <c r="BM141" i="1" s="1"/>
  <c r="BN110" i="1"/>
  <c r="BG71" i="1"/>
  <c r="BI73" i="1"/>
  <c r="DD73" i="1"/>
  <c r="BJ72" i="1"/>
  <c r="AI18" i="25"/>
  <c r="BH68" i="1" s="1"/>
  <c r="BH69" i="1" s="1"/>
  <c r="CH2" i="25"/>
  <c r="CH8" i="25" s="1"/>
  <c r="CE2" i="25"/>
  <c r="CE8" i="25" s="1"/>
  <c r="CD2" i="25"/>
  <c r="CD8" i="25" s="1"/>
  <c r="CC2" i="25"/>
  <c r="CC8" i="25" s="1"/>
  <c r="CB2" i="25"/>
  <c r="CB8" i="25" s="1"/>
  <c r="CG2" i="25"/>
  <c r="CG8" i="25" s="1"/>
  <c r="AA1" i="25"/>
  <c r="AA3" i="25" s="1"/>
  <c r="AB4" i="25"/>
  <c r="H152" i="1"/>
  <c r="H153" i="1" s="1"/>
  <c r="H156" i="1" s="1"/>
  <c r="I152" i="1"/>
  <c r="I153" i="1" s="1"/>
  <c r="I156" i="1" s="1"/>
  <c r="H174" i="1"/>
  <c r="I172" i="1"/>
  <c r="I173" i="1" s="1"/>
  <c r="I174" i="1" s="1"/>
  <c r="N10" i="15"/>
  <c r="M10" i="15"/>
  <c r="L10" i="15"/>
  <c r="K10" i="15"/>
  <c r="J10" i="15"/>
  <c r="I10" i="15"/>
  <c r="H10" i="15"/>
  <c r="G10" i="15"/>
  <c r="F10" i="15"/>
  <c r="E10" i="15"/>
  <c r="D10" i="15"/>
  <c r="C10" i="15"/>
  <c r="C10" i="6"/>
  <c r="D10" i="6"/>
  <c r="E10" i="6"/>
  <c r="F10" i="6"/>
  <c r="G10" i="6"/>
  <c r="H10" i="6"/>
  <c r="I10" i="6"/>
  <c r="J10" i="6"/>
  <c r="K10" i="6"/>
  <c r="L10" i="6"/>
  <c r="M10" i="6"/>
  <c r="N10" i="6"/>
  <c r="P1" i="1"/>
  <c r="Q1" i="1"/>
  <c r="Q3" i="1" s="1"/>
  <c r="R1" i="1"/>
  <c r="S1" i="1"/>
  <c r="T1" i="1"/>
  <c r="T3" i="1" s="1"/>
  <c r="U1" i="1"/>
  <c r="U3" i="1" s="1"/>
  <c r="V1" i="1"/>
  <c r="W1" i="1"/>
  <c r="W3" i="1" s="1"/>
  <c r="X1" i="1"/>
  <c r="X3" i="1" s="1"/>
  <c r="Y1" i="1"/>
  <c r="Y3" i="1" s="1"/>
  <c r="Z1" i="1"/>
  <c r="Z3" i="1" s="1"/>
  <c r="AG1" i="1"/>
  <c r="AG3" i="1" s="1"/>
  <c r="E7" i="13"/>
  <c r="J7" i="13" s="1"/>
  <c r="E6" i="13"/>
  <c r="J6" i="13" s="1"/>
  <c r="E5" i="13"/>
  <c r="J5" i="13" s="1"/>
  <c r="E4" i="13"/>
  <c r="J4" i="13" s="1"/>
  <c r="E3" i="13"/>
  <c r="J3" i="13" s="1"/>
  <c r="E2" i="13"/>
  <c r="J2" i="13" s="1"/>
  <c r="J18" i="12"/>
  <c r="K43" i="11"/>
  <c r="CB12" i="1" l="1"/>
  <c r="BI123" i="1"/>
  <c r="AH1" i="1"/>
  <c r="BR140" i="1"/>
  <c r="BN136" i="1"/>
  <c r="BN141" i="1" s="1"/>
  <c r="BO110" i="1"/>
  <c r="BH71" i="1"/>
  <c r="BK72" i="1"/>
  <c r="DE73" i="1"/>
  <c r="BJ73" i="1"/>
  <c r="AJ18" i="25"/>
  <c r="BI68" i="1" s="1"/>
  <c r="BI69" i="1" s="1"/>
  <c r="AC4" i="25"/>
  <c r="AB1" i="25"/>
  <c r="AB3" i="25" s="1"/>
  <c r="AH28" i="1"/>
  <c r="AH29" i="1" s="1"/>
  <c r="J10" i="13"/>
  <c r="J172" i="1"/>
  <c r="J173" i="1" s="1"/>
  <c r="J174" i="1" s="1"/>
  <c r="J152" i="1"/>
  <c r="J153" i="1" s="1"/>
  <c r="J156" i="1" s="1"/>
  <c r="V3" i="1"/>
  <c r="S3" i="1"/>
  <c r="R3" i="1"/>
  <c r="P3" i="1"/>
  <c r="E17" i="5"/>
  <c r="B21" i="9"/>
  <c r="B31" i="9" s="1"/>
  <c r="B41" i="9" s="1"/>
  <c r="B51" i="9" s="1"/>
  <c r="B61" i="9" s="1"/>
  <c r="B19" i="9"/>
  <c r="B29" i="9" s="1"/>
  <c r="B39" i="9" s="1"/>
  <c r="B49" i="9" s="1"/>
  <c r="B59" i="9" s="1"/>
  <c r="B18" i="9"/>
  <c r="B28" i="9" s="1"/>
  <c r="B38" i="9" s="1"/>
  <c r="B48" i="9" s="1"/>
  <c r="B58" i="9" s="1"/>
  <c r="B17" i="9"/>
  <c r="B27" i="9" s="1"/>
  <c r="B37" i="9" s="1"/>
  <c r="B47" i="9" s="1"/>
  <c r="B57" i="9" s="1"/>
  <c r="B16" i="9"/>
  <c r="B26" i="9" s="1"/>
  <c r="B36" i="9" s="1"/>
  <c r="B46" i="9" s="1"/>
  <c r="B56" i="9" s="1"/>
  <c r="B15" i="9"/>
  <c r="B25" i="9" s="1"/>
  <c r="B35" i="9" s="1"/>
  <c r="B45" i="9" s="1"/>
  <c r="B55" i="9" s="1"/>
  <c r="B14" i="9"/>
  <c r="B24" i="9" s="1"/>
  <c r="B34" i="9" s="1"/>
  <c r="B44" i="9" s="1"/>
  <c r="B54" i="9" s="1"/>
  <c r="B13" i="9"/>
  <c r="B23" i="9" s="1"/>
  <c r="B33" i="9" s="1"/>
  <c r="B43" i="9" s="1"/>
  <c r="B53" i="9" s="1"/>
  <c r="B12" i="9"/>
  <c r="B22" i="9" s="1"/>
  <c r="B32" i="9" s="1"/>
  <c r="B42" i="9" s="1"/>
  <c r="B52" i="9" s="1"/>
  <c r="B62" i="9" s="1"/>
  <c r="B10" i="9"/>
  <c r="CC12" i="1" l="1"/>
  <c r="BJ123" i="1"/>
  <c r="AH3" i="1"/>
  <c r="BS140" i="1"/>
  <c r="BO136" i="1"/>
  <c r="BO141" i="1" s="1"/>
  <c r="BP110" i="1"/>
  <c r="BI71" i="1"/>
  <c r="DF73" i="1"/>
  <c r="DG73" i="1" s="1"/>
  <c r="BK73" i="1"/>
  <c r="BL72" i="1"/>
  <c r="AK18" i="25"/>
  <c r="BJ68" i="1" s="1"/>
  <c r="BJ69" i="1" s="1"/>
  <c r="AI28" i="1"/>
  <c r="AI29" i="1" s="1"/>
  <c r="AD4" i="25"/>
  <c r="AC1" i="25"/>
  <c r="AC3" i="25" s="1"/>
  <c r="AH46" i="1"/>
  <c r="B20" i="9"/>
  <c r="B30" i="9" s="1"/>
  <c r="B40" i="9" s="1"/>
  <c r="B50" i="9" s="1"/>
  <c r="B60" i="9" s="1"/>
  <c r="K172" i="1"/>
  <c r="K173" i="1" s="1"/>
  <c r="L172" i="1" s="1"/>
  <c r="L173" i="1" s="1"/>
  <c r="AI1" i="1"/>
  <c r="K152" i="1"/>
  <c r="K153" i="1" s="1"/>
  <c r="K156" i="1" s="1"/>
  <c r="F17" i="5"/>
  <c r="CD12" i="1" l="1"/>
  <c r="BK123" i="1"/>
  <c r="AI46" i="1"/>
  <c r="BT140" i="1"/>
  <c r="BP136" i="1"/>
  <c r="BP141" i="1" s="1"/>
  <c r="BQ110" i="1"/>
  <c r="BJ71" i="1"/>
  <c r="BL73" i="1"/>
  <c r="BM72" i="1"/>
  <c r="AL18" i="25"/>
  <c r="BK68" i="1" s="1"/>
  <c r="BK69" i="1" s="1"/>
  <c r="AJ28" i="1"/>
  <c r="AJ29" i="1" s="1"/>
  <c r="AE4" i="25"/>
  <c r="AD1" i="25"/>
  <c r="AD3" i="25" s="1"/>
  <c r="AG28" i="1"/>
  <c r="AG29" i="1" s="1"/>
  <c r="AB28" i="1"/>
  <c r="AB29" i="1" s="1"/>
  <c r="Q28" i="1"/>
  <c r="Q29" i="1" s="1"/>
  <c r="Q46" i="1" s="1"/>
  <c r="O28" i="1"/>
  <c r="O29" i="1" s="1"/>
  <c r="O46" i="1" s="1"/>
  <c r="V28" i="1"/>
  <c r="V29" i="1" s="1"/>
  <c r="V46" i="1" s="1"/>
  <c r="R28" i="1"/>
  <c r="R29" i="1" s="1"/>
  <c r="R46" i="1" s="1"/>
  <c r="N28" i="1"/>
  <c r="N29" i="1" s="1"/>
  <c r="N46" i="1" s="1"/>
  <c r="K28" i="1"/>
  <c r="K29" i="1" s="1"/>
  <c r="K46" i="1" s="1"/>
  <c r="Z28" i="1"/>
  <c r="Z29" i="1" s="1"/>
  <c r="AE28" i="1"/>
  <c r="AE29" i="1" s="1"/>
  <c r="F28" i="1"/>
  <c r="F29" i="1" s="1"/>
  <c r="F46" i="1" s="1"/>
  <c r="L28" i="1"/>
  <c r="L29" i="1" s="1"/>
  <c r="L46" i="1" s="1"/>
  <c r="X28" i="1"/>
  <c r="X29" i="1" s="1"/>
  <c r="I28" i="1"/>
  <c r="I29" i="1" s="1"/>
  <c r="I46" i="1" s="1"/>
  <c r="AD28" i="1"/>
  <c r="AD29" i="1" s="1"/>
  <c r="T28" i="1"/>
  <c r="T29" i="1" s="1"/>
  <c r="T46" i="1" s="1"/>
  <c r="U28" i="1"/>
  <c r="U29" i="1" s="1"/>
  <c r="U46" i="1" s="1"/>
  <c r="H28" i="1"/>
  <c r="H29" i="1" s="1"/>
  <c r="H46" i="1" s="1"/>
  <c r="AF28" i="1"/>
  <c r="AF29" i="1" s="1"/>
  <c r="S28" i="1"/>
  <c r="S29" i="1" s="1"/>
  <c r="S46" i="1" s="1"/>
  <c r="AC28" i="1"/>
  <c r="AC29" i="1" s="1"/>
  <c r="W28" i="1"/>
  <c r="W29" i="1" s="1"/>
  <c r="G28" i="1"/>
  <c r="G29" i="1" s="1"/>
  <c r="G46" i="1" s="1"/>
  <c r="E28" i="1"/>
  <c r="E29" i="1" s="1"/>
  <c r="E46" i="1" s="1"/>
  <c r="M28" i="1"/>
  <c r="M29" i="1" s="1"/>
  <c r="M46" i="1" s="1"/>
  <c r="J28" i="1"/>
  <c r="J29" i="1" s="1"/>
  <c r="J46" i="1" s="1"/>
  <c r="P28" i="1"/>
  <c r="P29" i="1" s="1"/>
  <c r="P46" i="1" s="1"/>
  <c r="AA28" i="1"/>
  <c r="AA29" i="1" s="1"/>
  <c r="Y28" i="1"/>
  <c r="Y29" i="1" s="1"/>
  <c r="K174" i="1"/>
  <c r="AI3" i="1"/>
  <c r="AJ1" i="1"/>
  <c r="L174" i="1"/>
  <c r="M172" i="1"/>
  <c r="M173" i="1" s="1"/>
  <c r="L152" i="1"/>
  <c r="L153" i="1" s="1"/>
  <c r="L156" i="1" s="1"/>
  <c r="W92" i="1"/>
  <c r="W40" i="1" s="1"/>
  <c r="W42" i="1" s="1"/>
  <c r="G17" i="5"/>
  <c r="CE12" i="1" l="1"/>
  <c r="BL123" i="1"/>
  <c r="AJ46" i="1"/>
  <c r="AG46" i="1"/>
  <c r="BU140" i="1"/>
  <c r="BQ136" i="1"/>
  <c r="BQ141" i="1" s="1"/>
  <c r="BR110" i="1"/>
  <c r="BK71" i="1"/>
  <c r="BN72" i="1"/>
  <c r="BM73" i="1"/>
  <c r="AM18" i="25"/>
  <c r="BL68" i="1" s="1"/>
  <c r="BL69" i="1" s="1"/>
  <c r="AK28" i="1"/>
  <c r="AK29" i="1" s="1"/>
  <c r="AF4" i="25"/>
  <c r="AE1" i="25"/>
  <c r="AE3" i="25" s="1"/>
  <c r="AB46" i="1"/>
  <c r="AD46" i="1"/>
  <c r="Z46" i="1"/>
  <c r="X46" i="1"/>
  <c r="AC46" i="1"/>
  <c r="AA46" i="1"/>
  <c r="AF46" i="1"/>
  <c r="Y46" i="1"/>
  <c r="W46" i="1"/>
  <c r="AE46" i="1"/>
  <c r="AK1" i="1"/>
  <c r="AJ3" i="1"/>
  <c r="M152" i="1"/>
  <c r="M153" i="1" s="1"/>
  <c r="M156" i="1" s="1"/>
  <c r="N172" i="1"/>
  <c r="N173" i="1" s="1"/>
  <c r="M174" i="1"/>
  <c r="W98" i="1"/>
  <c r="W161" i="1"/>
  <c r="H17" i="5"/>
  <c r="CF12" i="1" l="1"/>
  <c r="BM123" i="1"/>
  <c r="AK46" i="1"/>
  <c r="BV140" i="1"/>
  <c r="BR136" i="1"/>
  <c r="BR141" i="1" s="1"/>
  <c r="BS110" i="1"/>
  <c r="AL28" i="1"/>
  <c r="AL29" i="1" s="1"/>
  <c r="BL71" i="1"/>
  <c r="BN73" i="1"/>
  <c r="BO72" i="1"/>
  <c r="AN18" i="25"/>
  <c r="BM68" i="1" s="1"/>
  <c r="BM69" i="1" s="1"/>
  <c r="AG4" i="25"/>
  <c r="AF1" i="25"/>
  <c r="AF3" i="25" s="1"/>
  <c r="AK3" i="1"/>
  <c r="AL1" i="1"/>
  <c r="O172" i="1"/>
  <c r="O173" i="1" s="1"/>
  <c r="O174" i="1" s="1"/>
  <c r="N174" i="1"/>
  <c r="O152" i="1"/>
  <c r="O153" i="1" s="1"/>
  <c r="O156" i="1" s="1"/>
  <c r="N152" i="1"/>
  <c r="N153" i="1" s="1"/>
  <c r="N156" i="1" s="1"/>
  <c r="W44" i="1"/>
  <c r="W45" i="1"/>
  <c r="W160" i="1"/>
  <c r="W163" i="1" s="1"/>
  <c r="I17" i="5"/>
  <c r="CG12" i="1" l="1"/>
  <c r="AL46" i="1"/>
  <c r="AX29" i="1"/>
  <c r="BN123" i="1"/>
  <c r="BW140" i="1"/>
  <c r="BS136" i="1"/>
  <c r="BS141" i="1" s="1"/>
  <c r="BT110" i="1"/>
  <c r="AM28" i="1"/>
  <c r="AM29" i="1" s="1"/>
  <c r="AY29" i="1" s="1"/>
  <c r="BK29" i="1" s="1"/>
  <c r="BW29" i="1" s="1"/>
  <c r="CI29" i="1" s="1"/>
  <c r="BM71" i="1"/>
  <c r="BP72" i="1"/>
  <c r="BO73" i="1"/>
  <c r="AO18" i="25"/>
  <c r="BN68" i="1" s="1"/>
  <c r="BN69" i="1" s="1"/>
  <c r="AH4" i="25"/>
  <c r="AG1" i="25"/>
  <c r="AG3" i="25" s="1"/>
  <c r="W170" i="1"/>
  <c r="AL3" i="1"/>
  <c r="AM1" i="1"/>
  <c r="Y162" i="1"/>
  <c r="J17" i="5"/>
  <c r="CH12" i="1" l="1"/>
  <c r="AX46" i="1"/>
  <c r="BJ29" i="1"/>
  <c r="BV29" i="1" s="1"/>
  <c r="CH29" i="1" s="1"/>
  <c r="CT29" i="1" s="1"/>
  <c r="DF29" i="1" s="1"/>
  <c r="BO123" i="1"/>
  <c r="BX140" i="1"/>
  <c r="BT136" i="1"/>
  <c r="BT141" i="1" s="1"/>
  <c r="BU110" i="1"/>
  <c r="AN28" i="1"/>
  <c r="AN29" i="1" s="1"/>
  <c r="AN46" i="1" s="1"/>
  <c r="AM46" i="1"/>
  <c r="CU29" i="1"/>
  <c r="DG29" i="1" s="1"/>
  <c r="BN71" i="1"/>
  <c r="BP73" i="1"/>
  <c r="BQ72" i="1"/>
  <c r="AP18" i="25"/>
  <c r="BO68" i="1" s="1"/>
  <c r="BO69" i="1" s="1"/>
  <c r="AI4" i="25"/>
  <c r="AH1" i="25"/>
  <c r="AH3" i="25" s="1"/>
  <c r="AM3" i="1"/>
  <c r="AN1" i="1"/>
  <c r="Z162" i="1"/>
  <c r="K17" i="5"/>
  <c r="CI12" i="1" l="1"/>
  <c r="BP123" i="1"/>
  <c r="BY140" i="1"/>
  <c r="BU136" i="1"/>
  <c r="BU141" i="1" s="1"/>
  <c r="BV110" i="1"/>
  <c r="AZ29" i="1"/>
  <c r="BL29" i="1" s="1"/>
  <c r="BX29" i="1" s="1"/>
  <c r="CJ29" i="1" s="1"/>
  <c r="CV29" i="1" s="1"/>
  <c r="AO28" i="1"/>
  <c r="AO29" i="1" s="1"/>
  <c r="BO71" i="1"/>
  <c r="BR72" i="1"/>
  <c r="BQ73" i="1"/>
  <c r="AQ18" i="25"/>
  <c r="BP68" i="1" s="1"/>
  <c r="BP69" i="1" s="1"/>
  <c r="AI1" i="25"/>
  <c r="AI3" i="25" s="1"/>
  <c r="AJ4" i="25"/>
  <c r="AN3" i="1"/>
  <c r="AO1" i="1"/>
  <c r="CJ12" i="1" l="1"/>
  <c r="BQ123" i="1"/>
  <c r="BZ140" i="1"/>
  <c r="AP28" i="1"/>
  <c r="BV136" i="1"/>
  <c r="BV141" i="1" s="1"/>
  <c r="BW110" i="1"/>
  <c r="AO46" i="1"/>
  <c r="BA29" i="1"/>
  <c r="BM29" i="1" s="1"/>
  <c r="BY29" i="1" s="1"/>
  <c r="CK29" i="1" s="1"/>
  <c r="BP71" i="1"/>
  <c r="BR73" i="1"/>
  <c r="BS72" i="1"/>
  <c r="AR18" i="25"/>
  <c r="BQ68" i="1" s="1"/>
  <c r="BQ69" i="1" s="1"/>
  <c r="AK4" i="25"/>
  <c r="AJ1" i="25"/>
  <c r="AJ3" i="25" s="1"/>
  <c r="AO3" i="1"/>
  <c r="AP1" i="1"/>
  <c r="CK12" i="1" l="1"/>
  <c r="BR123" i="1"/>
  <c r="CA140" i="1"/>
  <c r="AQ28" i="1"/>
  <c r="AQ29" i="1" s="1"/>
  <c r="BW136" i="1"/>
  <c r="BW141" i="1" s="1"/>
  <c r="BX110" i="1"/>
  <c r="CW29" i="1"/>
  <c r="BQ71" i="1"/>
  <c r="BT72" i="1"/>
  <c r="BS73" i="1"/>
  <c r="AS18" i="25"/>
  <c r="BR68" i="1" s="1"/>
  <c r="BR69" i="1" s="1"/>
  <c r="AL4" i="25"/>
  <c r="AK1" i="25"/>
  <c r="AK3" i="25" s="1"/>
  <c r="AP3" i="1"/>
  <c r="AQ1" i="1"/>
  <c r="CL12" i="1" l="1"/>
  <c r="BS123" i="1"/>
  <c r="AR28" i="1"/>
  <c r="AR29" i="1" s="1"/>
  <c r="CB140" i="1"/>
  <c r="AQ46" i="1"/>
  <c r="BC29" i="1"/>
  <c r="BO29" i="1" s="1"/>
  <c r="CA29" i="1" s="1"/>
  <c r="CM29" i="1" s="1"/>
  <c r="CY29" i="1" s="1"/>
  <c r="BX136" i="1"/>
  <c r="BX141" i="1" s="1"/>
  <c r="BY110" i="1"/>
  <c r="AN43" i="1"/>
  <c r="BR71" i="1"/>
  <c r="BT73" i="1"/>
  <c r="BU72" i="1"/>
  <c r="AT18" i="25"/>
  <c r="BS68" i="1" s="1"/>
  <c r="BS69" i="1" s="1"/>
  <c r="AM4" i="25"/>
  <c r="AL1" i="25"/>
  <c r="AL3" i="25" s="1"/>
  <c r="AQ3" i="1"/>
  <c r="AY62" i="1"/>
  <c r="AY63" i="1"/>
  <c r="AR1" i="1"/>
  <c r="AI166" i="1"/>
  <c r="CM12" i="1" l="1"/>
  <c r="BT123" i="1"/>
  <c r="AS28" i="1"/>
  <c r="AS29" i="1" s="1"/>
  <c r="AR46" i="1"/>
  <c r="BD29" i="1"/>
  <c r="BP29" i="1" s="1"/>
  <c r="CB29" i="1" s="1"/>
  <c r="CN29" i="1" s="1"/>
  <c r="CZ29" i="1" s="1"/>
  <c r="CC140" i="1"/>
  <c r="BY136" i="1"/>
  <c r="BY141" i="1" s="1"/>
  <c r="BZ110" i="1"/>
  <c r="AP161" i="1"/>
  <c r="AN45" i="1"/>
  <c r="AN44" i="1"/>
  <c r="BS71" i="1"/>
  <c r="BV72" i="1"/>
  <c r="BU73" i="1"/>
  <c r="AU18" i="25"/>
  <c r="BT68" i="1" s="1"/>
  <c r="BT69" i="1" s="1"/>
  <c r="AN4" i="25"/>
  <c r="AM1" i="25"/>
  <c r="AM3" i="25" s="1"/>
  <c r="AZ62" i="1"/>
  <c r="AZ63" i="1"/>
  <c r="AS1" i="1"/>
  <c r="AR3" i="1"/>
  <c r="AJ166" i="1"/>
  <c r="CN12" i="1" l="1"/>
  <c r="BU123" i="1"/>
  <c r="AT28" i="1"/>
  <c r="AT29" i="1" s="1"/>
  <c r="AS46" i="1"/>
  <c r="BE29" i="1"/>
  <c r="BQ29" i="1" s="1"/>
  <c r="CC29" i="1" s="1"/>
  <c r="CO29" i="1" s="1"/>
  <c r="DA29" i="1" s="1"/>
  <c r="CD140" i="1"/>
  <c r="BZ136" i="1"/>
  <c r="BZ141" i="1" s="1"/>
  <c r="CA110" i="1"/>
  <c r="BT71" i="1"/>
  <c r="BW72" i="1"/>
  <c r="BV73" i="1"/>
  <c r="AV18" i="25"/>
  <c r="BU68" i="1" s="1"/>
  <c r="BU69" i="1" s="1"/>
  <c r="AO4" i="25"/>
  <c r="AN1" i="25"/>
  <c r="AN3" i="25" s="1"/>
  <c r="AS3" i="1"/>
  <c r="BA62" i="1"/>
  <c r="BA63" i="1"/>
  <c r="AT1" i="1"/>
  <c r="AK166" i="1"/>
  <c r="CO12" i="1" l="1"/>
  <c r="BV123" i="1"/>
  <c r="AU28" i="1"/>
  <c r="AU29" i="1" s="1"/>
  <c r="AU1" i="1"/>
  <c r="AU3" i="1" s="1"/>
  <c r="AT46" i="1"/>
  <c r="BF29" i="1"/>
  <c r="BR29" i="1" s="1"/>
  <c r="CD29" i="1" s="1"/>
  <c r="CP29" i="1" s="1"/>
  <c r="DB29" i="1" s="1"/>
  <c r="CE140" i="1"/>
  <c r="CA136" i="1"/>
  <c r="CA141" i="1" s="1"/>
  <c r="CB110" i="1"/>
  <c r="BU71" i="1"/>
  <c r="BX72" i="1"/>
  <c r="AW18" i="25"/>
  <c r="BV68" i="1" s="1"/>
  <c r="BV69" i="1" s="1"/>
  <c r="AP4" i="25"/>
  <c r="AO1" i="25"/>
  <c r="AO3" i="25" s="1"/>
  <c r="BB62" i="1"/>
  <c r="BB63" i="1"/>
  <c r="AT3" i="1"/>
  <c r="AL166" i="1"/>
  <c r="CP12" i="1" l="1"/>
  <c r="AW28" i="1"/>
  <c r="AW29" i="1" s="1"/>
  <c r="BW123" i="1"/>
  <c r="AV1" i="1"/>
  <c r="AV3" i="1" s="1"/>
  <c r="AV28" i="1"/>
  <c r="AV29" i="1" s="1"/>
  <c r="AU46" i="1"/>
  <c r="BG29" i="1"/>
  <c r="BS29" i="1" s="1"/>
  <c r="CE29" i="1" s="1"/>
  <c r="CQ29" i="1" s="1"/>
  <c r="DC29" i="1" s="1"/>
  <c r="CF140" i="1"/>
  <c r="CB136" i="1"/>
  <c r="CB141" i="1" s="1"/>
  <c r="CC110" i="1"/>
  <c r="BV71" i="1"/>
  <c r="BY72" i="1"/>
  <c r="AX18" i="25"/>
  <c r="BW68" i="1" s="1"/>
  <c r="AQ4" i="25"/>
  <c r="AP1" i="25"/>
  <c r="AP3" i="25" s="1"/>
  <c r="BC62" i="1"/>
  <c r="BC63" i="1"/>
  <c r="AM166" i="1"/>
  <c r="AH162" i="1"/>
  <c r="CQ12" i="1" l="1"/>
  <c r="AW1" i="1"/>
  <c r="AW3" i="1" s="1"/>
  <c r="BI29" i="1"/>
  <c r="BU29" i="1" s="1"/>
  <c r="CG29" i="1" s="1"/>
  <c r="CS29" i="1" s="1"/>
  <c r="DE29" i="1" s="1"/>
  <c r="AW46" i="1"/>
  <c r="BX123" i="1"/>
  <c r="AV46" i="1"/>
  <c r="BH29" i="1"/>
  <c r="BT29" i="1" s="1"/>
  <c r="CF29" i="1" s="1"/>
  <c r="CR29" i="1" s="1"/>
  <c r="CG140" i="1"/>
  <c r="CC136" i="1"/>
  <c r="CC141" i="1" s="1"/>
  <c r="CD110" i="1"/>
  <c r="BW69" i="1"/>
  <c r="BZ72" i="1"/>
  <c r="AY18" i="25"/>
  <c r="BX68" i="1" s="1"/>
  <c r="AQ1" i="25"/>
  <c r="AQ3" i="25" s="1"/>
  <c r="AR4" i="25"/>
  <c r="BD62" i="1"/>
  <c r="BD63" i="1"/>
  <c r="AN166" i="1"/>
  <c r="AI162" i="1"/>
  <c r="CR12" i="1" l="1"/>
  <c r="AX1" i="1"/>
  <c r="AX28" i="1"/>
  <c r="BY123" i="1"/>
  <c r="DD29" i="1"/>
  <c r="CH140" i="1"/>
  <c r="CD136" i="1"/>
  <c r="CD141" i="1" s="1"/>
  <c r="CE110" i="1"/>
  <c r="BW71" i="1"/>
  <c r="BX69" i="1"/>
  <c r="CA72" i="1"/>
  <c r="AZ18" i="25"/>
  <c r="BY68" i="1" s="1"/>
  <c r="AS4" i="25"/>
  <c r="AR1" i="25"/>
  <c r="AR3" i="25" s="1"/>
  <c r="BE62" i="1"/>
  <c r="BE63" i="1"/>
  <c r="AJ162" i="1"/>
  <c r="CS12" i="1" l="1"/>
  <c r="AX77" i="1"/>
  <c r="AX76" i="1"/>
  <c r="AX3" i="1"/>
  <c r="AX84" i="1"/>
  <c r="AX83" i="1"/>
  <c r="BZ123" i="1"/>
  <c r="CI140" i="1"/>
  <c r="AY28" i="1"/>
  <c r="CE136" i="1"/>
  <c r="CE141" i="1" s="1"/>
  <c r="CF110" i="1"/>
  <c r="BX71" i="1"/>
  <c r="BY69" i="1"/>
  <c r="CB72" i="1"/>
  <c r="BA18" i="25"/>
  <c r="BZ68" i="1" s="1"/>
  <c r="AT4" i="25"/>
  <c r="AS1" i="25"/>
  <c r="AS3" i="25" s="1"/>
  <c r="BF62" i="1"/>
  <c r="BF63" i="1"/>
  <c r="AY1" i="1"/>
  <c r="AK162" i="1"/>
  <c r="CT12" i="1" l="1"/>
  <c r="AX78" i="1"/>
  <c r="AX89" i="1"/>
  <c r="CA123" i="1"/>
  <c r="AY3" i="1"/>
  <c r="AZ28" i="1"/>
  <c r="CJ140" i="1"/>
  <c r="CF136" i="1"/>
  <c r="CF141" i="1" s="1"/>
  <c r="CG110" i="1"/>
  <c r="BY71" i="1"/>
  <c r="BZ69" i="1"/>
  <c r="CC72" i="1"/>
  <c r="BB18" i="25"/>
  <c r="CA68" i="1" s="1"/>
  <c r="AY80" i="1"/>
  <c r="AY82" i="1" s="1"/>
  <c r="AU4" i="25"/>
  <c r="AT1" i="25"/>
  <c r="AT3" i="25" s="1"/>
  <c r="AY87" i="1"/>
  <c r="AY84" i="1"/>
  <c r="AY77" i="1"/>
  <c r="AY83" i="1"/>
  <c r="AY76" i="1"/>
  <c r="AY85" i="1"/>
  <c r="AY86" i="1"/>
  <c r="BG62" i="1"/>
  <c r="BG63" i="1"/>
  <c r="AZ1" i="1"/>
  <c r="AQ166" i="1"/>
  <c r="AL162" i="1"/>
  <c r="AX91" i="1" l="1"/>
  <c r="M36" i="29"/>
  <c r="CU12" i="1"/>
  <c r="CB123" i="1"/>
  <c r="BA28" i="1"/>
  <c r="CK140" i="1"/>
  <c r="CG136" i="1"/>
  <c r="CG141" i="1" s="1"/>
  <c r="CH110" i="1"/>
  <c r="BZ71" i="1"/>
  <c r="CA69" i="1"/>
  <c r="CD72" i="1"/>
  <c r="BC18" i="25"/>
  <c r="CB68" i="1" s="1"/>
  <c r="AZ80" i="1"/>
  <c r="AZ82" i="1" s="1"/>
  <c r="AV4" i="25"/>
  <c r="AU1" i="25"/>
  <c r="AU3" i="25" s="1"/>
  <c r="AZ87" i="1"/>
  <c r="AZ84" i="1"/>
  <c r="AZ83" i="1"/>
  <c r="AZ77" i="1"/>
  <c r="AZ85" i="1"/>
  <c r="AZ76" i="1"/>
  <c r="AY78" i="1"/>
  <c r="AZ86" i="1"/>
  <c r="BH62" i="1"/>
  <c r="BH63" i="1"/>
  <c r="AZ3" i="1"/>
  <c r="BA1" i="1"/>
  <c r="AM162" i="1"/>
  <c r="CV12" i="1" l="1"/>
  <c r="CC123" i="1"/>
  <c r="BB28" i="1"/>
  <c r="CL140" i="1"/>
  <c r="CH136" i="1"/>
  <c r="CH141" i="1" s="1"/>
  <c r="CI110" i="1"/>
  <c r="AY89" i="1"/>
  <c r="CA71" i="1"/>
  <c r="CB69" i="1"/>
  <c r="CE72" i="1"/>
  <c r="BD18" i="25"/>
  <c r="CC68" i="1" s="1"/>
  <c r="BA3" i="1"/>
  <c r="BA80" i="1"/>
  <c r="BA82" i="1" s="1"/>
  <c r="AW4" i="25"/>
  <c r="AV1" i="25"/>
  <c r="AV3" i="25" s="1"/>
  <c r="BA87" i="1"/>
  <c r="BA77" i="1"/>
  <c r="BA83" i="1"/>
  <c r="BA84" i="1"/>
  <c r="BA76" i="1"/>
  <c r="AZ78" i="1"/>
  <c r="BA86" i="1"/>
  <c r="BA85" i="1"/>
  <c r="BI62" i="1"/>
  <c r="BI63" i="1"/>
  <c r="AY118" i="1"/>
  <c r="BB1" i="1"/>
  <c r="AN162" i="1"/>
  <c r="AY91" i="1" l="1"/>
  <c r="N36" i="29"/>
  <c r="CW12" i="1"/>
  <c r="CD123" i="1"/>
  <c r="BC28" i="1"/>
  <c r="CM140" i="1"/>
  <c r="AZ89" i="1"/>
  <c r="AZ91" i="1" s="1"/>
  <c r="CI136" i="1"/>
  <c r="CI141" i="1" s="1"/>
  <c r="CJ110" i="1"/>
  <c r="CB71" i="1"/>
  <c r="CC69" i="1"/>
  <c r="CF72" i="1"/>
  <c r="BE18" i="25"/>
  <c r="CD68" i="1" s="1"/>
  <c r="BB80" i="1"/>
  <c r="BB82" i="1" s="1"/>
  <c r="AX4" i="25"/>
  <c r="AW1" i="25"/>
  <c r="AW3" i="25" s="1"/>
  <c r="BB87" i="1"/>
  <c r="BB77" i="1"/>
  <c r="BB84" i="1"/>
  <c r="BB83" i="1"/>
  <c r="BB76" i="1"/>
  <c r="BA78" i="1"/>
  <c r="BA89" i="1" s="1"/>
  <c r="BA91" i="1" s="1"/>
  <c r="BB86" i="1"/>
  <c r="BB85" i="1"/>
  <c r="AY124" i="1"/>
  <c r="AY127" i="1" s="1"/>
  <c r="BJ62" i="1"/>
  <c r="BJ63" i="1"/>
  <c r="AZ118" i="1"/>
  <c r="BB3" i="1"/>
  <c r="BC1" i="1"/>
  <c r="AT166" i="1"/>
  <c r="CX12" i="1" l="1"/>
  <c r="CE123" i="1"/>
  <c r="BD28" i="1"/>
  <c r="CN140" i="1"/>
  <c r="CJ136" i="1"/>
  <c r="CJ141" i="1" s="1"/>
  <c r="CK110" i="1"/>
  <c r="CC71" i="1"/>
  <c r="CD69" i="1"/>
  <c r="CG72" i="1"/>
  <c r="BF18" i="25"/>
  <c r="CE68" i="1" s="1"/>
  <c r="BC3" i="1"/>
  <c r="BC80" i="1"/>
  <c r="BC82" i="1" s="1"/>
  <c r="AY4" i="25"/>
  <c r="AX1" i="25"/>
  <c r="AX3" i="25" s="1"/>
  <c r="BC87" i="1"/>
  <c r="BC83" i="1"/>
  <c r="BC84" i="1"/>
  <c r="BC77" i="1"/>
  <c r="BC76" i="1"/>
  <c r="BB78" i="1"/>
  <c r="BB89" i="1" s="1"/>
  <c r="BB91" i="1" s="1"/>
  <c r="BC85" i="1"/>
  <c r="BC86" i="1"/>
  <c r="AZ124" i="1"/>
  <c r="AZ127" i="1" s="1"/>
  <c r="BK62" i="1"/>
  <c r="BK63" i="1"/>
  <c r="BA118" i="1"/>
  <c r="BD1" i="1"/>
  <c r="CY12" i="1" l="1"/>
  <c r="BD3" i="1"/>
  <c r="CF123" i="1"/>
  <c r="BE28" i="1"/>
  <c r="CO140" i="1"/>
  <c r="CK136" i="1"/>
  <c r="CK141" i="1" s="1"/>
  <c r="CL110" i="1"/>
  <c r="BF28" i="1"/>
  <c r="CD71" i="1"/>
  <c r="CE69" i="1"/>
  <c r="CH72" i="1"/>
  <c r="BG18" i="25"/>
  <c r="CF68" i="1" s="1"/>
  <c r="BD80" i="1"/>
  <c r="BD82" i="1" s="1"/>
  <c r="AY1" i="25"/>
  <c r="AY3" i="25" s="1"/>
  <c r="AZ4" i="25"/>
  <c r="BD87" i="1"/>
  <c r="BD83" i="1"/>
  <c r="BD77" i="1"/>
  <c r="BD84" i="1"/>
  <c r="BD76" i="1"/>
  <c r="BC78" i="1"/>
  <c r="BC89" i="1" s="1"/>
  <c r="BC91" i="1" s="1"/>
  <c r="BD86" i="1"/>
  <c r="BD85" i="1"/>
  <c r="BA124" i="1"/>
  <c r="BA127" i="1" s="1"/>
  <c r="BL62" i="1"/>
  <c r="BL63" i="1"/>
  <c r="BB118" i="1"/>
  <c r="BE1" i="1"/>
  <c r="BE3" i="1" s="1"/>
  <c r="AQ162" i="1"/>
  <c r="CZ12" i="1" l="1"/>
  <c r="CG123" i="1"/>
  <c r="CP140" i="1"/>
  <c r="CL136" i="1"/>
  <c r="CL141" i="1" s="1"/>
  <c r="CM110" i="1"/>
  <c r="BG28" i="1"/>
  <c r="CE71" i="1"/>
  <c r="CF69" i="1"/>
  <c r="CI72" i="1"/>
  <c r="BH18" i="25"/>
  <c r="CG68" i="1" s="1"/>
  <c r="BE80" i="1"/>
  <c r="BE82" i="1" s="1"/>
  <c r="BA4" i="25"/>
  <c r="AZ1" i="25"/>
  <c r="AZ3" i="25" s="1"/>
  <c r="BE87" i="1"/>
  <c r="BE84" i="1"/>
  <c r="BE83" i="1"/>
  <c r="BE77" i="1"/>
  <c r="BE76" i="1"/>
  <c r="BD78" i="1"/>
  <c r="BD89" i="1" s="1"/>
  <c r="BD91" i="1" s="1"/>
  <c r="BE85" i="1"/>
  <c r="BE86" i="1"/>
  <c r="BB124" i="1"/>
  <c r="BB127" i="1" s="1"/>
  <c r="BM62" i="1"/>
  <c r="BM63" i="1"/>
  <c r="BC118" i="1"/>
  <c r="BF1" i="1"/>
  <c r="DA12" i="1" l="1"/>
  <c r="CH123" i="1"/>
  <c r="CQ140" i="1"/>
  <c r="CM136" i="1"/>
  <c r="CM141" i="1" s="1"/>
  <c r="CN110" i="1"/>
  <c r="CG69" i="1"/>
  <c r="CF71" i="1"/>
  <c r="CJ72" i="1"/>
  <c r="BI18" i="25"/>
  <c r="CH68" i="1" s="1"/>
  <c r="BF80" i="1"/>
  <c r="BF82" i="1" s="1"/>
  <c r="BB4" i="25"/>
  <c r="BA1" i="25"/>
  <c r="BA3" i="25" s="1"/>
  <c r="BF87" i="1"/>
  <c r="BF84" i="1"/>
  <c r="BF77" i="1"/>
  <c r="BF83" i="1"/>
  <c r="BF76" i="1"/>
  <c r="BE78" i="1"/>
  <c r="BF86" i="1"/>
  <c r="BF85" i="1"/>
  <c r="BC124" i="1"/>
  <c r="BC127" i="1" s="1"/>
  <c r="BN62" i="1"/>
  <c r="BN63" i="1"/>
  <c r="BD118" i="1"/>
  <c r="BF3" i="1"/>
  <c r="BG1" i="1"/>
  <c r="BG3" i="1" s="1"/>
  <c r="DB12" i="1" l="1"/>
  <c r="CI123" i="1"/>
  <c r="CR140" i="1"/>
  <c r="CN136" i="1"/>
  <c r="CN141" i="1" s="1"/>
  <c r="CO110" i="1"/>
  <c r="BI28" i="1"/>
  <c r="BE89" i="1"/>
  <c r="BE91" i="1" s="1"/>
  <c r="CH69" i="1"/>
  <c r="CG71" i="1"/>
  <c r="CK72" i="1"/>
  <c r="BJ18" i="25"/>
  <c r="CI68" i="1" s="1"/>
  <c r="BG80" i="1"/>
  <c r="BG82" i="1" s="1"/>
  <c r="BC4" i="25"/>
  <c r="BB1" i="25"/>
  <c r="BB3" i="25" s="1"/>
  <c r="BG87" i="1"/>
  <c r="BG83" i="1"/>
  <c r="BG77" i="1"/>
  <c r="BG84" i="1"/>
  <c r="BG76" i="1"/>
  <c r="BF78" i="1"/>
  <c r="BG85" i="1"/>
  <c r="BG86" i="1"/>
  <c r="BD124" i="1"/>
  <c r="BD127" i="1" s="1"/>
  <c r="BO62" i="1"/>
  <c r="BO63" i="1"/>
  <c r="BE118" i="1"/>
  <c r="BH1" i="1"/>
  <c r="BH28" i="1"/>
  <c r="AY166" i="1"/>
  <c r="AT162" i="1"/>
  <c r="DC12" i="1" l="1"/>
  <c r="CJ123" i="1"/>
  <c r="CS140" i="1"/>
  <c r="CO136" i="1"/>
  <c r="CO141" i="1" s="1"/>
  <c r="CP110" i="1"/>
  <c r="BF89" i="1"/>
  <c r="BF91" i="1" s="1"/>
  <c r="CH71" i="1"/>
  <c r="CI69" i="1"/>
  <c r="CL72" i="1"/>
  <c r="BK18" i="25"/>
  <c r="CJ68" i="1" s="1"/>
  <c r="BH80" i="1"/>
  <c r="BH82" i="1" s="1"/>
  <c r="BD4" i="25"/>
  <c r="BC1" i="25"/>
  <c r="BC3" i="25" s="1"/>
  <c r="BH87" i="1"/>
  <c r="BF118" i="1"/>
  <c r="BH84" i="1"/>
  <c r="BH77" i="1"/>
  <c r="BH83" i="1"/>
  <c r="BH76" i="1"/>
  <c r="BG78" i="1"/>
  <c r="BH86" i="1"/>
  <c r="BH85" i="1"/>
  <c r="BE124" i="1"/>
  <c r="BE127" i="1" s="1"/>
  <c r="BP62" i="1"/>
  <c r="BP63" i="1"/>
  <c r="BH3" i="1"/>
  <c r="BI1" i="1"/>
  <c r="BI3" i="1" s="1"/>
  <c r="AZ166" i="1"/>
  <c r="DD12" i="1" l="1"/>
  <c r="CK123" i="1"/>
  <c r="CT140" i="1"/>
  <c r="CP136" i="1"/>
  <c r="CP141" i="1" s="1"/>
  <c r="CQ110" i="1"/>
  <c r="BK28" i="1"/>
  <c r="CI71" i="1"/>
  <c r="BG89" i="1"/>
  <c r="BG91" i="1" s="1"/>
  <c r="CJ69" i="1"/>
  <c r="CM72" i="1"/>
  <c r="BL18" i="25"/>
  <c r="CK68" i="1" s="1"/>
  <c r="BI80" i="1"/>
  <c r="BI82" i="1" s="1"/>
  <c r="BG118" i="1"/>
  <c r="BE4" i="25"/>
  <c r="BD1" i="25"/>
  <c r="BD3" i="25" s="1"/>
  <c r="BI87" i="1"/>
  <c r="BF124" i="1"/>
  <c r="BF127" i="1" s="1"/>
  <c r="BI84" i="1"/>
  <c r="BI83" i="1"/>
  <c r="BI77" i="1"/>
  <c r="BI76" i="1"/>
  <c r="BH78" i="1"/>
  <c r="BI85" i="1"/>
  <c r="BI86" i="1"/>
  <c r="BQ62" i="1"/>
  <c r="BQ63" i="1"/>
  <c r="BJ1" i="1"/>
  <c r="BJ28" i="1"/>
  <c r="BA166" i="1"/>
  <c r="DE12" i="1" l="1"/>
  <c r="BJ3" i="1"/>
  <c r="CL123" i="1"/>
  <c r="CU140" i="1"/>
  <c r="CQ136" i="1"/>
  <c r="CQ141" i="1" s="1"/>
  <c r="CR110" i="1"/>
  <c r="BL28" i="1"/>
  <c r="BG124" i="1"/>
  <c r="BG127" i="1" s="1"/>
  <c r="BH89" i="1"/>
  <c r="BH91" i="1" s="1"/>
  <c r="CK69" i="1"/>
  <c r="CJ71" i="1"/>
  <c r="CN72" i="1"/>
  <c r="BM18" i="25"/>
  <c r="CL68" i="1" s="1"/>
  <c r="BJ80" i="1"/>
  <c r="BJ82" i="1" s="1"/>
  <c r="BH118" i="1"/>
  <c r="BF4" i="25"/>
  <c r="BE1" i="25"/>
  <c r="BE3" i="25" s="1"/>
  <c r="BJ87" i="1"/>
  <c r="BJ84" i="1"/>
  <c r="BJ77" i="1"/>
  <c r="BJ83" i="1"/>
  <c r="BJ76" i="1"/>
  <c r="BI78" i="1"/>
  <c r="BJ86" i="1"/>
  <c r="BJ85" i="1"/>
  <c r="BR62" i="1"/>
  <c r="BR63" i="1"/>
  <c r="BK1" i="1"/>
  <c r="BK3" i="1" s="1"/>
  <c r="BB166" i="1"/>
  <c r="DF12" i="1" l="1"/>
  <c r="CM123" i="1"/>
  <c r="CV140" i="1"/>
  <c r="CR136" i="1"/>
  <c r="CR141" i="1" s="1"/>
  <c r="CS110" i="1"/>
  <c r="BI89" i="1"/>
  <c r="BI91" i="1" s="1"/>
  <c r="BI118" i="1"/>
  <c r="BH124" i="1"/>
  <c r="BH127" i="1" s="1"/>
  <c r="CL69" i="1"/>
  <c r="CK71" i="1"/>
  <c r="CO72" i="1"/>
  <c r="BN18" i="25"/>
  <c r="CM68" i="1" s="1"/>
  <c r="BK80" i="1"/>
  <c r="BK82" i="1" s="1"/>
  <c r="BG4" i="25"/>
  <c r="BF1" i="25"/>
  <c r="BF3" i="25" s="1"/>
  <c r="BK87" i="1"/>
  <c r="BK77" i="1"/>
  <c r="BK83" i="1"/>
  <c r="BK84" i="1"/>
  <c r="BK76" i="1"/>
  <c r="BJ78" i="1"/>
  <c r="BK85" i="1"/>
  <c r="BK86" i="1"/>
  <c r="BS63" i="1"/>
  <c r="BS62" i="1"/>
  <c r="BL1" i="1"/>
  <c r="BC166" i="1"/>
  <c r="AY132" i="1"/>
  <c r="AY143" i="1" s="1"/>
  <c r="DG12" i="1" l="1"/>
  <c r="CN123" i="1"/>
  <c r="CW140" i="1"/>
  <c r="CS136" i="1"/>
  <c r="CS141" i="1" s="1"/>
  <c r="CT110" i="1"/>
  <c r="BN28" i="1"/>
  <c r="BJ118" i="1"/>
  <c r="BJ89" i="1"/>
  <c r="BJ91" i="1" s="1"/>
  <c r="BI124" i="1"/>
  <c r="BI127" i="1" s="1"/>
  <c r="CM69" i="1"/>
  <c r="CL71" i="1"/>
  <c r="CP72" i="1"/>
  <c r="BO18" i="25"/>
  <c r="CN68" i="1" s="1"/>
  <c r="BL80" i="1"/>
  <c r="BL82" i="1" s="1"/>
  <c r="BG1" i="25"/>
  <c r="BG3" i="25" s="1"/>
  <c r="BH4" i="25"/>
  <c r="BL87" i="1"/>
  <c r="BL83" i="1"/>
  <c r="BL84" i="1"/>
  <c r="BL77" i="1"/>
  <c r="BL76" i="1"/>
  <c r="BK78" i="1"/>
  <c r="BL86" i="1"/>
  <c r="BL85" i="1"/>
  <c r="BL3" i="1"/>
  <c r="BT62" i="1"/>
  <c r="BT63" i="1"/>
  <c r="BM1" i="1"/>
  <c r="BM3" i="1" s="1"/>
  <c r="BM28" i="1"/>
  <c r="BD166" i="1"/>
  <c r="AZ132" i="1"/>
  <c r="AZ143" i="1" s="1"/>
  <c r="AY162" i="1"/>
  <c r="CO123" i="1" l="1"/>
  <c r="CX140" i="1"/>
  <c r="CT136" i="1"/>
  <c r="CT141" i="1" s="1"/>
  <c r="CU110" i="1"/>
  <c r="BJ124" i="1"/>
  <c r="BJ127" i="1" s="1"/>
  <c r="BK118" i="1"/>
  <c r="BO28" i="1"/>
  <c r="BK89" i="1"/>
  <c r="BK91" i="1" s="1"/>
  <c r="CM71" i="1"/>
  <c r="CN69" i="1"/>
  <c r="CQ72" i="1"/>
  <c r="BP18" i="25"/>
  <c r="CO68" i="1" s="1"/>
  <c r="BM80" i="1"/>
  <c r="BM82" i="1" s="1"/>
  <c r="BI4" i="25"/>
  <c r="BH1" i="25"/>
  <c r="BH3" i="25" s="1"/>
  <c r="BM87" i="1"/>
  <c r="BM77" i="1"/>
  <c r="BM84" i="1"/>
  <c r="BM83" i="1"/>
  <c r="BM76" i="1"/>
  <c r="BL78" i="1"/>
  <c r="BL89" i="1" s="1"/>
  <c r="BL91" i="1" s="1"/>
  <c r="BM85" i="1"/>
  <c r="BM86" i="1"/>
  <c r="BU63" i="1"/>
  <c r="BU62" i="1"/>
  <c r="BN1" i="1"/>
  <c r="BN3" i="1" s="1"/>
  <c r="BE166" i="1"/>
  <c r="AZ162" i="1"/>
  <c r="BA132" i="1"/>
  <c r="BA143" i="1" s="1"/>
  <c r="AY116" i="1"/>
  <c r="CP123" i="1" l="1"/>
  <c r="CY140" i="1"/>
  <c r="BL118" i="1"/>
  <c r="BK124" i="1"/>
  <c r="BK127" i="1" s="1"/>
  <c r="CU136" i="1"/>
  <c r="CU141" i="1" s="1"/>
  <c r="CV110" i="1"/>
  <c r="BP28" i="1"/>
  <c r="CN71" i="1"/>
  <c r="CO69" i="1"/>
  <c r="CR72" i="1"/>
  <c r="BQ18" i="25"/>
  <c r="CP68" i="1" s="1"/>
  <c r="BN80" i="1"/>
  <c r="BN82" i="1" s="1"/>
  <c r="BJ4" i="25"/>
  <c r="BI1" i="25"/>
  <c r="BI3" i="25" s="1"/>
  <c r="BN87" i="1"/>
  <c r="BN84" i="1"/>
  <c r="BN83" i="1"/>
  <c r="BN77" i="1"/>
  <c r="BN76" i="1"/>
  <c r="BM78" i="1"/>
  <c r="BN86" i="1"/>
  <c r="BN85" i="1"/>
  <c r="BV62" i="1"/>
  <c r="BV63" i="1"/>
  <c r="BO1" i="1"/>
  <c r="BF166" i="1"/>
  <c r="BA162" i="1"/>
  <c r="BB132" i="1"/>
  <c r="BB143" i="1" s="1"/>
  <c r="AZ116" i="1"/>
  <c r="CQ123" i="1" l="1"/>
  <c r="BL124" i="1"/>
  <c r="BL127" i="1" s="1"/>
  <c r="CZ140" i="1"/>
  <c r="BM118" i="1"/>
  <c r="CV136" i="1"/>
  <c r="CV141" i="1" s="1"/>
  <c r="CW110" i="1"/>
  <c r="BQ28" i="1"/>
  <c r="BM89" i="1"/>
  <c r="BM91" i="1" s="1"/>
  <c r="CO71" i="1"/>
  <c r="CP69" i="1"/>
  <c r="CS72" i="1"/>
  <c r="BR18" i="25"/>
  <c r="CQ68" i="1" s="1"/>
  <c r="BO3" i="1"/>
  <c r="BO80" i="1"/>
  <c r="BO82" i="1" s="1"/>
  <c r="BK4" i="25"/>
  <c r="BJ1" i="25"/>
  <c r="BJ3" i="25" s="1"/>
  <c r="BO87" i="1"/>
  <c r="BO84" i="1"/>
  <c r="BO77" i="1"/>
  <c r="BO83" i="1"/>
  <c r="BO76" i="1"/>
  <c r="BN78" i="1"/>
  <c r="BN89" i="1" s="1"/>
  <c r="BN91" i="1" s="1"/>
  <c r="BO85" i="1"/>
  <c r="BO86" i="1"/>
  <c r="BW63" i="1"/>
  <c r="BW62" i="1"/>
  <c r="BP1" i="1"/>
  <c r="BG166" i="1"/>
  <c r="BC132" i="1"/>
  <c r="BC143" i="1" s="1"/>
  <c r="BB162" i="1"/>
  <c r="AY74" i="1"/>
  <c r="BA116" i="1"/>
  <c r="BP3" i="1" l="1"/>
  <c r="CR123" i="1"/>
  <c r="BM124" i="1"/>
  <c r="BM127" i="1" s="1"/>
  <c r="DA140" i="1"/>
  <c r="BN118" i="1"/>
  <c r="CW136" i="1"/>
  <c r="CW141" i="1" s="1"/>
  <c r="CX110" i="1"/>
  <c r="BR28" i="1"/>
  <c r="CQ69" i="1"/>
  <c r="CP71" i="1"/>
  <c r="CT72" i="1"/>
  <c r="BS18" i="25"/>
  <c r="CR68" i="1" s="1"/>
  <c r="BP80" i="1"/>
  <c r="BP82" i="1" s="1"/>
  <c r="BL4" i="25"/>
  <c r="BK1" i="25"/>
  <c r="BK3" i="25" s="1"/>
  <c r="BP87" i="1"/>
  <c r="BP83" i="1"/>
  <c r="BP84" i="1"/>
  <c r="BP77" i="1"/>
  <c r="BP76" i="1"/>
  <c r="BO78" i="1"/>
  <c r="BO89" i="1" s="1"/>
  <c r="BO91" i="1" s="1"/>
  <c r="BP86" i="1"/>
  <c r="BP85" i="1"/>
  <c r="BX62" i="1"/>
  <c r="BX63" i="1"/>
  <c r="BQ1" i="1"/>
  <c r="BQ3" i="1" s="1"/>
  <c r="BH166" i="1"/>
  <c r="BD132" i="1"/>
  <c r="BD143" i="1" s="1"/>
  <c r="BC162" i="1"/>
  <c r="AZ74" i="1"/>
  <c r="BB116" i="1"/>
  <c r="AY95" i="1"/>
  <c r="CS123" i="1" l="1"/>
  <c r="DB140" i="1"/>
  <c r="BN124" i="1"/>
  <c r="BN127" i="1" s="1"/>
  <c r="BO118" i="1"/>
  <c r="BO124" i="1" s="1"/>
  <c r="BO127" i="1" s="1"/>
  <c r="CX136" i="1"/>
  <c r="CX141" i="1" s="1"/>
  <c r="CY110" i="1"/>
  <c r="BS28" i="1"/>
  <c r="CQ71" i="1"/>
  <c r="CR69" i="1"/>
  <c r="CR71" i="1" s="1"/>
  <c r="CU72" i="1"/>
  <c r="BT18" i="25"/>
  <c r="CS68" i="1" s="1"/>
  <c r="BQ80" i="1"/>
  <c r="BQ82" i="1" s="1"/>
  <c r="BM4" i="25"/>
  <c r="BL1" i="25"/>
  <c r="BL3" i="25" s="1"/>
  <c r="BQ87" i="1"/>
  <c r="BQ84" i="1"/>
  <c r="BQ77" i="1"/>
  <c r="BQ83" i="1"/>
  <c r="BQ76" i="1"/>
  <c r="BP78" i="1"/>
  <c r="BP89" i="1" s="1"/>
  <c r="BP91" i="1" s="1"/>
  <c r="BQ85" i="1"/>
  <c r="BQ86" i="1"/>
  <c r="BY63" i="1"/>
  <c r="BY62" i="1"/>
  <c r="BR1" i="1"/>
  <c r="BI166" i="1"/>
  <c r="BD162" i="1"/>
  <c r="BE132" i="1"/>
  <c r="BE143" i="1" s="1"/>
  <c r="BA74" i="1"/>
  <c r="BC116" i="1"/>
  <c r="AZ95" i="1"/>
  <c r="AY96" i="1"/>
  <c r="AY97" i="1" s="1"/>
  <c r="CT123" i="1" l="1"/>
  <c r="BP118" i="1"/>
  <c r="DC140" i="1"/>
  <c r="CY136" i="1"/>
  <c r="CY141" i="1" s="1"/>
  <c r="CZ110" i="1"/>
  <c r="BT28" i="1"/>
  <c r="CS69" i="1"/>
  <c r="CV72" i="1"/>
  <c r="BU18" i="25"/>
  <c r="CT68" i="1" s="1"/>
  <c r="BR80" i="1"/>
  <c r="BR82" i="1" s="1"/>
  <c r="BN4" i="25"/>
  <c r="BM1" i="25"/>
  <c r="BM3" i="25" s="1"/>
  <c r="BR87" i="1"/>
  <c r="BR77" i="1"/>
  <c r="BR83" i="1"/>
  <c r="BR84" i="1"/>
  <c r="BR76" i="1"/>
  <c r="BQ78" i="1"/>
  <c r="BQ89" i="1" s="1"/>
  <c r="BQ91" i="1" s="1"/>
  <c r="BR86" i="1"/>
  <c r="BR85" i="1"/>
  <c r="BZ62" i="1"/>
  <c r="BZ63" i="1"/>
  <c r="BS1" i="1"/>
  <c r="BS3" i="1" s="1"/>
  <c r="BR3" i="1"/>
  <c r="BJ166" i="1"/>
  <c r="BF132" i="1"/>
  <c r="BF143" i="1" s="1"/>
  <c r="BE162" i="1"/>
  <c r="BB74" i="1"/>
  <c r="BD116" i="1"/>
  <c r="BA95" i="1"/>
  <c r="AZ96" i="1"/>
  <c r="AZ97" i="1" s="1"/>
  <c r="CU123" i="1" l="1"/>
  <c r="BP124" i="1"/>
  <c r="BP127" i="1" s="1"/>
  <c r="BQ118" i="1"/>
  <c r="DD140" i="1"/>
  <c r="CZ136" i="1"/>
  <c r="CZ141" i="1" s="1"/>
  <c r="DA110" i="1"/>
  <c r="BU28" i="1"/>
  <c r="CT69" i="1"/>
  <c r="CS71" i="1"/>
  <c r="CW72" i="1"/>
  <c r="BV18" i="25"/>
  <c r="CU68" i="1" s="1"/>
  <c r="BS80" i="1"/>
  <c r="BS82" i="1" s="1"/>
  <c r="BO4" i="25"/>
  <c r="BN1" i="25"/>
  <c r="BN3" i="25" s="1"/>
  <c r="BS87" i="1"/>
  <c r="BS84" i="1"/>
  <c r="BS83" i="1"/>
  <c r="BS77" i="1"/>
  <c r="BS76" i="1"/>
  <c r="BR78" i="1"/>
  <c r="BS85" i="1"/>
  <c r="BS86" i="1"/>
  <c r="CA63" i="1"/>
  <c r="CA62" i="1"/>
  <c r="BT1" i="1"/>
  <c r="BK166" i="1"/>
  <c r="BG132" i="1"/>
  <c r="BG143" i="1" s="1"/>
  <c r="BF162" i="1"/>
  <c r="BC74" i="1"/>
  <c r="BE116" i="1"/>
  <c r="BB95" i="1"/>
  <c r="BA96" i="1"/>
  <c r="BA97" i="1" s="1"/>
  <c r="BR118" i="1" l="1"/>
  <c r="BQ124" i="1"/>
  <c r="BQ127" i="1" s="1"/>
  <c r="BT3" i="1"/>
  <c r="CV123" i="1"/>
  <c r="DE140" i="1"/>
  <c r="DA136" i="1"/>
  <c r="DA141" i="1" s="1"/>
  <c r="DB110" i="1"/>
  <c r="BV28" i="1"/>
  <c r="BR89" i="1"/>
  <c r="BR91" i="1" s="1"/>
  <c r="CT71" i="1"/>
  <c r="CU69" i="1"/>
  <c r="CX72" i="1"/>
  <c r="BW18" i="25"/>
  <c r="CV68" i="1" s="1"/>
  <c r="BT80" i="1"/>
  <c r="BT82" i="1" s="1"/>
  <c r="BO1" i="25"/>
  <c r="BO3" i="25" s="1"/>
  <c r="BP4" i="25"/>
  <c r="BT87" i="1"/>
  <c r="BT77" i="1"/>
  <c r="BT83" i="1"/>
  <c r="BT84" i="1"/>
  <c r="BT76" i="1"/>
  <c r="BS78" i="1"/>
  <c r="BS89" i="1" s="1"/>
  <c r="BS91" i="1" s="1"/>
  <c r="BT86" i="1"/>
  <c r="BT85" i="1"/>
  <c r="CB62" i="1"/>
  <c r="CB63" i="1"/>
  <c r="BU1" i="1"/>
  <c r="BU3" i="1" s="1"/>
  <c r="BL166" i="1"/>
  <c r="BH132" i="1"/>
  <c r="BH143" i="1" s="1"/>
  <c r="BG162" i="1"/>
  <c r="BD74" i="1"/>
  <c r="BF116" i="1"/>
  <c r="BC95" i="1"/>
  <c r="BB96" i="1"/>
  <c r="BB97" i="1" s="1"/>
  <c r="BR124" i="1" l="1"/>
  <c r="BR127" i="1" s="1"/>
  <c r="BS118" i="1"/>
  <c r="CW123" i="1"/>
  <c r="DF140" i="1"/>
  <c r="DB136" i="1"/>
  <c r="DB141" i="1" s="1"/>
  <c r="DC110" i="1"/>
  <c r="BW28" i="1"/>
  <c r="CU71" i="1"/>
  <c r="CV69" i="1"/>
  <c r="CY72" i="1"/>
  <c r="BX18" i="25"/>
  <c r="CW68" i="1" s="1"/>
  <c r="BU80" i="1"/>
  <c r="BU82" i="1" s="1"/>
  <c r="BQ4" i="25"/>
  <c r="BP1" i="25"/>
  <c r="BP3" i="25" s="1"/>
  <c r="BU87" i="1"/>
  <c r="BU84" i="1"/>
  <c r="BU83" i="1"/>
  <c r="BU77" i="1"/>
  <c r="BU76" i="1"/>
  <c r="BT78" i="1"/>
  <c r="BT89" i="1" s="1"/>
  <c r="BT91" i="1" s="1"/>
  <c r="BU85" i="1"/>
  <c r="BU86" i="1"/>
  <c r="BS124" i="1"/>
  <c r="BS127" i="1" s="1"/>
  <c r="CC63" i="1"/>
  <c r="CC62" i="1"/>
  <c r="BV1" i="1"/>
  <c r="BV3" i="1" s="1"/>
  <c r="BT118" i="1"/>
  <c r="BM166" i="1"/>
  <c r="BH162" i="1"/>
  <c r="BI132" i="1"/>
  <c r="BI143" i="1" s="1"/>
  <c r="BE74" i="1"/>
  <c r="BG116" i="1"/>
  <c r="BD95" i="1"/>
  <c r="BC96" i="1"/>
  <c r="BC97" i="1" s="1"/>
  <c r="CX123" i="1" l="1"/>
  <c r="DG140" i="1"/>
  <c r="DC136" i="1"/>
  <c r="DC141" i="1" s="1"/>
  <c r="DD110" i="1"/>
  <c r="BX28" i="1"/>
  <c r="CW69" i="1"/>
  <c r="CV71" i="1"/>
  <c r="CZ72" i="1"/>
  <c r="BY18" i="25"/>
  <c r="CX68" i="1" s="1"/>
  <c r="BV80" i="1"/>
  <c r="BV82" i="1" s="1"/>
  <c r="BR4" i="25"/>
  <c r="BQ1" i="25"/>
  <c r="BQ3" i="25" s="1"/>
  <c r="BV87" i="1"/>
  <c r="BV84" i="1"/>
  <c r="BV77" i="1"/>
  <c r="BV83" i="1"/>
  <c r="BV76" i="1"/>
  <c r="BU78" i="1"/>
  <c r="BU89" i="1" s="1"/>
  <c r="BU91" i="1" s="1"/>
  <c r="BV86" i="1"/>
  <c r="BV85" i="1"/>
  <c r="BT124" i="1"/>
  <c r="BT127" i="1" s="1"/>
  <c r="CD62" i="1"/>
  <c r="CD63" i="1"/>
  <c r="BW1" i="1"/>
  <c r="BW3" i="1" s="1"/>
  <c r="BU118" i="1"/>
  <c r="BN166" i="1"/>
  <c r="BI162" i="1"/>
  <c r="BJ132" i="1"/>
  <c r="BJ143" i="1" s="1"/>
  <c r="BF74" i="1"/>
  <c r="BH116" i="1"/>
  <c r="BE95" i="1"/>
  <c r="BD96" i="1"/>
  <c r="BD97" i="1" s="1"/>
  <c r="CY123" i="1" l="1"/>
  <c r="DD136" i="1"/>
  <c r="DD141" i="1" s="1"/>
  <c r="DE110" i="1"/>
  <c r="CX69" i="1"/>
  <c r="CW71" i="1"/>
  <c r="DA72" i="1"/>
  <c r="BZ18" i="25"/>
  <c r="CY68" i="1" s="1"/>
  <c r="BW80" i="1"/>
  <c r="BW82" i="1" s="1"/>
  <c r="BS4" i="25"/>
  <c r="BR1" i="25"/>
  <c r="BR3" i="25" s="1"/>
  <c r="BW87" i="1"/>
  <c r="BW84" i="1"/>
  <c r="BW83" i="1"/>
  <c r="BW77" i="1"/>
  <c r="BW76" i="1"/>
  <c r="BV78" i="1"/>
  <c r="BV89" i="1" s="1"/>
  <c r="BV91" i="1" s="1"/>
  <c r="BW85" i="1"/>
  <c r="BW86" i="1"/>
  <c r="BU124" i="1"/>
  <c r="BU127" i="1" s="1"/>
  <c r="CE63" i="1"/>
  <c r="CE62" i="1"/>
  <c r="BX1" i="1"/>
  <c r="BX3" i="1" s="1"/>
  <c r="BV118" i="1"/>
  <c r="BO166" i="1"/>
  <c r="BJ162" i="1"/>
  <c r="BK132" i="1"/>
  <c r="BK143" i="1" s="1"/>
  <c r="BG74" i="1"/>
  <c r="BI116" i="1"/>
  <c r="BF95" i="1"/>
  <c r="BE96" i="1"/>
  <c r="BE97" i="1" s="1"/>
  <c r="L21" i="30" l="1"/>
  <c r="L20" i="30"/>
  <c r="L22" i="30" s="1"/>
  <c r="L28" i="30"/>
  <c r="L24" i="30"/>
  <c r="L50" i="30"/>
  <c r="L49" i="30"/>
  <c r="L46" i="30"/>
  <c r="L29" i="30"/>
  <c r="L25" i="30"/>
  <c r="L51" i="30"/>
  <c r="L23" i="30"/>
  <c r="L42" i="30"/>
  <c r="L30" i="30"/>
  <c r="L37" i="30"/>
  <c r="L47" i="30"/>
  <c r="CZ123" i="1"/>
  <c r="K36" i="30"/>
  <c r="K37" i="30" s="1"/>
  <c r="K46" i="30"/>
  <c r="K50" i="30"/>
  <c r="K20" i="30"/>
  <c r="K29" i="30"/>
  <c r="K51" i="30"/>
  <c r="K30" i="30"/>
  <c r="K28" i="30"/>
  <c r="K23" i="30"/>
  <c r="K25" i="30"/>
  <c r="K42" i="30"/>
  <c r="K21" i="30"/>
  <c r="K47" i="30"/>
  <c r="K24" i="30"/>
  <c r="D42" i="29"/>
  <c r="J25" i="30"/>
  <c r="AF42" i="27"/>
  <c r="AF31" i="27"/>
  <c r="J24" i="30"/>
  <c r="AF26" i="27"/>
  <c r="E42" i="29"/>
  <c r="I20" i="30"/>
  <c r="J50" i="30"/>
  <c r="J21" i="30"/>
  <c r="J46" i="30"/>
  <c r="L42" i="29"/>
  <c r="AF25" i="27"/>
  <c r="AF28" i="27"/>
  <c r="AF47" i="27"/>
  <c r="AF23" i="27"/>
  <c r="J49" i="30"/>
  <c r="I47" i="30"/>
  <c r="J30" i="30"/>
  <c r="I36" i="30"/>
  <c r="I37" i="30" s="1"/>
  <c r="I24" i="30"/>
  <c r="J42" i="29"/>
  <c r="I25" i="30"/>
  <c r="E42" i="30"/>
  <c r="I23" i="30"/>
  <c r="AF56" i="27"/>
  <c r="J20" i="30"/>
  <c r="J28" i="30"/>
  <c r="AF48" i="27"/>
  <c r="N42" i="29"/>
  <c r="AF55" i="27"/>
  <c r="D42" i="30"/>
  <c r="C42" i="29"/>
  <c r="I42" i="29"/>
  <c r="AF44" i="27"/>
  <c r="I21" i="30"/>
  <c r="G42" i="29"/>
  <c r="AF45" i="27"/>
  <c r="AF49" i="27"/>
  <c r="J36" i="30"/>
  <c r="J37" i="30" s="1"/>
  <c r="J23" i="30"/>
  <c r="I28" i="30"/>
  <c r="G42" i="30"/>
  <c r="H42" i="29"/>
  <c r="C42" i="30"/>
  <c r="F42" i="29"/>
  <c r="I46" i="30"/>
  <c r="I29" i="30"/>
  <c r="AF46" i="27"/>
  <c r="K42" i="29"/>
  <c r="I50" i="30"/>
  <c r="J29" i="30"/>
  <c r="I30" i="30"/>
  <c r="AF29" i="27"/>
  <c r="F42" i="30"/>
  <c r="H42" i="30"/>
  <c r="I51" i="30"/>
  <c r="J51" i="30"/>
  <c r="J42" i="30"/>
  <c r="M42" i="29"/>
  <c r="J47" i="30"/>
  <c r="I42" i="30"/>
  <c r="AF50" i="27"/>
  <c r="AF43" i="27"/>
  <c r="G49" i="30"/>
  <c r="H23" i="30"/>
  <c r="H50" i="30"/>
  <c r="H28" i="30"/>
  <c r="H30" i="30"/>
  <c r="F46" i="30"/>
  <c r="H21" i="30"/>
  <c r="H51" i="30"/>
  <c r="H24" i="30"/>
  <c r="H46" i="30"/>
  <c r="H25" i="30"/>
  <c r="H47" i="30"/>
  <c r="G50" i="30"/>
  <c r="H29" i="30"/>
  <c r="H36" i="30"/>
  <c r="H37" i="30" s="1"/>
  <c r="G47" i="30"/>
  <c r="G46" i="30"/>
  <c r="F51" i="30"/>
  <c r="F50" i="30"/>
  <c r="H20" i="30"/>
  <c r="G51" i="30"/>
  <c r="F47" i="30"/>
  <c r="G24" i="30"/>
  <c r="L51" i="29"/>
  <c r="N51" i="29"/>
  <c r="G36" i="30"/>
  <c r="G37" i="30" s="1"/>
  <c r="J51" i="29"/>
  <c r="G28" i="30"/>
  <c r="G30" i="30"/>
  <c r="M51" i="29"/>
  <c r="K51" i="29"/>
  <c r="G25" i="30"/>
  <c r="I51" i="29"/>
  <c r="G21" i="30"/>
  <c r="G29" i="30"/>
  <c r="G20" i="30"/>
  <c r="G23" i="30"/>
  <c r="H51" i="29"/>
  <c r="F24" i="30"/>
  <c r="F29" i="30"/>
  <c r="F23" i="30"/>
  <c r="F36" i="30"/>
  <c r="F37" i="30" s="1"/>
  <c r="F21" i="30"/>
  <c r="F25" i="30"/>
  <c r="F20" i="30"/>
  <c r="F28" i="30"/>
  <c r="F30" i="30"/>
  <c r="E25" i="30"/>
  <c r="E29" i="30"/>
  <c r="E28" i="30"/>
  <c r="E51" i="30"/>
  <c r="E23" i="30"/>
  <c r="E50" i="30"/>
  <c r="E46" i="30"/>
  <c r="E52" i="30" s="1"/>
  <c r="E20" i="30"/>
  <c r="E30" i="30"/>
  <c r="E36" i="30"/>
  <c r="E37" i="30" s="1"/>
  <c r="E24" i="30"/>
  <c r="E47" i="30"/>
  <c r="E21" i="30"/>
  <c r="N21" i="29"/>
  <c r="D29" i="30"/>
  <c r="D24" i="30"/>
  <c r="C36" i="30"/>
  <c r="D28" i="30"/>
  <c r="D49" i="30"/>
  <c r="C24" i="30"/>
  <c r="D50" i="30"/>
  <c r="D21" i="30"/>
  <c r="D23" i="30"/>
  <c r="D30" i="30"/>
  <c r="D47" i="30"/>
  <c r="D20" i="30"/>
  <c r="D46" i="30"/>
  <c r="C29" i="30"/>
  <c r="C51" i="30"/>
  <c r="C25" i="30"/>
  <c r="M42" i="30"/>
  <c r="M43" i="30" s="1"/>
  <c r="M44" i="30" s="1"/>
  <c r="C20" i="30"/>
  <c r="C23" i="30"/>
  <c r="C28" i="30"/>
  <c r="C47" i="30"/>
  <c r="C46" i="30"/>
  <c r="D25" i="30"/>
  <c r="C30" i="30"/>
  <c r="C50" i="30"/>
  <c r="D51" i="30"/>
  <c r="C21" i="30"/>
  <c r="N42" i="30"/>
  <c r="N43" i="30" s="1"/>
  <c r="N44" i="30" s="1"/>
  <c r="D36" i="30"/>
  <c r="D37" i="30" s="1"/>
  <c r="BY28" i="1"/>
  <c r="DE136" i="1"/>
  <c r="DE141" i="1" s="1"/>
  <c r="DF110" i="1"/>
  <c r="E50" i="29"/>
  <c r="D50" i="29"/>
  <c r="C50" i="29"/>
  <c r="F50" i="29"/>
  <c r="G50" i="29"/>
  <c r="J30" i="24"/>
  <c r="C36" i="24"/>
  <c r="C37" i="24" s="1"/>
  <c r="H30" i="24"/>
  <c r="D36" i="24"/>
  <c r="D37" i="24" s="1"/>
  <c r="D21" i="24"/>
  <c r="G20" i="24"/>
  <c r="E20" i="24"/>
  <c r="D49" i="24"/>
  <c r="F51" i="29"/>
  <c r="C21" i="24"/>
  <c r="G36" i="24"/>
  <c r="G37" i="24" s="1"/>
  <c r="C29" i="24"/>
  <c r="C20" i="24"/>
  <c r="D29" i="24"/>
  <c r="D37" i="29"/>
  <c r="G28" i="24"/>
  <c r="C42" i="24"/>
  <c r="D51" i="29"/>
  <c r="C28" i="24"/>
  <c r="F21" i="24"/>
  <c r="E49" i="24"/>
  <c r="K42" i="24"/>
  <c r="K30" i="24"/>
  <c r="C49" i="24"/>
  <c r="F36" i="24"/>
  <c r="F37" i="24" s="1"/>
  <c r="E21" i="24"/>
  <c r="I30" i="24"/>
  <c r="E30" i="24"/>
  <c r="L42" i="24"/>
  <c r="D20" i="24"/>
  <c r="F20" i="24"/>
  <c r="E42" i="24"/>
  <c r="L30" i="24"/>
  <c r="G30" i="24"/>
  <c r="C30" i="24"/>
  <c r="E51" i="29"/>
  <c r="G29" i="24"/>
  <c r="D30" i="24"/>
  <c r="F49" i="24"/>
  <c r="G42" i="24"/>
  <c r="F29" i="24"/>
  <c r="I42" i="24"/>
  <c r="M42" i="24"/>
  <c r="D28" i="24"/>
  <c r="N42" i="24"/>
  <c r="E37" i="29"/>
  <c r="E28" i="24"/>
  <c r="F37" i="29"/>
  <c r="C51" i="29"/>
  <c r="F30" i="24"/>
  <c r="G51" i="29"/>
  <c r="J42" i="24"/>
  <c r="D42" i="24"/>
  <c r="F28" i="24"/>
  <c r="G21" i="24"/>
  <c r="H21" i="24"/>
  <c r="F42" i="24"/>
  <c r="E36" i="24"/>
  <c r="E37" i="24" s="1"/>
  <c r="E29" i="24"/>
  <c r="H42" i="24"/>
  <c r="H50" i="29"/>
  <c r="I50" i="29"/>
  <c r="M50" i="29"/>
  <c r="G37" i="29"/>
  <c r="K50" i="29"/>
  <c r="I37" i="29"/>
  <c r="H37" i="29"/>
  <c r="J50" i="29"/>
  <c r="I21" i="24"/>
  <c r="M37" i="29"/>
  <c r="L50" i="29"/>
  <c r="J21" i="24"/>
  <c r="N50" i="29"/>
  <c r="J37" i="29"/>
  <c r="K37" i="29"/>
  <c r="K21" i="24"/>
  <c r="L21" i="24"/>
  <c r="L37" i="29"/>
  <c r="C21" i="29"/>
  <c r="M21" i="24"/>
  <c r="N21" i="24"/>
  <c r="N37" i="29"/>
  <c r="D21" i="29"/>
  <c r="E21" i="29"/>
  <c r="G21" i="29"/>
  <c r="F21" i="29"/>
  <c r="H21" i="29"/>
  <c r="L21" i="29"/>
  <c r="K21" i="29"/>
  <c r="J21" i="29"/>
  <c r="I21" i="29"/>
  <c r="M21" i="29"/>
  <c r="CX71" i="1"/>
  <c r="CY69" i="1"/>
  <c r="DB72" i="1"/>
  <c r="CA18" i="25"/>
  <c r="CZ68" i="1" s="1"/>
  <c r="BX80" i="1"/>
  <c r="BX82" i="1" s="1"/>
  <c r="BT4" i="25"/>
  <c r="BS1" i="25"/>
  <c r="BS3" i="25" s="1"/>
  <c r="BX87" i="1"/>
  <c r="BX84" i="1"/>
  <c r="BX77" i="1"/>
  <c r="BX83" i="1"/>
  <c r="BX76" i="1"/>
  <c r="BW78" i="1"/>
  <c r="BW89" i="1" s="1"/>
  <c r="BW91" i="1" s="1"/>
  <c r="BX85" i="1"/>
  <c r="BX86" i="1"/>
  <c r="BV124" i="1"/>
  <c r="BV127" i="1" s="1"/>
  <c r="CF62" i="1"/>
  <c r="CF63" i="1"/>
  <c r="BZ28" i="1"/>
  <c r="BY1" i="1"/>
  <c r="BY3" i="1" s="1"/>
  <c r="BW118" i="1"/>
  <c r="BP166" i="1"/>
  <c r="BK162" i="1"/>
  <c r="BL132" i="1"/>
  <c r="BL143" i="1" s="1"/>
  <c r="BH74" i="1"/>
  <c r="BJ116" i="1"/>
  <c r="BG95" i="1"/>
  <c r="BF96" i="1"/>
  <c r="BF97" i="1" s="1"/>
  <c r="AF52" i="27" l="1"/>
  <c r="L54" i="30"/>
  <c r="L52" i="30"/>
  <c r="L31" i="30"/>
  <c r="L33" i="30" s="1"/>
  <c r="AS31" i="27"/>
  <c r="AT31" i="27"/>
  <c r="AS26" i="27"/>
  <c r="AT26" i="27"/>
  <c r="AS25" i="27"/>
  <c r="AT25" i="27"/>
  <c r="AS28" i="27"/>
  <c r="AT28" i="27"/>
  <c r="AS47" i="27"/>
  <c r="AT47" i="27"/>
  <c r="AT23" i="27"/>
  <c r="AS23" i="27"/>
  <c r="AS56" i="27"/>
  <c r="AT56" i="27"/>
  <c r="AS48" i="27"/>
  <c r="AT48" i="27"/>
  <c r="AS45" i="27"/>
  <c r="AT45" i="27"/>
  <c r="AS49" i="27"/>
  <c r="AT49" i="27"/>
  <c r="AT46" i="27"/>
  <c r="AS46" i="27"/>
  <c r="AT29" i="27"/>
  <c r="AS29" i="27"/>
  <c r="AS50" i="27"/>
  <c r="AT50" i="27"/>
  <c r="AS44" i="27"/>
  <c r="AT44" i="27"/>
  <c r="AT43" i="27"/>
  <c r="AS43" i="27"/>
  <c r="AT42" i="27"/>
  <c r="AS42" i="27"/>
  <c r="AT55" i="27"/>
  <c r="AS55" i="27"/>
  <c r="K31" i="30"/>
  <c r="DA123" i="1"/>
  <c r="K52" i="30"/>
  <c r="K54" i="30"/>
  <c r="K22" i="30"/>
  <c r="J22" i="30"/>
  <c r="J54" i="30"/>
  <c r="J52" i="30"/>
  <c r="I31" i="30"/>
  <c r="J31" i="30"/>
  <c r="I22" i="30"/>
  <c r="AF57" i="27"/>
  <c r="I54" i="30"/>
  <c r="I52" i="30"/>
  <c r="H22" i="30"/>
  <c r="G52" i="30"/>
  <c r="G54" i="30"/>
  <c r="F52" i="30"/>
  <c r="F54" i="30"/>
  <c r="D22" i="24"/>
  <c r="H31" i="30"/>
  <c r="H52" i="30"/>
  <c r="H54" i="30"/>
  <c r="G31" i="30"/>
  <c r="G22" i="30"/>
  <c r="F22" i="30"/>
  <c r="F31" i="30"/>
  <c r="P30" i="30"/>
  <c r="E54" i="30"/>
  <c r="E31" i="30"/>
  <c r="E22" i="30"/>
  <c r="P23" i="30"/>
  <c r="D22" i="30"/>
  <c r="D31" i="30"/>
  <c r="P29" i="30"/>
  <c r="F22" i="24"/>
  <c r="P21" i="30"/>
  <c r="C54" i="30"/>
  <c r="C52" i="30"/>
  <c r="P28" i="30"/>
  <c r="C31" i="30"/>
  <c r="D54" i="30"/>
  <c r="D52" i="30"/>
  <c r="P20" i="30"/>
  <c r="P22" i="30" s="1"/>
  <c r="C22" i="30"/>
  <c r="P42" i="30"/>
  <c r="C37" i="30"/>
  <c r="P36" i="30"/>
  <c r="P37" i="30" s="1"/>
  <c r="P24" i="30"/>
  <c r="DF136" i="1"/>
  <c r="DF141" i="1" s="1"/>
  <c r="DG110" i="1"/>
  <c r="E31" i="24"/>
  <c r="C22" i="24"/>
  <c r="E22" i="24"/>
  <c r="C31" i="24"/>
  <c r="P42" i="29"/>
  <c r="P21" i="24"/>
  <c r="D31" i="24"/>
  <c r="C37" i="29"/>
  <c r="P36" i="29"/>
  <c r="P37" i="29" s="1"/>
  <c r="P42" i="24"/>
  <c r="P21" i="29"/>
  <c r="F31" i="24"/>
  <c r="G31" i="24"/>
  <c r="CY71" i="1"/>
  <c r="CZ69" i="1"/>
  <c r="DC72" i="1"/>
  <c r="CB18" i="25"/>
  <c r="DA68" i="1" s="1"/>
  <c r="BY80" i="1"/>
  <c r="BY82" i="1" s="1"/>
  <c r="BU4" i="25"/>
  <c r="BT1" i="25"/>
  <c r="BT3" i="25" s="1"/>
  <c r="BY87" i="1"/>
  <c r="BY84" i="1"/>
  <c r="BY83" i="1"/>
  <c r="BY77" i="1"/>
  <c r="BY76" i="1"/>
  <c r="BX78" i="1"/>
  <c r="BY86" i="1"/>
  <c r="BY85" i="1"/>
  <c r="BW124" i="1"/>
  <c r="BW127" i="1" s="1"/>
  <c r="CG63" i="1"/>
  <c r="CG62" i="1"/>
  <c r="CA28" i="1"/>
  <c r="BZ1" i="1"/>
  <c r="BZ3" i="1" s="1"/>
  <c r="BX118" i="1"/>
  <c r="BQ166" i="1"/>
  <c r="BM132" i="1"/>
  <c r="BM143" i="1" s="1"/>
  <c r="BL162" i="1"/>
  <c r="BI74" i="1"/>
  <c r="BK116" i="1"/>
  <c r="BH95" i="1"/>
  <c r="BG96" i="1"/>
  <c r="BG97" i="1" s="1"/>
  <c r="L34" i="30" l="1"/>
  <c r="L39" i="30"/>
  <c r="K33" i="30"/>
  <c r="K39" i="30" s="1"/>
  <c r="AT57" i="27"/>
  <c r="AS57" i="27"/>
  <c r="AT52" i="27"/>
  <c r="AS52" i="27"/>
  <c r="J33" i="30"/>
  <c r="I33" i="30"/>
  <c r="DB123" i="1"/>
  <c r="H33" i="30"/>
  <c r="H34" i="30" s="1"/>
  <c r="D33" i="24"/>
  <c r="D34" i="24" s="1"/>
  <c r="G33" i="30"/>
  <c r="G39" i="30" s="1"/>
  <c r="G40" i="30" s="1"/>
  <c r="F33" i="30"/>
  <c r="F34" i="30" s="1"/>
  <c r="P31" i="30"/>
  <c r="C33" i="30"/>
  <c r="C34" i="30" s="1"/>
  <c r="E33" i="30"/>
  <c r="E33" i="24"/>
  <c r="E39" i="24" s="1"/>
  <c r="D33" i="30"/>
  <c r="F33" i="24"/>
  <c r="F39" i="24" s="1"/>
  <c r="DG136" i="1"/>
  <c r="DG141" i="1" s="1"/>
  <c r="BX89" i="1"/>
  <c r="BX91" i="1" s="1"/>
  <c r="C33" i="24"/>
  <c r="CZ71" i="1"/>
  <c r="DA69" i="1"/>
  <c r="DD72" i="1"/>
  <c r="CC18" i="25"/>
  <c r="DB68" i="1" s="1"/>
  <c r="BZ80" i="1"/>
  <c r="BZ82" i="1" s="1"/>
  <c r="BV4" i="25"/>
  <c r="BU1" i="25"/>
  <c r="BU3" i="25" s="1"/>
  <c r="BZ87" i="1"/>
  <c r="BZ84" i="1"/>
  <c r="BZ77" i="1"/>
  <c r="BZ83" i="1"/>
  <c r="BZ76" i="1"/>
  <c r="BY78" i="1"/>
  <c r="BZ85" i="1"/>
  <c r="BZ86" i="1"/>
  <c r="BX124" i="1"/>
  <c r="BX127" i="1" s="1"/>
  <c r="CH62" i="1"/>
  <c r="CH63" i="1"/>
  <c r="CB28" i="1"/>
  <c r="CA1" i="1"/>
  <c r="BY118" i="1"/>
  <c r="BR166" i="1"/>
  <c r="BN132" i="1"/>
  <c r="BN143" i="1" s="1"/>
  <c r="BM162" i="1"/>
  <c r="BJ74" i="1"/>
  <c r="BL116" i="1"/>
  <c r="BI95" i="1"/>
  <c r="BH96" i="1"/>
  <c r="BH97" i="1" s="1"/>
  <c r="K34" i="30" l="1"/>
  <c r="L40" i="30"/>
  <c r="L43" i="30"/>
  <c r="L44" i="30" s="1"/>
  <c r="J34" i="30"/>
  <c r="J39" i="30"/>
  <c r="I34" i="30"/>
  <c r="I39" i="30"/>
  <c r="DC123" i="1"/>
  <c r="K43" i="30"/>
  <c r="K44" i="30" s="1"/>
  <c r="K40" i="30"/>
  <c r="D39" i="24"/>
  <c r="D43" i="24" s="1"/>
  <c r="D44" i="24" s="1"/>
  <c r="G43" i="30"/>
  <c r="G44" i="30" s="1"/>
  <c r="H39" i="30"/>
  <c r="H40" i="30" s="1"/>
  <c r="G34" i="30"/>
  <c r="F39" i="30"/>
  <c r="F43" i="30" s="1"/>
  <c r="F44" i="30" s="1"/>
  <c r="C39" i="30"/>
  <c r="C43" i="30" s="1"/>
  <c r="C44" i="30" s="1"/>
  <c r="P33" i="30"/>
  <c r="P39" i="30" s="1"/>
  <c r="E34" i="30"/>
  <c r="E39" i="30"/>
  <c r="E34" i="24"/>
  <c r="F34" i="24"/>
  <c r="BY89" i="1"/>
  <c r="BY91" i="1" s="1"/>
  <c r="D34" i="30"/>
  <c r="D39" i="30"/>
  <c r="E43" i="24"/>
  <c r="E44" i="24" s="1"/>
  <c r="E40" i="24"/>
  <c r="F43" i="24"/>
  <c r="F44" i="24" s="1"/>
  <c r="F40" i="24"/>
  <c r="C39" i="24"/>
  <c r="C34" i="24"/>
  <c r="DB69" i="1"/>
  <c r="DA71" i="1"/>
  <c r="DE72" i="1"/>
  <c r="CD18" i="25"/>
  <c r="DC68" i="1" s="1"/>
  <c r="CA3" i="1"/>
  <c r="CA80" i="1"/>
  <c r="CA82" i="1" s="1"/>
  <c r="BW4" i="25"/>
  <c r="BV1" i="25"/>
  <c r="BV3" i="25" s="1"/>
  <c r="CA87" i="1"/>
  <c r="CA83" i="1"/>
  <c r="CA77" i="1"/>
  <c r="CA84" i="1"/>
  <c r="CA76" i="1"/>
  <c r="BZ78" i="1"/>
  <c r="CA86" i="1"/>
  <c r="CA85" i="1"/>
  <c r="BY124" i="1"/>
  <c r="BY127" i="1" s="1"/>
  <c r="CI63" i="1"/>
  <c r="CI62" i="1"/>
  <c r="CC28" i="1"/>
  <c r="CB1" i="1"/>
  <c r="CB3" i="1" s="1"/>
  <c r="BZ118" i="1"/>
  <c r="BS166" i="1"/>
  <c r="BN162" i="1"/>
  <c r="BO132" i="1"/>
  <c r="BO143" i="1" s="1"/>
  <c r="BK74" i="1"/>
  <c r="BM116" i="1"/>
  <c r="BJ95" i="1"/>
  <c r="BI96" i="1"/>
  <c r="BI97" i="1" s="1"/>
  <c r="J40" i="30" l="1"/>
  <c r="J43" i="30"/>
  <c r="J44" i="30" s="1"/>
  <c r="I43" i="30"/>
  <c r="I44" i="30" s="1"/>
  <c r="I40" i="30"/>
  <c r="DD123" i="1"/>
  <c r="F40" i="30"/>
  <c r="H43" i="30"/>
  <c r="H44" i="30" s="1"/>
  <c r="D40" i="24"/>
  <c r="C40" i="30"/>
  <c r="P34" i="30"/>
  <c r="E40" i="30"/>
  <c r="E43" i="30"/>
  <c r="E44" i="30" s="1"/>
  <c r="D43" i="30"/>
  <c r="D44" i="30" s="1"/>
  <c r="D40" i="30"/>
  <c r="P43" i="30"/>
  <c r="P44" i="30" s="1"/>
  <c r="P40" i="30"/>
  <c r="BZ89" i="1"/>
  <c r="BZ91" i="1" s="1"/>
  <c r="C43" i="24"/>
  <c r="C44" i="24" s="1"/>
  <c r="C40" i="24"/>
  <c r="DC69" i="1"/>
  <c r="DB71" i="1"/>
  <c r="DF72" i="1"/>
  <c r="DG72" i="1" s="1"/>
  <c r="CE18" i="25"/>
  <c r="DD68" i="1" s="1"/>
  <c r="CB80" i="1"/>
  <c r="CB82" i="1" s="1"/>
  <c r="BW1" i="25"/>
  <c r="BW3" i="25" s="1"/>
  <c r="BX4" i="25"/>
  <c r="CB87" i="1"/>
  <c r="CB84" i="1"/>
  <c r="CB77" i="1"/>
  <c r="CB83" i="1"/>
  <c r="CB76" i="1"/>
  <c r="CA78" i="1"/>
  <c r="CA89" i="1" s="1"/>
  <c r="CA91" i="1" s="1"/>
  <c r="CB85" i="1"/>
  <c r="CB86" i="1"/>
  <c r="BZ124" i="1"/>
  <c r="BZ127" i="1" s="1"/>
  <c r="CJ62" i="1"/>
  <c r="CJ63" i="1"/>
  <c r="CD28" i="1"/>
  <c r="CC1" i="1"/>
  <c r="CC3" i="1" s="1"/>
  <c r="CA118" i="1"/>
  <c r="BT166" i="1"/>
  <c r="BO162" i="1"/>
  <c r="BP132" i="1"/>
  <c r="BP143" i="1" s="1"/>
  <c r="BL74" i="1"/>
  <c r="BN116" i="1"/>
  <c r="BK95" i="1"/>
  <c r="BJ96" i="1"/>
  <c r="BJ97" i="1" s="1"/>
  <c r="DE123" i="1" l="1"/>
  <c r="DD69" i="1"/>
  <c r="DC71" i="1"/>
  <c r="CF18" i="25"/>
  <c r="DE68" i="1" s="1"/>
  <c r="CC80" i="1"/>
  <c r="CC82" i="1" s="1"/>
  <c r="BY4" i="25"/>
  <c r="BX1" i="25"/>
  <c r="BX3" i="25" s="1"/>
  <c r="CC87" i="1"/>
  <c r="CC77" i="1"/>
  <c r="CC83" i="1"/>
  <c r="CC84" i="1"/>
  <c r="CC76" i="1"/>
  <c r="CB78" i="1"/>
  <c r="CC86" i="1"/>
  <c r="CC85" i="1"/>
  <c r="CA124" i="1"/>
  <c r="CA127" i="1" s="1"/>
  <c r="CK63" i="1"/>
  <c r="CK62" i="1"/>
  <c r="CE28" i="1"/>
  <c r="CD1" i="1"/>
  <c r="CB118" i="1"/>
  <c r="BU166" i="1"/>
  <c r="BP162" i="1"/>
  <c r="BQ132" i="1"/>
  <c r="BQ143" i="1" s="1"/>
  <c r="BM74" i="1"/>
  <c r="BO116" i="1"/>
  <c r="BL95" i="1"/>
  <c r="BK96" i="1"/>
  <c r="BK97" i="1" s="1"/>
  <c r="DF123" i="1" l="1"/>
  <c r="CB89" i="1"/>
  <c r="CB91" i="1" s="1"/>
  <c r="DE69" i="1"/>
  <c r="DD71" i="1"/>
  <c r="CG18" i="25"/>
  <c r="DF68" i="1" s="1"/>
  <c r="CD80" i="1"/>
  <c r="CD82" i="1" s="1"/>
  <c r="BZ4" i="25"/>
  <c r="BY1" i="25"/>
  <c r="BY3" i="25" s="1"/>
  <c r="CD87" i="1"/>
  <c r="CD84" i="1"/>
  <c r="CD83" i="1"/>
  <c r="CD77" i="1"/>
  <c r="CD76" i="1"/>
  <c r="CC78" i="1"/>
  <c r="CD85" i="1"/>
  <c r="CD86" i="1"/>
  <c r="CB124" i="1"/>
  <c r="CB127" i="1" s="1"/>
  <c r="CL62" i="1"/>
  <c r="CL63" i="1"/>
  <c r="CF28" i="1"/>
  <c r="CE1" i="1"/>
  <c r="CE3" i="1" s="1"/>
  <c r="CD3" i="1"/>
  <c r="CC118" i="1"/>
  <c r="BV166" i="1"/>
  <c r="BQ162" i="1"/>
  <c r="BR132" i="1"/>
  <c r="BR143" i="1" s="1"/>
  <c r="BN74" i="1"/>
  <c r="BP116" i="1"/>
  <c r="BM95" i="1"/>
  <c r="BL96" i="1"/>
  <c r="BL97" i="1" s="1"/>
  <c r="DG123" i="1" l="1"/>
  <c r="CC89" i="1"/>
  <c r="CC91" i="1" s="1"/>
  <c r="DF69" i="1"/>
  <c r="DE71" i="1"/>
  <c r="CH18" i="25"/>
  <c r="DG68" i="1" s="1"/>
  <c r="CE80" i="1"/>
  <c r="CE82" i="1" s="1"/>
  <c r="CA4" i="25"/>
  <c r="BZ1" i="25"/>
  <c r="BZ3" i="25" s="1"/>
  <c r="CE87" i="1"/>
  <c r="CE84" i="1"/>
  <c r="CE77" i="1"/>
  <c r="CE83" i="1"/>
  <c r="CE76" i="1"/>
  <c r="CD78" i="1"/>
  <c r="CE86" i="1"/>
  <c r="CE85" i="1"/>
  <c r="CC124" i="1"/>
  <c r="CC127" i="1" s="1"/>
  <c r="CM63" i="1"/>
  <c r="CM62" i="1"/>
  <c r="CG28" i="1"/>
  <c r="CF1" i="1"/>
  <c r="CF3" i="1" s="1"/>
  <c r="CD118" i="1"/>
  <c r="BW166" i="1"/>
  <c r="BR162" i="1"/>
  <c r="BS132" i="1"/>
  <c r="BS143" i="1" s="1"/>
  <c r="BO74" i="1"/>
  <c r="BQ116" i="1"/>
  <c r="BN95" i="1"/>
  <c r="BM96" i="1"/>
  <c r="BM97" i="1" s="1"/>
  <c r="CD89" i="1" l="1"/>
  <c r="CD91" i="1" s="1"/>
  <c r="DG69" i="1"/>
  <c r="DF71" i="1"/>
  <c r="CI18" i="25"/>
  <c r="CF80" i="1"/>
  <c r="CF82" i="1" s="1"/>
  <c r="CB4" i="25"/>
  <c r="CA1" i="25"/>
  <c r="CA3" i="25" s="1"/>
  <c r="CF87" i="1"/>
  <c r="CF83" i="1"/>
  <c r="CF77" i="1"/>
  <c r="CF84" i="1"/>
  <c r="CF76" i="1"/>
  <c r="CE78" i="1"/>
  <c r="CE89" i="1" s="1"/>
  <c r="CE91" i="1" s="1"/>
  <c r="CF85" i="1"/>
  <c r="CF86" i="1"/>
  <c r="CD124" i="1"/>
  <c r="CD127" i="1" s="1"/>
  <c r="CN62" i="1"/>
  <c r="CN63" i="1"/>
  <c r="CH28" i="1"/>
  <c r="CG1" i="1"/>
  <c r="CG3" i="1" s="1"/>
  <c r="CE118" i="1"/>
  <c r="BX166" i="1"/>
  <c r="BT132" i="1"/>
  <c r="BT143" i="1" s="1"/>
  <c r="BS162" i="1"/>
  <c r="BP74" i="1"/>
  <c r="BR116" i="1"/>
  <c r="BO95" i="1"/>
  <c r="BN96" i="1"/>
  <c r="BN97" i="1" s="1"/>
  <c r="DG71" i="1" l="1"/>
  <c r="CJ18" i="25"/>
  <c r="CG80" i="1"/>
  <c r="CG82" i="1" s="1"/>
  <c r="CC4" i="25"/>
  <c r="CB1" i="25"/>
  <c r="CB3" i="25" s="1"/>
  <c r="CG87" i="1"/>
  <c r="CG77" i="1"/>
  <c r="CG84" i="1"/>
  <c r="CG83" i="1"/>
  <c r="CG76" i="1"/>
  <c r="CF78" i="1"/>
  <c r="CF89" i="1" s="1"/>
  <c r="CF91" i="1" s="1"/>
  <c r="CG86" i="1"/>
  <c r="CG85" i="1"/>
  <c r="CE124" i="1"/>
  <c r="CE127" i="1" s="1"/>
  <c r="CO63" i="1"/>
  <c r="CO62" i="1"/>
  <c r="CI28" i="1"/>
  <c r="CH1" i="1"/>
  <c r="CH3" i="1" s="1"/>
  <c r="CF118" i="1"/>
  <c r="BY166" i="1"/>
  <c r="BT162" i="1"/>
  <c r="BU132" i="1"/>
  <c r="BU143" i="1" s="1"/>
  <c r="BQ74" i="1"/>
  <c r="BS116" i="1"/>
  <c r="BP95" i="1"/>
  <c r="BO96" i="1"/>
  <c r="BO97" i="1" s="1"/>
  <c r="CK18" i="25" l="1"/>
  <c r="CH80" i="1"/>
  <c r="CH82" i="1" s="1"/>
  <c r="CD4" i="25"/>
  <c r="CC1" i="25"/>
  <c r="CC3" i="25" s="1"/>
  <c r="CH87" i="1"/>
  <c r="CH83" i="1"/>
  <c r="CH84" i="1"/>
  <c r="CH77" i="1"/>
  <c r="CH76" i="1"/>
  <c r="CG78" i="1"/>
  <c r="CH85" i="1"/>
  <c r="CH86" i="1"/>
  <c r="CF124" i="1"/>
  <c r="CF127" i="1" s="1"/>
  <c r="CP62" i="1"/>
  <c r="CP63" i="1"/>
  <c r="CI1" i="1"/>
  <c r="CI3" i="1" s="1"/>
  <c r="CG118" i="1"/>
  <c r="BZ166" i="1"/>
  <c r="BV132" i="1"/>
  <c r="BV143" i="1" s="1"/>
  <c r="BU162" i="1"/>
  <c r="BR74" i="1"/>
  <c r="BT116" i="1"/>
  <c r="BQ95" i="1"/>
  <c r="BP96" i="1"/>
  <c r="BP97" i="1" s="1"/>
  <c r="CG89" i="1" l="1"/>
  <c r="CG91" i="1" s="1"/>
  <c r="CL18" i="25"/>
  <c r="CI80" i="1"/>
  <c r="CI82" i="1" s="1"/>
  <c r="CE4" i="25"/>
  <c r="CD1" i="25"/>
  <c r="CD3" i="25" s="1"/>
  <c r="CI87" i="1"/>
  <c r="CI83" i="1"/>
  <c r="CI77" i="1"/>
  <c r="CI84" i="1"/>
  <c r="CI76" i="1"/>
  <c r="CH78" i="1"/>
  <c r="CI86" i="1"/>
  <c r="CI85" i="1"/>
  <c r="CG124" i="1"/>
  <c r="CG127" i="1" s="1"/>
  <c r="CQ63" i="1"/>
  <c r="CQ62" i="1"/>
  <c r="CK28" i="1"/>
  <c r="CJ1" i="1"/>
  <c r="CJ3" i="1" s="1"/>
  <c r="CJ28" i="1"/>
  <c r="CH118" i="1"/>
  <c r="CA166" i="1"/>
  <c r="BV162" i="1"/>
  <c r="BW132" i="1"/>
  <c r="BW143" i="1" s="1"/>
  <c r="BS74" i="1"/>
  <c r="BU116" i="1"/>
  <c r="BR95" i="1"/>
  <c r="BQ96" i="1"/>
  <c r="BQ97" i="1" s="1"/>
  <c r="CH89" i="1" l="1"/>
  <c r="CH91" i="1" s="1"/>
  <c r="CM18" i="25"/>
  <c r="CJ80" i="1"/>
  <c r="CJ82" i="1" s="1"/>
  <c r="CE1" i="25"/>
  <c r="CE3" i="25" s="1"/>
  <c r="CF4" i="25"/>
  <c r="CJ87" i="1"/>
  <c r="CJ77" i="1"/>
  <c r="CJ83" i="1"/>
  <c r="CJ84" i="1"/>
  <c r="CJ76" i="1"/>
  <c r="CI78" i="1"/>
  <c r="CJ85" i="1"/>
  <c r="CJ86" i="1"/>
  <c r="CH124" i="1"/>
  <c r="CH127" i="1" s="1"/>
  <c r="CR62" i="1"/>
  <c r="CR63" i="1"/>
  <c r="CL28" i="1"/>
  <c r="CK1" i="1"/>
  <c r="CK3" i="1" s="1"/>
  <c r="CI118" i="1"/>
  <c r="CB166" i="1"/>
  <c r="BX132" i="1"/>
  <c r="BX143" i="1" s="1"/>
  <c r="BW162" i="1"/>
  <c r="BT74" i="1"/>
  <c r="BV116" i="1"/>
  <c r="BS95" i="1"/>
  <c r="BR96" i="1"/>
  <c r="BR97" i="1" s="1"/>
  <c r="CI89" i="1" l="1"/>
  <c r="CI91" i="1" s="1"/>
  <c r="CN18" i="25"/>
  <c r="CK80" i="1"/>
  <c r="CK82" i="1" s="1"/>
  <c r="CG4" i="25"/>
  <c r="CF1" i="25"/>
  <c r="CF3" i="25" s="1"/>
  <c r="CK87" i="1"/>
  <c r="CK77" i="1"/>
  <c r="CK84" i="1"/>
  <c r="CK83" i="1"/>
  <c r="CK76" i="1"/>
  <c r="CJ78" i="1"/>
  <c r="CK86" i="1"/>
  <c r="CK85" i="1"/>
  <c r="CI124" i="1"/>
  <c r="CI127" i="1" s="1"/>
  <c r="CS63" i="1"/>
  <c r="CS62" i="1"/>
  <c r="CM28" i="1"/>
  <c r="CL1" i="1"/>
  <c r="CL3" i="1" s="1"/>
  <c r="CJ118" i="1"/>
  <c r="CC166" i="1"/>
  <c r="BX162" i="1"/>
  <c r="BY132" i="1"/>
  <c r="BY143" i="1" s="1"/>
  <c r="BU74" i="1"/>
  <c r="BW116" i="1"/>
  <c r="BT95" i="1"/>
  <c r="BS96" i="1"/>
  <c r="BS97" i="1" s="1"/>
  <c r="CJ89" i="1" l="1"/>
  <c r="CJ91" i="1" s="1"/>
  <c r="CO18" i="25"/>
  <c r="CL80" i="1"/>
  <c r="CL82" i="1" s="1"/>
  <c r="CH4" i="25"/>
  <c r="CG1" i="25"/>
  <c r="CG3" i="25" s="1"/>
  <c r="CL87" i="1"/>
  <c r="CL83" i="1"/>
  <c r="CL84" i="1"/>
  <c r="CL77" i="1"/>
  <c r="CL76" i="1"/>
  <c r="CK78" i="1"/>
  <c r="CL86" i="1"/>
  <c r="CL85" i="1"/>
  <c r="CJ124" i="1"/>
  <c r="CJ127" i="1" s="1"/>
  <c r="CT62" i="1"/>
  <c r="CT63" i="1"/>
  <c r="CN28" i="1"/>
  <c r="CM1" i="1"/>
  <c r="CM3" i="1" s="1"/>
  <c r="CK118" i="1"/>
  <c r="CD166" i="1"/>
  <c r="BY162" i="1"/>
  <c r="BZ132" i="1"/>
  <c r="BZ143" i="1" s="1"/>
  <c r="BV74" i="1"/>
  <c r="BX116" i="1"/>
  <c r="BU95" i="1"/>
  <c r="BT96" i="1"/>
  <c r="BT97" i="1" s="1"/>
  <c r="CK89" i="1" l="1"/>
  <c r="CK91" i="1" s="1"/>
  <c r="CP18" i="25"/>
  <c r="CM80" i="1"/>
  <c r="CM82" i="1" s="1"/>
  <c r="CI4" i="25"/>
  <c r="CH1" i="25"/>
  <c r="CH3" i="25" s="1"/>
  <c r="CM87" i="1"/>
  <c r="CM77" i="1"/>
  <c r="CM83" i="1"/>
  <c r="CM84" i="1"/>
  <c r="CM76" i="1"/>
  <c r="CL78" i="1"/>
  <c r="CL89" i="1" s="1"/>
  <c r="CL91" i="1" s="1"/>
  <c r="CM85" i="1"/>
  <c r="CM86" i="1"/>
  <c r="CK124" i="1"/>
  <c r="CK127" i="1" s="1"/>
  <c r="CU62" i="1"/>
  <c r="CU63" i="1"/>
  <c r="CO28" i="1"/>
  <c r="CN1" i="1"/>
  <c r="CN3" i="1" s="1"/>
  <c r="CL118" i="1"/>
  <c r="CE166" i="1"/>
  <c r="BZ162" i="1"/>
  <c r="CA132" i="1"/>
  <c r="CA143" i="1" s="1"/>
  <c r="BW74" i="1"/>
  <c r="BY116" i="1"/>
  <c r="BV95" i="1"/>
  <c r="BU96" i="1"/>
  <c r="BU97" i="1" s="1"/>
  <c r="CQ18" i="25" l="1"/>
  <c r="CN80" i="1"/>
  <c r="CN82" i="1" s="1"/>
  <c r="CJ4" i="25"/>
  <c r="CI1" i="25"/>
  <c r="CI3" i="25" s="1"/>
  <c r="CN87" i="1"/>
  <c r="CN84" i="1"/>
  <c r="CN83" i="1"/>
  <c r="CN77" i="1"/>
  <c r="CN76" i="1"/>
  <c r="CM78" i="1"/>
  <c r="CN86" i="1"/>
  <c r="CN85" i="1"/>
  <c r="CL124" i="1"/>
  <c r="CL127" i="1" s="1"/>
  <c r="CV62" i="1"/>
  <c r="CV63" i="1"/>
  <c r="CP28" i="1"/>
  <c r="CO1" i="1"/>
  <c r="CO3" i="1" s="1"/>
  <c r="CM118" i="1"/>
  <c r="CF166" i="1"/>
  <c r="CB132" i="1"/>
  <c r="CB143" i="1" s="1"/>
  <c r="CA162" i="1"/>
  <c r="BX74" i="1"/>
  <c r="BZ116" i="1"/>
  <c r="BW95" i="1"/>
  <c r="BV96" i="1"/>
  <c r="BV97" i="1" s="1"/>
  <c r="CM89" i="1" l="1"/>
  <c r="CM91" i="1" s="1"/>
  <c r="CR18" i="25"/>
  <c r="CO80" i="1"/>
  <c r="CO82" i="1" s="1"/>
  <c r="CK4" i="25"/>
  <c r="CJ1" i="25"/>
  <c r="CJ3" i="25" s="1"/>
  <c r="CO87" i="1"/>
  <c r="CO77" i="1"/>
  <c r="CO83" i="1"/>
  <c r="CO84" i="1"/>
  <c r="CO76" i="1"/>
  <c r="CN78" i="1"/>
  <c r="CN89" i="1" s="1"/>
  <c r="CN91" i="1" s="1"/>
  <c r="CO85" i="1"/>
  <c r="CO86" i="1"/>
  <c r="CM124" i="1"/>
  <c r="CM127" i="1" s="1"/>
  <c r="CW62" i="1"/>
  <c r="CW63" i="1"/>
  <c r="CQ28" i="1"/>
  <c r="CP1" i="1"/>
  <c r="CN118" i="1"/>
  <c r="CG166" i="1"/>
  <c r="CB162" i="1"/>
  <c r="CC132" i="1"/>
  <c r="CC143" i="1" s="1"/>
  <c r="BY74" i="1"/>
  <c r="CA116" i="1"/>
  <c r="BX95" i="1"/>
  <c r="BW96" i="1"/>
  <c r="BW97" i="1" s="1"/>
  <c r="CS18" i="25" l="1"/>
  <c r="CP80" i="1"/>
  <c r="CP82" i="1" s="1"/>
  <c r="CL4" i="25"/>
  <c r="CK1" i="25"/>
  <c r="CK3" i="25" s="1"/>
  <c r="CP87" i="1"/>
  <c r="CP84" i="1"/>
  <c r="CP83" i="1"/>
  <c r="CP77" i="1"/>
  <c r="CP76" i="1"/>
  <c r="CO78" i="1"/>
  <c r="CP86" i="1"/>
  <c r="CP85" i="1"/>
  <c r="CN124" i="1"/>
  <c r="CN127" i="1" s="1"/>
  <c r="CX62" i="1"/>
  <c r="CX63" i="1"/>
  <c r="CP3" i="1"/>
  <c r="CR28" i="1"/>
  <c r="CQ1" i="1"/>
  <c r="CQ3" i="1" s="1"/>
  <c r="CO118" i="1"/>
  <c r="CH166" i="1"/>
  <c r="CD132" i="1"/>
  <c r="CD143" i="1" s="1"/>
  <c r="CC162" i="1"/>
  <c r="BZ74" i="1"/>
  <c r="CB116" i="1"/>
  <c r="BY95" i="1"/>
  <c r="BX96" i="1"/>
  <c r="BX97" i="1" s="1"/>
  <c r="CO89" i="1" l="1"/>
  <c r="CO91" i="1" s="1"/>
  <c r="CT18" i="25"/>
  <c r="CQ80" i="1"/>
  <c r="CQ82" i="1" s="1"/>
  <c r="CM4" i="25"/>
  <c r="CL1" i="25"/>
  <c r="CL3" i="25" s="1"/>
  <c r="CQ87" i="1"/>
  <c r="CQ77" i="1"/>
  <c r="CQ83" i="1"/>
  <c r="CQ84" i="1"/>
  <c r="CQ76" i="1"/>
  <c r="CP78" i="1"/>
  <c r="CQ85" i="1"/>
  <c r="CQ86" i="1"/>
  <c r="CO124" i="1"/>
  <c r="CO127" i="1" s="1"/>
  <c r="CY62" i="1"/>
  <c r="CY63" i="1"/>
  <c r="CS28" i="1"/>
  <c r="CR1" i="1"/>
  <c r="CR3" i="1" s="1"/>
  <c r="CP118" i="1"/>
  <c r="CI166" i="1"/>
  <c r="CD162" i="1"/>
  <c r="CE132" i="1"/>
  <c r="CE143" i="1" s="1"/>
  <c r="CA74" i="1"/>
  <c r="CC116" i="1"/>
  <c r="BZ95" i="1"/>
  <c r="BY96" i="1"/>
  <c r="BY97" i="1" s="1"/>
  <c r="CP89" i="1" l="1"/>
  <c r="CP91" i="1" s="1"/>
  <c r="CU18" i="25"/>
  <c r="CR80" i="1"/>
  <c r="CR82" i="1" s="1"/>
  <c r="CM1" i="25"/>
  <c r="CM3" i="25" s="1"/>
  <c r="CN4" i="25"/>
  <c r="CR87" i="1"/>
  <c r="CR77" i="1"/>
  <c r="CR84" i="1"/>
  <c r="CR83" i="1"/>
  <c r="CR76" i="1"/>
  <c r="CQ78" i="1"/>
  <c r="CQ89" i="1" s="1"/>
  <c r="CQ91" i="1" s="1"/>
  <c r="CR86" i="1"/>
  <c r="CR85" i="1"/>
  <c r="CP124" i="1"/>
  <c r="CP127" i="1" s="1"/>
  <c r="CZ62" i="1"/>
  <c r="CZ63" i="1"/>
  <c r="CT28" i="1"/>
  <c r="CS1" i="1"/>
  <c r="CS3" i="1" s="1"/>
  <c r="CQ118" i="1"/>
  <c r="CJ166" i="1"/>
  <c r="CF132" i="1"/>
  <c r="CF143" i="1" s="1"/>
  <c r="CE162" i="1"/>
  <c r="CB74" i="1"/>
  <c r="CD116" i="1"/>
  <c r="CA95" i="1"/>
  <c r="BZ96" i="1"/>
  <c r="BZ97" i="1" s="1"/>
  <c r="CV18" i="25" l="1"/>
  <c r="CS80" i="1"/>
  <c r="CS82" i="1" s="1"/>
  <c r="CO4" i="25"/>
  <c r="CN1" i="25"/>
  <c r="CN3" i="25" s="1"/>
  <c r="CS87" i="1"/>
  <c r="CS77" i="1"/>
  <c r="CS83" i="1"/>
  <c r="CS84" i="1"/>
  <c r="CS76" i="1"/>
  <c r="CR78" i="1"/>
  <c r="CR89" i="1" s="1"/>
  <c r="CR91" i="1" s="1"/>
  <c r="CS85" i="1"/>
  <c r="CS86" i="1"/>
  <c r="CQ124" i="1"/>
  <c r="CQ127" i="1" s="1"/>
  <c r="DA62" i="1"/>
  <c r="DA63" i="1"/>
  <c r="CU28" i="1"/>
  <c r="CT1" i="1"/>
  <c r="CT3" i="1" s="1"/>
  <c r="CR118" i="1"/>
  <c r="CK166" i="1"/>
  <c r="CF162" i="1"/>
  <c r="CG132" i="1"/>
  <c r="CG143" i="1" s="1"/>
  <c r="CC74" i="1"/>
  <c r="CE116" i="1"/>
  <c r="CB95" i="1"/>
  <c r="CA96" i="1"/>
  <c r="CA97" i="1" s="1"/>
  <c r="CW18" i="25" l="1"/>
  <c r="CT80" i="1"/>
  <c r="CT82" i="1" s="1"/>
  <c r="CP4" i="25"/>
  <c r="CO1" i="25"/>
  <c r="CO3" i="25" s="1"/>
  <c r="CT87" i="1"/>
  <c r="CT84" i="1"/>
  <c r="CT83" i="1"/>
  <c r="CT77" i="1"/>
  <c r="CT76" i="1"/>
  <c r="CS78" i="1"/>
  <c r="CS89" i="1" s="1"/>
  <c r="CS91" i="1" s="1"/>
  <c r="CT86" i="1"/>
  <c r="CT85" i="1"/>
  <c r="CR124" i="1"/>
  <c r="CR127" i="1" s="1"/>
  <c r="DB63" i="1"/>
  <c r="DB62" i="1"/>
  <c r="CU1" i="1"/>
  <c r="CU3" i="1" s="1"/>
  <c r="CS118" i="1"/>
  <c r="CL166" i="1"/>
  <c r="CG162" i="1"/>
  <c r="CH132" i="1"/>
  <c r="CH143" i="1" s="1"/>
  <c r="CD74" i="1"/>
  <c r="CF116" i="1"/>
  <c r="CC95" i="1"/>
  <c r="CB96" i="1"/>
  <c r="CB97" i="1" s="1"/>
  <c r="CX18" i="25" l="1"/>
  <c r="CU80" i="1"/>
  <c r="CU82" i="1" s="1"/>
  <c r="CQ4" i="25"/>
  <c r="CP1" i="25"/>
  <c r="CP3" i="25" s="1"/>
  <c r="CU87" i="1"/>
  <c r="CU84" i="1"/>
  <c r="CU77" i="1"/>
  <c r="CU83" i="1"/>
  <c r="CU76" i="1"/>
  <c r="CT78" i="1"/>
  <c r="CU85" i="1"/>
  <c r="CU86" i="1"/>
  <c r="CS124" i="1"/>
  <c r="CS127" i="1" s="1"/>
  <c r="DC62" i="1"/>
  <c r="DC63" i="1"/>
  <c r="CW28" i="1"/>
  <c r="CV1" i="1"/>
  <c r="CV3" i="1" s="1"/>
  <c r="CV28" i="1"/>
  <c r="CT118" i="1"/>
  <c r="CM166" i="1"/>
  <c r="CH162" i="1"/>
  <c r="CI132" i="1"/>
  <c r="CI143" i="1" s="1"/>
  <c r="CE74" i="1"/>
  <c r="CG116" i="1"/>
  <c r="CD95" i="1"/>
  <c r="CC96" i="1"/>
  <c r="CC97" i="1" s="1"/>
  <c r="CT89" i="1" l="1"/>
  <c r="CT91" i="1" s="1"/>
  <c r="CY18" i="25"/>
  <c r="CV80" i="1"/>
  <c r="CV82" i="1" s="1"/>
  <c r="CR4" i="25"/>
  <c r="CQ1" i="25"/>
  <c r="CQ3" i="25" s="1"/>
  <c r="CV87" i="1"/>
  <c r="CV83" i="1"/>
  <c r="CV77" i="1"/>
  <c r="CV84" i="1"/>
  <c r="CV76" i="1"/>
  <c r="CU78" i="1"/>
  <c r="CU89" i="1" s="1"/>
  <c r="CU91" i="1" s="1"/>
  <c r="CV86" i="1"/>
  <c r="CV85" i="1"/>
  <c r="CT124" i="1"/>
  <c r="CT127" i="1" s="1"/>
  <c r="DD63" i="1"/>
  <c r="DD62" i="1"/>
  <c r="CX28" i="1"/>
  <c r="CW1" i="1"/>
  <c r="CW3" i="1" s="1"/>
  <c r="CU118" i="1"/>
  <c r="CN166" i="1"/>
  <c r="CI162" i="1"/>
  <c r="CJ132" i="1"/>
  <c r="CJ143" i="1" s="1"/>
  <c r="CF74" i="1"/>
  <c r="CH116" i="1"/>
  <c r="CE95" i="1"/>
  <c r="CD96" i="1"/>
  <c r="CD97" i="1" s="1"/>
  <c r="CZ18" i="25" l="1"/>
  <c r="CW80" i="1"/>
  <c r="CW82" i="1" s="1"/>
  <c r="CS4" i="25"/>
  <c r="CR1" i="25"/>
  <c r="CR3" i="25" s="1"/>
  <c r="CW87" i="1"/>
  <c r="CW84" i="1"/>
  <c r="CW77" i="1"/>
  <c r="CW83" i="1"/>
  <c r="CW76" i="1"/>
  <c r="CV78" i="1"/>
  <c r="CV89" i="1" s="1"/>
  <c r="CV91" i="1" s="1"/>
  <c r="CW85" i="1"/>
  <c r="CW86" i="1"/>
  <c r="CU124" i="1"/>
  <c r="CU127" i="1" s="1"/>
  <c r="DE62" i="1"/>
  <c r="DE63" i="1"/>
  <c r="CY28" i="1"/>
  <c r="CX1" i="1"/>
  <c r="CX3" i="1" s="1"/>
  <c r="CV118" i="1"/>
  <c r="CO166" i="1"/>
  <c r="CJ162" i="1"/>
  <c r="CK132" i="1"/>
  <c r="CK143" i="1" s="1"/>
  <c r="CG74" i="1"/>
  <c r="CI116" i="1"/>
  <c r="CF95" i="1"/>
  <c r="CE96" i="1"/>
  <c r="CE97" i="1" s="1"/>
  <c r="DA18" i="25" l="1"/>
  <c r="CX80" i="1"/>
  <c r="CX82" i="1" s="1"/>
  <c r="CT4" i="25"/>
  <c r="CS1" i="25"/>
  <c r="CS3" i="25" s="1"/>
  <c r="CX87" i="1"/>
  <c r="CX83" i="1"/>
  <c r="CX77" i="1"/>
  <c r="CX84" i="1"/>
  <c r="CX76" i="1"/>
  <c r="CW78" i="1"/>
  <c r="CW89" i="1" s="1"/>
  <c r="CW91" i="1" s="1"/>
  <c r="CX86" i="1"/>
  <c r="CX85" i="1"/>
  <c r="CV124" i="1"/>
  <c r="CV127" i="1" s="1"/>
  <c r="DF63" i="1"/>
  <c r="DF62" i="1"/>
  <c r="CZ28" i="1"/>
  <c r="CY1" i="1"/>
  <c r="CY3" i="1" s="1"/>
  <c r="CW118" i="1"/>
  <c r="CP166" i="1"/>
  <c r="CL132" i="1"/>
  <c r="CL143" i="1" s="1"/>
  <c r="CK162" i="1"/>
  <c r="CH74" i="1"/>
  <c r="CJ116" i="1"/>
  <c r="CG95" i="1"/>
  <c r="CF96" i="1"/>
  <c r="CF97" i="1" s="1"/>
  <c r="DB18" i="25" l="1"/>
  <c r="CY80" i="1"/>
  <c r="CY82" i="1" s="1"/>
  <c r="CU4" i="25"/>
  <c r="CT1" i="25"/>
  <c r="CT3" i="25" s="1"/>
  <c r="CY87" i="1"/>
  <c r="CY84" i="1"/>
  <c r="CY77" i="1"/>
  <c r="CY83" i="1"/>
  <c r="CY76" i="1"/>
  <c r="CX78" i="1"/>
  <c r="CY85" i="1"/>
  <c r="CY86" i="1"/>
  <c r="CW124" i="1"/>
  <c r="CW127" i="1" s="1"/>
  <c r="DG62" i="1"/>
  <c r="DG63" i="1"/>
  <c r="DA28" i="1"/>
  <c r="CZ1" i="1"/>
  <c r="CZ3" i="1" s="1"/>
  <c r="CX118" i="1"/>
  <c r="CQ166" i="1"/>
  <c r="CM132" i="1"/>
  <c r="CM143" i="1" s="1"/>
  <c r="CL162" i="1"/>
  <c r="CI74" i="1"/>
  <c r="CK116" i="1"/>
  <c r="CH95" i="1"/>
  <c r="CG96" i="1"/>
  <c r="CG97" i="1" s="1"/>
  <c r="CX89" i="1" l="1"/>
  <c r="CX91" i="1" s="1"/>
  <c r="DC18" i="25"/>
  <c r="CZ80" i="1"/>
  <c r="CZ82" i="1" s="1"/>
  <c r="CU1" i="25"/>
  <c r="CU3" i="25" s="1"/>
  <c r="CV4" i="25"/>
  <c r="CZ87" i="1"/>
  <c r="CZ83" i="1"/>
  <c r="CZ77" i="1"/>
  <c r="CZ84" i="1"/>
  <c r="CZ76" i="1"/>
  <c r="CY78" i="1"/>
  <c r="CY89" i="1" s="1"/>
  <c r="CY91" i="1" s="1"/>
  <c r="CZ86" i="1"/>
  <c r="CZ85" i="1"/>
  <c r="CX124" i="1"/>
  <c r="CX127" i="1" s="1"/>
  <c r="DB28" i="1"/>
  <c r="DA1" i="1"/>
  <c r="DA3" i="1" s="1"/>
  <c r="CY118" i="1"/>
  <c r="CR166" i="1"/>
  <c r="CN132" i="1"/>
  <c r="CN143" i="1" s="1"/>
  <c r="CM162" i="1"/>
  <c r="CJ74" i="1"/>
  <c r="CL116" i="1"/>
  <c r="CI95" i="1"/>
  <c r="CH96" i="1"/>
  <c r="CH97" i="1" s="1"/>
  <c r="DD18" i="25" l="1"/>
  <c r="DA80" i="1"/>
  <c r="DA82" i="1" s="1"/>
  <c r="CW4" i="25"/>
  <c r="CV1" i="25"/>
  <c r="CV3" i="25" s="1"/>
  <c r="DA87" i="1"/>
  <c r="DA84" i="1"/>
  <c r="DA83" i="1"/>
  <c r="DA77" i="1"/>
  <c r="DA76" i="1"/>
  <c r="CZ78" i="1"/>
  <c r="CZ89" i="1" s="1"/>
  <c r="CZ91" i="1" s="1"/>
  <c r="DA86" i="1"/>
  <c r="DA85" i="1"/>
  <c r="CY124" i="1"/>
  <c r="CY127" i="1" s="1"/>
  <c r="DC28" i="1"/>
  <c r="DB1" i="1"/>
  <c r="DB3" i="1" s="1"/>
  <c r="CZ118" i="1"/>
  <c r="CS166" i="1"/>
  <c r="CN162" i="1"/>
  <c r="CO132" i="1"/>
  <c r="CO143" i="1" s="1"/>
  <c r="CK74" i="1"/>
  <c r="CM116" i="1"/>
  <c r="CJ95" i="1"/>
  <c r="CI96" i="1"/>
  <c r="CI97" i="1" s="1"/>
  <c r="DE18" i="25" l="1"/>
  <c r="DB80" i="1"/>
  <c r="DB82" i="1" s="1"/>
  <c r="CX4" i="25"/>
  <c r="CW1" i="25"/>
  <c r="CW3" i="25" s="1"/>
  <c r="DB87" i="1"/>
  <c r="DB83" i="1"/>
  <c r="DB77" i="1"/>
  <c r="DB84" i="1"/>
  <c r="DB76" i="1"/>
  <c r="DA78" i="1"/>
  <c r="DA89" i="1" s="1"/>
  <c r="DA91" i="1" s="1"/>
  <c r="DB85" i="1"/>
  <c r="DB86" i="1"/>
  <c r="CZ124" i="1"/>
  <c r="CZ127" i="1" s="1"/>
  <c r="DC1" i="1"/>
  <c r="DC3" i="1" s="1"/>
  <c r="DA118" i="1"/>
  <c r="CT166" i="1"/>
  <c r="CP132" i="1"/>
  <c r="CP143" i="1" s="1"/>
  <c r="CO162" i="1"/>
  <c r="CL74" i="1"/>
  <c r="CN116" i="1"/>
  <c r="CK95" i="1"/>
  <c r="CJ96" i="1"/>
  <c r="CJ97" i="1" s="1"/>
  <c r="DF18" i="25" l="1"/>
  <c r="DC80" i="1"/>
  <c r="DC82" i="1" s="1"/>
  <c r="CY4" i="25"/>
  <c r="CX1" i="25"/>
  <c r="CX3" i="25" s="1"/>
  <c r="DC87" i="1"/>
  <c r="DC84" i="1"/>
  <c r="DC77" i="1"/>
  <c r="DC83" i="1"/>
  <c r="DC76" i="1"/>
  <c r="DB78" i="1"/>
  <c r="DB89" i="1" s="1"/>
  <c r="DB91" i="1" s="1"/>
  <c r="DC86" i="1"/>
  <c r="DC85" i="1"/>
  <c r="DA124" i="1"/>
  <c r="DA127" i="1" s="1"/>
  <c r="DE28" i="1"/>
  <c r="DD1" i="1"/>
  <c r="DD3" i="1" s="1"/>
  <c r="DD28" i="1"/>
  <c r="DB118" i="1"/>
  <c r="CU166" i="1"/>
  <c r="CP162" i="1"/>
  <c r="CQ132" i="1"/>
  <c r="CQ143" i="1" s="1"/>
  <c r="CM74" i="1"/>
  <c r="CO116" i="1"/>
  <c r="CL95" i="1"/>
  <c r="CK96" i="1"/>
  <c r="CK97" i="1" s="1"/>
  <c r="DG18" i="25" l="1"/>
  <c r="DD80" i="1"/>
  <c r="DD82" i="1" s="1"/>
  <c r="CZ4" i="25"/>
  <c r="CY1" i="25"/>
  <c r="CY3" i="25" s="1"/>
  <c r="DD87" i="1"/>
  <c r="DD83" i="1"/>
  <c r="DD84" i="1"/>
  <c r="DD77" i="1"/>
  <c r="DD76" i="1"/>
  <c r="DC78" i="1"/>
  <c r="DC89" i="1" s="1"/>
  <c r="DC91" i="1" s="1"/>
  <c r="DD85" i="1"/>
  <c r="DD86" i="1"/>
  <c r="DB124" i="1"/>
  <c r="DB127" i="1" s="1"/>
  <c r="DF28" i="1"/>
  <c r="DE1" i="1"/>
  <c r="DE3" i="1" s="1"/>
  <c r="DC118" i="1"/>
  <c r="CV166" i="1"/>
  <c r="CR132" i="1"/>
  <c r="CR143" i="1" s="1"/>
  <c r="CQ162" i="1"/>
  <c r="CN74" i="1"/>
  <c r="CP116" i="1"/>
  <c r="CM95" i="1"/>
  <c r="CL96" i="1"/>
  <c r="CL97" i="1" s="1"/>
  <c r="DH18" i="25" l="1"/>
  <c r="DE80" i="1"/>
  <c r="DE82" i="1" s="1"/>
  <c r="DA4" i="25"/>
  <c r="CZ1" i="25"/>
  <c r="CZ3" i="25" s="1"/>
  <c r="DE87" i="1"/>
  <c r="DE84" i="1"/>
  <c r="DE77" i="1"/>
  <c r="DE83" i="1"/>
  <c r="DE76" i="1"/>
  <c r="DD78" i="1"/>
  <c r="DD89" i="1" s="1"/>
  <c r="DD91" i="1" s="1"/>
  <c r="DE86" i="1"/>
  <c r="DE85" i="1"/>
  <c r="DC124" i="1"/>
  <c r="DC127" i="1" s="1"/>
  <c r="DG28" i="1"/>
  <c r="DF1" i="1"/>
  <c r="DF3" i="1" s="1"/>
  <c r="DD118" i="1"/>
  <c r="CW166" i="1"/>
  <c r="CR162" i="1"/>
  <c r="CS132" i="1"/>
  <c r="CS143" i="1" s="1"/>
  <c r="CO74" i="1"/>
  <c r="CQ116" i="1"/>
  <c r="CN95" i="1"/>
  <c r="CM96" i="1"/>
  <c r="CM97" i="1" s="1"/>
  <c r="DI18" i="25" l="1"/>
  <c r="DF80" i="1"/>
  <c r="DF82" i="1" s="1"/>
  <c r="DB4" i="25"/>
  <c r="DA1" i="25"/>
  <c r="DA3" i="25" s="1"/>
  <c r="DF87" i="1"/>
  <c r="DF83" i="1"/>
  <c r="DF84" i="1"/>
  <c r="DF77" i="1"/>
  <c r="DF76" i="1"/>
  <c r="DE78" i="1"/>
  <c r="DE89" i="1" s="1"/>
  <c r="DE91" i="1" s="1"/>
  <c r="DF85" i="1"/>
  <c r="DF86" i="1"/>
  <c r="DD124" i="1"/>
  <c r="DD127" i="1" s="1"/>
  <c r="DG1" i="1"/>
  <c r="H25" i="15"/>
  <c r="I25" i="15"/>
  <c r="G25" i="15"/>
  <c r="C19" i="6"/>
  <c r="J25" i="15"/>
  <c r="D25" i="15"/>
  <c r="C25" i="15"/>
  <c r="E25" i="15"/>
  <c r="F25" i="15"/>
  <c r="K25" i="15"/>
  <c r="C30" i="6"/>
  <c r="C31" i="6"/>
  <c r="C19" i="15"/>
  <c r="C20" i="6"/>
  <c r="E20" i="6"/>
  <c r="K20" i="6"/>
  <c r="I20" i="6"/>
  <c r="L20" i="6"/>
  <c r="N20" i="6"/>
  <c r="D20" i="6"/>
  <c r="J20" i="6"/>
  <c r="H20" i="6"/>
  <c r="M20" i="6"/>
  <c r="F20" i="6"/>
  <c r="G20" i="6"/>
  <c r="K26" i="6"/>
  <c r="K12" i="6"/>
  <c r="J13" i="6"/>
  <c r="K13" i="6"/>
  <c r="L12" i="6"/>
  <c r="M13" i="6"/>
  <c r="C13" i="15"/>
  <c r="F13" i="15"/>
  <c r="L13" i="6"/>
  <c r="L26" i="6"/>
  <c r="J12" i="6"/>
  <c r="N13" i="6"/>
  <c r="D13" i="15"/>
  <c r="J26" i="6"/>
  <c r="N26" i="6"/>
  <c r="E13" i="15"/>
  <c r="M26" i="6"/>
  <c r="G13" i="15"/>
  <c r="H13" i="15"/>
  <c r="I13" i="15"/>
  <c r="K13" i="15"/>
  <c r="J13" i="15"/>
  <c r="M13" i="15"/>
  <c r="L13" i="15"/>
  <c r="L25" i="15"/>
  <c r="N13" i="15"/>
  <c r="M25" i="15"/>
  <c r="N25" i="15"/>
  <c r="DE118" i="1"/>
  <c r="CX166" i="1"/>
  <c r="CT132" i="1"/>
  <c r="CT143" i="1" s="1"/>
  <c r="CS162" i="1"/>
  <c r="CP74" i="1"/>
  <c r="CR116" i="1"/>
  <c r="CO95" i="1"/>
  <c r="CN96" i="1"/>
  <c r="CN97" i="1" s="1"/>
  <c r="F35" i="5" l="1"/>
  <c r="I35" i="5"/>
  <c r="E35" i="5"/>
  <c r="G35" i="5"/>
  <c r="H35" i="5"/>
  <c r="AW50" i="1"/>
  <c r="AW52" i="1"/>
  <c r="AV52" i="1"/>
  <c r="AV50" i="1"/>
  <c r="AU52" i="1"/>
  <c r="AU50" i="1"/>
  <c r="AT52" i="1"/>
  <c r="AT50" i="1"/>
  <c r="AS50" i="1"/>
  <c r="AS52" i="1"/>
  <c r="H52" i="1"/>
  <c r="I52" i="1" s="1"/>
  <c r="AR52" i="1"/>
  <c r="AQ52" i="1"/>
  <c r="AP52" i="1"/>
  <c r="AO52" i="1"/>
  <c r="AN52" i="1"/>
  <c r="AM52" i="1"/>
  <c r="G51" i="1"/>
  <c r="H51" i="1"/>
  <c r="I51" i="1" s="1"/>
  <c r="G52" i="1"/>
  <c r="AL52" i="1"/>
  <c r="H50" i="1"/>
  <c r="I50" i="1" s="1"/>
  <c r="G50" i="1"/>
  <c r="DJ18" i="25"/>
  <c r="AK52" i="1"/>
  <c r="DG83" i="1"/>
  <c r="AJ52" i="1"/>
  <c r="DG80" i="1"/>
  <c r="DG82" i="1" s="1"/>
  <c r="DC4" i="25"/>
  <c r="DB1" i="25"/>
  <c r="DB3" i="25" s="1"/>
  <c r="DG87" i="1"/>
  <c r="DG84" i="1"/>
  <c r="DG77" i="1"/>
  <c r="DG76" i="1"/>
  <c r="DF78" i="1"/>
  <c r="DG86" i="1"/>
  <c r="DG85" i="1"/>
  <c r="AI52" i="1"/>
  <c r="D29" i="5"/>
  <c r="AH52" i="1"/>
  <c r="D22" i="5"/>
  <c r="D23" i="5"/>
  <c r="D24" i="5"/>
  <c r="AG52" i="1"/>
  <c r="E41" i="5"/>
  <c r="D41" i="5"/>
  <c r="F41" i="5"/>
  <c r="G41" i="5"/>
  <c r="H41" i="5"/>
  <c r="I41" i="5"/>
  <c r="DE124" i="1"/>
  <c r="DE127" i="1" s="1"/>
  <c r="J14" i="6"/>
  <c r="J16" i="6" s="1"/>
  <c r="J17" i="6" s="1"/>
  <c r="L14" i="6"/>
  <c r="L16" i="6" s="1"/>
  <c r="L17" i="6" s="1"/>
  <c r="D27" i="5"/>
  <c r="D28" i="5"/>
  <c r="P20" i="6"/>
  <c r="K14" i="6"/>
  <c r="K16" i="6" s="1"/>
  <c r="K17" i="6" s="1"/>
  <c r="P25" i="15"/>
  <c r="DG3" i="1"/>
  <c r="F51" i="1"/>
  <c r="F50" i="1"/>
  <c r="Q50" i="1"/>
  <c r="F52" i="1"/>
  <c r="R52" i="1"/>
  <c r="DF118" i="1"/>
  <c r="CY166" i="1"/>
  <c r="CU132" i="1"/>
  <c r="CU143" i="1" s="1"/>
  <c r="CT162" i="1"/>
  <c r="CQ74" i="1"/>
  <c r="CS116" i="1"/>
  <c r="CP95" i="1"/>
  <c r="CO96" i="1"/>
  <c r="CO97" i="1" s="1"/>
  <c r="J50" i="1" l="1"/>
  <c r="K50" i="1" s="1"/>
  <c r="L50" i="1" s="1"/>
  <c r="M50" i="1" s="1"/>
  <c r="N50" i="1" s="1"/>
  <c r="C16" i="26"/>
  <c r="C14" i="26"/>
  <c r="DF89" i="1"/>
  <c r="DF91" i="1" s="1"/>
  <c r="DK18" i="25"/>
  <c r="C20" i="26"/>
  <c r="DC1" i="25"/>
  <c r="DC3" i="25" s="1"/>
  <c r="DD4" i="25"/>
  <c r="DG78" i="1"/>
  <c r="DG89" i="1" s="1"/>
  <c r="DG91" i="1" s="1"/>
  <c r="D30" i="5"/>
  <c r="D26" i="26"/>
  <c r="C26" i="26"/>
  <c r="C27" i="26" s="1"/>
  <c r="D32" i="26"/>
  <c r="F32" i="26"/>
  <c r="H32" i="26"/>
  <c r="C19" i="26"/>
  <c r="C12" i="26"/>
  <c r="C13" i="26" s="1"/>
  <c r="C18" i="26"/>
  <c r="C15" i="26"/>
  <c r="C32" i="26"/>
  <c r="DF124" i="1"/>
  <c r="DF127" i="1" s="1"/>
  <c r="F49" i="1"/>
  <c r="F53" i="1" s="1"/>
  <c r="DG118" i="1"/>
  <c r="CZ166" i="1"/>
  <c r="CV132" i="1"/>
  <c r="CV143" i="1" s="1"/>
  <c r="CU162" i="1"/>
  <c r="CR74" i="1"/>
  <c r="CT116" i="1"/>
  <c r="CQ95" i="1"/>
  <c r="CP96" i="1"/>
  <c r="CP97" i="1" s="1"/>
  <c r="I32" i="26" l="1"/>
  <c r="BC19" i="1"/>
  <c r="BD19" i="1"/>
  <c r="DL18" i="25"/>
  <c r="G32" i="26"/>
  <c r="C21" i="26"/>
  <c r="C23" i="26" s="1"/>
  <c r="C24" i="26" s="1"/>
  <c r="DE4" i="25"/>
  <c r="DD1" i="25"/>
  <c r="DD3" i="25" s="1"/>
  <c r="K32" i="26"/>
  <c r="E32" i="26"/>
  <c r="E26" i="26"/>
  <c r="E27" i="26" s="1"/>
  <c r="D27" i="26"/>
  <c r="F54" i="1"/>
  <c r="DG124" i="1"/>
  <c r="DG127" i="1" s="1"/>
  <c r="DA166" i="1"/>
  <c r="CW132" i="1"/>
  <c r="CW143" i="1" s="1"/>
  <c r="CV162" i="1"/>
  <c r="CS74" i="1"/>
  <c r="CU116" i="1"/>
  <c r="CR95" i="1"/>
  <c r="CQ96" i="1"/>
  <c r="CQ97" i="1" s="1"/>
  <c r="BP19" i="1" l="1"/>
  <c r="BO19" i="1"/>
  <c r="DM18" i="25"/>
  <c r="DF4" i="25"/>
  <c r="DE1" i="25"/>
  <c r="DE3" i="25" s="1"/>
  <c r="C29" i="26"/>
  <c r="C33" i="26" s="1"/>
  <c r="C34" i="26" s="1"/>
  <c r="DB166" i="1"/>
  <c r="CW162" i="1"/>
  <c r="CX132" i="1"/>
  <c r="CX143" i="1" s="1"/>
  <c r="CT74" i="1"/>
  <c r="CV116" i="1"/>
  <c r="CS95" i="1"/>
  <c r="CR96" i="1"/>
  <c r="CR97" i="1" s="1"/>
  <c r="CA19" i="1" l="1"/>
  <c r="CB19" i="1"/>
  <c r="DN18" i="25"/>
  <c r="DG4" i="25"/>
  <c r="DF1" i="25"/>
  <c r="DF3" i="25" s="1"/>
  <c r="C30" i="26"/>
  <c r="DC166" i="1"/>
  <c r="CX162" i="1"/>
  <c r="CY132" i="1"/>
  <c r="CY143" i="1" s="1"/>
  <c r="CU74" i="1"/>
  <c r="CW116" i="1"/>
  <c r="CT95" i="1"/>
  <c r="CS96" i="1"/>
  <c r="CS97" i="1" s="1"/>
  <c r="CN19" i="1" l="1"/>
  <c r="CM19" i="1"/>
  <c r="DO18" i="25"/>
  <c r="DH4" i="25"/>
  <c r="DG1" i="25"/>
  <c r="DG3" i="25" s="1"/>
  <c r="DD166" i="1"/>
  <c r="CY162" i="1"/>
  <c r="CZ132" i="1"/>
  <c r="CZ143" i="1" s="1"/>
  <c r="CV74" i="1"/>
  <c r="CX116" i="1"/>
  <c r="CU95" i="1"/>
  <c r="CT96" i="1"/>
  <c r="CT97" i="1" s="1"/>
  <c r="CY19" i="1" l="1"/>
  <c r="CZ19" i="1"/>
  <c r="DP18" i="25"/>
  <c r="DI4" i="25"/>
  <c r="DH1" i="25"/>
  <c r="DH3" i="25" s="1"/>
  <c r="DE166" i="1"/>
  <c r="CZ162" i="1"/>
  <c r="DA132" i="1"/>
  <c r="DA143" i="1" s="1"/>
  <c r="CW74" i="1"/>
  <c r="CY116" i="1"/>
  <c r="CV95" i="1"/>
  <c r="CU96" i="1"/>
  <c r="CU97" i="1" s="1"/>
  <c r="DQ18" i="25" l="1"/>
  <c r="DJ4" i="25"/>
  <c r="DI1" i="25"/>
  <c r="DI3" i="25" s="1"/>
  <c r="DF166" i="1"/>
  <c r="DB132" i="1"/>
  <c r="DB143" i="1" s="1"/>
  <c r="DA162" i="1"/>
  <c r="CX74" i="1"/>
  <c r="CZ116" i="1"/>
  <c r="CW95" i="1"/>
  <c r="CV96" i="1"/>
  <c r="CV97" i="1" s="1"/>
  <c r="DR18" i="25" l="1"/>
  <c r="DK4" i="25"/>
  <c r="DK1" i="25" s="1"/>
  <c r="DK3" i="25" s="1"/>
  <c r="DJ1" i="25"/>
  <c r="DJ3" i="25" s="1"/>
  <c r="DG166" i="1"/>
  <c r="DB162" i="1"/>
  <c r="DC132" i="1"/>
  <c r="DC143" i="1" s="1"/>
  <c r="CY74" i="1"/>
  <c r="DA116" i="1"/>
  <c r="CX95" i="1"/>
  <c r="CW96" i="1"/>
  <c r="CW97" i="1" s="1"/>
  <c r="DS18" i="25" l="1"/>
  <c r="AF65" i="1"/>
  <c r="DC162" i="1"/>
  <c r="DD132" i="1"/>
  <c r="DD143" i="1" s="1"/>
  <c r="CZ74" i="1"/>
  <c r="DB116" i="1"/>
  <c r="CY95" i="1"/>
  <c r="CX96" i="1"/>
  <c r="CX97" i="1" s="1"/>
  <c r="DT18" i="25" l="1"/>
  <c r="AF66" i="1"/>
  <c r="AF40" i="1"/>
  <c r="AK42" i="1" s="1"/>
  <c r="AK44" i="1" s="1"/>
  <c r="AF92" i="1"/>
  <c r="DD162" i="1"/>
  <c r="DE132" i="1"/>
  <c r="DE143" i="1" s="1"/>
  <c r="DA74" i="1"/>
  <c r="DC116" i="1"/>
  <c r="CZ95" i="1"/>
  <c r="CY96" i="1"/>
  <c r="CY97" i="1" s="1"/>
  <c r="DU18" i="25" l="1"/>
  <c r="AG42" i="1"/>
  <c r="AJ42" i="1"/>
  <c r="AJ44" i="1" s="1"/>
  <c r="AF42" i="1"/>
  <c r="AF44" i="1" s="1"/>
  <c r="AF45" i="1"/>
  <c r="AF98" i="1"/>
  <c r="AF160" i="1" s="1"/>
  <c r="AF163" i="1" s="1"/>
  <c r="AF170" i="1" s="1"/>
  <c r="DE162" i="1"/>
  <c r="DF132" i="1"/>
  <c r="DF143" i="1" s="1"/>
  <c r="DB74" i="1"/>
  <c r="DD116" i="1"/>
  <c r="DA95" i="1"/>
  <c r="CZ96" i="1"/>
  <c r="CZ97" i="1" s="1"/>
  <c r="DV18" i="25" l="1"/>
  <c r="G49" i="24"/>
  <c r="DF162" i="1"/>
  <c r="DG132" i="1"/>
  <c r="DG143" i="1" s="1"/>
  <c r="DC74" i="1"/>
  <c r="DE116" i="1"/>
  <c r="DB95" i="1"/>
  <c r="DA96" i="1"/>
  <c r="DA97" i="1" s="1"/>
  <c r="DW18" i="25" l="1"/>
  <c r="DG162" i="1"/>
  <c r="DD74" i="1"/>
  <c r="DF116" i="1"/>
  <c r="DC95" i="1"/>
  <c r="DB96" i="1"/>
  <c r="DB97" i="1" s="1"/>
  <c r="DX18" i="25" l="1"/>
  <c r="DE74" i="1"/>
  <c r="DG116" i="1"/>
  <c r="DD95" i="1"/>
  <c r="DC96" i="1"/>
  <c r="DC97" i="1" s="1"/>
  <c r="DY18" i="25" l="1"/>
  <c r="DF74" i="1"/>
  <c r="DE95" i="1"/>
  <c r="DD96" i="1"/>
  <c r="DD97" i="1" s="1"/>
  <c r="DZ18" i="25" l="1"/>
  <c r="DG74" i="1"/>
  <c r="D20" i="5"/>
  <c r="E20" i="5"/>
  <c r="F20" i="5"/>
  <c r="G20" i="5"/>
  <c r="H20" i="5"/>
  <c r="I20" i="5"/>
  <c r="J20" i="5"/>
  <c r="K20" i="5"/>
  <c r="DF95" i="1"/>
  <c r="DE96" i="1"/>
  <c r="DE97" i="1" s="1"/>
  <c r="EA18" i="25" l="1"/>
  <c r="DG95" i="1"/>
  <c r="DF96" i="1"/>
  <c r="DF97" i="1" s="1"/>
  <c r="EB18" i="25" l="1"/>
  <c r="DG96" i="1"/>
  <c r="DG97" i="1" s="1"/>
  <c r="J41" i="5"/>
  <c r="K41" i="5"/>
  <c r="Q168" i="1"/>
  <c r="R168" i="1"/>
  <c r="S168" i="1"/>
  <c r="T168" i="1"/>
  <c r="U168" i="1"/>
  <c r="EC18" i="25" l="1"/>
  <c r="D13" i="6"/>
  <c r="E13" i="6"/>
  <c r="F13" i="6"/>
  <c r="G13" i="6"/>
  <c r="H13" i="6"/>
  <c r="I13" i="6"/>
  <c r="ED18" i="25" l="1"/>
  <c r="C21" i="6"/>
  <c r="H26" i="6"/>
  <c r="G26" i="6"/>
  <c r="F26" i="6"/>
  <c r="I26" i="6"/>
  <c r="D26" i="6"/>
  <c r="C26" i="6"/>
  <c r="C13" i="6"/>
  <c r="EE18" i="25" l="1"/>
  <c r="E26" i="6"/>
  <c r="P26" i="6" s="1"/>
  <c r="H12" i="6"/>
  <c r="H16" i="6" s="1"/>
  <c r="E12" i="6"/>
  <c r="E16" i="6" s="1"/>
  <c r="F12" i="6"/>
  <c r="F16" i="6" s="1"/>
  <c r="G12" i="6"/>
  <c r="G16" i="6" s="1"/>
  <c r="I12" i="6"/>
  <c r="I16" i="6" s="1"/>
  <c r="D12" i="6"/>
  <c r="D16" i="6" s="1"/>
  <c r="C12" i="6"/>
  <c r="C16" i="6" s="1"/>
  <c r="EF18" i="25" l="1"/>
  <c r="F17" i="6"/>
  <c r="D17" i="6"/>
  <c r="E17" i="6"/>
  <c r="I17" i="6"/>
  <c r="H17" i="6"/>
  <c r="C23" i="6"/>
  <c r="C24" i="6" s="1"/>
  <c r="C17" i="6"/>
  <c r="G17" i="6"/>
  <c r="EG18" i="25" l="1"/>
  <c r="Q51" i="1"/>
  <c r="Q52" i="1"/>
  <c r="C27" i="6"/>
  <c r="C28" i="6" s="1"/>
  <c r="EH18" i="25" l="1"/>
  <c r="D19" i="6"/>
  <c r="D19" i="15"/>
  <c r="EI18" i="25" l="1"/>
  <c r="D30" i="6"/>
  <c r="D31" i="6" s="1"/>
  <c r="E19" i="15"/>
  <c r="E19" i="6"/>
  <c r="E21" i="6" s="1"/>
  <c r="E23" i="6" s="1"/>
  <c r="E30" i="6"/>
  <c r="D21" i="6"/>
  <c r="D23" i="6" s="1"/>
  <c r="EJ18" i="25" l="1"/>
  <c r="E31" i="6"/>
  <c r="F19" i="6"/>
  <c r="F19" i="15"/>
  <c r="F30" i="6"/>
  <c r="F31" i="6" s="1"/>
  <c r="D27" i="6"/>
  <c r="D28" i="6" s="1"/>
  <c r="D24" i="6"/>
  <c r="E24" i="6"/>
  <c r="E27" i="6"/>
  <c r="E28" i="6" s="1"/>
  <c r="EK18" i="25" l="1"/>
  <c r="G19" i="6"/>
  <c r="G21" i="6" s="1"/>
  <c r="G23" i="6" s="1"/>
  <c r="G19" i="15"/>
  <c r="G30" i="6"/>
  <c r="G31" i="6" s="1"/>
  <c r="F21" i="6"/>
  <c r="F23" i="6" s="1"/>
  <c r="EL18" i="25" l="1"/>
  <c r="H19" i="15"/>
  <c r="H19" i="6"/>
  <c r="H21" i="6" s="1"/>
  <c r="H23" i="6" s="1"/>
  <c r="F24" i="6"/>
  <c r="F27" i="6"/>
  <c r="F28" i="6" s="1"/>
  <c r="G24" i="6"/>
  <c r="G27" i="6"/>
  <c r="G28" i="6" s="1"/>
  <c r="H30" i="6"/>
  <c r="H31" i="6" s="1"/>
  <c r="EM18" i="25" l="1"/>
  <c r="I19" i="6"/>
  <c r="I21" i="6" s="1"/>
  <c r="I23" i="6" s="1"/>
  <c r="I19" i="15"/>
  <c r="H24" i="6"/>
  <c r="H27" i="6"/>
  <c r="H28" i="6" s="1"/>
  <c r="I30" i="6"/>
  <c r="I31" i="6" s="1"/>
  <c r="EN18" i="25" l="1"/>
  <c r="J19" i="6"/>
  <c r="J21" i="6" s="1"/>
  <c r="J23" i="6" s="1"/>
  <c r="J19" i="15"/>
  <c r="I24" i="6"/>
  <c r="I27" i="6"/>
  <c r="I28" i="6" s="1"/>
  <c r="J30" i="6"/>
  <c r="J31" i="6" s="1"/>
  <c r="EO18" i="25" l="1"/>
  <c r="K19" i="15"/>
  <c r="K19" i="6"/>
  <c r="K21" i="6" s="1"/>
  <c r="K23" i="6" s="1"/>
  <c r="J27" i="6"/>
  <c r="J28" i="6" s="1"/>
  <c r="J24" i="6"/>
  <c r="K30" i="6"/>
  <c r="K31" i="6" s="1"/>
  <c r="EP18" i="25" l="1"/>
  <c r="K27" i="6"/>
  <c r="K28" i="6" s="1"/>
  <c r="K24" i="6"/>
  <c r="L19" i="6"/>
  <c r="L21" i="6" s="1"/>
  <c r="L23" i="6" s="1"/>
  <c r="L19" i="15"/>
  <c r="L30" i="6"/>
  <c r="L31" i="6" s="1"/>
  <c r="EQ18" i="25" l="1"/>
  <c r="M19" i="6"/>
  <c r="M21" i="6" s="1"/>
  <c r="M19" i="15"/>
  <c r="L27" i="6"/>
  <c r="L28" i="6" s="1"/>
  <c r="L24" i="6"/>
  <c r="ER18" i="25" l="1"/>
  <c r="N19" i="6"/>
  <c r="N21" i="6" s="1"/>
  <c r="N19" i="15"/>
  <c r="ES18" i="25" l="1"/>
  <c r="P19" i="6"/>
  <c r="P21" i="6" s="1"/>
  <c r="P19" i="15"/>
  <c r="ET18" i="25" l="1"/>
  <c r="D35" i="5"/>
  <c r="D36" i="5" s="1"/>
  <c r="M12" i="6"/>
  <c r="EU18" i="25" l="1"/>
  <c r="R50" i="1"/>
  <c r="M14" i="6"/>
  <c r="M16" i="6" s="1"/>
  <c r="EV18" i="25" l="1"/>
  <c r="M23" i="6"/>
  <c r="M17" i="6"/>
  <c r="EW18" i="25" l="1"/>
  <c r="M24" i="6"/>
  <c r="M27" i="6"/>
  <c r="M28" i="6" s="1"/>
  <c r="EX18" i="25" l="1"/>
  <c r="M30" i="6"/>
  <c r="M31" i="6" s="1"/>
  <c r="EY18" i="25" l="1"/>
  <c r="N12" i="6"/>
  <c r="EZ18" i="25" l="1"/>
  <c r="R51" i="1"/>
  <c r="P12" i="6"/>
  <c r="P14" i="6" s="1"/>
  <c r="P16" i="6" s="1"/>
  <c r="N14" i="6"/>
  <c r="N16" i="6" s="1"/>
  <c r="FB18" i="25" l="1"/>
  <c r="FA18" i="25"/>
  <c r="R49" i="1"/>
  <c r="R53" i="1" s="1"/>
  <c r="P17" i="6"/>
  <c r="P23" i="6"/>
  <c r="N23" i="6"/>
  <c r="N17" i="6"/>
  <c r="R54" i="1" l="1"/>
  <c r="N27" i="6"/>
  <c r="N28" i="6" s="1"/>
  <c r="N24" i="6"/>
  <c r="P27" i="6"/>
  <c r="P28" i="6" s="1"/>
  <c r="P24" i="6"/>
  <c r="P44" i="1" l="1"/>
  <c r="N30" i="6" l="1"/>
  <c r="N31" i="6" s="1"/>
  <c r="P172" i="1" l="1"/>
  <c r="C12" i="15" l="1"/>
  <c r="C14" i="15" l="1"/>
  <c r="C16" i="15" s="1"/>
  <c r="C20" i="15"/>
  <c r="C22" i="15" l="1"/>
  <c r="C17" i="15"/>
  <c r="P153" i="1"/>
  <c r="C26" i="15" l="1"/>
  <c r="C27" i="15" s="1"/>
  <c r="C23" i="15"/>
  <c r="D20" i="15" l="1"/>
  <c r="P116" i="1" l="1"/>
  <c r="P115" i="1"/>
  <c r="P128" i="1" l="1"/>
  <c r="P129" i="1" s="1"/>
  <c r="P156" i="1" s="1"/>
  <c r="P161" i="1"/>
  <c r="P163" i="1" s="1"/>
  <c r="Q161" i="1"/>
  <c r="P170" i="1" l="1"/>
  <c r="Q116" i="1"/>
  <c r="D12" i="15"/>
  <c r="Q65" i="1"/>
  <c r="Q92" i="1" s="1"/>
  <c r="Q32" i="1"/>
  <c r="Q44" i="1" l="1"/>
  <c r="R44" i="1"/>
  <c r="S44" i="1"/>
  <c r="Q45" i="1"/>
  <c r="Q98" i="1"/>
  <c r="R152" i="1" s="1"/>
  <c r="R153" i="1" s="1"/>
  <c r="R156" i="1" s="1"/>
  <c r="P173" i="1"/>
  <c r="C30" i="15"/>
  <c r="E12" i="15"/>
  <c r="E14" i="15" s="1"/>
  <c r="E16" i="15" s="1"/>
  <c r="D14" i="15"/>
  <c r="D16" i="15" s="1"/>
  <c r="S152" i="1" l="1"/>
  <c r="S153" i="1" s="1"/>
  <c r="S156" i="1" s="1"/>
  <c r="Q160" i="1"/>
  <c r="Q163" i="1" s="1"/>
  <c r="Q170" i="1" s="1"/>
  <c r="Q152" i="1"/>
  <c r="Q153" i="1" s="1"/>
  <c r="Q156" i="1" s="1"/>
  <c r="P174" i="1"/>
  <c r="C29" i="15"/>
  <c r="Q172" i="1"/>
  <c r="E17" i="15"/>
  <c r="D17" i="15"/>
  <c r="D22" i="15"/>
  <c r="R161" i="1"/>
  <c r="Q173" i="1" l="1"/>
  <c r="R172" i="1" s="1"/>
  <c r="D30" i="15"/>
  <c r="R160" i="1"/>
  <c r="R163" i="1" s="1"/>
  <c r="R170" i="1" s="1"/>
  <c r="F20" i="15"/>
  <c r="D26" i="15"/>
  <c r="D27" i="15" s="1"/>
  <c r="D23" i="15"/>
  <c r="E20" i="15"/>
  <c r="E22" i="15" s="1"/>
  <c r="Q174" i="1" l="1"/>
  <c r="D29" i="15"/>
  <c r="T152" i="1"/>
  <c r="T153" i="1" s="1"/>
  <c r="T156" i="1" s="1"/>
  <c r="V151" i="1"/>
  <c r="W151" i="1" s="1"/>
  <c r="U152" i="1"/>
  <c r="U153" i="1" s="1"/>
  <c r="U156" i="1" s="1"/>
  <c r="G20" i="15"/>
  <c r="E23" i="15"/>
  <c r="E26" i="15"/>
  <c r="E27" i="15" s="1"/>
  <c r="E30" i="15"/>
  <c r="R173" i="1"/>
  <c r="W152" i="1" l="1"/>
  <c r="W153" i="1" s="1"/>
  <c r="W156" i="1" s="1"/>
  <c r="X151" i="1"/>
  <c r="Y151" i="1" s="1"/>
  <c r="Y152" i="1" s="1"/>
  <c r="Y153" i="1" s="1"/>
  <c r="Y156" i="1" s="1"/>
  <c r="V152" i="1"/>
  <c r="V153" i="1" s="1"/>
  <c r="V156" i="1" s="1"/>
  <c r="R174" i="1"/>
  <c r="S172" i="1"/>
  <c r="E29" i="15"/>
  <c r="H20" i="15"/>
  <c r="X152" i="1" l="1"/>
  <c r="X153" i="1" s="1"/>
  <c r="X156" i="1" s="1"/>
  <c r="I20" i="15"/>
  <c r="J20" i="15" l="1"/>
  <c r="K20" i="15" l="1"/>
  <c r="L20" i="15" l="1"/>
  <c r="M20" i="15" l="1"/>
  <c r="N20" i="15" l="1"/>
  <c r="P20" i="15"/>
  <c r="S161" i="1" l="1"/>
  <c r="F12" i="15"/>
  <c r="F14" i="15" s="1"/>
  <c r="F16" i="15" s="1"/>
  <c r="S32" i="1"/>
  <c r="S160" i="1" l="1"/>
  <c r="S163" i="1" s="1"/>
  <c r="S170" i="1" s="1"/>
  <c r="G12" i="15"/>
  <c r="G14" i="15" s="1"/>
  <c r="G16" i="15" s="1"/>
  <c r="F17" i="15"/>
  <c r="F22" i="15"/>
  <c r="I12" i="15" l="1"/>
  <c r="I14" i="15" s="1"/>
  <c r="I16" i="15" s="1"/>
  <c r="G17" i="15"/>
  <c r="G22" i="15"/>
  <c r="S173" i="1"/>
  <c r="F30" i="15"/>
  <c r="F26" i="15"/>
  <c r="F27" i="15" s="1"/>
  <c r="F23" i="15"/>
  <c r="T160" i="1" l="1"/>
  <c r="G23" i="15"/>
  <c r="G26" i="15"/>
  <c r="G27" i="15" s="1"/>
  <c r="F29" i="15"/>
  <c r="S174" i="1"/>
  <c r="T172" i="1"/>
  <c r="H12" i="15"/>
  <c r="I17" i="15"/>
  <c r="I22" i="15"/>
  <c r="T161" i="1"/>
  <c r="I26" i="15" l="1"/>
  <c r="I27" i="15" s="1"/>
  <c r="I23" i="15"/>
  <c r="V160" i="1"/>
  <c r="H14" i="15"/>
  <c r="H16" i="15" s="1"/>
  <c r="V161" i="1"/>
  <c r="T163" i="1"/>
  <c r="T170" i="1" l="1"/>
  <c r="T173" i="1" s="1"/>
  <c r="V163" i="1"/>
  <c r="U160" i="1"/>
  <c r="U161" i="1"/>
  <c r="H17" i="15"/>
  <c r="H22" i="15"/>
  <c r="G30" i="15" l="1"/>
  <c r="V170" i="1"/>
  <c r="I30" i="15" s="1"/>
  <c r="U172" i="1"/>
  <c r="G29" i="15"/>
  <c r="H26" i="15"/>
  <c r="H27" i="15" s="1"/>
  <c r="H23" i="15"/>
  <c r="U163" i="1"/>
  <c r="T174" i="1"/>
  <c r="U170" i="1" l="1"/>
  <c r="U173" i="1" l="1"/>
  <c r="H30" i="15"/>
  <c r="U174" i="1" l="1"/>
  <c r="H29" i="15"/>
  <c r="V172" i="1"/>
  <c r="V173" i="1" s="1"/>
  <c r="W172" i="1" s="1"/>
  <c r="W173" i="1" s="1"/>
  <c r="W174" i="1" s="1"/>
  <c r="I29" i="15" l="1"/>
  <c r="V174" i="1"/>
  <c r="AY32" i="1" l="1"/>
  <c r="AZ32" i="1" s="1"/>
  <c r="BA32" i="1" s="1"/>
  <c r="BB32" i="1" s="1"/>
  <c r="BC32" i="1" s="1"/>
  <c r="BD32" i="1" s="1"/>
  <c r="BE32" i="1" s="1"/>
  <c r="BF32" i="1" s="1"/>
  <c r="BG32" i="1" s="1"/>
  <c r="BH32" i="1" s="1"/>
  <c r="BI32" i="1" s="1"/>
  <c r="BJ32" i="1" s="1"/>
  <c r="BK32" i="1" s="1"/>
  <c r="BL32" i="1" s="1"/>
  <c r="BM32" i="1" s="1"/>
  <c r="BN32" i="1" s="1"/>
  <c r="BO32" i="1" s="1"/>
  <c r="BP32" i="1" s="1"/>
  <c r="BQ32" i="1" s="1"/>
  <c r="BR32" i="1" s="1"/>
  <c r="BS32" i="1" s="1"/>
  <c r="BT32" i="1" s="1"/>
  <c r="BU32" i="1" s="1"/>
  <c r="BV32" i="1" s="1"/>
  <c r="BW32" i="1" s="1"/>
  <c r="BX32" i="1" s="1"/>
  <c r="BY32" i="1" s="1"/>
  <c r="BZ32" i="1" s="1"/>
  <c r="CA32" i="1" s="1"/>
  <c r="CB32" i="1" s="1"/>
  <c r="CC32" i="1" s="1"/>
  <c r="CD32" i="1" s="1"/>
  <c r="CE32" i="1" s="1"/>
  <c r="CF32" i="1" s="1"/>
  <c r="CG32" i="1" s="1"/>
  <c r="CH32" i="1" s="1"/>
  <c r="CI32" i="1" s="1"/>
  <c r="CJ32" i="1" s="1"/>
  <c r="CK32" i="1" s="1"/>
  <c r="CL32" i="1" s="1"/>
  <c r="CM32" i="1" s="1"/>
  <c r="CN32" i="1" s="1"/>
  <c r="CO32" i="1" s="1"/>
  <c r="CP32" i="1" s="1"/>
  <c r="CQ32" i="1" s="1"/>
  <c r="CR32" i="1" s="1"/>
  <c r="CS32" i="1" s="1"/>
  <c r="CT32" i="1" s="1"/>
  <c r="CU32" i="1" s="1"/>
  <c r="CV32" i="1" s="1"/>
  <c r="CW32" i="1" s="1"/>
  <c r="CX32" i="1" s="1"/>
  <c r="CY32" i="1" s="1"/>
  <c r="CZ32" i="1" s="1"/>
  <c r="DA32" i="1" s="1"/>
  <c r="DB32" i="1" s="1"/>
  <c r="DC32" i="1" s="1"/>
  <c r="DD32" i="1" s="1"/>
  <c r="DE32" i="1" s="1"/>
  <c r="DF32" i="1" s="1"/>
  <c r="DG32" i="1" s="1"/>
  <c r="J12" i="15" l="1"/>
  <c r="K12" i="15" l="1"/>
  <c r="K14" i="15" s="1"/>
  <c r="K16" i="15" s="1"/>
  <c r="J14" i="15"/>
  <c r="J16" i="15" s="1"/>
  <c r="X161" i="1" l="1"/>
  <c r="K22" i="15"/>
  <c r="K17" i="15"/>
  <c r="J17" i="15"/>
  <c r="J22" i="15"/>
  <c r="X40" i="1" l="1"/>
  <c r="X160" i="1"/>
  <c r="X163" i="1" s="1"/>
  <c r="K26" i="15"/>
  <c r="K27" i="15" s="1"/>
  <c r="K23" i="15"/>
  <c r="J23" i="15"/>
  <c r="J26" i="15"/>
  <c r="J27" i="15" s="1"/>
  <c r="J30" i="15"/>
  <c r="X42" i="1" l="1"/>
  <c r="X44" i="1" s="1"/>
  <c r="Y42" i="1"/>
  <c r="Y44" i="1" s="1"/>
  <c r="X170" i="1"/>
  <c r="X45" i="1"/>
  <c r="J29" i="15"/>
  <c r="X172" i="1"/>
  <c r="K30" i="15" l="1"/>
  <c r="X173" i="1"/>
  <c r="Y172" i="1" l="1"/>
  <c r="X174" i="1"/>
  <c r="K29" i="15"/>
  <c r="Q49" i="1"/>
  <c r="Q54" i="1" s="1"/>
  <c r="Q53" i="1" l="1"/>
  <c r="L12" i="15" l="1"/>
  <c r="L14" i="15" l="1"/>
  <c r="L16" i="15" s="1"/>
  <c r="Y161" i="1" l="1"/>
  <c r="L22" i="15"/>
  <c r="L17" i="15"/>
  <c r="Y160" i="1" l="1"/>
  <c r="Y163" i="1" s="1"/>
  <c r="L26" i="15"/>
  <c r="L27" i="15" s="1"/>
  <c r="L23" i="15"/>
  <c r="Y170" i="1" l="1"/>
  <c r="Y173" i="1" s="1"/>
  <c r="N12" i="15"/>
  <c r="L30" i="15" l="1"/>
  <c r="Y174" i="1"/>
  <c r="L29" i="15"/>
  <c r="Z172" i="1"/>
  <c r="N14" i="15"/>
  <c r="N16" i="15" s="1"/>
  <c r="N22" i="15" s="1"/>
  <c r="N17" i="15" l="1"/>
  <c r="N23" i="15"/>
  <c r="N26" i="15"/>
  <c r="N27" i="15" s="1"/>
  <c r="S52" i="1" l="1"/>
  <c r="T52" i="1" l="1"/>
  <c r="AY46" i="1" l="1"/>
  <c r="AZ46" i="1" l="1"/>
  <c r="BA46" i="1" l="1"/>
  <c r="BC46" i="1" l="1"/>
  <c r="BD46" i="1" l="1"/>
  <c r="BE46" i="1" l="1"/>
  <c r="BF46" i="1" l="1"/>
  <c r="U52" i="1" l="1"/>
  <c r="BG46" i="1" l="1"/>
  <c r="BH46" i="1" l="1"/>
  <c r="BI46" i="1" l="1"/>
  <c r="BJ46" i="1" l="1"/>
  <c r="BK46" i="1" l="1"/>
  <c r="BL46" i="1" l="1"/>
  <c r="BM46" i="1" l="1"/>
  <c r="BO46" i="1" l="1"/>
  <c r="BP46" i="1" l="1"/>
  <c r="S50" i="1"/>
  <c r="S51" i="1"/>
  <c r="S49" i="1" l="1"/>
  <c r="S53" i="1" s="1"/>
  <c r="BQ46" i="1" l="1"/>
  <c r="S54" i="1"/>
  <c r="BR46" i="1" l="1"/>
  <c r="V52" i="1" l="1"/>
  <c r="BS46" i="1" l="1"/>
  <c r="BT46" i="1" l="1"/>
  <c r="BU46" i="1" l="1"/>
  <c r="BV46" i="1" l="1"/>
  <c r="BW46" i="1" l="1"/>
  <c r="BX46" i="1" l="1"/>
  <c r="BY46" i="1" l="1"/>
  <c r="AA52" i="1" l="1"/>
  <c r="AE52" i="1"/>
  <c r="AC52" i="1"/>
  <c r="AB52" i="1"/>
  <c r="AD52" i="1"/>
  <c r="CA46" i="1"/>
  <c r="Z52" i="1"/>
  <c r="CB46" i="1" l="1"/>
  <c r="CC46" i="1" l="1"/>
  <c r="CD46" i="1" l="1"/>
  <c r="Y52" i="1" l="1"/>
  <c r="CE46" i="1"/>
  <c r="X52" i="1"/>
  <c r="W52" i="1"/>
  <c r="CF46" i="1" l="1"/>
  <c r="CG46" i="1" l="1"/>
  <c r="CH46" i="1" l="1"/>
  <c r="CI46" i="1" l="1"/>
  <c r="CJ46" i="1" l="1"/>
  <c r="CK46" i="1" l="1"/>
  <c r="AF52" i="1" l="1"/>
  <c r="CM46" i="1"/>
  <c r="CN46" i="1" l="1"/>
  <c r="CO46" i="1" l="1"/>
  <c r="CP46" i="1" l="1"/>
  <c r="CQ46" i="1" l="1"/>
  <c r="CR46" i="1" l="1"/>
  <c r="CS46" i="1" l="1"/>
  <c r="CT46" i="1" l="1"/>
  <c r="CU46" i="1" l="1"/>
  <c r="CV46" i="1" l="1"/>
  <c r="CW46" i="1" l="1"/>
  <c r="CY46" i="1" l="1"/>
  <c r="CZ46" i="1" l="1"/>
  <c r="DA46" i="1" l="1"/>
  <c r="DB46" i="1" l="1"/>
  <c r="DC46" i="1" l="1"/>
  <c r="DD46" i="1" l="1"/>
  <c r="DE46" i="1" l="1"/>
  <c r="DF46" i="1" l="1"/>
  <c r="G22" i="24" l="1"/>
  <c r="G33" i="24" s="1"/>
  <c r="DG46" i="1" l="1"/>
  <c r="G39" i="24" l="1"/>
  <c r="G34" i="24"/>
  <c r="G40" i="24" l="1"/>
  <c r="G43" i="24"/>
  <c r="G44" i="24" s="1"/>
  <c r="D19" i="5" l="1"/>
  <c r="D21" i="5" s="1"/>
  <c r="M12" i="15"/>
  <c r="P12" i="15" s="1"/>
  <c r="P14" i="15" s="1"/>
  <c r="P16" i="15" s="1"/>
  <c r="Z161" i="1"/>
  <c r="Z32" i="1"/>
  <c r="Z92" i="1"/>
  <c r="Z98" i="1" s="1"/>
  <c r="Z151" i="1" s="1"/>
  <c r="AA151" i="1" s="1"/>
  <c r="D32" i="5" l="1"/>
  <c r="D33" i="5" s="1"/>
  <c r="Z39" i="1"/>
  <c r="AA152" i="1"/>
  <c r="AA153" i="1" s="1"/>
  <c r="AA156" i="1" s="1"/>
  <c r="Z152" i="1"/>
  <c r="Z153" i="1" s="1"/>
  <c r="Z156" i="1" s="1"/>
  <c r="Z40" i="1"/>
  <c r="M14" i="15"/>
  <c r="M16" i="15" s="1"/>
  <c r="M22" i="15" s="1"/>
  <c r="M26" i="15" s="1"/>
  <c r="M27" i="15" s="1"/>
  <c r="P17" i="15"/>
  <c r="P22" i="15"/>
  <c r="D38" i="5" l="1"/>
  <c r="D42" i="5" s="1"/>
  <c r="Z42" i="1"/>
  <c r="Z44" i="1" s="1"/>
  <c r="AE42" i="1"/>
  <c r="AE44" i="1" s="1"/>
  <c r="AC42" i="1"/>
  <c r="AC44" i="1" s="1"/>
  <c r="AA42" i="1"/>
  <c r="AA44" i="1" s="1"/>
  <c r="AD42" i="1"/>
  <c r="AD44" i="1" s="1"/>
  <c r="AB42" i="1"/>
  <c r="AB44" i="1" s="1"/>
  <c r="AB152" i="1"/>
  <c r="AB153" i="1" s="1"/>
  <c r="AB156" i="1" s="1"/>
  <c r="AC151" i="1"/>
  <c r="N30" i="15"/>
  <c r="M23" i="15"/>
  <c r="Z45" i="1"/>
  <c r="M17" i="15"/>
  <c r="Z160" i="1"/>
  <c r="Z163" i="1" s="1"/>
  <c r="P23" i="15"/>
  <c r="P26" i="15"/>
  <c r="P27" i="15" s="1"/>
  <c r="D39" i="5" l="1"/>
  <c r="D43" i="5"/>
  <c r="D44" i="5"/>
  <c r="Z170" i="1"/>
  <c r="Z173" i="1" s="1"/>
  <c r="AA172" i="1" s="1"/>
  <c r="AA173" i="1" s="1"/>
  <c r="AC152" i="1"/>
  <c r="AC153" i="1" s="1"/>
  <c r="AC156" i="1" s="1"/>
  <c r="AD151" i="1"/>
  <c r="M30" i="15" l="1"/>
  <c r="AA174" i="1"/>
  <c r="AB172" i="1"/>
  <c r="AB173" i="1" s="1"/>
  <c r="C48" i="24" s="1"/>
  <c r="AD152" i="1"/>
  <c r="AD153" i="1" s="1"/>
  <c r="AD156" i="1" s="1"/>
  <c r="AE151" i="1"/>
  <c r="M29" i="15"/>
  <c r="Z174" i="1"/>
  <c r="C55" i="24" l="1"/>
  <c r="AE152" i="1"/>
  <c r="AE153" i="1" s="1"/>
  <c r="AE156" i="1" s="1"/>
  <c r="AF151" i="1"/>
  <c r="AG151" i="1" s="1"/>
  <c r="AH151" i="1" s="1"/>
  <c r="AB174" i="1"/>
  <c r="AC172" i="1"/>
  <c r="AC173" i="1" s="1"/>
  <c r="D48" i="24" s="1"/>
  <c r="AH152" i="1" l="1"/>
  <c r="AH153" i="1" s="1"/>
  <c r="AH156" i="1" s="1"/>
  <c r="AI151" i="1"/>
  <c r="AG152" i="1"/>
  <c r="AG153" i="1" s="1"/>
  <c r="AG156" i="1" s="1"/>
  <c r="D55" i="24"/>
  <c r="AF152" i="1"/>
  <c r="AF153" i="1" s="1"/>
  <c r="AF156" i="1" s="1"/>
  <c r="AC174" i="1"/>
  <c r="AD172" i="1"/>
  <c r="AD173" i="1" s="1"/>
  <c r="AI152" i="1" l="1"/>
  <c r="AI153" i="1" s="1"/>
  <c r="AI156" i="1" s="1"/>
  <c r="AJ151" i="1"/>
  <c r="AK151" i="1" s="1"/>
  <c r="AL151" i="1" s="1"/>
  <c r="E48" i="24"/>
  <c r="E55" i="24" s="1"/>
  <c r="C36" i="26"/>
  <c r="AD174" i="1"/>
  <c r="AE172" i="1"/>
  <c r="AE173" i="1" s="1"/>
  <c r="AL152" i="1" l="1"/>
  <c r="AL153" i="1" s="1"/>
  <c r="AL156" i="1" s="1"/>
  <c r="AM151" i="1"/>
  <c r="AK152" i="1"/>
  <c r="AK153" i="1" s="1"/>
  <c r="AK156" i="1" s="1"/>
  <c r="AJ152" i="1"/>
  <c r="AJ153" i="1" s="1"/>
  <c r="AJ156" i="1" s="1"/>
  <c r="AF172" i="1"/>
  <c r="AF173" i="1" s="1"/>
  <c r="G48" i="24" s="1"/>
  <c r="F48" i="24"/>
  <c r="AE174" i="1"/>
  <c r="N29" i="15"/>
  <c r="AN150" i="1" l="1"/>
  <c r="AO150" i="1" s="1"/>
  <c r="AP150" i="1" s="1"/>
  <c r="AQ150" i="1" s="1"/>
  <c r="AR150" i="1" s="1"/>
  <c r="AS150" i="1" s="1"/>
  <c r="AT150" i="1" s="1"/>
  <c r="AM152" i="1"/>
  <c r="AM153" i="1" s="1"/>
  <c r="AF174" i="1"/>
  <c r="AG172" i="1"/>
  <c r="F55" i="24"/>
  <c r="G55" i="24"/>
  <c r="AU150" i="1" l="1"/>
  <c r="AV150" i="1" s="1"/>
  <c r="AW150" i="1" s="1"/>
  <c r="AT152" i="1"/>
  <c r="AT153" i="1" s="1"/>
  <c r="AT156" i="1" s="1"/>
  <c r="AS152" i="1"/>
  <c r="AS153" i="1" s="1"/>
  <c r="AR152" i="1"/>
  <c r="AR153" i="1" s="1"/>
  <c r="AR156" i="1" s="1"/>
  <c r="AQ152" i="1"/>
  <c r="AQ153" i="1" s="1"/>
  <c r="AQ156" i="1" s="1"/>
  <c r="AP152" i="1"/>
  <c r="AP153" i="1" s="1"/>
  <c r="AP156" i="1" s="1"/>
  <c r="AO152" i="1"/>
  <c r="AO153" i="1" s="1"/>
  <c r="AO156" i="1" s="1"/>
  <c r="AN152" i="1"/>
  <c r="AN153" i="1" s="1"/>
  <c r="AN156" i="1" s="1"/>
  <c r="H23" i="24"/>
  <c r="AW152" i="1" l="1"/>
  <c r="AW153" i="1" s="1"/>
  <c r="AW156" i="1" s="1"/>
  <c r="AX150" i="1"/>
  <c r="AV152" i="1"/>
  <c r="AV153" i="1" s="1"/>
  <c r="AV156" i="1" s="1"/>
  <c r="AU152" i="1"/>
  <c r="AU153" i="1" s="1"/>
  <c r="AU156" i="1" s="1"/>
  <c r="H25" i="24"/>
  <c r="I25" i="24" l="1"/>
  <c r="H36" i="24"/>
  <c r="H50" i="24" l="1"/>
  <c r="H28" i="24"/>
  <c r="AG161" i="1"/>
  <c r="H37" i="24"/>
  <c r="H20" i="24"/>
  <c r="H29" i="24"/>
  <c r="H31" i="24" l="1"/>
  <c r="H22" i="24"/>
  <c r="H24" i="24"/>
  <c r="AG44" i="1" l="1"/>
  <c r="AG45" i="1"/>
  <c r="AG160" i="1"/>
  <c r="AG163" i="1" s="1"/>
  <c r="H33" i="24"/>
  <c r="H51" i="24" l="1"/>
  <c r="H34" i="24"/>
  <c r="H39" i="24"/>
  <c r="J23" i="24"/>
  <c r="J25" i="24" l="1"/>
  <c r="AG170" i="1"/>
  <c r="H43" i="24"/>
  <c r="H44" i="24" s="1"/>
  <c r="H40" i="24"/>
  <c r="H49" i="24" l="1"/>
  <c r="AG173" i="1"/>
  <c r="H46" i="24"/>
  <c r="H48" i="24" l="1"/>
  <c r="H55" i="24" s="1"/>
  <c r="D36" i="26"/>
  <c r="AG174" i="1"/>
  <c r="AH172" i="1"/>
  <c r="J20" i="24"/>
  <c r="J28" i="24"/>
  <c r="H54" i="24"/>
  <c r="J29" i="24"/>
  <c r="J31" i="24" l="1"/>
  <c r="J24" i="24"/>
  <c r="J22" i="24"/>
  <c r="K23" i="24"/>
  <c r="K25" i="24" l="1"/>
  <c r="J33" i="24"/>
  <c r="J34" i="24" s="1"/>
  <c r="K29" i="24" l="1"/>
  <c r="AJ161" i="1"/>
  <c r="K28" i="24"/>
  <c r="L23" i="24"/>
  <c r="K20" i="24"/>
  <c r="K31" i="24" l="1"/>
  <c r="L25" i="24"/>
  <c r="K22" i="24"/>
  <c r="K24" i="24"/>
  <c r="K33" i="24" l="1"/>
  <c r="K34" i="24" s="1"/>
  <c r="L20" i="24" l="1"/>
  <c r="L29" i="24"/>
  <c r="AK161" i="1"/>
  <c r="L28" i="24"/>
  <c r="L31" i="24" l="1"/>
  <c r="M23" i="24"/>
  <c r="L22" i="24"/>
  <c r="M13" i="25" l="1"/>
  <c r="L24" i="24"/>
  <c r="M25" i="24"/>
  <c r="L33" i="24"/>
  <c r="L34" i="24" s="1"/>
  <c r="AL161" i="1" l="1"/>
  <c r="M28" i="24"/>
  <c r="M29" i="24"/>
  <c r="M20" i="24"/>
  <c r="M22" i="24" s="1"/>
  <c r="M24" i="24" l="1"/>
  <c r="O13" i="25" l="1"/>
  <c r="C30" i="29" s="1"/>
  <c r="AY23" i="1" l="1"/>
  <c r="BA23" i="1" l="1"/>
  <c r="BB23" i="1" l="1"/>
  <c r="BC23" i="1" l="1"/>
  <c r="BD23" i="1" l="1"/>
  <c r="BE23" i="1" l="1"/>
  <c r="BF23" i="1" l="1"/>
  <c r="BG23" i="1" l="1"/>
  <c r="BH23" i="1" l="1"/>
  <c r="BI23" i="1" l="1"/>
  <c r="BJ23" i="1" l="1"/>
  <c r="BK23" i="1" l="1"/>
  <c r="BM23" i="1" l="1"/>
  <c r="BN23" i="1" l="1"/>
  <c r="BO23" i="1" l="1"/>
  <c r="BP23" i="1" l="1"/>
  <c r="BQ23" i="1" l="1"/>
  <c r="BR23" i="1" l="1"/>
  <c r="BS23" i="1" l="1"/>
  <c r="BT23" i="1" l="1"/>
  <c r="BU23" i="1" l="1"/>
  <c r="BV23" i="1" l="1"/>
  <c r="BW23" i="1" l="1"/>
  <c r="BY23" i="1" l="1"/>
  <c r="BZ23" i="1" l="1"/>
  <c r="CA23" i="1" l="1"/>
  <c r="CB23" i="1" l="1"/>
  <c r="CC23" i="1" l="1"/>
  <c r="CD23" i="1" l="1"/>
  <c r="CE23" i="1" l="1"/>
  <c r="CF23" i="1" l="1"/>
  <c r="CG23" i="1" l="1"/>
  <c r="CH23" i="1" l="1"/>
  <c r="CI23" i="1" l="1"/>
  <c r="CJ23" i="1" l="1"/>
  <c r="CK23" i="1" l="1"/>
  <c r="CL23" i="1" l="1"/>
  <c r="CM23" i="1" l="1"/>
  <c r="CN23" i="1" l="1"/>
  <c r="CO23" i="1" l="1"/>
  <c r="CP23" i="1" l="1"/>
  <c r="CQ23" i="1" l="1"/>
  <c r="CR23" i="1" l="1"/>
  <c r="CS23" i="1" l="1"/>
  <c r="CT23" i="1" l="1"/>
  <c r="CU23" i="1" l="1"/>
  <c r="CV23" i="1" l="1"/>
  <c r="CW23" i="1" l="1"/>
  <c r="CX23" i="1" l="1"/>
  <c r="CY23" i="1" l="1"/>
  <c r="CZ23" i="1" l="1"/>
  <c r="DA23" i="1" l="1"/>
  <c r="DB23" i="1" l="1"/>
  <c r="DC23" i="1" l="1"/>
  <c r="DD23" i="1" l="1"/>
  <c r="DE23" i="1" l="1"/>
  <c r="DF23" i="1" l="1"/>
  <c r="DG23" i="1" l="1"/>
  <c r="G36" i="5" l="1"/>
  <c r="H36" i="5"/>
  <c r="I36" i="5"/>
  <c r="J35" i="5"/>
  <c r="J36" i="5" s="1"/>
  <c r="K35" i="5"/>
  <c r="K36" i="5" s="1"/>
  <c r="I23" i="24" l="1"/>
  <c r="J36" i="24" l="1"/>
  <c r="J37" i="24" s="1"/>
  <c r="J39" i="24" s="1"/>
  <c r="J50" i="24"/>
  <c r="I50" i="24"/>
  <c r="I36" i="24"/>
  <c r="F26" i="26"/>
  <c r="G26" i="26" s="1"/>
  <c r="F27" i="26" l="1"/>
  <c r="G27" i="26" s="1"/>
  <c r="K50" i="24"/>
  <c r="K36" i="24"/>
  <c r="K37" i="24" s="1"/>
  <c r="K39" i="24" s="1"/>
  <c r="I37" i="24"/>
  <c r="I29" i="24"/>
  <c r="J43" i="24"/>
  <c r="J44" i="24" s="1"/>
  <c r="J40" i="24"/>
  <c r="I20" i="24"/>
  <c r="AH161" i="1"/>
  <c r="AI161" i="1"/>
  <c r="I28" i="24"/>
  <c r="I31" i="24" l="1"/>
  <c r="AI45" i="1"/>
  <c r="I22" i="24"/>
  <c r="K40" i="24"/>
  <c r="K43" i="24"/>
  <c r="K44" i="24" s="1"/>
  <c r="AI160" i="1"/>
  <c r="AI163" i="1" s="1"/>
  <c r="L36" i="24"/>
  <c r="L50" i="24"/>
  <c r="AH42" i="1"/>
  <c r="M30" i="24" l="1"/>
  <c r="AI42" i="1"/>
  <c r="AI44" i="1" s="1"/>
  <c r="AH44" i="1"/>
  <c r="AH45" i="1"/>
  <c r="I33" i="24"/>
  <c r="I39" i="24" s="1"/>
  <c r="I24" i="24"/>
  <c r="M36" i="24"/>
  <c r="M37" i="24" s="1"/>
  <c r="M50" i="24"/>
  <c r="L37" i="24"/>
  <c r="L39" i="24" s="1"/>
  <c r="M31" i="24" l="1"/>
  <c r="M33" i="24" s="1"/>
  <c r="M34" i="24" s="1"/>
  <c r="AJ160" i="1"/>
  <c r="AJ163" i="1" s="1"/>
  <c r="I34" i="24"/>
  <c r="H26" i="26"/>
  <c r="N50" i="24"/>
  <c r="N36" i="24"/>
  <c r="N37" i="24" s="1"/>
  <c r="E36" i="5"/>
  <c r="I40" i="24"/>
  <c r="I43" i="24"/>
  <c r="I44" i="24" s="1"/>
  <c r="F36" i="5"/>
  <c r="L40" i="24"/>
  <c r="L43" i="24"/>
  <c r="L44" i="24" s="1"/>
  <c r="AK160" i="1"/>
  <c r="AK163" i="1" s="1"/>
  <c r="AH160" i="1"/>
  <c r="AH163" i="1" s="1"/>
  <c r="AI167" i="1"/>
  <c r="AI168" i="1" s="1"/>
  <c r="H27" i="26" l="1"/>
  <c r="I27" i="26" s="1"/>
  <c r="I26" i="26"/>
  <c r="M39" i="24"/>
  <c r="M43" i="24" s="1"/>
  <c r="M44" i="24" s="1"/>
  <c r="AL160" i="1"/>
  <c r="AL163" i="1" s="1"/>
  <c r="K26" i="26"/>
  <c r="K27" i="26" s="1"/>
  <c r="P36" i="24"/>
  <c r="P37" i="24" s="1"/>
  <c r="I51" i="24"/>
  <c r="AH170" i="1"/>
  <c r="M40" i="24" l="1"/>
  <c r="J51" i="24"/>
  <c r="AI170" i="1"/>
  <c r="AH173" i="1"/>
  <c r="I49" i="24"/>
  <c r="J49" i="24" l="1"/>
  <c r="I46" i="24"/>
  <c r="I47" i="24"/>
  <c r="K51" i="24"/>
  <c r="I48" i="24"/>
  <c r="AI172" i="1"/>
  <c r="AI173" i="1" l="1"/>
  <c r="AJ172" i="1" s="1"/>
  <c r="J46" i="24"/>
  <c r="AH174" i="1"/>
  <c r="J47" i="24"/>
  <c r="I55" i="24"/>
  <c r="I54" i="24"/>
  <c r="L51" i="24"/>
  <c r="J48" i="24" l="1"/>
  <c r="J55" i="24" s="1"/>
  <c r="AI174" i="1"/>
  <c r="M51" i="24"/>
  <c r="J54" i="24"/>
  <c r="N51" i="24" l="1"/>
  <c r="AJ167" i="1" l="1"/>
  <c r="AJ168" i="1" s="1"/>
  <c r="AJ170" i="1" s="1"/>
  <c r="K49" i="24" l="1"/>
  <c r="AJ173" i="1"/>
  <c r="AK167" i="1"/>
  <c r="AK168" i="1" s="1"/>
  <c r="AK170" i="1" s="1"/>
  <c r="AL167" i="1" l="1"/>
  <c r="AL168" i="1" s="1"/>
  <c r="AL170" i="1" s="1"/>
  <c r="F36" i="26"/>
  <c r="AK172" i="1"/>
  <c r="AK173" i="1" s="1"/>
  <c r="K48" i="24"/>
  <c r="L49" i="24"/>
  <c r="M49" i="24" l="1"/>
  <c r="K55" i="24"/>
  <c r="AM167" i="1"/>
  <c r="AM168" i="1" s="1"/>
  <c r="AL172" i="1"/>
  <c r="AL173" i="1" s="1"/>
  <c r="L48" i="24"/>
  <c r="AM172" i="1" l="1"/>
  <c r="M48" i="24"/>
  <c r="AN167" i="1"/>
  <c r="AN168" i="1" s="1"/>
  <c r="L55" i="24"/>
  <c r="M55" i="24" l="1"/>
  <c r="AQ167" i="1" l="1"/>
  <c r="AQ168" i="1" s="1"/>
  <c r="AT167" i="1" l="1"/>
  <c r="AT168" i="1" s="1"/>
  <c r="AY167" i="1" l="1"/>
  <c r="AY168" i="1" s="1"/>
  <c r="AZ167" i="1" l="1"/>
  <c r="AZ168" i="1" s="1"/>
  <c r="BA167" i="1" l="1"/>
  <c r="BA168" i="1" s="1"/>
  <c r="BB167" i="1" l="1"/>
  <c r="BB168" i="1" s="1"/>
  <c r="BC167" i="1" l="1"/>
  <c r="BC168" i="1" s="1"/>
  <c r="BD167" i="1" l="1"/>
  <c r="BD168" i="1" s="1"/>
  <c r="BE167" i="1" l="1"/>
  <c r="BE168" i="1" s="1"/>
  <c r="BF167" i="1" l="1"/>
  <c r="BF168" i="1" s="1"/>
  <c r="BG167" i="1" l="1"/>
  <c r="BG168" i="1" s="1"/>
  <c r="BH167" i="1" l="1"/>
  <c r="BH168" i="1" s="1"/>
  <c r="BI167" i="1" l="1"/>
  <c r="BI168" i="1" s="1"/>
  <c r="BJ167" i="1" l="1"/>
  <c r="BJ168" i="1" s="1"/>
  <c r="BK167" i="1" l="1"/>
  <c r="BK168" i="1" s="1"/>
  <c r="BL167" i="1" l="1"/>
  <c r="BL168" i="1" s="1"/>
  <c r="BM167" i="1" l="1"/>
  <c r="BM168" i="1" s="1"/>
  <c r="BN167" i="1" l="1"/>
  <c r="BN168" i="1" s="1"/>
  <c r="BO167" i="1" l="1"/>
  <c r="BO168" i="1" s="1"/>
  <c r="BP167" i="1" l="1"/>
  <c r="BP168" i="1" s="1"/>
  <c r="BQ167" i="1" l="1"/>
  <c r="BQ168" i="1" s="1"/>
  <c r="BR167" i="1" l="1"/>
  <c r="BR168" i="1" s="1"/>
  <c r="BS167" i="1" l="1"/>
  <c r="BS168" i="1" s="1"/>
  <c r="BT167" i="1" l="1"/>
  <c r="BT168" i="1" s="1"/>
  <c r="BU167" i="1" l="1"/>
  <c r="BU168" i="1" s="1"/>
  <c r="BV167" i="1" l="1"/>
  <c r="BV168" i="1" s="1"/>
  <c r="BW167" i="1" l="1"/>
  <c r="BW168" i="1" s="1"/>
  <c r="BX167" i="1" l="1"/>
  <c r="BX168" i="1" s="1"/>
  <c r="BY167" i="1" l="1"/>
  <c r="BY168" i="1" s="1"/>
  <c r="BZ167" i="1" l="1"/>
  <c r="BZ168" i="1" s="1"/>
  <c r="CA167" i="1" l="1"/>
  <c r="CA168" i="1" s="1"/>
  <c r="CB167" i="1" l="1"/>
  <c r="CB168" i="1" s="1"/>
  <c r="CC167" i="1" l="1"/>
  <c r="CC168" i="1" s="1"/>
  <c r="CD167" i="1" l="1"/>
  <c r="CD168" i="1" s="1"/>
  <c r="CE167" i="1" l="1"/>
  <c r="CE168" i="1" s="1"/>
  <c r="CF167" i="1" l="1"/>
  <c r="CF168" i="1" s="1"/>
  <c r="CG167" i="1" l="1"/>
  <c r="CG168" i="1" s="1"/>
  <c r="CH167" i="1" l="1"/>
  <c r="CH168" i="1" s="1"/>
  <c r="CI167" i="1" l="1"/>
  <c r="CI168" i="1" s="1"/>
  <c r="CJ167" i="1" l="1"/>
  <c r="CJ168" i="1" s="1"/>
  <c r="CK167" i="1" l="1"/>
  <c r="CK168" i="1" s="1"/>
  <c r="CL167" i="1" l="1"/>
  <c r="CL168" i="1" s="1"/>
  <c r="CM167" i="1" l="1"/>
  <c r="CM168" i="1" s="1"/>
  <c r="CN167" i="1" l="1"/>
  <c r="CN168" i="1" s="1"/>
  <c r="CO167" i="1" l="1"/>
  <c r="CO168" i="1" s="1"/>
  <c r="CP167" i="1" l="1"/>
  <c r="CP168" i="1" s="1"/>
  <c r="CQ167" i="1" l="1"/>
  <c r="CQ168" i="1" s="1"/>
  <c r="CR167" i="1" l="1"/>
  <c r="CR168" i="1" s="1"/>
  <c r="CS167" i="1" l="1"/>
  <c r="CS168" i="1" s="1"/>
  <c r="CT167" i="1" l="1"/>
  <c r="CT168" i="1" s="1"/>
  <c r="CU167" i="1" l="1"/>
  <c r="CU168" i="1" s="1"/>
  <c r="CV167" i="1" l="1"/>
  <c r="CV168" i="1" s="1"/>
  <c r="CW167" i="1" l="1"/>
  <c r="CW168" i="1" s="1"/>
  <c r="CX167" i="1" l="1"/>
  <c r="CX168" i="1" s="1"/>
  <c r="CY167" i="1" l="1"/>
  <c r="CY168" i="1" s="1"/>
  <c r="CZ167" i="1" l="1"/>
  <c r="CZ168" i="1" s="1"/>
  <c r="DA167" i="1" l="1"/>
  <c r="DA168" i="1" s="1"/>
  <c r="DB167" i="1" l="1"/>
  <c r="DB168" i="1" s="1"/>
  <c r="DC167" i="1" l="1"/>
  <c r="DC168" i="1" s="1"/>
  <c r="DD167" i="1" l="1"/>
  <c r="DD168" i="1" s="1"/>
  <c r="DE167" i="1" l="1"/>
  <c r="DE168" i="1" s="1"/>
  <c r="DF167" i="1" l="1"/>
  <c r="DF168" i="1" s="1"/>
  <c r="DG167" i="1" l="1"/>
  <c r="DG168" i="1" s="1"/>
  <c r="K46" i="24" l="1"/>
  <c r="K54" i="24" s="1"/>
  <c r="K47" i="24" l="1"/>
  <c r="AJ174" i="1"/>
  <c r="L47" i="24"/>
  <c r="L46" i="24" l="1"/>
  <c r="L54" i="24" s="1"/>
  <c r="M46" i="24"/>
  <c r="M47" i="24" l="1"/>
  <c r="M54" i="24"/>
  <c r="AK174" i="1" l="1"/>
  <c r="AL174" i="1" l="1"/>
  <c r="G49" i="1" l="1"/>
  <c r="G54" i="1" s="1"/>
  <c r="G53" i="1" l="1"/>
  <c r="H49" i="1" l="1"/>
  <c r="H53" i="1" s="1"/>
  <c r="H54" i="1" l="1"/>
  <c r="N23" i="24" l="1"/>
  <c r="P23" i="24" s="1"/>
  <c r="E22" i="5"/>
  <c r="N25" i="24"/>
  <c r="E24" i="5"/>
  <c r="N13" i="25" l="1"/>
  <c r="N30" i="24" l="1"/>
  <c r="P30" i="24" s="1"/>
  <c r="E29" i="5"/>
  <c r="E19" i="5" l="1"/>
  <c r="E21" i="5" s="1"/>
  <c r="C25" i="29" l="1"/>
  <c r="C23" i="29"/>
  <c r="AM161" i="1"/>
  <c r="N28" i="24"/>
  <c r="E27" i="5"/>
  <c r="N20" i="24"/>
  <c r="E28" i="5"/>
  <c r="N29" i="24"/>
  <c r="P29" i="24" s="1"/>
  <c r="E30" i="5" l="1"/>
  <c r="E32" i="5" s="1"/>
  <c r="E38" i="5" s="1"/>
  <c r="P28" i="24"/>
  <c r="P31" i="24" s="1"/>
  <c r="N31" i="24"/>
  <c r="N22" i="24"/>
  <c r="P20" i="24"/>
  <c r="P22" i="24" s="1"/>
  <c r="N33" i="24" l="1"/>
  <c r="N39" i="24" s="1"/>
  <c r="E33" i="5"/>
  <c r="E23" i="5"/>
  <c r="N24" i="24"/>
  <c r="P24" i="24" s="1"/>
  <c r="E39" i="5"/>
  <c r="E42" i="5"/>
  <c r="E44" i="5" s="1"/>
  <c r="N34" i="24" l="1"/>
  <c r="P33" i="24"/>
  <c r="P34" i="24" s="1"/>
  <c r="E43" i="5"/>
  <c r="C28" i="29"/>
  <c r="C20" i="29"/>
  <c r="D23" i="29"/>
  <c r="D25" i="29"/>
  <c r="AM160" i="1"/>
  <c r="AM163" i="1" s="1"/>
  <c r="AM170" i="1" s="1"/>
  <c r="N40" i="24"/>
  <c r="N43" i="24"/>
  <c r="N44" i="24" s="1"/>
  <c r="P39" i="24" l="1"/>
  <c r="P43" i="24" s="1"/>
  <c r="P44" i="24" s="1"/>
  <c r="C29" i="29"/>
  <c r="C31" i="29" s="1"/>
  <c r="C22" i="29"/>
  <c r="AN161" i="1"/>
  <c r="AM173" i="1"/>
  <c r="E45" i="5" s="1"/>
  <c r="N49" i="24"/>
  <c r="P40" i="24" l="1"/>
  <c r="C33" i="29"/>
  <c r="C34" i="29" s="1"/>
  <c r="N47" i="24"/>
  <c r="C52" i="24"/>
  <c r="C53" i="24"/>
  <c r="AM174" i="1"/>
  <c r="C24" i="29"/>
  <c r="P13" i="25"/>
  <c r="AN172" i="1"/>
  <c r="N48" i="24"/>
  <c r="H36" i="26"/>
  <c r="AM156" i="1" l="1"/>
  <c r="C39" i="29"/>
  <c r="C43" i="29" s="1"/>
  <c r="AN160" i="1"/>
  <c r="AN163" i="1" s="1"/>
  <c r="AN170" i="1" s="1"/>
  <c r="C49" i="30" s="1"/>
  <c r="N46" i="24"/>
  <c r="N55" i="24"/>
  <c r="C44" i="29" l="1"/>
  <c r="AY107" i="1"/>
  <c r="AZ107" i="1" s="1"/>
  <c r="BA107" i="1" s="1"/>
  <c r="BB107" i="1" s="1"/>
  <c r="BC107" i="1" s="1"/>
  <c r="BD107" i="1" s="1"/>
  <c r="BE107" i="1" s="1"/>
  <c r="BF107" i="1" s="1"/>
  <c r="BG107" i="1" s="1"/>
  <c r="BH107" i="1" s="1"/>
  <c r="BI107" i="1" s="1"/>
  <c r="BJ107" i="1" s="1"/>
  <c r="BK107" i="1" s="1"/>
  <c r="BL107" i="1" s="1"/>
  <c r="BM107" i="1" s="1"/>
  <c r="BN107" i="1" s="1"/>
  <c r="BO107" i="1" s="1"/>
  <c r="BP107" i="1" s="1"/>
  <c r="BQ107" i="1" s="1"/>
  <c r="BR107" i="1" s="1"/>
  <c r="BS107" i="1" s="1"/>
  <c r="BT107" i="1" s="1"/>
  <c r="BU107" i="1" s="1"/>
  <c r="BV107" i="1" s="1"/>
  <c r="BW107" i="1" s="1"/>
  <c r="BX107" i="1" s="1"/>
  <c r="BY107" i="1" s="1"/>
  <c r="BZ107" i="1" s="1"/>
  <c r="CA107" i="1" s="1"/>
  <c r="CB107" i="1" s="1"/>
  <c r="CC107" i="1" s="1"/>
  <c r="CD107" i="1" s="1"/>
  <c r="CE107" i="1" s="1"/>
  <c r="CF107" i="1" s="1"/>
  <c r="CG107" i="1" s="1"/>
  <c r="CH107" i="1" s="1"/>
  <c r="CI107" i="1" s="1"/>
  <c r="CJ107" i="1" s="1"/>
  <c r="CK107" i="1" s="1"/>
  <c r="CL107" i="1" s="1"/>
  <c r="CM107" i="1" s="1"/>
  <c r="CN107" i="1" s="1"/>
  <c r="CO107" i="1" s="1"/>
  <c r="CP107" i="1" s="1"/>
  <c r="CQ107" i="1" s="1"/>
  <c r="CR107" i="1" s="1"/>
  <c r="CS107" i="1" s="1"/>
  <c r="CT107" i="1" s="1"/>
  <c r="CU107" i="1" s="1"/>
  <c r="CV107" i="1" s="1"/>
  <c r="CW107" i="1" s="1"/>
  <c r="CX107" i="1" s="1"/>
  <c r="CY107" i="1" s="1"/>
  <c r="CZ107" i="1" s="1"/>
  <c r="DA107" i="1" s="1"/>
  <c r="DB107" i="1" s="1"/>
  <c r="DC107" i="1" s="1"/>
  <c r="DD107" i="1" s="1"/>
  <c r="DE107" i="1" s="1"/>
  <c r="DF107" i="1" s="1"/>
  <c r="DG107" i="1" s="1"/>
  <c r="AY108" i="1"/>
  <c r="AZ108" i="1" s="1"/>
  <c r="BA108" i="1" s="1"/>
  <c r="BB108" i="1" s="1"/>
  <c r="BC108" i="1" s="1"/>
  <c r="BD108" i="1" s="1"/>
  <c r="BE108" i="1" s="1"/>
  <c r="BF108" i="1" s="1"/>
  <c r="BG108" i="1" s="1"/>
  <c r="BH108" i="1" s="1"/>
  <c r="BI108" i="1" s="1"/>
  <c r="BJ108" i="1" s="1"/>
  <c r="BK108" i="1" s="1"/>
  <c r="BL108" i="1" s="1"/>
  <c r="BM108" i="1" s="1"/>
  <c r="BN108" i="1" s="1"/>
  <c r="BO108" i="1" s="1"/>
  <c r="BP108" i="1" s="1"/>
  <c r="BQ108" i="1" s="1"/>
  <c r="BR108" i="1" s="1"/>
  <c r="BS108" i="1" s="1"/>
  <c r="BT108" i="1" s="1"/>
  <c r="BU108" i="1" s="1"/>
  <c r="BV108" i="1" s="1"/>
  <c r="BW108" i="1" s="1"/>
  <c r="BX108" i="1" s="1"/>
  <c r="BY108" i="1" s="1"/>
  <c r="BZ108" i="1" s="1"/>
  <c r="CA108" i="1" s="1"/>
  <c r="CB108" i="1" s="1"/>
  <c r="CC108" i="1" s="1"/>
  <c r="CD108" i="1" s="1"/>
  <c r="CE108" i="1" s="1"/>
  <c r="CF108" i="1" s="1"/>
  <c r="CG108" i="1" s="1"/>
  <c r="CH108" i="1" s="1"/>
  <c r="CI108" i="1" s="1"/>
  <c r="CJ108" i="1" s="1"/>
  <c r="CK108" i="1" s="1"/>
  <c r="CL108" i="1" s="1"/>
  <c r="CM108" i="1" s="1"/>
  <c r="CN108" i="1" s="1"/>
  <c r="CO108" i="1" s="1"/>
  <c r="CP108" i="1" s="1"/>
  <c r="CQ108" i="1" s="1"/>
  <c r="CR108" i="1" s="1"/>
  <c r="CS108" i="1" s="1"/>
  <c r="CT108" i="1" s="1"/>
  <c r="CU108" i="1" s="1"/>
  <c r="CV108" i="1" s="1"/>
  <c r="CW108" i="1" s="1"/>
  <c r="CX108" i="1" s="1"/>
  <c r="CY108" i="1" s="1"/>
  <c r="CZ108" i="1" s="1"/>
  <c r="DA108" i="1" s="1"/>
  <c r="DB108" i="1" s="1"/>
  <c r="DC108" i="1" s="1"/>
  <c r="DD108" i="1" s="1"/>
  <c r="DE108" i="1" s="1"/>
  <c r="DF108" i="1" s="1"/>
  <c r="DG108" i="1" s="1"/>
  <c r="C49" i="29"/>
  <c r="D30" i="29"/>
  <c r="C40" i="29"/>
  <c r="AN173" i="1"/>
  <c r="C48" i="30" s="1"/>
  <c r="E25" i="29"/>
  <c r="E23" i="29"/>
  <c r="N54" i="24"/>
  <c r="D20" i="29"/>
  <c r="C55" i="30" l="1"/>
  <c r="C53" i="30"/>
  <c r="C48" i="29"/>
  <c r="C55" i="29" s="1"/>
  <c r="AO172" i="1"/>
  <c r="AO173" i="1" s="1"/>
  <c r="C47" i="29"/>
  <c r="D29" i="29"/>
  <c r="D28" i="29"/>
  <c r="D22" i="29"/>
  <c r="AO174" i="1" l="1"/>
  <c r="D48" i="30"/>
  <c r="C53" i="29"/>
  <c r="D31" i="29"/>
  <c r="D33" i="29" s="1"/>
  <c r="D39" i="29" s="1"/>
  <c r="C46" i="29"/>
  <c r="C54" i="29" s="1"/>
  <c r="AN174" i="1"/>
  <c r="D47" i="29"/>
  <c r="D53" i="24"/>
  <c r="D52" i="24"/>
  <c r="D24" i="29"/>
  <c r="D55" i="30" l="1"/>
  <c r="D53" i="30"/>
  <c r="E47" i="29"/>
  <c r="D34" i="29"/>
  <c r="C52" i="29"/>
  <c r="D43" i="29"/>
  <c r="D40" i="29"/>
  <c r="D44" i="29" l="1"/>
  <c r="F47" i="29"/>
  <c r="E29" i="29"/>
  <c r="F23" i="29" l="1"/>
  <c r="D49" i="29"/>
  <c r="G47" i="29"/>
  <c r="E20" i="29"/>
  <c r="F25" i="29" l="1"/>
  <c r="AY150" i="1"/>
  <c r="AZ150" i="1" s="1"/>
  <c r="BA150" i="1" s="1"/>
  <c r="BB150" i="1" s="1"/>
  <c r="BC150" i="1" s="1"/>
  <c r="BD150" i="1" s="1"/>
  <c r="BE150" i="1" s="1"/>
  <c r="BF150" i="1" s="1"/>
  <c r="BG150" i="1" s="1"/>
  <c r="BH150" i="1" s="1"/>
  <c r="BI150" i="1" s="1"/>
  <c r="BJ150" i="1" s="1"/>
  <c r="BK150" i="1" s="1"/>
  <c r="BL150" i="1" s="1"/>
  <c r="BM150" i="1" s="1"/>
  <c r="BN150" i="1" s="1"/>
  <c r="BO150" i="1" s="1"/>
  <c r="BP150" i="1" s="1"/>
  <c r="BQ150" i="1" s="1"/>
  <c r="BR150" i="1" s="1"/>
  <c r="BS150" i="1" s="1"/>
  <c r="BT150" i="1" s="1"/>
  <c r="BU150" i="1" s="1"/>
  <c r="BV150" i="1" s="1"/>
  <c r="BW150" i="1" s="1"/>
  <c r="BX150" i="1" s="1"/>
  <c r="BY150" i="1" s="1"/>
  <c r="BZ150" i="1" s="1"/>
  <c r="CA150" i="1" s="1"/>
  <c r="CB150" i="1" s="1"/>
  <c r="CC150" i="1" s="1"/>
  <c r="CD150" i="1" s="1"/>
  <c r="CE150" i="1" s="1"/>
  <c r="CF150" i="1" s="1"/>
  <c r="CG150" i="1" s="1"/>
  <c r="CH150" i="1" s="1"/>
  <c r="CI150" i="1" s="1"/>
  <c r="CJ150" i="1" s="1"/>
  <c r="CK150" i="1" s="1"/>
  <c r="CL150" i="1" s="1"/>
  <c r="CM150" i="1" s="1"/>
  <c r="CN150" i="1" s="1"/>
  <c r="CO150" i="1" s="1"/>
  <c r="CP150" i="1" s="1"/>
  <c r="CQ150" i="1" s="1"/>
  <c r="CR150" i="1" s="1"/>
  <c r="CS150" i="1" s="1"/>
  <c r="CT150" i="1" s="1"/>
  <c r="CU150" i="1" s="1"/>
  <c r="CV150" i="1" s="1"/>
  <c r="CW150" i="1" s="1"/>
  <c r="CX150" i="1" s="1"/>
  <c r="CY150" i="1" s="1"/>
  <c r="CZ150" i="1" s="1"/>
  <c r="DA150" i="1" s="1"/>
  <c r="DB150" i="1" s="1"/>
  <c r="DC150" i="1" s="1"/>
  <c r="DD150" i="1" s="1"/>
  <c r="DE150" i="1" s="1"/>
  <c r="DF150" i="1" s="1"/>
  <c r="DG150" i="1" s="1"/>
  <c r="D48" i="29"/>
  <c r="D53" i="29" s="1"/>
  <c r="AP172" i="1"/>
  <c r="H47" i="29"/>
  <c r="E22" i="29"/>
  <c r="E28" i="29"/>
  <c r="D55" i="29" l="1"/>
  <c r="I47" i="29"/>
  <c r="E24" i="29"/>
  <c r="D46" i="29"/>
  <c r="F30" i="29" l="1"/>
  <c r="J47" i="29"/>
  <c r="D54" i="29"/>
  <c r="D52" i="29"/>
  <c r="G23" i="29" l="1"/>
  <c r="F29" i="29"/>
  <c r="K47" i="29"/>
  <c r="AQ161" i="1"/>
  <c r="F20" i="29"/>
  <c r="F28" i="29"/>
  <c r="G25" i="29" l="1"/>
  <c r="L47" i="29"/>
  <c r="F31" i="29"/>
  <c r="F22" i="29"/>
  <c r="S13" i="25"/>
  <c r="G30" i="29" l="1"/>
  <c r="F24" i="29"/>
  <c r="M47" i="29"/>
  <c r="AY106" i="1"/>
  <c r="F33" i="29"/>
  <c r="F34" i="29" s="1"/>
  <c r="F39" i="29" l="1"/>
  <c r="F43" i="29" s="1"/>
  <c r="F44" i="29" s="1"/>
  <c r="N47" i="29"/>
  <c r="AZ106" i="1"/>
  <c r="BA106" i="1" s="1"/>
  <c r="BB106" i="1" s="1"/>
  <c r="BC106" i="1" s="1"/>
  <c r="BD106" i="1" s="1"/>
  <c r="BE106" i="1" s="1"/>
  <c r="BF106" i="1" s="1"/>
  <c r="BG106" i="1" s="1"/>
  <c r="BH106" i="1" s="1"/>
  <c r="BI106" i="1" s="1"/>
  <c r="BJ106" i="1" s="1"/>
  <c r="BK106" i="1" s="1"/>
  <c r="BL106" i="1" s="1"/>
  <c r="BM106" i="1" s="1"/>
  <c r="BN106" i="1" s="1"/>
  <c r="BO106" i="1" s="1"/>
  <c r="BP106" i="1" s="1"/>
  <c r="BQ106" i="1" s="1"/>
  <c r="BR106" i="1" s="1"/>
  <c r="BS106" i="1" s="1"/>
  <c r="BT106" i="1" s="1"/>
  <c r="BU106" i="1" s="1"/>
  <c r="BV106" i="1" s="1"/>
  <c r="BW106" i="1" s="1"/>
  <c r="BX106" i="1" s="1"/>
  <c r="BY106" i="1" s="1"/>
  <c r="BZ106" i="1" s="1"/>
  <c r="CA106" i="1" s="1"/>
  <c r="CB106" i="1" s="1"/>
  <c r="CC106" i="1" s="1"/>
  <c r="CD106" i="1" s="1"/>
  <c r="CE106" i="1" s="1"/>
  <c r="CF106" i="1" s="1"/>
  <c r="CG106" i="1" s="1"/>
  <c r="CH106" i="1" s="1"/>
  <c r="CI106" i="1" s="1"/>
  <c r="CJ106" i="1" s="1"/>
  <c r="CK106" i="1" s="1"/>
  <c r="CL106" i="1" s="1"/>
  <c r="CM106" i="1" s="1"/>
  <c r="CN106" i="1" s="1"/>
  <c r="CO106" i="1" s="1"/>
  <c r="CP106" i="1" s="1"/>
  <c r="CQ106" i="1" s="1"/>
  <c r="CR106" i="1" s="1"/>
  <c r="CS106" i="1" s="1"/>
  <c r="CT106" i="1" s="1"/>
  <c r="CU106" i="1" s="1"/>
  <c r="CV106" i="1" s="1"/>
  <c r="CW106" i="1" s="1"/>
  <c r="CX106" i="1" s="1"/>
  <c r="CY106" i="1" s="1"/>
  <c r="CZ106" i="1" s="1"/>
  <c r="DA106" i="1" s="1"/>
  <c r="DB106" i="1" s="1"/>
  <c r="DC106" i="1" s="1"/>
  <c r="DD106" i="1" s="1"/>
  <c r="DE106" i="1" s="1"/>
  <c r="DF106" i="1" s="1"/>
  <c r="DG106" i="1" s="1"/>
  <c r="G20" i="29" l="1"/>
  <c r="G22" i="29" s="1"/>
  <c r="D16" i="26"/>
  <c r="H23" i="29"/>
  <c r="AQ160" i="1"/>
  <c r="AQ163" i="1" s="1"/>
  <c r="AQ170" i="1" s="1"/>
  <c r="F49" i="30" s="1"/>
  <c r="F40" i="29"/>
  <c r="H25" i="29" l="1"/>
  <c r="F49" i="29"/>
  <c r="E16" i="26"/>
  <c r="G29" i="29"/>
  <c r="G28" i="29"/>
  <c r="T13" i="25"/>
  <c r="G31" i="29" l="1"/>
  <c r="G33" i="29" s="1"/>
  <c r="G34" i="29" s="1"/>
  <c r="G24" i="29"/>
  <c r="H30" i="29"/>
  <c r="D20" i="26"/>
  <c r="AS161" i="1" l="1"/>
  <c r="G39" i="29"/>
  <c r="G40" i="29" s="1"/>
  <c r="E20" i="26"/>
  <c r="G49" i="29"/>
  <c r="G43" i="29" l="1"/>
  <c r="G44" i="29" s="1"/>
  <c r="I25" i="29"/>
  <c r="I23" i="29"/>
  <c r="H29" i="29"/>
  <c r="D19" i="26"/>
  <c r="E19" i="26" s="1"/>
  <c r="H28" i="29" l="1"/>
  <c r="H31" i="29" s="1"/>
  <c r="D18" i="26"/>
  <c r="H20" i="29"/>
  <c r="H22" i="29" s="1"/>
  <c r="D12" i="26"/>
  <c r="U13" i="25"/>
  <c r="AS160" i="1" l="1"/>
  <c r="AS163" i="1" s="1"/>
  <c r="AS170" i="1" s="1"/>
  <c r="H49" i="30" s="1"/>
  <c r="H33" i="29"/>
  <c r="H39" i="29" s="1"/>
  <c r="H43" i="29" s="1"/>
  <c r="H44" i="29" s="1"/>
  <c r="D13" i="26"/>
  <c r="E12" i="26"/>
  <c r="D21" i="26"/>
  <c r="E18" i="26"/>
  <c r="E21" i="26" s="1"/>
  <c r="H24" i="29"/>
  <c r="D15" i="26"/>
  <c r="E15" i="26" s="1"/>
  <c r="I30" i="29"/>
  <c r="H40" i="29" l="1"/>
  <c r="H34" i="29"/>
  <c r="H49" i="29"/>
  <c r="D37" i="26"/>
  <c r="E13" i="26"/>
  <c r="D23" i="26"/>
  <c r="J23" i="29" l="1"/>
  <c r="D29" i="26"/>
  <c r="E23" i="26"/>
  <c r="D24" i="26"/>
  <c r="E24" i="26" s="1"/>
  <c r="J25" i="29"/>
  <c r="I29" i="29"/>
  <c r="AT161" i="1"/>
  <c r="AF20" i="27" l="1"/>
  <c r="D33" i="26"/>
  <c r="D30" i="26"/>
  <c r="E30" i="26" s="1"/>
  <c r="E29" i="26"/>
  <c r="I28" i="29"/>
  <c r="I31" i="29" s="1"/>
  <c r="I20" i="29"/>
  <c r="I22" i="29" s="1"/>
  <c r="V13" i="25"/>
  <c r="AT20" i="27" l="1"/>
  <c r="AS20" i="27"/>
  <c r="AF22" i="27"/>
  <c r="I33" i="29"/>
  <c r="I34" i="29" s="1"/>
  <c r="J30" i="29"/>
  <c r="D34" i="26"/>
  <c r="E34" i="26" s="1"/>
  <c r="E33" i="26"/>
  <c r="I24" i="29"/>
  <c r="AT22" i="27" l="1"/>
  <c r="AS22" i="27"/>
  <c r="AF18" i="27"/>
  <c r="AT160" i="1"/>
  <c r="AT163" i="1" s="1"/>
  <c r="AT170" i="1" s="1"/>
  <c r="I49" i="30" s="1"/>
  <c r="I39" i="29"/>
  <c r="I40" i="29" s="1"/>
  <c r="AT18" i="27" l="1"/>
  <c r="AS18" i="27"/>
  <c r="AF17" i="27"/>
  <c r="I49" i="29"/>
  <c r="AF24" i="27"/>
  <c r="I43" i="29"/>
  <c r="I44" i="29" s="1"/>
  <c r="K23" i="29"/>
  <c r="AT17" i="27" l="1"/>
  <c r="AS17" i="27"/>
  <c r="AT24" i="27"/>
  <c r="AS24" i="27"/>
  <c r="AX36" i="1"/>
  <c r="AX37" i="1" s="1"/>
  <c r="AF19" i="27"/>
  <c r="F16" i="26"/>
  <c r="G16" i="26" s="1"/>
  <c r="K25" i="29"/>
  <c r="AF21" i="27"/>
  <c r="AF27" i="27"/>
  <c r="J29" i="29"/>
  <c r="J28" i="29"/>
  <c r="J20" i="29"/>
  <c r="J22" i="29" s="1"/>
  <c r="W13" i="25"/>
  <c r="AF36" i="27" s="1"/>
  <c r="AT19" i="27" l="1"/>
  <c r="AS19" i="27"/>
  <c r="AT21" i="27"/>
  <c r="AS21" i="27"/>
  <c r="AT27" i="27"/>
  <c r="AS27" i="27"/>
  <c r="AT36" i="27"/>
  <c r="AS36" i="27"/>
  <c r="AX20" i="1"/>
  <c r="J31" i="29"/>
  <c r="J33" i="29" s="1"/>
  <c r="J34" i="29" s="1"/>
  <c r="K30" i="29"/>
  <c r="F20" i="26"/>
  <c r="AV161" i="1" l="1"/>
  <c r="AF35" i="27"/>
  <c r="J39" i="29"/>
  <c r="J40" i="29" s="1"/>
  <c r="G20" i="26"/>
  <c r="J49" i="29"/>
  <c r="J24" i="29"/>
  <c r="AT35" i="27" l="1"/>
  <c r="AS35" i="27"/>
  <c r="AF34" i="27"/>
  <c r="AF16" i="27"/>
  <c r="J43" i="29"/>
  <c r="J44" i="29" s="1"/>
  <c r="L25" i="29"/>
  <c r="L23" i="29"/>
  <c r="K20" i="29"/>
  <c r="K22" i="29" s="1"/>
  <c r="F12" i="26"/>
  <c r="AT34" i="27" l="1"/>
  <c r="AS34" i="27"/>
  <c r="AT16" i="27"/>
  <c r="AS16" i="27"/>
  <c r="AF37" i="27"/>
  <c r="K29" i="29"/>
  <c r="F19" i="26"/>
  <c r="K28" i="29"/>
  <c r="F18" i="26"/>
  <c r="G12" i="26"/>
  <c r="F13" i="26"/>
  <c r="AF38" i="27" l="1"/>
  <c r="AT37" i="27"/>
  <c r="AS37" i="27"/>
  <c r="AV160" i="1"/>
  <c r="AV163" i="1" s="1"/>
  <c r="AV170" i="1" s="1"/>
  <c r="K49" i="30" s="1"/>
  <c r="K31" i="29"/>
  <c r="K33" i="29" s="1"/>
  <c r="K39" i="29" s="1"/>
  <c r="K43" i="29" s="1"/>
  <c r="K44" i="29" s="1"/>
  <c r="L30" i="29"/>
  <c r="K24" i="29"/>
  <c r="F15" i="26"/>
  <c r="G13" i="26"/>
  <c r="G19" i="26"/>
  <c r="G18" i="26"/>
  <c r="F21" i="26"/>
  <c r="G21" i="26" s="1"/>
  <c r="AF53" i="27" l="1"/>
  <c r="AF39" i="27"/>
  <c r="AS38" i="27"/>
  <c r="AT38" i="27"/>
  <c r="K34" i="29"/>
  <c r="K40" i="29"/>
  <c r="F23" i="26"/>
  <c r="G15" i="26"/>
  <c r="K49" i="29"/>
  <c r="F37" i="26"/>
  <c r="G37" i="26" s="1"/>
  <c r="AT53" i="27" l="1"/>
  <c r="AS53" i="27"/>
  <c r="AF59" i="27"/>
  <c r="AF54" i="27"/>
  <c r="AT54" i="27" s="1"/>
  <c r="AT39" i="27"/>
  <c r="AS39" i="27"/>
  <c r="L28" i="29"/>
  <c r="G23" i="26"/>
  <c r="F29" i="26"/>
  <c r="F24" i="26"/>
  <c r="G24" i="26" s="1"/>
  <c r="AS54" i="27" l="1"/>
  <c r="AT59" i="27"/>
  <c r="AS59" i="27"/>
  <c r="L20" i="29"/>
  <c r="L22" i="29" s="1"/>
  <c r="L29" i="29"/>
  <c r="L31" i="29" s="1"/>
  <c r="G29" i="26"/>
  <c r="F30" i="26"/>
  <c r="G30" i="26" s="1"/>
  <c r="F33" i="26"/>
  <c r="L33" i="29" l="1"/>
  <c r="L34" i="29" s="1"/>
  <c r="G33" i="26"/>
  <c r="F34" i="26"/>
  <c r="G34" i="26" s="1"/>
  <c r="L39" i="29" l="1"/>
  <c r="L40" i="29" s="1"/>
  <c r="L49" i="29"/>
  <c r="L24" i="29"/>
  <c r="L43" i="29" l="1"/>
  <c r="L44" i="29" s="1"/>
  <c r="D14" i="26" l="1"/>
  <c r="F14" i="26"/>
  <c r="G14" i="26" l="1"/>
  <c r="E14" i="26"/>
  <c r="E46" i="29" l="1"/>
  <c r="E52" i="29" s="1"/>
  <c r="L53" i="24"/>
  <c r="G52" i="24"/>
  <c r="H53" i="24"/>
  <c r="J53" i="24"/>
  <c r="K52" i="24"/>
  <c r="F52" i="24"/>
  <c r="G53" i="24"/>
  <c r="E53" i="24"/>
  <c r="K53" i="24"/>
  <c r="L52" i="24"/>
  <c r="I53" i="24"/>
  <c r="H52" i="24"/>
  <c r="I52" i="24"/>
  <c r="E52" i="24"/>
  <c r="F53" i="24"/>
  <c r="J52" i="24"/>
  <c r="E30" i="29"/>
  <c r="AP160" i="1"/>
  <c r="AP163" i="1" s="1"/>
  <c r="AP170" i="1" s="1"/>
  <c r="AP29" i="1"/>
  <c r="T50" i="1" s="1"/>
  <c r="Q13" i="25"/>
  <c r="E49" i="30" l="1"/>
  <c r="C37" i="26"/>
  <c r="E37" i="26" s="1"/>
  <c r="E54" i="29"/>
  <c r="E49" i="29"/>
  <c r="AP173" i="1"/>
  <c r="E48" i="30" s="1"/>
  <c r="AP46" i="1"/>
  <c r="T51" i="1"/>
  <c r="BB29" i="1"/>
  <c r="U50" i="1" s="1"/>
  <c r="E31" i="29"/>
  <c r="E33" i="29" s="1"/>
  <c r="AS156" i="1" l="1"/>
  <c r="E55" i="30"/>
  <c r="E53" i="30"/>
  <c r="F46" i="29"/>
  <c r="U51" i="1"/>
  <c r="BB46" i="1"/>
  <c r="BN29" i="1"/>
  <c r="V50" i="1" s="1"/>
  <c r="T49" i="1"/>
  <c r="T53" i="1" s="1"/>
  <c r="AP174" i="1"/>
  <c r="E48" i="29"/>
  <c r="AQ172" i="1"/>
  <c r="AQ173" i="1" s="1"/>
  <c r="E34" i="29"/>
  <c r="E39" i="29"/>
  <c r="AR172" i="1" l="1"/>
  <c r="AR173" i="1" s="1"/>
  <c r="AS172" i="1" s="1"/>
  <c r="AS173" i="1" s="1"/>
  <c r="F48" i="30"/>
  <c r="U49" i="1"/>
  <c r="U53" i="1" s="1"/>
  <c r="F54" i="29"/>
  <c r="F52" i="29"/>
  <c r="F48" i="29"/>
  <c r="AQ174" i="1"/>
  <c r="E53" i="29"/>
  <c r="E55" i="29"/>
  <c r="T54" i="1"/>
  <c r="E40" i="29"/>
  <c r="E43" i="29"/>
  <c r="P49" i="29" s="1"/>
  <c r="P51" i="29" s="1"/>
  <c r="BN46" i="1"/>
  <c r="V51" i="1"/>
  <c r="BZ29" i="1"/>
  <c r="G46" i="29"/>
  <c r="F53" i="30" l="1"/>
  <c r="F55" i="30"/>
  <c r="AS174" i="1"/>
  <c r="H48" i="30"/>
  <c r="AR174" i="1"/>
  <c r="G48" i="30"/>
  <c r="AE50" i="1"/>
  <c r="Z50" i="1"/>
  <c r="AC50" i="1"/>
  <c r="AD50" i="1"/>
  <c r="AA50" i="1"/>
  <c r="AB50" i="1"/>
  <c r="W50" i="1"/>
  <c r="Y50" i="1"/>
  <c r="X50" i="1"/>
  <c r="E44" i="29"/>
  <c r="P48" i="29"/>
  <c r="F55" i="29"/>
  <c r="F53" i="29"/>
  <c r="AB51" i="1"/>
  <c r="Y51" i="1"/>
  <c r="AD51" i="1"/>
  <c r="BZ46" i="1"/>
  <c r="Z51" i="1"/>
  <c r="AC51" i="1"/>
  <c r="AE51" i="1"/>
  <c r="AA51" i="1"/>
  <c r="X51" i="1"/>
  <c r="W51" i="1"/>
  <c r="CL29" i="1"/>
  <c r="G52" i="29"/>
  <c r="G54" i="29"/>
  <c r="U54" i="1"/>
  <c r="V49" i="1"/>
  <c r="V53" i="1" s="1"/>
  <c r="G48" i="29"/>
  <c r="H46" i="29"/>
  <c r="AV51" i="1" l="1"/>
  <c r="AV49" i="1" s="1"/>
  <c r="AV53" i="1" s="1"/>
  <c r="AW51" i="1"/>
  <c r="AS51" i="1"/>
  <c r="AS49" i="1" s="1"/>
  <c r="AS53" i="1" s="1"/>
  <c r="AU51" i="1"/>
  <c r="AT51" i="1"/>
  <c r="H53" i="30"/>
  <c r="H55" i="30"/>
  <c r="G53" i="30"/>
  <c r="G55" i="30"/>
  <c r="AO50" i="1"/>
  <c r="AH50" i="1"/>
  <c r="AL50" i="1"/>
  <c r="AR50" i="1"/>
  <c r="AN50" i="1"/>
  <c r="AJ50" i="1"/>
  <c r="AM50" i="1"/>
  <c r="AG50" i="1"/>
  <c r="AQ50" i="1"/>
  <c r="AP50" i="1"/>
  <c r="AK50" i="1"/>
  <c r="AI50" i="1"/>
  <c r="AF50" i="1"/>
  <c r="AQ51" i="1"/>
  <c r="AR51" i="1"/>
  <c r="V54" i="1"/>
  <c r="AA49" i="1"/>
  <c r="AA53" i="1" s="1"/>
  <c r="Z49" i="1"/>
  <c r="Z53" i="1" s="1"/>
  <c r="H54" i="29"/>
  <c r="H52" i="29"/>
  <c r="I46" i="29"/>
  <c r="AP51" i="1"/>
  <c r="AI51" i="1"/>
  <c r="AN51" i="1"/>
  <c r="AO51" i="1"/>
  <c r="AK51" i="1"/>
  <c r="CL46" i="1"/>
  <c r="AL51" i="1"/>
  <c r="AH51" i="1"/>
  <c r="AM51" i="1"/>
  <c r="AG51" i="1"/>
  <c r="AF51" i="1"/>
  <c r="AJ51" i="1"/>
  <c r="CX29" i="1"/>
  <c r="G55" i="29"/>
  <c r="G53" i="29"/>
  <c r="AD49" i="1"/>
  <c r="AD53" i="1" s="1"/>
  <c r="AE49" i="1"/>
  <c r="AE53" i="1" s="1"/>
  <c r="H48" i="29"/>
  <c r="H55" i="29" s="1"/>
  <c r="AT172" i="1"/>
  <c r="AT173" i="1" s="1"/>
  <c r="W49" i="1"/>
  <c r="W53" i="1" s="1"/>
  <c r="Y49" i="1"/>
  <c r="Y53" i="1" s="1"/>
  <c r="AC49" i="1"/>
  <c r="AC53" i="1" s="1"/>
  <c r="X49" i="1"/>
  <c r="X53" i="1" s="1"/>
  <c r="AB49" i="1"/>
  <c r="AB53" i="1" s="1"/>
  <c r="AW49" i="1" l="1"/>
  <c r="AV54" i="1"/>
  <c r="AS54" i="1"/>
  <c r="AT49" i="1"/>
  <c r="AU49" i="1"/>
  <c r="AU53" i="1" s="1"/>
  <c r="AU172" i="1"/>
  <c r="AU173" i="1" s="1"/>
  <c r="AV172" i="1" s="1"/>
  <c r="AV173" i="1" s="1"/>
  <c r="AW172" i="1" s="1"/>
  <c r="AW173" i="1" s="1"/>
  <c r="I48" i="30"/>
  <c r="AQ49" i="1"/>
  <c r="AQ53" i="1" s="1"/>
  <c r="AR49" i="1"/>
  <c r="AR53" i="1" s="1"/>
  <c r="AB54" i="1"/>
  <c r="Z54" i="1"/>
  <c r="W54" i="1"/>
  <c r="Y54" i="1"/>
  <c r="AD54" i="1"/>
  <c r="AC54" i="1"/>
  <c r="AL49" i="1"/>
  <c r="AL53" i="1" s="1"/>
  <c r="I48" i="29"/>
  <c r="AT174" i="1"/>
  <c r="H53" i="29"/>
  <c r="AJ49" i="1"/>
  <c r="AJ53" i="1" s="1"/>
  <c r="AO49" i="1"/>
  <c r="AO53" i="1" s="1"/>
  <c r="AH49" i="1"/>
  <c r="AH53" i="1" s="1"/>
  <c r="AF49" i="1"/>
  <c r="AF53" i="1" s="1"/>
  <c r="AN49" i="1"/>
  <c r="AN53" i="1" s="1"/>
  <c r="AK49" i="1"/>
  <c r="AK53" i="1" s="1"/>
  <c r="J46" i="29"/>
  <c r="AG49" i="1"/>
  <c r="AG53" i="1" s="1"/>
  <c r="AI49" i="1"/>
  <c r="AI53" i="1" s="1"/>
  <c r="I52" i="29"/>
  <c r="I54" i="29"/>
  <c r="X54" i="1"/>
  <c r="CX46" i="1"/>
  <c r="AE54" i="1"/>
  <c r="AM49" i="1"/>
  <c r="AM53" i="1" s="1"/>
  <c r="AP49" i="1"/>
  <c r="AP53" i="1" s="1"/>
  <c r="AA54" i="1"/>
  <c r="AW174" i="1" l="1"/>
  <c r="L48" i="30"/>
  <c r="AW53" i="1"/>
  <c r="AW54" i="1"/>
  <c r="AT53" i="1"/>
  <c r="AT54" i="1"/>
  <c r="AV174" i="1"/>
  <c r="K48" i="30"/>
  <c r="AQ54" i="1"/>
  <c r="AU54" i="1"/>
  <c r="I55" i="30"/>
  <c r="I53" i="30"/>
  <c r="AU174" i="1"/>
  <c r="J48" i="30"/>
  <c r="AR54" i="1"/>
  <c r="AF54" i="1"/>
  <c r="AI54" i="1"/>
  <c r="AM54" i="1"/>
  <c r="AK54" i="1"/>
  <c r="AH54" i="1"/>
  <c r="AJ54" i="1"/>
  <c r="AP54" i="1"/>
  <c r="AL54" i="1"/>
  <c r="I55" i="29"/>
  <c r="I53" i="29"/>
  <c r="AG54" i="1"/>
  <c r="J48" i="29"/>
  <c r="K46" i="29"/>
  <c r="J54" i="29"/>
  <c r="J52" i="29"/>
  <c r="AN54" i="1"/>
  <c r="AO54" i="1"/>
  <c r="L55" i="30" l="1"/>
  <c r="L53" i="30"/>
  <c r="K55" i="30"/>
  <c r="K53" i="30"/>
  <c r="J55" i="30"/>
  <c r="J53" i="30"/>
  <c r="K48" i="29"/>
  <c r="AX172" i="1"/>
  <c r="J53" i="29"/>
  <c r="J55" i="29"/>
  <c r="K52" i="29"/>
  <c r="K54" i="29"/>
  <c r="L46" i="29"/>
  <c r="K53" i="29" l="1"/>
  <c r="K55" i="29"/>
  <c r="L52" i="29"/>
  <c r="L54" i="29"/>
  <c r="L48" i="29"/>
  <c r="L55" i="29" l="1"/>
  <c r="L53" i="29"/>
  <c r="J52" i="1" l="1"/>
  <c r="K52" i="1" s="1"/>
  <c r="L52" i="1" s="1"/>
  <c r="M52" i="1" s="1"/>
  <c r="N52" i="1" s="1"/>
  <c r="J51" i="1"/>
  <c r="K51" i="1" s="1"/>
  <c r="L51" i="1" s="1"/>
  <c r="M51" i="1" s="1"/>
  <c r="N51" i="1" s="1"/>
  <c r="AX19" i="1"/>
  <c r="AX18" i="1" s="1"/>
  <c r="AX22" i="1" s="1"/>
  <c r="AX16" i="1" s="1"/>
  <c r="I49" i="1"/>
  <c r="I53" i="1" s="1"/>
  <c r="AY19" i="1"/>
  <c r="AZ19" i="1" l="1"/>
  <c r="BF19" i="1"/>
  <c r="I54" i="1"/>
  <c r="J49" i="1"/>
  <c r="J54" i="1" s="1"/>
  <c r="BK19" i="1"/>
  <c r="J53" i="1"/>
  <c r="BU19" i="1"/>
  <c r="BW19" i="1"/>
  <c r="BM19" i="1"/>
  <c r="BS19" i="1"/>
  <c r="BQ19" i="1"/>
  <c r="BN19" i="1"/>
  <c r="BL19" i="1"/>
  <c r="BR19" i="1"/>
  <c r="AX24" i="1"/>
  <c r="AX17" i="1" s="1"/>
  <c r="AY36" i="1"/>
  <c r="AY37" i="1" s="1"/>
  <c r="AX15" i="1"/>
  <c r="BB19" i="1"/>
  <c r="BE19" i="1"/>
  <c r="BI19" i="1"/>
  <c r="BA19" i="1"/>
  <c r="BH19" i="1"/>
  <c r="BJ19" i="1"/>
  <c r="BG19" i="1"/>
  <c r="BT19" i="1" l="1"/>
  <c r="BV19" i="1"/>
  <c r="K49" i="1"/>
  <c r="AY20" i="1"/>
  <c r="M25" i="29"/>
  <c r="AX30" i="1"/>
  <c r="M23" i="29"/>
  <c r="AX21" i="1"/>
  <c r="AX31" i="1" s="1"/>
  <c r="BX19" i="1"/>
  <c r="CC19" i="1"/>
  <c r="CE19" i="1"/>
  <c r="CI19" i="1"/>
  <c r="CG19" i="1"/>
  <c r="BZ19" i="1"/>
  <c r="BY19" i="1"/>
  <c r="L49" i="1"/>
  <c r="L53" i="1" s="1"/>
  <c r="CD19" i="1"/>
  <c r="K53" i="1" l="1"/>
  <c r="K54" i="1"/>
  <c r="CH19" i="1"/>
  <c r="CF19" i="1"/>
  <c r="AY18" i="1"/>
  <c r="AY22" i="1" s="1"/>
  <c r="CQ19" i="1"/>
  <c r="CU19" i="1"/>
  <c r="CO19" i="1"/>
  <c r="CK19" i="1"/>
  <c r="CL19" i="1"/>
  <c r="CS19" i="1"/>
  <c r="CP19" i="1"/>
  <c r="M49" i="1"/>
  <c r="M53" i="1" s="1"/>
  <c r="CJ19" i="1"/>
  <c r="Y9" i="25"/>
  <c r="Y13" i="25" s="1"/>
  <c r="AX60" i="1" s="1"/>
  <c r="AX34" i="1"/>
  <c r="AX6" i="1"/>
  <c r="L54" i="1"/>
  <c r="M54" i="1" l="1"/>
  <c r="CR19" i="1"/>
  <c r="CT19" i="1"/>
  <c r="AX7" i="1"/>
  <c r="AX8" i="1"/>
  <c r="AX9" i="1" s="1"/>
  <c r="DA19" i="1"/>
  <c r="DC19" i="1"/>
  <c r="DE19" i="1"/>
  <c r="CW19" i="1"/>
  <c r="DG19" i="1"/>
  <c r="DB19" i="1"/>
  <c r="CV19" i="1"/>
  <c r="N49" i="1"/>
  <c r="N53" i="1" s="1"/>
  <c r="CX19" i="1"/>
  <c r="M30" i="29"/>
  <c r="AY16" i="1"/>
  <c r="N54" i="1" l="1"/>
  <c r="DF19" i="1"/>
  <c r="DD19" i="1"/>
  <c r="AX114" i="1"/>
  <c r="AX115" i="1" s="1"/>
  <c r="AX59" i="1"/>
  <c r="AX58" i="1"/>
  <c r="AX13" i="1"/>
  <c r="AY24" i="1"/>
  <c r="AY17" i="1" s="1"/>
  <c r="AY15" i="1"/>
  <c r="AZ36" i="1"/>
  <c r="AZ37" i="1" s="1"/>
  <c r="N25" i="29" l="1"/>
  <c r="F24" i="5"/>
  <c r="H16" i="26"/>
  <c r="N23" i="29"/>
  <c r="P23" i="29" s="1"/>
  <c r="AY30" i="1"/>
  <c r="F22" i="5"/>
  <c r="AY21" i="1"/>
  <c r="AY31" i="1" s="1"/>
  <c r="H14" i="26"/>
  <c r="M20" i="29"/>
  <c r="AX38" i="1"/>
  <c r="M28" i="29"/>
  <c r="AX61" i="1"/>
  <c r="AX65" i="1" s="1"/>
  <c r="AZ20" i="1"/>
  <c r="M29" i="29"/>
  <c r="AX161" i="1"/>
  <c r="I16" i="26" l="1"/>
  <c r="K16" i="26"/>
  <c r="AX39" i="1"/>
  <c r="AX41" i="1"/>
  <c r="AZ18" i="1"/>
  <c r="AZ22" i="1" s="1"/>
  <c r="M31" i="29"/>
  <c r="AY34" i="1"/>
  <c r="AY6" i="1"/>
  <c r="Z9" i="25"/>
  <c r="Z13" i="25" s="1"/>
  <c r="AY60" i="1" s="1"/>
  <c r="AX40" i="1"/>
  <c r="AX92" i="1"/>
  <c r="AX98" i="1" s="1"/>
  <c r="AX66" i="1"/>
  <c r="M22" i="29"/>
  <c r="K14" i="26"/>
  <c r="I14" i="26"/>
  <c r="M53" i="24"/>
  <c r="M52" i="24"/>
  <c r="AX93" i="1"/>
  <c r="AX42" i="1" l="1"/>
  <c r="M33" i="29"/>
  <c r="AX151" i="1"/>
  <c r="AX152" i="1" s="1"/>
  <c r="AX153" i="1" s="1"/>
  <c r="AX160" i="1"/>
  <c r="AX163" i="1" s="1"/>
  <c r="AX170" i="1" s="1"/>
  <c r="AZ16" i="1"/>
  <c r="M24" i="29"/>
  <c r="N30" i="29"/>
  <c r="P30" i="29" s="1"/>
  <c r="H20" i="26"/>
  <c r="F29" i="5"/>
  <c r="M34" i="29"/>
  <c r="M39" i="29"/>
  <c r="AX43" i="1"/>
  <c r="AX45" i="1" s="1"/>
  <c r="AY8" i="1"/>
  <c r="AY7" i="1"/>
  <c r="AY9" i="1" s="1"/>
  <c r="AY114" i="1" l="1"/>
  <c r="AY115" i="1" s="1"/>
  <c r="AY58" i="1"/>
  <c r="AY13" i="1"/>
  <c r="AY59" i="1"/>
  <c r="F19" i="5"/>
  <c r="F21" i="5" s="1"/>
  <c r="M43" i="29"/>
  <c r="M44" i="29" s="1"/>
  <c r="M40" i="29"/>
  <c r="BA20" i="1"/>
  <c r="AZ24" i="1"/>
  <c r="AZ17" i="1" s="1"/>
  <c r="AZ15" i="1"/>
  <c r="BA36" i="1"/>
  <c r="BA37" i="1" s="1"/>
  <c r="AX44" i="1"/>
  <c r="AX173" i="1"/>
  <c r="AX105" i="1"/>
  <c r="M49" i="29"/>
  <c r="K20" i="26"/>
  <c r="I20" i="26"/>
  <c r="AX111" i="1" l="1"/>
  <c r="N29" i="29"/>
  <c r="P29" i="29" s="1"/>
  <c r="F28" i="5"/>
  <c r="H19" i="26"/>
  <c r="F25" i="5"/>
  <c r="AY38" i="1"/>
  <c r="N20" i="29"/>
  <c r="H12" i="26"/>
  <c r="M48" i="29"/>
  <c r="AY172" i="1"/>
  <c r="AX174" i="1"/>
  <c r="AZ30" i="1"/>
  <c r="AZ21" i="1"/>
  <c r="AZ31" i="1" s="1"/>
  <c r="N28" i="29"/>
  <c r="AY61" i="1"/>
  <c r="AY65" i="1" s="1"/>
  <c r="F27" i="5"/>
  <c r="F30" i="5" s="1"/>
  <c r="F32" i="5" s="1"/>
  <c r="H18" i="26"/>
  <c r="BA18" i="1"/>
  <c r="BA22" i="1" s="1"/>
  <c r="AY161" i="1"/>
  <c r="F38" i="5" l="1"/>
  <c r="F33" i="5"/>
  <c r="BA16" i="1"/>
  <c r="AA9" i="25"/>
  <c r="AA13" i="25" s="1"/>
  <c r="AZ60" i="1" s="1"/>
  <c r="AZ6" i="1"/>
  <c r="AZ34" i="1"/>
  <c r="AY92" i="1"/>
  <c r="AY98" i="1" s="1"/>
  <c r="AY66" i="1"/>
  <c r="AY40" i="1"/>
  <c r="M53" i="29"/>
  <c r="M55" i="29"/>
  <c r="I19" i="26"/>
  <c r="K19" i="26"/>
  <c r="K18" i="26"/>
  <c r="K21" i="26" s="1"/>
  <c r="H21" i="26"/>
  <c r="I21" i="26" s="1"/>
  <c r="I18" i="26"/>
  <c r="N31" i="29"/>
  <c r="P28" i="29"/>
  <c r="P31" i="29" s="1"/>
  <c r="N22" i="29"/>
  <c r="N33" i="29" s="1"/>
  <c r="P20" i="29"/>
  <c r="P22" i="29" s="1"/>
  <c r="AX112" i="1"/>
  <c r="M46" i="29" s="1"/>
  <c r="AX128" i="1"/>
  <c r="AX129" i="1" s="1"/>
  <c r="AX156" i="1" s="1"/>
  <c r="AY93" i="1"/>
  <c r="N53" i="24"/>
  <c r="N52" i="24"/>
  <c r="K12" i="26"/>
  <c r="K13" i="26" s="1"/>
  <c r="H13" i="26"/>
  <c r="I12" i="26"/>
  <c r="AY39" i="1"/>
  <c r="AY41" i="1"/>
  <c r="M52" i="29" l="1"/>
  <c r="M54" i="29"/>
  <c r="I13" i="26"/>
  <c r="H23" i="26"/>
  <c r="N34" i="29"/>
  <c r="N39" i="29"/>
  <c r="P33" i="29"/>
  <c r="N24" i="29"/>
  <c r="P24" i="29" s="1"/>
  <c r="H15" i="26"/>
  <c r="F23" i="5"/>
  <c r="BA24" i="1"/>
  <c r="BA17" i="1" s="1"/>
  <c r="BA15" i="1"/>
  <c r="BB36" i="1"/>
  <c r="BB37" i="1" s="1"/>
  <c r="AY151" i="1"/>
  <c r="AY152" i="1" s="1"/>
  <c r="AY153" i="1" s="1"/>
  <c r="AY160" i="1"/>
  <c r="AY163" i="1" s="1"/>
  <c r="AY170" i="1" s="1"/>
  <c r="AZ8" i="1"/>
  <c r="AZ9" i="1" s="1"/>
  <c r="AZ7" i="1"/>
  <c r="K23" i="26"/>
  <c r="AY42" i="1"/>
  <c r="AY43" i="1"/>
  <c r="AY45" i="1" s="1"/>
  <c r="F42" i="5"/>
  <c r="F39" i="5"/>
  <c r="AY44" i="1" l="1"/>
  <c r="N49" i="29"/>
  <c r="H37" i="26"/>
  <c r="I37" i="26" s="1"/>
  <c r="AY105" i="1"/>
  <c r="AY173" i="1"/>
  <c r="N43" i="29"/>
  <c r="N44" i="29" s="1"/>
  <c r="N40" i="29"/>
  <c r="F44" i="5"/>
  <c r="F43" i="5"/>
  <c r="H29" i="26"/>
  <c r="H24" i="26"/>
  <c r="I24" i="26" s="1"/>
  <c r="I23" i="26"/>
  <c r="BA30" i="1"/>
  <c r="BA21" i="1"/>
  <c r="BA31" i="1" s="1"/>
  <c r="K29" i="26"/>
  <c r="K24" i="26"/>
  <c r="BB20" i="1"/>
  <c r="P34" i="29"/>
  <c r="P39" i="29"/>
  <c r="AZ114" i="1"/>
  <c r="AZ115" i="1" s="1"/>
  <c r="AZ58" i="1"/>
  <c r="AZ59" i="1"/>
  <c r="AZ13" i="1"/>
  <c r="I15" i="26"/>
  <c r="K15" i="26"/>
  <c r="BA6" i="1" l="1"/>
  <c r="AB9" i="25"/>
  <c r="AB13" i="25" s="1"/>
  <c r="BA60" i="1" s="1"/>
  <c r="BA34" i="1"/>
  <c r="AZ38" i="1"/>
  <c r="BB18" i="1"/>
  <c r="BB22" i="1" s="1"/>
  <c r="AZ172" i="1"/>
  <c r="N48" i="29"/>
  <c r="F45" i="5"/>
  <c r="P43" i="29"/>
  <c r="P44" i="29" s="1"/>
  <c r="P40" i="29"/>
  <c r="H30" i="26"/>
  <c r="I30" i="26" s="1"/>
  <c r="H33" i="26"/>
  <c r="I29" i="26"/>
  <c r="AY111" i="1"/>
  <c r="AZ161" i="1"/>
  <c r="K33" i="26"/>
  <c r="K34" i="26" s="1"/>
  <c r="K30" i="26"/>
  <c r="AZ61" i="1"/>
  <c r="AZ93" i="1" s="1"/>
  <c r="AZ43" i="1" l="1"/>
  <c r="AY112" i="1"/>
  <c r="N46" i="29" s="1"/>
  <c r="AY128" i="1"/>
  <c r="AY129" i="1" s="1"/>
  <c r="AY156" i="1" s="1"/>
  <c r="AY174" i="1"/>
  <c r="AZ41" i="1"/>
  <c r="AZ39" i="1"/>
  <c r="AZ65" i="1"/>
  <c r="I33" i="26"/>
  <c r="H34" i="26"/>
  <c r="I34" i="26" s="1"/>
  <c r="N53" i="29"/>
  <c r="N55" i="29"/>
  <c r="BB16" i="1"/>
  <c r="BA8" i="1"/>
  <c r="BA7" i="1"/>
  <c r="BA9" i="1"/>
  <c r="N52" i="29" l="1"/>
  <c r="N54" i="29"/>
  <c r="AZ92" i="1"/>
  <c r="AZ98" i="1" s="1"/>
  <c r="AZ66" i="1"/>
  <c r="AZ40" i="1"/>
  <c r="AZ42" i="1" s="1"/>
  <c r="AZ44" i="1" s="1"/>
  <c r="BA58" i="1"/>
  <c r="BA13" i="1"/>
  <c r="BA114" i="1"/>
  <c r="BA115" i="1" s="1"/>
  <c r="BA59" i="1"/>
  <c r="BB15" i="1"/>
  <c r="BB24" i="1"/>
  <c r="BB17" i="1" s="1"/>
  <c r="BC36" i="1"/>
  <c r="BC37" i="1" s="1"/>
  <c r="BA161" i="1" l="1"/>
  <c r="BA38" i="1"/>
  <c r="BA61" i="1"/>
  <c r="BA93" i="1" s="1"/>
  <c r="BB30" i="1"/>
  <c r="BB21" i="1"/>
  <c r="BB31" i="1" s="1"/>
  <c r="AZ45" i="1"/>
  <c r="AZ151" i="1"/>
  <c r="AZ152" i="1" s="1"/>
  <c r="AZ153" i="1" s="1"/>
  <c r="AZ160" i="1"/>
  <c r="AZ163" i="1" s="1"/>
  <c r="AZ170" i="1" s="1"/>
  <c r="BC20" i="1"/>
  <c r="AZ105" i="1" l="1"/>
  <c r="AZ173" i="1"/>
  <c r="BC18" i="1"/>
  <c r="BC22" i="1" s="1"/>
  <c r="BA41" i="1"/>
  <c r="BA39" i="1"/>
  <c r="BA65" i="1"/>
  <c r="BA43" i="1"/>
  <c r="BB6" i="1"/>
  <c r="AC9" i="25"/>
  <c r="AC13" i="25" s="1"/>
  <c r="BB60" i="1" s="1"/>
  <c r="BB34" i="1"/>
  <c r="BC16" i="1" l="1"/>
  <c r="BA40" i="1"/>
  <c r="BA42" i="1" s="1"/>
  <c r="BA44" i="1" s="1"/>
  <c r="BA92" i="1"/>
  <c r="BA98" i="1" s="1"/>
  <c r="BA66" i="1"/>
  <c r="BB8" i="1"/>
  <c r="BB7" i="1"/>
  <c r="BB9" i="1" s="1"/>
  <c r="BA172" i="1"/>
  <c r="AZ111" i="1"/>
  <c r="BB58" i="1" l="1"/>
  <c r="BB114" i="1"/>
  <c r="BB115" i="1" s="1"/>
  <c r="BB13" i="1"/>
  <c r="BB59" i="1"/>
  <c r="AZ112" i="1"/>
  <c r="AZ128" i="1"/>
  <c r="AZ129" i="1" s="1"/>
  <c r="AZ156" i="1" s="1"/>
  <c r="BA151" i="1"/>
  <c r="BA152" i="1" s="1"/>
  <c r="BA153" i="1" s="1"/>
  <c r="BA160" i="1"/>
  <c r="BA163" i="1" s="1"/>
  <c r="BA170" i="1" s="1"/>
  <c r="BA105" i="1" s="1"/>
  <c r="AZ174" i="1"/>
  <c r="BA45" i="1"/>
  <c r="BC15" i="1"/>
  <c r="BC24" i="1"/>
  <c r="BC17" i="1" s="1"/>
  <c r="BD36" i="1"/>
  <c r="BD37" i="1" s="1"/>
  <c r="BA173" i="1" l="1"/>
  <c r="BD20" i="1"/>
  <c r="BC30" i="1"/>
  <c r="BC21" i="1"/>
  <c r="BC31" i="1" s="1"/>
  <c r="BB172" i="1"/>
  <c r="BB65" i="1"/>
  <c r="BB38" i="1"/>
  <c r="BB161" i="1"/>
  <c r="BA111" i="1"/>
  <c r="BA174" i="1" s="1"/>
  <c r="BB61" i="1"/>
  <c r="BB93" i="1" s="1"/>
  <c r="BB41" i="1" l="1"/>
  <c r="BB39" i="1"/>
  <c r="BB66" i="1"/>
  <c r="BB92" i="1"/>
  <c r="BB98" i="1" s="1"/>
  <c r="BB40" i="1"/>
  <c r="BB42" i="1" s="1"/>
  <c r="BB43" i="1"/>
  <c r="BB45" i="1" s="1"/>
  <c r="BD18" i="1"/>
  <c r="BD22" i="1" s="1"/>
  <c r="BC34" i="1"/>
  <c r="BC6" i="1"/>
  <c r="AD9" i="25"/>
  <c r="AD13" i="25" s="1"/>
  <c r="BC60" i="1" s="1"/>
  <c r="BA112" i="1"/>
  <c r="BA128" i="1"/>
  <c r="BA129" i="1" s="1"/>
  <c r="BA156" i="1" s="1"/>
  <c r="BD16" i="1" l="1"/>
  <c r="BB44" i="1"/>
  <c r="BB151" i="1"/>
  <c r="BB152" i="1" s="1"/>
  <c r="BB153" i="1" s="1"/>
  <c r="BB160" i="1"/>
  <c r="BB163" i="1" s="1"/>
  <c r="BB170" i="1" s="1"/>
  <c r="BC8" i="1"/>
  <c r="BC7" i="1"/>
  <c r="BC9" i="1" s="1"/>
  <c r="BB105" i="1" l="1"/>
  <c r="BB173" i="1"/>
  <c r="BD24" i="1"/>
  <c r="BD17" i="1" s="1"/>
  <c r="BD15" i="1"/>
  <c r="BE36" i="1"/>
  <c r="BE37" i="1" s="1"/>
  <c r="BC114" i="1"/>
  <c r="BC115" i="1" s="1"/>
  <c r="BC13" i="1"/>
  <c r="BC58" i="1"/>
  <c r="BC59" i="1"/>
  <c r="BC161" i="1" l="1"/>
  <c r="BD30" i="1"/>
  <c r="BD21" i="1"/>
  <c r="BD31" i="1" s="1"/>
  <c r="BE20" i="1"/>
  <c r="BC61" i="1"/>
  <c r="BC93" i="1" s="1"/>
  <c r="BC172" i="1"/>
  <c r="BC38" i="1"/>
  <c r="BB111" i="1"/>
  <c r="BC65" i="1" l="1"/>
  <c r="BB112" i="1"/>
  <c r="BB128" i="1"/>
  <c r="BB129" i="1" s="1"/>
  <c r="BB156" i="1" s="1"/>
  <c r="BC41" i="1"/>
  <c r="BC39" i="1"/>
  <c r="BC40" i="1"/>
  <c r="BC92" i="1"/>
  <c r="BC98" i="1" s="1"/>
  <c r="BC66" i="1"/>
  <c r="AE9" i="25"/>
  <c r="AE13" i="25" s="1"/>
  <c r="BD60" i="1" s="1"/>
  <c r="BD34" i="1"/>
  <c r="BD6" i="1"/>
  <c r="BB174" i="1"/>
  <c r="BC43" i="1"/>
  <c r="BE18" i="1"/>
  <c r="BE22" i="1" s="1"/>
  <c r="BC45" i="1" l="1"/>
  <c r="BC151" i="1"/>
  <c r="BC152" i="1" s="1"/>
  <c r="BC153" i="1" s="1"/>
  <c r="BC160" i="1"/>
  <c r="BC163" i="1" s="1"/>
  <c r="BC170" i="1" s="1"/>
  <c r="BC42" i="1"/>
  <c r="BC44" i="1" s="1"/>
  <c r="BD7" i="1"/>
  <c r="BD8" i="1"/>
  <c r="BE16" i="1"/>
  <c r="BD9" i="1" l="1"/>
  <c r="BD114" i="1"/>
  <c r="BD115" i="1" s="1"/>
  <c r="BD58" i="1"/>
  <c r="BD13" i="1"/>
  <c r="BD59" i="1"/>
  <c r="BC105" i="1"/>
  <c r="BC173" i="1"/>
  <c r="BE24" i="1"/>
  <c r="BE17" i="1" s="1"/>
  <c r="BE15" i="1"/>
  <c r="BF36" i="1"/>
  <c r="BF37" i="1" s="1"/>
  <c r="BD172" i="1" l="1"/>
  <c r="BC111" i="1"/>
  <c r="BD38" i="1"/>
  <c r="BF20" i="1"/>
  <c r="BD61" i="1"/>
  <c r="BD93" i="1" s="1"/>
  <c r="BE30" i="1"/>
  <c r="BE21" i="1"/>
  <c r="BE31" i="1" s="1"/>
  <c r="BD161" i="1"/>
  <c r="BD65" i="1" l="1"/>
  <c r="BF18" i="1"/>
  <c r="BF22" i="1" s="1"/>
  <c r="BD40" i="1"/>
  <c r="BD42" i="1" s="1"/>
  <c r="BD66" i="1"/>
  <c r="BD92" i="1"/>
  <c r="BD98" i="1" s="1"/>
  <c r="BC112" i="1"/>
  <c r="BC128" i="1"/>
  <c r="BC129" i="1" s="1"/>
  <c r="BC156" i="1" s="1"/>
  <c r="BC174" i="1"/>
  <c r="BD39" i="1"/>
  <c r="BD41" i="1"/>
  <c r="AF9" i="25"/>
  <c r="AF13" i="25" s="1"/>
  <c r="BE60" i="1" s="1"/>
  <c r="BE34" i="1"/>
  <c r="BE6" i="1"/>
  <c r="BD43" i="1"/>
  <c r="BD45" i="1" s="1"/>
  <c r="BD44" i="1" l="1"/>
  <c r="BE8" i="1"/>
  <c r="BE7" i="1"/>
  <c r="BE9" i="1" s="1"/>
  <c r="BD151" i="1"/>
  <c r="BD152" i="1" s="1"/>
  <c r="BD153" i="1" s="1"/>
  <c r="BD160" i="1"/>
  <c r="BD163" i="1" s="1"/>
  <c r="BD170" i="1" s="1"/>
  <c r="BF16" i="1"/>
  <c r="BE114" i="1" l="1"/>
  <c r="BE115" i="1" s="1"/>
  <c r="BE13" i="1"/>
  <c r="BE58" i="1"/>
  <c r="BE59" i="1"/>
  <c r="BD105" i="1"/>
  <c r="BD173" i="1"/>
  <c r="BF24" i="1"/>
  <c r="BF17" i="1" s="1"/>
  <c r="BG20" i="1"/>
  <c r="BF15" i="1"/>
  <c r="BG36" i="1"/>
  <c r="BG37" i="1" s="1"/>
  <c r="BG18" i="1" l="1"/>
  <c r="BG22" i="1" s="1"/>
  <c r="BE172" i="1"/>
  <c r="BD111" i="1"/>
  <c r="BE61" i="1"/>
  <c r="BE93" i="1" s="1"/>
  <c r="BE38" i="1"/>
  <c r="BF30" i="1"/>
  <c r="BF21" i="1"/>
  <c r="BF31" i="1" s="1"/>
  <c r="BE161" i="1"/>
  <c r="BE65" i="1" l="1"/>
  <c r="BE92" i="1"/>
  <c r="BE98" i="1" s="1"/>
  <c r="BE40" i="1"/>
  <c r="BE66" i="1"/>
  <c r="BE39" i="1"/>
  <c r="BE41" i="1"/>
  <c r="BE43" i="1"/>
  <c r="BE45" i="1" s="1"/>
  <c r="BD112" i="1"/>
  <c r="BD128" i="1"/>
  <c r="BD129" i="1" s="1"/>
  <c r="BD156" i="1" s="1"/>
  <c r="BG16" i="1"/>
  <c r="AG9" i="25"/>
  <c r="AG13" i="25" s="1"/>
  <c r="BF60" i="1" s="1"/>
  <c r="BF6" i="1"/>
  <c r="BF34" i="1"/>
  <c r="BD174" i="1"/>
  <c r="BG15" i="1" l="1"/>
  <c r="BG24" i="1"/>
  <c r="BG17" i="1" s="1"/>
  <c r="BH36" i="1"/>
  <c r="BH37" i="1" s="1"/>
  <c r="BE160" i="1"/>
  <c r="BE163" i="1" s="1"/>
  <c r="BE170" i="1" s="1"/>
  <c r="BE151" i="1"/>
  <c r="BE152" i="1" s="1"/>
  <c r="BE153" i="1" s="1"/>
  <c r="BE42" i="1"/>
  <c r="BE44" i="1" s="1"/>
  <c r="BF8" i="1"/>
  <c r="BF7" i="1"/>
  <c r="BF9" i="1" l="1"/>
  <c r="BF59" i="1"/>
  <c r="BF58" i="1"/>
  <c r="BF61" i="1" s="1"/>
  <c r="BF93" i="1" s="1"/>
  <c r="BF13" i="1"/>
  <c r="BF114" i="1"/>
  <c r="BF115" i="1" s="1"/>
  <c r="BE105" i="1"/>
  <c r="BE173" i="1"/>
  <c r="BG30" i="1"/>
  <c r="BG21" i="1"/>
  <c r="BG31" i="1" s="1"/>
  <c r="BH20" i="1"/>
  <c r="BE111" i="1" l="1"/>
  <c r="BH18" i="1"/>
  <c r="BH22" i="1" s="1"/>
  <c r="BF43" i="1"/>
  <c r="BE174" i="1"/>
  <c r="BF172" i="1"/>
  <c r="BF161" i="1"/>
  <c r="BF38" i="1"/>
  <c r="BF65" i="1"/>
  <c r="BG6" i="1"/>
  <c r="BG34" i="1"/>
  <c r="AH9" i="25"/>
  <c r="AH13" i="25" s="1"/>
  <c r="BG60" i="1" s="1"/>
  <c r="BG7" i="1" l="1"/>
  <c r="BG8" i="1"/>
  <c r="BG9" i="1"/>
  <c r="BF40" i="1"/>
  <c r="BF66" i="1"/>
  <c r="BF92" i="1"/>
  <c r="BF98" i="1" s="1"/>
  <c r="BF41" i="1"/>
  <c r="BF39" i="1"/>
  <c r="BH16" i="1"/>
  <c r="BE112" i="1"/>
  <c r="BE128" i="1"/>
  <c r="BE129" i="1" s="1"/>
  <c r="BE156" i="1" s="1"/>
  <c r="BF42" i="1" l="1"/>
  <c r="BF44" i="1" s="1"/>
  <c r="BF151" i="1"/>
  <c r="BF152" i="1" s="1"/>
  <c r="BF153" i="1" s="1"/>
  <c r="BF160" i="1"/>
  <c r="BF163" i="1" s="1"/>
  <c r="BF170" i="1" s="1"/>
  <c r="BG114" i="1"/>
  <c r="BG115" i="1" s="1"/>
  <c r="BG58" i="1"/>
  <c r="BG59" i="1"/>
  <c r="BG13" i="1"/>
  <c r="BI20" i="1"/>
  <c r="BH15" i="1"/>
  <c r="BH24" i="1"/>
  <c r="BH17" i="1" s="1"/>
  <c r="BI36" i="1"/>
  <c r="BI37" i="1" s="1"/>
  <c r="BF45" i="1"/>
  <c r="BI18" i="1" l="1"/>
  <c r="BI22" i="1" s="1"/>
  <c r="BH30" i="1"/>
  <c r="BH21" i="1"/>
  <c r="BH31" i="1" s="1"/>
  <c r="BG38" i="1"/>
  <c r="BG61" i="1"/>
  <c r="BG93" i="1" s="1"/>
  <c r="BG161" i="1"/>
  <c r="BF105" i="1"/>
  <c r="BF173" i="1"/>
  <c r="BH34" i="1" l="1"/>
  <c r="AI9" i="25"/>
  <c r="AI13" i="25" s="1"/>
  <c r="BH60" i="1" s="1"/>
  <c r="BH6" i="1"/>
  <c r="BG43" i="1"/>
  <c r="BG39" i="1"/>
  <c r="BG41" i="1"/>
  <c r="BG65" i="1"/>
  <c r="BI16" i="1"/>
  <c r="BF111" i="1"/>
  <c r="BG172" i="1"/>
  <c r="BF112" i="1" l="1"/>
  <c r="BF128" i="1"/>
  <c r="BF129" i="1" s="1"/>
  <c r="BF156" i="1" s="1"/>
  <c r="BG92" i="1"/>
  <c r="BG98" i="1" s="1"/>
  <c r="BG40" i="1"/>
  <c r="BG42" i="1" s="1"/>
  <c r="BG44" i="1" s="1"/>
  <c r="BG66" i="1"/>
  <c r="BH7" i="1"/>
  <c r="BH8" i="1"/>
  <c r="BI24" i="1"/>
  <c r="BI17" i="1" s="1"/>
  <c r="BI15" i="1"/>
  <c r="BJ36" i="1"/>
  <c r="BJ37" i="1" s="1"/>
  <c r="BF174" i="1"/>
  <c r="BH9" i="1" l="1"/>
  <c r="BH114" i="1"/>
  <c r="BH115" i="1" s="1"/>
  <c r="BH13" i="1"/>
  <c r="BH58" i="1"/>
  <c r="BH59" i="1"/>
  <c r="BI30" i="1"/>
  <c r="BI21" i="1"/>
  <c r="BI31" i="1" s="1"/>
  <c r="BJ20" i="1"/>
  <c r="BG160" i="1"/>
  <c r="BG163" i="1" s="1"/>
  <c r="BG170" i="1" s="1"/>
  <c r="BG151" i="1"/>
  <c r="BG152" i="1" s="1"/>
  <c r="BG153" i="1" s="1"/>
  <c r="BG45" i="1"/>
  <c r="BJ18" i="1" l="1"/>
  <c r="BJ22" i="1" s="1"/>
  <c r="BI34" i="1"/>
  <c r="BI6" i="1"/>
  <c r="AJ9" i="25"/>
  <c r="AJ13" i="25" s="1"/>
  <c r="BI60" i="1" s="1"/>
  <c r="BH38" i="1"/>
  <c r="BH61" i="1"/>
  <c r="BH93" i="1" s="1"/>
  <c r="BG105" i="1"/>
  <c r="BG173" i="1"/>
  <c r="BH161" i="1"/>
  <c r="BH43" i="1" l="1"/>
  <c r="BH172" i="1"/>
  <c r="BG111" i="1"/>
  <c r="BG174" i="1" s="1"/>
  <c r="BH39" i="1"/>
  <c r="BH41" i="1"/>
  <c r="BJ16" i="1"/>
  <c r="BH65" i="1"/>
  <c r="BI8" i="1"/>
  <c r="BI7" i="1"/>
  <c r="BI9" i="1" l="1"/>
  <c r="BI114" i="1" s="1"/>
  <c r="BI115" i="1" s="1"/>
  <c r="BI13" i="1"/>
  <c r="BJ24" i="1"/>
  <c r="BJ17" i="1" s="1"/>
  <c r="BJ15" i="1"/>
  <c r="BK36" i="1"/>
  <c r="BK37" i="1" s="1"/>
  <c r="BG112" i="1"/>
  <c r="BG128" i="1"/>
  <c r="BG129" i="1" s="1"/>
  <c r="BG156" i="1" s="1"/>
  <c r="BH66" i="1"/>
  <c r="BH92" i="1"/>
  <c r="BH98" i="1" s="1"/>
  <c r="BH40" i="1"/>
  <c r="BH42" i="1" s="1"/>
  <c r="BH44" i="1" s="1"/>
  <c r="BH45" i="1"/>
  <c r="BI59" i="1" l="1"/>
  <c r="BI58" i="1"/>
  <c r="BK20" i="1"/>
  <c r="BI38" i="1"/>
  <c r="BJ30" i="1"/>
  <c r="BJ21" i="1"/>
  <c r="BJ31" i="1" s="1"/>
  <c r="BK18" i="1"/>
  <c r="BK22" i="1" s="1"/>
  <c r="BH151" i="1"/>
  <c r="BH152" i="1" s="1"/>
  <c r="BH153" i="1" s="1"/>
  <c r="BH160" i="1"/>
  <c r="BH163" i="1" s="1"/>
  <c r="BH170" i="1" s="1"/>
  <c r="BI61" i="1"/>
  <c r="BI93" i="1" s="1"/>
  <c r="BI161" i="1"/>
  <c r="BH105" i="1" l="1"/>
  <c r="BH173" i="1"/>
  <c r="BK16" i="1"/>
  <c r="AK9" i="25"/>
  <c r="AK13" i="25" s="1"/>
  <c r="BJ60" i="1" s="1"/>
  <c r="BJ34" i="1"/>
  <c r="BJ6" i="1"/>
  <c r="BI43" i="1"/>
  <c r="BI39" i="1"/>
  <c r="BI41" i="1"/>
  <c r="BI65" i="1"/>
  <c r="BJ8" i="1" l="1"/>
  <c r="BJ7" i="1"/>
  <c r="BK24" i="1"/>
  <c r="BK17" i="1" s="1"/>
  <c r="BK15" i="1"/>
  <c r="BL36" i="1"/>
  <c r="BL37" i="1" s="1"/>
  <c r="BI172" i="1"/>
  <c r="BI66" i="1"/>
  <c r="BI92" i="1"/>
  <c r="BI98" i="1" s="1"/>
  <c r="BI40" i="1"/>
  <c r="BI42" i="1" s="1"/>
  <c r="BI44" i="1" s="1"/>
  <c r="BH111" i="1"/>
  <c r="BJ9" i="1" l="1"/>
  <c r="BJ114" i="1" s="1"/>
  <c r="BJ115" i="1" s="1"/>
  <c r="BJ59" i="1"/>
  <c r="BK30" i="1"/>
  <c r="BK21" i="1"/>
  <c r="BK31" i="1" s="1"/>
  <c r="BL20" i="1"/>
  <c r="BH112" i="1"/>
  <c r="BH128" i="1"/>
  <c r="BH129" i="1" s="1"/>
  <c r="BH156" i="1" s="1"/>
  <c r="BI151" i="1"/>
  <c r="BI152" i="1" s="1"/>
  <c r="BI153" i="1" s="1"/>
  <c r="BI160" i="1"/>
  <c r="BI163" i="1" s="1"/>
  <c r="BI170" i="1" s="1"/>
  <c r="BI105" i="1" s="1"/>
  <c r="BI45" i="1"/>
  <c r="BI173" i="1"/>
  <c r="BH174" i="1"/>
  <c r="BJ13" i="1" l="1"/>
  <c r="BJ58" i="1"/>
  <c r="BJ61" i="1" s="1"/>
  <c r="BJ93" i="1" s="1"/>
  <c r="BK6" i="1"/>
  <c r="BK34" i="1"/>
  <c r="AL9" i="25"/>
  <c r="AL13" i="25" s="1"/>
  <c r="BK60" i="1" s="1"/>
  <c r="BJ172" i="1"/>
  <c r="BI111" i="1"/>
  <c r="BJ38" i="1"/>
  <c r="BL18" i="1"/>
  <c r="BL22" i="1" s="1"/>
  <c r="BJ161" i="1"/>
  <c r="BI112" i="1" l="1"/>
  <c r="BI128" i="1"/>
  <c r="BI129" i="1" s="1"/>
  <c r="BI156" i="1" s="1"/>
  <c r="BJ43" i="1"/>
  <c r="BL16" i="1"/>
  <c r="BI174" i="1"/>
  <c r="BJ65" i="1"/>
  <c r="BJ41" i="1"/>
  <c r="BJ39" i="1"/>
  <c r="BK7" i="1"/>
  <c r="BK8" i="1"/>
  <c r="BK9" i="1" l="1"/>
  <c r="BK114" i="1" s="1"/>
  <c r="BK115" i="1" s="1"/>
  <c r="BK59" i="1"/>
  <c r="BK13" i="1"/>
  <c r="BJ92" i="1"/>
  <c r="BJ98" i="1" s="1"/>
  <c r="BJ40" i="1"/>
  <c r="BJ42" i="1" s="1"/>
  <c r="BJ44" i="1" s="1"/>
  <c r="BJ66" i="1"/>
  <c r="BL24" i="1"/>
  <c r="BL17" i="1" s="1"/>
  <c r="BL15" i="1"/>
  <c r="BM36" i="1"/>
  <c r="BM37" i="1" s="1"/>
  <c r="BK58" i="1" l="1"/>
  <c r="BJ151" i="1"/>
  <c r="BJ152" i="1" s="1"/>
  <c r="BJ153" i="1" s="1"/>
  <c r="BJ160" i="1"/>
  <c r="BJ163" i="1" s="1"/>
  <c r="BJ170" i="1" s="1"/>
  <c r="BJ45" i="1"/>
  <c r="BK38" i="1"/>
  <c r="BL30" i="1"/>
  <c r="BL21" i="1"/>
  <c r="BL31" i="1" s="1"/>
  <c r="BK61" i="1"/>
  <c r="BK93" i="1" s="1"/>
  <c r="BM20" i="1"/>
  <c r="BK161" i="1"/>
  <c r="AM9" i="25" l="1"/>
  <c r="AM13" i="25" s="1"/>
  <c r="BL60" i="1" s="1"/>
  <c r="BL34" i="1"/>
  <c r="BL6" i="1"/>
  <c r="BK43" i="1"/>
  <c r="BJ105" i="1"/>
  <c r="BJ173" i="1"/>
  <c r="BM18" i="1"/>
  <c r="BM22" i="1" s="1"/>
  <c r="BK39" i="1"/>
  <c r="BK41" i="1"/>
  <c r="BK65" i="1"/>
  <c r="BM16" i="1" l="1"/>
  <c r="BK172" i="1"/>
  <c r="BL7" i="1"/>
  <c r="BL8" i="1"/>
  <c r="BL9" i="1"/>
  <c r="BK45" i="1"/>
  <c r="BK66" i="1"/>
  <c r="BK92" i="1"/>
  <c r="BK98" i="1" s="1"/>
  <c r="BK40" i="1"/>
  <c r="BK42" i="1" s="1"/>
  <c r="BK44" i="1" s="1"/>
  <c r="BJ111" i="1"/>
  <c r="BL114" i="1" l="1"/>
  <c r="BL115" i="1" s="1"/>
  <c r="BL58" i="1"/>
  <c r="BL59" i="1"/>
  <c r="BL13" i="1"/>
  <c r="BK173" i="1"/>
  <c r="BJ112" i="1"/>
  <c r="BJ128" i="1"/>
  <c r="BJ129" i="1" s="1"/>
  <c r="BJ156" i="1" s="1"/>
  <c r="BJ174" i="1"/>
  <c r="BK151" i="1"/>
  <c r="BK152" i="1" s="1"/>
  <c r="BK153" i="1" s="1"/>
  <c r="BK160" i="1"/>
  <c r="BK163" i="1" s="1"/>
  <c r="BK170" i="1" s="1"/>
  <c r="BK105" i="1" s="1"/>
  <c r="BM24" i="1"/>
  <c r="BM17" i="1" s="1"/>
  <c r="BM15" i="1"/>
  <c r="BN36" i="1"/>
  <c r="BN37" i="1" s="1"/>
  <c r="BM30" i="1" l="1"/>
  <c r="BM21" i="1"/>
  <c r="BM31" i="1" s="1"/>
  <c r="G45" i="5"/>
  <c r="BL172" i="1"/>
  <c r="BL38" i="1"/>
  <c r="BN20" i="1"/>
  <c r="BK111" i="1"/>
  <c r="BK174" i="1" s="1"/>
  <c r="BL61" i="1"/>
  <c r="BL93" i="1" s="1"/>
  <c r="BL161" i="1"/>
  <c r="BN18" i="1" l="1"/>
  <c r="BN22" i="1" s="1"/>
  <c r="BL43" i="1"/>
  <c r="BL41" i="1"/>
  <c r="BL39" i="1"/>
  <c r="BK112" i="1"/>
  <c r="BK128" i="1"/>
  <c r="BK129" i="1" s="1"/>
  <c r="BK156" i="1" s="1"/>
  <c r="BL65" i="1"/>
  <c r="AN9" i="25"/>
  <c r="AN13" i="25" s="1"/>
  <c r="BM60" i="1" s="1"/>
  <c r="BM6" i="1"/>
  <c r="BM34" i="1"/>
  <c r="BM8" i="1" l="1"/>
  <c r="BM7" i="1"/>
  <c r="BN16" i="1"/>
  <c r="BL92" i="1"/>
  <c r="BL98" i="1" s="1"/>
  <c r="BL66" i="1"/>
  <c r="BL40" i="1"/>
  <c r="BL42" i="1" s="1"/>
  <c r="BL44" i="1" s="1"/>
  <c r="BM9" i="1" l="1"/>
  <c r="BL45" i="1"/>
  <c r="BM58" i="1"/>
  <c r="BM114" i="1"/>
  <c r="BM115" i="1" s="1"/>
  <c r="BM59" i="1"/>
  <c r="BM13" i="1"/>
  <c r="BO20" i="1"/>
  <c r="BN24" i="1"/>
  <c r="BN17" i="1" s="1"/>
  <c r="BN15" i="1"/>
  <c r="BO36" i="1"/>
  <c r="BO37" i="1" s="1"/>
  <c r="BL151" i="1"/>
  <c r="BL152" i="1" s="1"/>
  <c r="BL153" i="1" s="1"/>
  <c r="BL160" i="1"/>
  <c r="BL163" i="1" s="1"/>
  <c r="BL170" i="1" s="1"/>
  <c r="BO18" i="1" l="1"/>
  <c r="BO22" i="1" s="1"/>
  <c r="BN30" i="1"/>
  <c r="BN21" i="1"/>
  <c r="BN31" i="1" s="1"/>
  <c r="BL105" i="1"/>
  <c r="BL173" i="1"/>
  <c r="BM65" i="1"/>
  <c r="BM38" i="1"/>
  <c r="BM161" i="1"/>
  <c r="BM61" i="1"/>
  <c r="BM93" i="1" s="1"/>
  <c r="BM172" i="1" l="1"/>
  <c r="BM43" i="1"/>
  <c r="BL111" i="1"/>
  <c r="BO16" i="1"/>
  <c r="BM40" i="1"/>
  <c r="BM42" i="1" s="1"/>
  <c r="BM44" i="1" s="1"/>
  <c r="BM92" i="1"/>
  <c r="BM98" i="1" s="1"/>
  <c r="BM66" i="1"/>
  <c r="BN6" i="1"/>
  <c r="AO9" i="25"/>
  <c r="AO13" i="25" s="1"/>
  <c r="BN60" i="1" s="1"/>
  <c r="BN34" i="1"/>
  <c r="BM39" i="1"/>
  <c r="BM41" i="1"/>
  <c r="BM151" i="1" l="1"/>
  <c r="BM152" i="1" s="1"/>
  <c r="BM153" i="1" s="1"/>
  <c r="BM160" i="1"/>
  <c r="BM163" i="1" s="1"/>
  <c r="BM170" i="1" s="1"/>
  <c r="BM105" i="1" s="1"/>
  <c r="BM45" i="1"/>
  <c r="BO15" i="1"/>
  <c r="BO24" i="1"/>
  <c r="BO17" i="1" s="1"/>
  <c r="BP36" i="1"/>
  <c r="BP37" i="1" s="1"/>
  <c r="BL112" i="1"/>
  <c r="BL128" i="1"/>
  <c r="BL129" i="1" s="1"/>
  <c r="BL156" i="1" s="1"/>
  <c r="BN8" i="1"/>
  <c r="BN7" i="1"/>
  <c r="BN9" i="1" s="1"/>
  <c r="BL174" i="1"/>
  <c r="BN114" i="1" l="1"/>
  <c r="BN115" i="1" s="1"/>
  <c r="BN13" i="1"/>
  <c r="BN59" i="1"/>
  <c r="BN58" i="1"/>
  <c r="BO30" i="1"/>
  <c r="BO21" i="1"/>
  <c r="BO31" i="1" s="1"/>
  <c r="BM111" i="1"/>
  <c r="BP20" i="1"/>
  <c r="BM173" i="1"/>
  <c r="AP9" i="25" l="1"/>
  <c r="AP13" i="25" s="1"/>
  <c r="BO60" i="1" s="1"/>
  <c r="BO34" i="1"/>
  <c r="BO6" i="1"/>
  <c r="BP18" i="1"/>
  <c r="BP22" i="1" s="1"/>
  <c r="BM174" i="1"/>
  <c r="BN172" i="1"/>
  <c r="BM112" i="1"/>
  <c r="BM128" i="1"/>
  <c r="BM129" i="1" s="1"/>
  <c r="BM156" i="1" s="1"/>
  <c r="BN38" i="1"/>
  <c r="BN61" i="1"/>
  <c r="BN93" i="1" s="1"/>
  <c r="BN161" i="1"/>
  <c r="BN39" i="1" l="1"/>
  <c r="BN41" i="1"/>
  <c r="BP16" i="1"/>
  <c r="BN43" i="1"/>
  <c r="BO7" i="1"/>
  <c r="BO8" i="1"/>
  <c r="BN65" i="1"/>
  <c r="BO9" i="1" l="1"/>
  <c r="BO114" i="1" s="1"/>
  <c r="BO115" i="1" s="1"/>
  <c r="BO58" i="1"/>
  <c r="BO59" i="1"/>
  <c r="BO13" i="1"/>
  <c r="BN66" i="1"/>
  <c r="BN40" i="1"/>
  <c r="BN42" i="1" s="1"/>
  <c r="BN44" i="1" s="1"/>
  <c r="BN92" i="1"/>
  <c r="BN98" i="1" s="1"/>
  <c r="BP15" i="1"/>
  <c r="BP24" i="1"/>
  <c r="BP17" i="1" s="1"/>
  <c r="BQ36" i="1"/>
  <c r="BQ37" i="1" s="1"/>
  <c r="BN45" i="1" l="1"/>
  <c r="BP30" i="1"/>
  <c r="BP21" i="1"/>
  <c r="BP31" i="1" s="1"/>
  <c r="BO38" i="1"/>
  <c r="BQ20" i="1"/>
  <c r="BO61" i="1"/>
  <c r="BO93" i="1" s="1"/>
  <c r="BN151" i="1"/>
  <c r="BN152" i="1" s="1"/>
  <c r="BN153" i="1" s="1"/>
  <c r="BN160" i="1"/>
  <c r="BN163" i="1" s="1"/>
  <c r="BN170" i="1" s="1"/>
  <c r="BO161" i="1"/>
  <c r="BO65" i="1" l="1"/>
  <c r="BO92" i="1"/>
  <c r="BO98" i="1" s="1"/>
  <c r="BO66" i="1"/>
  <c r="BO40" i="1"/>
  <c r="BN105" i="1"/>
  <c r="BN173" i="1"/>
  <c r="BO43" i="1"/>
  <c r="BO45" i="1" s="1"/>
  <c r="BP6" i="1"/>
  <c r="BP34" i="1"/>
  <c r="AQ9" i="25"/>
  <c r="AQ13" i="25" s="1"/>
  <c r="BP60" i="1" s="1"/>
  <c r="BQ18" i="1"/>
  <c r="BQ22" i="1" s="1"/>
  <c r="BO39" i="1"/>
  <c r="BO41" i="1"/>
  <c r="BP8" i="1" l="1"/>
  <c r="BP7" i="1"/>
  <c r="BP9" i="1"/>
  <c r="BO172" i="1"/>
  <c r="BO173" i="1" s="1"/>
  <c r="BO105" i="1"/>
  <c r="BN111" i="1"/>
  <c r="BN174" i="1" s="1"/>
  <c r="BO42" i="1"/>
  <c r="BO44" i="1" s="1"/>
  <c r="BQ16" i="1"/>
  <c r="BO151" i="1"/>
  <c r="BO152" i="1" s="1"/>
  <c r="BO153" i="1" s="1"/>
  <c r="BO160" i="1"/>
  <c r="BO163" i="1" s="1"/>
  <c r="BO170" i="1" s="1"/>
  <c r="BP172" i="1" l="1"/>
  <c r="BN112" i="1"/>
  <c r="BN128" i="1"/>
  <c r="BN129" i="1" s="1"/>
  <c r="BN156" i="1" s="1"/>
  <c r="BO111" i="1"/>
  <c r="BP58" i="1"/>
  <c r="BP13" i="1"/>
  <c r="BP114" i="1"/>
  <c r="BP115" i="1" s="1"/>
  <c r="BP59" i="1"/>
  <c r="BQ15" i="1"/>
  <c r="BQ24" i="1"/>
  <c r="BQ17" i="1" s="1"/>
  <c r="BR36" i="1"/>
  <c r="BR37" i="1" s="1"/>
  <c r="BP61" i="1" l="1"/>
  <c r="BP93" i="1" s="1"/>
  <c r="BO112" i="1"/>
  <c r="BO128" i="1"/>
  <c r="BO129" i="1" s="1"/>
  <c r="BO156" i="1" s="1"/>
  <c r="BQ30" i="1"/>
  <c r="BQ21" i="1"/>
  <c r="BQ31" i="1" s="1"/>
  <c r="BR20" i="1"/>
  <c r="BO174" i="1"/>
  <c r="BP161" i="1"/>
  <c r="BP65" i="1"/>
  <c r="BP38" i="1"/>
  <c r="BP39" i="1" l="1"/>
  <c r="BP41" i="1"/>
  <c r="BP40" i="1"/>
  <c r="BP66" i="1"/>
  <c r="BP92" i="1"/>
  <c r="BP98" i="1" s="1"/>
  <c r="AR9" i="25"/>
  <c r="AR13" i="25" s="1"/>
  <c r="BQ60" i="1" s="1"/>
  <c r="BQ34" i="1"/>
  <c r="BQ6" i="1"/>
  <c r="BR18" i="1"/>
  <c r="BR22" i="1" s="1"/>
  <c r="BP43" i="1"/>
  <c r="BP42" i="1" l="1"/>
  <c r="BP45" i="1"/>
  <c r="BQ8" i="1"/>
  <c r="BQ7" i="1"/>
  <c r="BQ9" i="1" s="1"/>
  <c r="BP160" i="1"/>
  <c r="BP163" i="1" s="1"/>
  <c r="BP170" i="1" s="1"/>
  <c r="BP151" i="1"/>
  <c r="BP152" i="1" s="1"/>
  <c r="BP153" i="1" s="1"/>
  <c r="BP44" i="1"/>
  <c r="BR16" i="1"/>
  <c r="BQ114" i="1" l="1"/>
  <c r="BQ115" i="1" s="1"/>
  <c r="BQ59" i="1"/>
  <c r="BQ58" i="1"/>
  <c r="BQ61" i="1" s="1"/>
  <c r="BQ93" i="1" s="1"/>
  <c r="BQ13" i="1"/>
  <c r="BR15" i="1"/>
  <c r="BR24" i="1"/>
  <c r="BR17" i="1" s="1"/>
  <c r="BS36" i="1"/>
  <c r="BS37" i="1" s="1"/>
  <c r="BP105" i="1"/>
  <c r="BP173" i="1"/>
  <c r="BR30" i="1" l="1"/>
  <c r="BR21" i="1"/>
  <c r="BR31" i="1" s="1"/>
  <c r="BS20" i="1"/>
  <c r="BQ65" i="1"/>
  <c r="BQ38" i="1"/>
  <c r="BQ172" i="1"/>
  <c r="BP111" i="1"/>
  <c r="BP174" i="1" s="1"/>
  <c r="BQ43" i="1"/>
  <c r="BQ161" i="1"/>
  <c r="BS18" i="1" l="1"/>
  <c r="BS22" i="1" s="1"/>
  <c r="BQ40" i="1"/>
  <c r="BQ66" i="1"/>
  <c r="BQ92" i="1"/>
  <c r="BQ98" i="1" s="1"/>
  <c r="BP112" i="1"/>
  <c r="BP128" i="1"/>
  <c r="BP129" i="1" s="1"/>
  <c r="BP156" i="1" s="1"/>
  <c r="BQ41" i="1"/>
  <c r="BQ39" i="1"/>
  <c r="BR6" i="1"/>
  <c r="AS9" i="25"/>
  <c r="AS13" i="25" s="1"/>
  <c r="BR60" i="1" s="1"/>
  <c r="BR34" i="1"/>
  <c r="BQ151" i="1" l="1"/>
  <c r="BQ152" i="1" s="1"/>
  <c r="BQ153" i="1" s="1"/>
  <c r="BQ160" i="1"/>
  <c r="BQ163" i="1" s="1"/>
  <c r="BQ170" i="1" s="1"/>
  <c r="BS16" i="1"/>
  <c r="BQ42" i="1"/>
  <c r="BQ44" i="1" s="1"/>
  <c r="BR7" i="1"/>
  <c r="BR8" i="1"/>
  <c r="BR9" i="1" s="1"/>
  <c r="BQ45" i="1"/>
  <c r="BR59" i="1" l="1"/>
  <c r="BR114" i="1"/>
  <c r="BR115" i="1" s="1"/>
  <c r="BR58" i="1"/>
  <c r="BR61" i="1" s="1"/>
  <c r="BR93" i="1" s="1"/>
  <c r="BR13" i="1"/>
  <c r="BS15" i="1"/>
  <c r="BS24" i="1"/>
  <c r="BS17" i="1" s="1"/>
  <c r="BT36" i="1"/>
  <c r="BT37" i="1" s="1"/>
  <c r="BQ105" i="1"/>
  <c r="BQ173" i="1"/>
  <c r="BS30" i="1" l="1"/>
  <c r="BS21" i="1"/>
  <c r="BS31" i="1" s="1"/>
  <c r="BR43" i="1"/>
  <c r="BT20" i="1"/>
  <c r="BR38" i="1"/>
  <c r="BR65" i="1"/>
  <c r="BR172" i="1"/>
  <c r="BQ174" i="1"/>
  <c r="BR161" i="1"/>
  <c r="BQ111" i="1"/>
  <c r="BQ112" i="1" l="1"/>
  <c r="BQ128" i="1"/>
  <c r="BQ129" i="1" s="1"/>
  <c r="BQ156" i="1" s="1"/>
  <c r="AT9" i="25"/>
  <c r="AT13" i="25" s="1"/>
  <c r="BS60" i="1" s="1"/>
  <c r="BS6" i="1"/>
  <c r="BS34" i="1"/>
  <c r="BR40" i="1"/>
  <c r="BR42" i="1" s="1"/>
  <c r="BR44" i="1" s="1"/>
  <c r="BR66" i="1"/>
  <c r="BR92" i="1"/>
  <c r="BR98" i="1" s="1"/>
  <c r="BR39" i="1"/>
  <c r="BR41" i="1"/>
  <c r="BT18" i="1"/>
  <c r="BT22" i="1" s="1"/>
  <c r="BR45" i="1" l="1"/>
  <c r="BS8" i="1"/>
  <c r="BS7" i="1"/>
  <c r="BS9" i="1"/>
  <c r="BT16" i="1"/>
  <c r="BR151" i="1"/>
  <c r="BR152" i="1" s="1"/>
  <c r="BR153" i="1" s="1"/>
  <c r="BR160" i="1"/>
  <c r="BR163" i="1" s="1"/>
  <c r="BR170" i="1" s="1"/>
  <c r="BR105" i="1" l="1"/>
  <c r="BR173" i="1"/>
  <c r="BT15" i="1"/>
  <c r="BT24" i="1"/>
  <c r="BT17" i="1" s="1"/>
  <c r="BU36" i="1"/>
  <c r="BU37" i="1" s="1"/>
  <c r="BS114" i="1"/>
  <c r="BS115" i="1" s="1"/>
  <c r="BS59" i="1"/>
  <c r="BS13" i="1"/>
  <c r="BS58" i="1"/>
  <c r="BS61" i="1" l="1"/>
  <c r="BS93" i="1" s="1"/>
  <c r="BT30" i="1"/>
  <c r="BT21" i="1"/>
  <c r="BT31" i="1" s="1"/>
  <c r="BU20" i="1"/>
  <c r="BS161" i="1"/>
  <c r="BS43" i="1"/>
  <c r="BS38" i="1"/>
  <c r="BS65" i="1"/>
  <c r="BS172" i="1"/>
  <c r="BR111" i="1"/>
  <c r="BR174" i="1" s="1"/>
  <c r="BS41" i="1" l="1"/>
  <c r="BS39" i="1"/>
  <c r="BS40" i="1"/>
  <c r="BS42" i="1" s="1"/>
  <c r="BS44" i="1" s="1"/>
  <c r="BS92" i="1"/>
  <c r="BS98" i="1" s="1"/>
  <c r="BS66" i="1"/>
  <c r="BU18" i="1"/>
  <c r="BU22" i="1" s="1"/>
  <c r="BR112" i="1"/>
  <c r="BR128" i="1"/>
  <c r="BR129" i="1" s="1"/>
  <c r="BR156" i="1" s="1"/>
  <c r="BT34" i="1"/>
  <c r="BT6" i="1"/>
  <c r="AU9" i="25"/>
  <c r="AU13" i="25" s="1"/>
  <c r="BT60" i="1" s="1"/>
  <c r="BS151" i="1" l="1"/>
  <c r="BS152" i="1" s="1"/>
  <c r="BS153" i="1" s="1"/>
  <c r="BS160" i="1"/>
  <c r="BS163" i="1" s="1"/>
  <c r="BS170" i="1" s="1"/>
  <c r="BS45" i="1"/>
  <c r="BU16" i="1"/>
  <c r="BT7" i="1"/>
  <c r="BT8" i="1"/>
  <c r="BT9" i="1" l="1"/>
  <c r="BT114" i="1"/>
  <c r="BT115" i="1" s="1"/>
  <c r="BT58" i="1"/>
  <c r="BT13" i="1"/>
  <c r="BT59" i="1"/>
  <c r="BU15" i="1"/>
  <c r="BU24" i="1"/>
  <c r="BU17" i="1" s="1"/>
  <c r="BV36" i="1"/>
  <c r="BV37" i="1" s="1"/>
  <c r="BS105" i="1"/>
  <c r="BS173" i="1"/>
  <c r="BV20" i="1" l="1"/>
  <c r="BU30" i="1"/>
  <c r="BU21" i="1"/>
  <c r="BU31" i="1" s="1"/>
  <c r="BT38" i="1"/>
  <c r="BT172" i="1"/>
  <c r="BT61" i="1"/>
  <c r="BT93" i="1" s="1"/>
  <c r="BS111" i="1"/>
  <c r="BS174" i="1" s="1"/>
  <c r="BT161" i="1"/>
  <c r="BT65" i="1" l="1"/>
  <c r="BU34" i="1"/>
  <c r="BU6" i="1"/>
  <c r="AV9" i="25"/>
  <c r="AV13" i="25" s="1"/>
  <c r="BU60" i="1" s="1"/>
  <c r="BT92" i="1"/>
  <c r="BT98" i="1" s="1"/>
  <c r="BT40" i="1"/>
  <c r="BT66" i="1"/>
  <c r="BT41" i="1"/>
  <c r="BT39" i="1"/>
  <c r="BS112" i="1"/>
  <c r="BS128" i="1"/>
  <c r="BS129" i="1" s="1"/>
  <c r="BS156" i="1" s="1"/>
  <c r="BT43" i="1"/>
  <c r="BV18" i="1"/>
  <c r="BV22" i="1" s="1"/>
  <c r="BT45" i="1" l="1"/>
  <c r="BT42" i="1"/>
  <c r="BT44" i="1" s="1"/>
  <c r="BV16" i="1"/>
  <c r="BT151" i="1"/>
  <c r="BT152" i="1" s="1"/>
  <c r="BT153" i="1" s="1"/>
  <c r="BT160" i="1"/>
  <c r="BT163" i="1" s="1"/>
  <c r="BT170" i="1" s="1"/>
  <c r="BU8" i="1"/>
  <c r="BU7" i="1"/>
  <c r="BU9" i="1" s="1"/>
  <c r="BU114" i="1" l="1"/>
  <c r="BU115" i="1" s="1"/>
  <c r="BU58" i="1"/>
  <c r="BU59" i="1"/>
  <c r="BU13" i="1"/>
  <c r="BT105" i="1"/>
  <c r="BT173" i="1"/>
  <c r="BV24" i="1"/>
  <c r="BV17" i="1" s="1"/>
  <c r="BV15" i="1"/>
  <c r="BW36" i="1"/>
  <c r="BW37" i="1" s="1"/>
  <c r="BU61" i="1" l="1"/>
  <c r="BU93" i="1" s="1"/>
  <c r="BU172" i="1"/>
  <c r="BT111" i="1"/>
  <c r="BT174" i="1" s="1"/>
  <c r="BU38" i="1"/>
  <c r="BU65" i="1"/>
  <c r="BV30" i="1"/>
  <c r="BV21" i="1"/>
  <c r="BV31" i="1" s="1"/>
  <c r="BW20" i="1"/>
  <c r="BU161" i="1"/>
  <c r="BW18" i="1" l="1"/>
  <c r="BW22" i="1" s="1"/>
  <c r="BU39" i="1"/>
  <c r="BU41" i="1"/>
  <c r="BV6" i="1"/>
  <c r="BV34" i="1"/>
  <c r="AW9" i="25"/>
  <c r="AW13" i="25" s="1"/>
  <c r="BV60" i="1" s="1"/>
  <c r="BU66" i="1"/>
  <c r="BU92" i="1"/>
  <c r="BU98" i="1" s="1"/>
  <c r="BU40" i="1"/>
  <c r="BT112" i="1"/>
  <c r="BT128" i="1"/>
  <c r="BT129" i="1" s="1"/>
  <c r="BT156" i="1" s="1"/>
  <c r="BU43" i="1"/>
  <c r="BU42" i="1" l="1"/>
  <c r="BU44" i="1" s="1"/>
  <c r="BU151" i="1"/>
  <c r="BU152" i="1" s="1"/>
  <c r="BU153" i="1" s="1"/>
  <c r="BU160" i="1"/>
  <c r="BU163" i="1" s="1"/>
  <c r="BU170" i="1" s="1"/>
  <c r="BU45" i="1"/>
  <c r="BV7" i="1"/>
  <c r="BV8" i="1"/>
  <c r="BW16" i="1"/>
  <c r="BV9" i="1" l="1"/>
  <c r="BV59" i="1" s="1"/>
  <c r="BV114" i="1"/>
  <c r="BV115" i="1" s="1"/>
  <c r="BV58" i="1"/>
  <c r="BV13" i="1"/>
  <c r="BU105" i="1"/>
  <c r="BU173" i="1"/>
  <c r="BW24" i="1"/>
  <c r="BW17" i="1" s="1"/>
  <c r="BW15" i="1"/>
  <c r="BX36" i="1"/>
  <c r="BX37" i="1" s="1"/>
  <c r="BX20" i="1" l="1"/>
  <c r="BU111" i="1"/>
  <c r="BU174" i="1" s="1"/>
  <c r="BX18" i="1"/>
  <c r="BX22" i="1" s="1"/>
  <c r="BV172" i="1"/>
  <c r="BV38" i="1"/>
  <c r="BV61" i="1"/>
  <c r="BV93" i="1" s="1"/>
  <c r="BW30" i="1"/>
  <c r="BW21" i="1"/>
  <c r="BW31" i="1" s="1"/>
  <c r="BV161" i="1"/>
  <c r="BV39" i="1" l="1"/>
  <c r="BV41" i="1"/>
  <c r="BX16" i="1"/>
  <c r="BV43" i="1"/>
  <c r="BV65" i="1"/>
  <c r="BU112" i="1"/>
  <c r="BU128" i="1"/>
  <c r="BU129" i="1" s="1"/>
  <c r="BU156" i="1" s="1"/>
  <c r="BW6" i="1"/>
  <c r="BW34" i="1"/>
  <c r="AX9" i="25"/>
  <c r="AX13" i="25" s="1"/>
  <c r="BW60" i="1" s="1"/>
  <c r="BW8" i="1" l="1"/>
  <c r="BW7" i="1"/>
  <c r="BX15" i="1"/>
  <c r="BX24" i="1"/>
  <c r="BX17" i="1" s="1"/>
  <c r="BY36" i="1"/>
  <c r="BY37" i="1" s="1"/>
  <c r="BV66" i="1"/>
  <c r="BV40" i="1"/>
  <c r="BV42" i="1" s="1"/>
  <c r="BV44" i="1" s="1"/>
  <c r="BV92" i="1"/>
  <c r="BV98" i="1" s="1"/>
  <c r="BW9" i="1" l="1"/>
  <c r="BW58" i="1" s="1"/>
  <c r="BV45" i="1"/>
  <c r="BW114" i="1"/>
  <c r="BW115" i="1" s="1"/>
  <c r="BW13" i="1"/>
  <c r="BW59" i="1"/>
  <c r="BX30" i="1"/>
  <c r="BX21" i="1"/>
  <c r="BX31" i="1" s="1"/>
  <c r="BV151" i="1"/>
  <c r="BV152" i="1" s="1"/>
  <c r="BV153" i="1" s="1"/>
  <c r="BV160" i="1"/>
  <c r="BV163" i="1" s="1"/>
  <c r="BV170" i="1" s="1"/>
  <c r="BY20" i="1"/>
  <c r="AY9" i="25" l="1"/>
  <c r="AY13" i="25" s="1"/>
  <c r="BX60" i="1" s="1"/>
  <c r="BX6" i="1"/>
  <c r="BX34" i="1"/>
  <c r="BY18" i="1"/>
  <c r="BY22" i="1" s="1"/>
  <c r="BV105" i="1"/>
  <c r="BV173" i="1"/>
  <c r="BW38" i="1"/>
  <c r="BW65" i="1"/>
  <c r="BW161" i="1"/>
  <c r="BW61" i="1"/>
  <c r="BW93" i="1" s="1"/>
  <c r="BW92" i="1" l="1"/>
  <c r="BW98" i="1" s="1"/>
  <c r="BW40" i="1"/>
  <c r="BW66" i="1"/>
  <c r="BW39" i="1"/>
  <c r="BW41" i="1"/>
  <c r="BV111" i="1"/>
  <c r="BY16" i="1"/>
  <c r="BW172" i="1"/>
  <c r="BW43" i="1"/>
  <c r="BX8" i="1"/>
  <c r="BX7" i="1"/>
  <c r="BX9" i="1"/>
  <c r="BW45" i="1" l="1"/>
  <c r="BY15" i="1"/>
  <c r="BY24" i="1"/>
  <c r="BY17" i="1" s="1"/>
  <c r="BZ36" i="1"/>
  <c r="BZ37" i="1" s="1"/>
  <c r="BV112" i="1"/>
  <c r="BV128" i="1"/>
  <c r="BV129" i="1" s="1"/>
  <c r="BV156" i="1" s="1"/>
  <c r="BX114" i="1"/>
  <c r="BX115" i="1" s="1"/>
  <c r="BX58" i="1"/>
  <c r="BX59" i="1"/>
  <c r="BX13" i="1"/>
  <c r="BV174" i="1"/>
  <c r="BW42" i="1"/>
  <c r="BW44" i="1" s="1"/>
  <c r="BW160" i="1"/>
  <c r="BW163" i="1" s="1"/>
  <c r="BW170" i="1" s="1"/>
  <c r="BW105" i="1" s="1"/>
  <c r="BW151" i="1"/>
  <c r="BW152" i="1" s="1"/>
  <c r="BW153" i="1" s="1"/>
  <c r="BW111" i="1" l="1"/>
  <c r="BX161" i="1"/>
  <c r="BW173" i="1"/>
  <c r="BX38" i="1"/>
  <c r="BZ20" i="1"/>
  <c r="BX61" i="1"/>
  <c r="BX93" i="1" s="1"/>
  <c r="BY30" i="1"/>
  <c r="BY21" i="1"/>
  <c r="BY31" i="1" s="1"/>
  <c r="BX65" i="1" l="1"/>
  <c r="BX41" i="1"/>
  <c r="BX39" i="1"/>
  <c r="AZ9" i="25"/>
  <c r="AZ13" i="25" s="1"/>
  <c r="BY60" i="1" s="1"/>
  <c r="BY6" i="1"/>
  <c r="BY34" i="1"/>
  <c r="BX92" i="1"/>
  <c r="BX98" i="1" s="1"/>
  <c r="BX40" i="1"/>
  <c r="BX42" i="1" s="1"/>
  <c r="BX44" i="1" s="1"/>
  <c r="BX66" i="1"/>
  <c r="BX43" i="1"/>
  <c r="BW112" i="1"/>
  <c r="BW128" i="1"/>
  <c r="BW129" i="1" s="1"/>
  <c r="BW156" i="1" s="1"/>
  <c r="BX172" i="1"/>
  <c r="BW174" i="1"/>
  <c r="H45" i="5"/>
  <c r="BZ18" i="1"/>
  <c r="BZ22" i="1" s="1"/>
  <c r="BX160" i="1" l="1"/>
  <c r="BX163" i="1" s="1"/>
  <c r="BX170" i="1" s="1"/>
  <c r="BX105" i="1" s="1"/>
  <c r="BX151" i="1"/>
  <c r="BX152" i="1" s="1"/>
  <c r="BX153" i="1" s="1"/>
  <c r="BZ16" i="1"/>
  <c r="BY8" i="1"/>
  <c r="BY7" i="1"/>
  <c r="BY9" i="1"/>
  <c r="BX45" i="1"/>
  <c r="BX173" i="1"/>
  <c r="BY114" i="1" l="1"/>
  <c r="BY115" i="1" s="1"/>
  <c r="BY58" i="1"/>
  <c r="BY13" i="1"/>
  <c r="BY59" i="1"/>
  <c r="BZ15" i="1"/>
  <c r="BZ24" i="1"/>
  <c r="BZ17" i="1" s="1"/>
  <c r="CA36" i="1"/>
  <c r="CA37" i="1" s="1"/>
  <c r="BY172" i="1"/>
  <c r="BX111" i="1"/>
  <c r="CA20" i="1" l="1"/>
  <c r="BZ30" i="1"/>
  <c r="BZ21" i="1"/>
  <c r="BZ31" i="1" s="1"/>
  <c r="CA18" i="1"/>
  <c r="CA22" i="1" s="1"/>
  <c r="BX112" i="1"/>
  <c r="BX128" i="1"/>
  <c r="BX129" i="1" s="1"/>
  <c r="BX156" i="1" s="1"/>
  <c r="BX174" i="1"/>
  <c r="BY61" i="1"/>
  <c r="BY93" i="1" s="1"/>
  <c r="BY38" i="1"/>
  <c r="BY161" i="1"/>
  <c r="BY43" i="1" l="1"/>
  <c r="CA16" i="1"/>
  <c r="BY39" i="1"/>
  <c r="BY41" i="1"/>
  <c r="BY65" i="1"/>
  <c r="BZ6" i="1"/>
  <c r="BA9" i="25"/>
  <c r="BA13" i="25" s="1"/>
  <c r="BZ60" i="1" s="1"/>
  <c r="BZ34" i="1"/>
  <c r="CA15" i="1" l="1"/>
  <c r="CA24" i="1"/>
  <c r="CA17" i="1" s="1"/>
  <c r="CB36" i="1"/>
  <c r="CB37" i="1" s="1"/>
  <c r="BY66" i="1"/>
  <c r="BY92" i="1"/>
  <c r="BY98" i="1" s="1"/>
  <c r="BY40" i="1"/>
  <c r="BY42" i="1" s="1"/>
  <c r="BY44" i="1" s="1"/>
  <c r="BZ7" i="1"/>
  <c r="BZ8" i="1"/>
  <c r="BZ9" i="1" l="1"/>
  <c r="BY151" i="1"/>
  <c r="BY152" i="1" s="1"/>
  <c r="BY153" i="1" s="1"/>
  <c r="BY160" i="1"/>
  <c r="BY163" i="1" s="1"/>
  <c r="BY170" i="1" s="1"/>
  <c r="BZ114" i="1"/>
  <c r="BZ115" i="1" s="1"/>
  <c r="BZ59" i="1"/>
  <c r="BZ13" i="1"/>
  <c r="BZ58" i="1"/>
  <c r="BY45" i="1"/>
  <c r="CA30" i="1"/>
  <c r="CA21" i="1"/>
  <c r="CA31" i="1" s="1"/>
  <c r="CB20" i="1"/>
  <c r="BZ61" i="1" l="1"/>
  <c r="BZ93" i="1" s="1"/>
  <c r="BZ161" i="1"/>
  <c r="BZ65" i="1"/>
  <c r="BZ38" i="1"/>
  <c r="BB9" i="25"/>
  <c r="BB13" i="25" s="1"/>
  <c r="CA60" i="1" s="1"/>
  <c r="CA6" i="1"/>
  <c r="CA34" i="1"/>
  <c r="BY105" i="1"/>
  <c r="BY173" i="1"/>
  <c r="CB18" i="1"/>
  <c r="CB22" i="1" s="1"/>
  <c r="BZ41" i="1" l="1"/>
  <c r="BZ39" i="1"/>
  <c r="BZ92" i="1"/>
  <c r="BZ98" i="1" s="1"/>
  <c r="BZ66" i="1"/>
  <c r="BZ40" i="1"/>
  <c r="BZ42" i="1" s="1"/>
  <c r="BZ44" i="1" s="1"/>
  <c r="BZ172" i="1"/>
  <c r="BY111" i="1"/>
  <c r="BY174" i="1" s="1"/>
  <c r="CB16" i="1"/>
  <c r="CA8" i="1"/>
  <c r="CA7" i="1"/>
  <c r="CA9" i="1" s="1"/>
  <c r="BZ43" i="1"/>
  <c r="BZ45" i="1" l="1"/>
  <c r="CA114" i="1"/>
  <c r="CA115" i="1" s="1"/>
  <c r="CA58" i="1"/>
  <c r="CA59" i="1"/>
  <c r="CA13" i="1"/>
  <c r="BZ160" i="1"/>
  <c r="BZ163" i="1" s="1"/>
  <c r="BZ170" i="1" s="1"/>
  <c r="BZ105" i="1" s="1"/>
  <c r="BZ151" i="1"/>
  <c r="BZ152" i="1" s="1"/>
  <c r="BZ153" i="1" s="1"/>
  <c r="BZ173" i="1"/>
  <c r="CB15" i="1"/>
  <c r="CB24" i="1"/>
  <c r="CB17" i="1" s="1"/>
  <c r="CC36" i="1"/>
  <c r="CC37" i="1" s="1"/>
  <c r="BY112" i="1"/>
  <c r="BY128" i="1"/>
  <c r="BY129" i="1" s="1"/>
  <c r="BY156" i="1" s="1"/>
  <c r="CA172" i="1" l="1"/>
  <c r="BZ111" i="1"/>
  <c r="CA38" i="1"/>
  <c r="CC20" i="1"/>
  <c r="CA61" i="1"/>
  <c r="CA93" i="1" s="1"/>
  <c r="CB30" i="1"/>
  <c r="CB21" i="1"/>
  <c r="CB31" i="1" s="1"/>
  <c r="CA161" i="1"/>
  <c r="CA65" i="1" l="1"/>
  <c r="CA39" i="1"/>
  <c r="CA41" i="1"/>
  <c r="CA40" i="1"/>
  <c r="CA42" i="1" s="1"/>
  <c r="CA92" i="1"/>
  <c r="CA98" i="1" s="1"/>
  <c r="CA66" i="1"/>
  <c r="CB6" i="1"/>
  <c r="CB34" i="1"/>
  <c r="BC9" i="25"/>
  <c r="BC13" i="25" s="1"/>
  <c r="CB60" i="1" s="1"/>
  <c r="BZ112" i="1"/>
  <c r="BZ128" i="1"/>
  <c r="BZ129" i="1" s="1"/>
  <c r="BZ156" i="1" s="1"/>
  <c r="CA43" i="1"/>
  <c r="CA45" i="1" s="1"/>
  <c r="CC18" i="1"/>
  <c r="CC22" i="1" s="1"/>
  <c r="BZ174" i="1"/>
  <c r="CA44" i="1" l="1"/>
  <c r="CB8" i="1"/>
  <c r="CB7" i="1"/>
  <c r="CB9" i="1" s="1"/>
  <c r="CA160" i="1"/>
  <c r="CA163" i="1" s="1"/>
  <c r="CA170" i="1" s="1"/>
  <c r="CA151" i="1"/>
  <c r="CA152" i="1" s="1"/>
  <c r="CA153" i="1" s="1"/>
  <c r="CC16" i="1"/>
  <c r="CB114" i="1" l="1"/>
  <c r="CB115" i="1" s="1"/>
  <c r="CB58" i="1"/>
  <c r="CB59" i="1"/>
  <c r="CB13" i="1"/>
  <c r="CC24" i="1"/>
  <c r="CC17" i="1" s="1"/>
  <c r="CC15" i="1"/>
  <c r="CD36" i="1"/>
  <c r="CD37" i="1" s="1"/>
  <c r="CA105" i="1"/>
  <c r="CA173" i="1"/>
  <c r="CD20" i="1" l="1"/>
  <c r="CD18" i="1" s="1"/>
  <c r="CD22" i="1" s="1"/>
  <c r="CC30" i="1"/>
  <c r="CC21" i="1"/>
  <c r="CC31" i="1" s="1"/>
  <c r="CB172" i="1"/>
  <c r="CA111" i="1"/>
  <c r="CB61" i="1"/>
  <c r="CB93" i="1" s="1"/>
  <c r="CB38" i="1"/>
  <c r="CB161" i="1"/>
  <c r="CC6" i="1" l="1"/>
  <c r="CC34" i="1"/>
  <c r="BD9" i="25"/>
  <c r="BD13" i="25" s="1"/>
  <c r="CC60" i="1" s="1"/>
  <c r="CB43" i="1"/>
  <c r="CA112" i="1"/>
  <c r="CA128" i="1"/>
  <c r="CA129" i="1" s="1"/>
  <c r="CA156" i="1" s="1"/>
  <c r="CA174" i="1"/>
  <c r="CB65" i="1"/>
  <c r="CB39" i="1"/>
  <c r="CB41" i="1"/>
  <c r="CD16" i="1"/>
  <c r="CB92" i="1" l="1"/>
  <c r="CB98" i="1" s="1"/>
  <c r="CB40" i="1"/>
  <c r="CB42" i="1" s="1"/>
  <c r="CB44" i="1" s="1"/>
  <c r="CB66" i="1"/>
  <c r="CB45" i="1"/>
  <c r="CD15" i="1"/>
  <c r="CD24" i="1"/>
  <c r="CD17" i="1" s="1"/>
  <c r="CE36" i="1"/>
  <c r="CE37" i="1" s="1"/>
  <c r="CC8" i="1"/>
  <c r="CC9" i="1" s="1"/>
  <c r="CC7" i="1"/>
  <c r="CD30" i="1" l="1"/>
  <c r="CD21" i="1"/>
  <c r="CD31" i="1" s="1"/>
  <c r="CE20" i="1"/>
  <c r="CC114" i="1"/>
  <c r="CC115" i="1" s="1"/>
  <c r="CC58" i="1"/>
  <c r="CC13" i="1"/>
  <c r="CC59" i="1"/>
  <c r="CB151" i="1"/>
  <c r="CB152" i="1" s="1"/>
  <c r="CB153" i="1" s="1"/>
  <c r="CB160" i="1"/>
  <c r="CB163" i="1" s="1"/>
  <c r="CB170" i="1" s="1"/>
  <c r="CC61" i="1" l="1"/>
  <c r="CC93" i="1" s="1"/>
  <c r="CC38" i="1"/>
  <c r="CC161" i="1"/>
  <c r="CB105" i="1"/>
  <c r="CB173" i="1"/>
  <c r="CC43" i="1"/>
  <c r="CE18" i="1"/>
  <c r="CE22" i="1" s="1"/>
  <c r="BE9" i="25"/>
  <c r="BE13" i="25" s="1"/>
  <c r="CD60" i="1" s="1"/>
  <c r="CD34" i="1"/>
  <c r="CD6" i="1"/>
  <c r="CC65" i="1" l="1"/>
  <c r="CE16" i="1"/>
  <c r="CB111" i="1"/>
  <c r="CD7" i="1"/>
  <c r="CD8" i="1"/>
  <c r="CB174" i="1"/>
  <c r="CC172" i="1"/>
  <c r="CC40" i="1"/>
  <c r="CC92" i="1"/>
  <c r="CC98" i="1" s="1"/>
  <c r="CC66" i="1"/>
  <c r="CC39" i="1"/>
  <c r="CC41" i="1"/>
  <c r="CD9" i="1" l="1"/>
  <c r="CD114" i="1"/>
  <c r="CD115" i="1" s="1"/>
  <c r="CD58" i="1"/>
  <c r="CD13" i="1"/>
  <c r="CD59" i="1"/>
  <c r="CC151" i="1"/>
  <c r="CC152" i="1" s="1"/>
  <c r="CC153" i="1" s="1"/>
  <c r="CC160" i="1"/>
  <c r="CC163" i="1" s="1"/>
  <c r="CC170" i="1" s="1"/>
  <c r="CC105" i="1" s="1"/>
  <c r="CC42" i="1"/>
  <c r="CC44" i="1" s="1"/>
  <c r="CB112" i="1"/>
  <c r="CB128" i="1"/>
  <c r="CB129" i="1" s="1"/>
  <c r="CB156" i="1" s="1"/>
  <c r="CC45" i="1"/>
  <c r="CE24" i="1"/>
  <c r="CE17" i="1" s="1"/>
  <c r="CE15" i="1"/>
  <c r="CF36" i="1"/>
  <c r="CF37" i="1" s="1"/>
  <c r="CE30" i="1" l="1"/>
  <c r="CE21" i="1"/>
  <c r="CE31" i="1" s="1"/>
  <c r="CC111" i="1"/>
  <c r="CF20" i="1"/>
  <c r="CC173" i="1"/>
  <c r="CD38" i="1"/>
  <c r="CD61" i="1"/>
  <c r="CD93" i="1" s="1"/>
  <c r="CD161" i="1"/>
  <c r="CF18" i="1" l="1"/>
  <c r="CF22" i="1" s="1"/>
  <c r="CC112" i="1"/>
  <c r="CC128" i="1"/>
  <c r="CC129" i="1" s="1"/>
  <c r="CC156" i="1" s="1"/>
  <c r="CD43" i="1"/>
  <c r="CD65" i="1"/>
  <c r="CD39" i="1"/>
  <c r="CD41" i="1"/>
  <c r="CE6" i="1"/>
  <c r="CE34" i="1"/>
  <c r="BF9" i="25"/>
  <c r="BF13" i="25" s="1"/>
  <c r="CE60" i="1" s="1"/>
  <c r="CD172" i="1"/>
  <c r="CC174" i="1"/>
  <c r="CD40" i="1" l="1"/>
  <c r="CD42" i="1" s="1"/>
  <c r="CD44" i="1" s="1"/>
  <c r="CD92" i="1"/>
  <c r="CD98" i="1" s="1"/>
  <c r="CD66" i="1"/>
  <c r="CD45" i="1"/>
  <c r="CE8" i="1"/>
  <c r="CE7" i="1"/>
  <c r="CE9" i="1" s="1"/>
  <c r="CF16" i="1"/>
  <c r="CE114" i="1" l="1"/>
  <c r="CE115" i="1" s="1"/>
  <c r="CE13" i="1"/>
  <c r="CE59" i="1"/>
  <c r="CE58" i="1"/>
  <c r="CE61" i="1" s="1"/>
  <c r="CE93" i="1" s="1"/>
  <c r="CD151" i="1"/>
  <c r="CD152" i="1" s="1"/>
  <c r="CD153" i="1" s="1"/>
  <c r="CD160" i="1"/>
  <c r="CD163" i="1" s="1"/>
  <c r="CD170" i="1" s="1"/>
  <c r="CF24" i="1"/>
  <c r="CF17" i="1" s="1"/>
  <c r="CF15" i="1"/>
  <c r="CG36" i="1"/>
  <c r="CG37" i="1" s="1"/>
  <c r="CF30" i="1" l="1"/>
  <c r="CF21" i="1"/>
  <c r="CF31" i="1" s="1"/>
  <c r="CE43" i="1"/>
  <c r="CD105" i="1"/>
  <c r="CD173" i="1"/>
  <c r="CE38" i="1"/>
  <c r="CE65" i="1"/>
  <c r="CG20" i="1"/>
  <c r="CE161" i="1"/>
  <c r="CG18" i="1" l="1"/>
  <c r="CG22" i="1" s="1"/>
  <c r="CE172" i="1"/>
  <c r="CE92" i="1"/>
  <c r="CE98" i="1" s="1"/>
  <c r="CE40" i="1"/>
  <c r="CE45" i="1" s="1"/>
  <c r="CE66" i="1"/>
  <c r="CE41" i="1"/>
  <c r="CE39" i="1"/>
  <c r="CD111" i="1"/>
  <c r="CF34" i="1"/>
  <c r="BG9" i="25"/>
  <c r="BG13" i="25" s="1"/>
  <c r="CF60" i="1" s="1"/>
  <c r="CF6" i="1"/>
  <c r="CE42" i="1" l="1"/>
  <c r="CE44" i="1" s="1"/>
  <c r="CD112" i="1"/>
  <c r="CD128" i="1"/>
  <c r="CD129" i="1" s="1"/>
  <c r="CD156" i="1" s="1"/>
  <c r="CF7" i="1"/>
  <c r="CF8" i="1"/>
  <c r="CE151" i="1"/>
  <c r="CE152" i="1" s="1"/>
  <c r="CE153" i="1" s="1"/>
  <c r="CE160" i="1"/>
  <c r="CE163" i="1" s="1"/>
  <c r="CE170" i="1" s="1"/>
  <c r="CE105" i="1" s="1"/>
  <c r="CG16" i="1"/>
  <c r="CD174" i="1"/>
  <c r="CF9" i="1" l="1"/>
  <c r="CF114" i="1" s="1"/>
  <c r="CF115" i="1" s="1"/>
  <c r="CF58" i="1"/>
  <c r="CF59" i="1"/>
  <c r="CF13" i="1"/>
  <c r="CE111" i="1"/>
  <c r="CE173" i="1"/>
  <c r="CG15" i="1"/>
  <c r="CG24" i="1"/>
  <c r="CG17" i="1" s="1"/>
  <c r="CH36" i="1"/>
  <c r="CH37" i="1" s="1"/>
  <c r="CF61" i="1" l="1"/>
  <c r="CF93" i="1" s="1"/>
  <c r="CF172" i="1"/>
  <c r="CE174" i="1"/>
  <c r="CE112" i="1"/>
  <c r="CE128" i="1"/>
  <c r="CE129" i="1" s="1"/>
  <c r="CE156" i="1" s="1"/>
  <c r="CF43" i="1"/>
  <c r="CF38" i="1"/>
  <c r="CF65" i="1"/>
  <c r="CG30" i="1"/>
  <c r="CG21" i="1"/>
  <c r="CG31" i="1" s="1"/>
  <c r="CH20" i="1"/>
  <c r="CF161" i="1"/>
  <c r="CF40" i="1" l="1"/>
  <c r="CF66" i="1"/>
  <c r="CF92" i="1"/>
  <c r="CF98" i="1" s="1"/>
  <c r="CF45" i="1"/>
  <c r="CG6" i="1"/>
  <c r="CG34" i="1"/>
  <c r="BH9" i="25"/>
  <c r="BH13" i="25" s="1"/>
  <c r="CG60" i="1" s="1"/>
  <c r="CF39" i="1"/>
  <c r="CF41" i="1"/>
  <c r="CH18" i="1"/>
  <c r="CH22" i="1" s="1"/>
  <c r="CG7" i="1" l="1"/>
  <c r="CG8" i="1"/>
  <c r="CG9" i="1"/>
  <c r="CH16" i="1"/>
  <c r="CF160" i="1"/>
  <c r="CF163" i="1" s="1"/>
  <c r="CF170" i="1" s="1"/>
  <c r="CF151" i="1"/>
  <c r="CF152" i="1" s="1"/>
  <c r="CF153" i="1" s="1"/>
  <c r="CF42" i="1"/>
  <c r="CF44" i="1" s="1"/>
  <c r="CH24" i="1" l="1"/>
  <c r="CH17" i="1" s="1"/>
  <c r="CH15" i="1"/>
  <c r="CI36" i="1"/>
  <c r="CI37" i="1" s="1"/>
  <c r="CF105" i="1"/>
  <c r="CF173" i="1"/>
  <c r="CG114" i="1"/>
  <c r="CG115" i="1" s="1"/>
  <c r="CG58" i="1"/>
  <c r="CG13" i="1"/>
  <c r="CG59" i="1"/>
  <c r="CG161" i="1" l="1"/>
  <c r="CG172" i="1"/>
  <c r="CF111" i="1"/>
  <c r="CH30" i="1"/>
  <c r="CH21" i="1"/>
  <c r="CH31" i="1" s="1"/>
  <c r="CG38" i="1"/>
  <c r="CI20" i="1"/>
  <c r="CG61" i="1"/>
  <c r="CG93" i="1" s="1"/>
  <c r="CG43" i="1" l="1"/>
  <c r="CF112" i="1"/>
  <c r="CF128" i="1"/>
  <c r="CF129" i="1" s="1"/>
  <c r="CF156" i="1" s="1"/>
  <c r="BI9" i="25"/>
  <c r="BI13" i="25" s="1"/>
  <c r="CH60" i="1" s="1"/>
  <c r="CH6" i="1"/>
  <c r="CH34" i="1"/>
  <c r="CI18" i="1"/>
  <c r="CI22" i="1" s="1"/>
  <c r="CG39" i="1"/>
  <c r="CG41" i="1"/>
  <c r="CG65" i="1"/>
  <c r="CF174" i="1"/>
  <c r="CH7" i="1" l="1"/>
  <c r="CH8" i="1"/>
  <c r="CG92" i="1"/>
  <c r="CG98" i="1" s="1"/>
  <c r="CG66" i="1"/>
  <c r="CG40" i="1"/>
  <c r="CG42" i="1" s="1"/>
  <c r="CG44" i="1" s="1"/>
  <c r="CI16" i="1"/>
  <c r="CH9" i="1" l="1"/>
  <c r="CH114" i="1" s="1"/>
  <c r="CH115" i="1" s="1"/>
  <c r="CH59" i="1"/>
  <c r="CH13" i="1"/>
  <c r="CH58" i="1"/>
  <c r="CH61" i="1" s="1"/>
  <c r="CH93" i="1" s="1"/>
  <c r="CG45" i="1"/>
  <c r="CG151" i="1"/>
  <c r="CG152" i="1" s="1"/>
  <c r="CG153" i="1" s="1"/>
  <c r="CG160" i="1"/>
  <c r="CG163" i="1" s="1"/>
  <c r="CG170" i="1" s="1"/>
  <c r="CI24" i="1"/>
  <c r="CI17" i="1" s="1"/>
  <c r="CI15" i="1"/>
  <c r="CJ36" i="1"/>
  <c r="CJ37" i="1" s="1"/>
  <c r="CJ20" i="1" l="1"/>
  <c r="CJ18" i="1" s="1"/>
  <c r="CJ22" i="1" s="1"/>
  <c r="CG105" i="1"/>
  <c r="CG173" i="1"/>
  <c r="CH43" i="1"/>
  <c r="CH65" i="1"/>
  <c r="CH38" i="1"/>
  <c r="CI30" i="1"/>
  <c r="CI21" i="1"/>
  <c r="CI31" i="1" s="1"/>
  <c r="CH161" i="1"/>
  <c r="CH39" i="1" l="1"/>
  <c r="CH41" i="1"/>
  <c r="CJ16" i="1"/>
  <c r="CH172" i="1"/>
  <c r="CI34" i="1"/>
  <c r="CI6" i="1"/>
  <c r="BJ9" i="25"/>
  <c r="BJ13" i="25" s="1"/>
  <c r="CI60" i="1" s="1"/>
  <c r="CH40" i="1"/>
  <c r="CH42" i="1" s="1"/>
  <c r="CH44" i="1" s="1"/>
  <c r="CH66" i="1"/>
  <c r="CH92" i="1"/>
  <c r="CH98" i="1" s="1"/>
  <c r="CG111" i="1"/>
  <c r="CG174" i="1" s="1"/>
  <c r="CH151" i="1" l="1"/>
  <c r="CH152" i="1" s="1"/>
  <c r="CH153" i="1" s="1"/>
  <c r="CH160" i="1"/>
  <c r="CH163" i="1" s="1"/>
  <c r="CH170" i="1" s="1"/>
  <c r="CH105" i="1" s="1"/>
  <c r="CJ24" i="1"/>
  <c r="CJ17" i="1" s="1"/>
  <c r="CJ15" i="1"/>
  <c r="CK36" i="1"/>
  <c r="CK37" i="1" s="1"/>
  <c r="CG112" i="1"/>
  <c r="CG128" i="1"/>
  <c r="CG129" i="1" s="1"/>
  <c r="CG156" i="1" s="1"/>
  <c r="CI7" i="1"/>
  <c r="CI8" i="1"/>
  <c r="CH45" i="1"/>
  <c r="CI9" i="1" l="1"/>
  <c r="CI114" i="1"/>
  <c r="CI115" i="1" s="1"/>
  <c r="CI59" i="1"/>
  <c r="CI58" i="1"/>
  <c r="CI61" i="1" s="1"/>
  <c r="CI93" i="1" s="1"/>
  <c r="CI13" i="1"/>
  <c r="CJ30" i="1"/>
  <c r="CJ21" i="1"/>
  <c r="CJ31" i="1" s="1"/>
  <c r="CK20" i="1"/>
  <c r="CH111" i="1"/>
  <c r="CH173" i="1"/>
  <c r="CI172" i="1" l="1"/>
  <c r="CH174" i="1"/>
  <c r="BK9" i="25"/>
  <c r="BK13" i="25" s="1"/>
  <c r="CJ60" i="1" s="1"/>
  <c r="CJ34" i="1"/>
  <c r="CJ6" i="1"/>
  <c r="CI65" i="1"/>
  <c r="CI38" i="1"/>
  <c r="CH112" i="1"/>
  <c r="CH128" i="1"/>
  <c r="CH129" i="1" s="1"/>
  <c r="CH156" i="1" s="1"/>
  <c r="CI43" i="1"/>
  <c r="CK18" i="1"/>
  <c r="CK22" i="1" s="1"/>
  <c r="CI161" i="1"/>
  <c r="CI41" i="1" l="1"/>
  <c r="CI39" i="1"/>
  <c r="CI66" i="1"/>
  <c r="CI40" i="1"/>
  <c r="CI42" i="1" s="1"/>
  <c r="CI44" i="1" s="1"/>
  <c r="CI92" i="1"/>
  <c r="CI98" i="1" s="1"/>
  <c r="CJ8" i="1"/>
  <c r="CJ7" i="1"/>
  <c r="CJ9" i="1" s="1"/>
  <c r="CK16" i="1"/>
  <c r="CJ59" i="1" l="1"/>
  <c r="CJ58" i="1"/>
  <c r="CJ114" i="1"/>
  <c r="CJ115" i="1" s="1"/>
  <c r="CJ13" i="1"/>
  <c r="CI151" i="1"/>
  <c r="CI152" i="1" s="1"/>
  <c r="CI153" i="1" s="1"/>
  <c r="CI160" i="1"/>
  <c r="CI163" i="1" s="1"/>
  <c r="CI170" i="1" s="1"/>
  <c r="CL20" i="1"/>
  <c r="CK15" i="1"/>
  <c r="CK24" i="1"/>
  <c r="CK17" i="1" s="1"/>
  <c r="CL36" i="1"/>
  <c r="CL37" i="1" s="1"/>
  <c r="CI45" i="1"/>
  <c r="CL18" i="1" l="1"/>
  <c r="CL22" i="1" s="1"/>
  <c r="CJ161" i="1"/>
  <c r="CJ61" i="1"/>
  <c r="CJ93" i="1" s="1"/>
  <c r="CI105" i="1"/>
  <c r="CI173" i="1"/>
  <c r="CJ38" i="1"/>
  <c r="CK30" i="1"/>
  <c r="CK21" i="1"/>
  <c r="CK31" i="1" s="1"/>
  <c r="I45" i="5" l="1"/>
  <c r="CJ172" i="1"/>
  <c r="CL16" i="1"/>
  <c r="CI111" i="1"/>
  <c r="CJ43" i="1"/>
  <c r="CK6" i="1"/>
  <c r="CK34" i="1"/>
  <c r="BL9" i="25"/>
  <c r="BL13" i="25" s="1"/>
  <c r="CK60" i="1" s="1"/>
  <c r="CJ65" i="1"/>
  <c r="CJ41" i="1"/>
  <c r="CJ39" i="1"/>
  <c r="CL24" i="1" l="1"/>
  <c r="CL17" i="1" s="1"/>
  <c r="CL15" i="1"/>
  <c r="CM36" i="1"/>
  <c r="CM37" i="1" s="1"/>
  <c r="CI112" i="1"/>
  <c r="CI128" i="1"/>
  <c r="CI129" i="1" s="1"/>
  <c r="CI156" i="1" s="1"/>
  <c r="CI174" i="1"/>
  <c r="CK8" i="1"/>
  <c r="CK7" i="1"/>
  <c r="CK9" i="1" s="1"/>
  <c r="CJ40" i="1"/>
  <c r="CJ42" i="1" s="1"/>
  <c r="CJ44" i="1" s="1"/>
  <c r="CJ92" i="1"/>
  <c r="CJ98" i="1" s="1"/>
  <c r="CJ66" i="1"/>
  <c r="CK114" i="1" l="1"/>
  <c r="CK115" i="1" s="1"/>
  <c r="CK58" i="1"/>
  <c r="CK59" i="1"/>
  <c r="CK13" i="1"/>
  <c r="CJ45" i="1"/>
  <c r="CJ151" i="1"/>
  <c r="CJ152" i="1" s="1"/>
  <c r="CJ153" i="1" s="1"/>
  <c r="CJ160" i="1"/>
  <c r="CJ163" i="1" s="1"/>
  <c r="CJ170" i="1" s="1"/>
  <c r="CM20" i="1"/>
  <c r="CL30" i="1"/>
  <c r="CL21" i="1"/>
  <c r="CL31" i="1" s="1"/>
  <c r="CK38" i="1" l="1"/>
  <c r="CL6" i="1"/>
  <c r="CL34" i="1"/>
  <c r="BM9" i="25"/>
  <c r="BM13" i="25" s="1"/>
  <c r="CL60" i="1" s="1"/>
  <c r="CJ105" i="1"/>
  <c r="CJ173" i="1"/>
  <c r="CK61" i="1"/>
  <c r="CK93" i="1" s="1"/>
  <c r="CM18" i="1"/>
  <c r="CM22" i="1" s="1"/>
  <c r="CK161" i="1"/>
  <c r="CK65" i="1" l="1"/>
  <c r="CK172" i="1"/>
  <c r="CJ111" i="1"/>
  <c r="CJ174" i="1" s="1"/>
  <c r="CK66" i="1"/>
  <c r="CK40" i="1"/>
  <c r="CK42" i="1" s="1"/>
  <c r="CK44" i="1" s="1"/>
  <c r="CK92" i="1"/>
  <c r="CK98" i="1" s="1"/>
  <c r="CM16" i="1"/>
  <c r="CL7" i="1"/>
  <c r="CL9" i="1" s="1"/>
  <c r="CL8" i="1"/>
  <c r="CK43" i="1"/>
  <c r="CK41" i="1"/>
  <c r="CK39" i="1"/>
  <c r="CL58" i="1" l="1"/>
  <c r="CL59" i="1"/>
  <c r="CL13" i="1"/>
  <c r="CL114" i="1"/>
  <c r="CL115" i="1" s="1"/>
  <c r="CM15" i="1"/>
  <c r="CM24" i="1"/>
  <c r="CM17" i="1" s="1"/>
  <c r="CN36" i="1"/>
  <c r="CN37" i="1" s="1"/>
  <c r="CK151" i="1"/>
  <c r="CK152" i="1" s="1"/>
  <c r="CK153" i="1" s="1"/>
  <c r="CK160" i="1"/>
  <c r="CK163" i="1" s="1"/>
  <c r="CK170" i="1" s="1"/>
  <c r="CK105" i="1" s="1"/>
  <c r="CJ112" i="1"/>
  <c r="CJ128" i="1"/>
  <c r="CJ129" i="1" s="1"/>
  <c r="CJ156" i="1" s="1"/>
  <c r="CK45" i="1"/>
  <c r="CK173" i="1" l="1"/>
  <c r="CN20" i="1"/>
  <c r="CL38" i="1"/>
  <c r="CL172" i="1"/>
  <c r="CM30" i="1"/>
  <c r="CM21" i="1"/>
  <c r="CM31" i="1" s="1"/>
  <c r="CN18" i="1"/>
  <c r="CN22" i="1" s="1"/>
  <c r="CK111" i="1"/>
  <c r="CK174" i="1" s="1"/>
  <c r="CL161" i="1"/>
  <c r="CL61" i="1"/>
  <c r="CL93" i="1" s="1"/>
  <c r="CL43" i="1" l="1"/>
  <c r="CM6" i="1"/>
  <c r="CM34" i="1"/>
  <c r="BN9" i="25"/>
  <c r="BN13" i="25" s="1"/>
  <c r="CM60" i="1" s="1"/>
  <c r="CL65" i="1"/>
  <c r="CN16" i="1"/>
  <c r="CL39" i="1"/>
  <c r="CL41" i="1"/>
  <c r="CK112" i="1"/>
  <c r="CK128" i="1"/>
  <c r="CK129" i="1" s="1"/>
  <c r="CK156" i="1" s="1"/>
  <c r="CN15" i="1" l="1"/>
  <c r="CN24" i="1"/>
  <c r="CN17" i="1" s="1"/>
  <c r="CO36" i="1"/>
  <c r="CO37" i="1" s="1"/>
  <c r="CM7" i="1"/>
  <c r="CM8" i="1"/>
  <c r="CL40" i="1"/>
  <c r="CL42" i="1" s="1"/>
  <c r="CL44" i="1" s="1"/>
  <c r="CL66" i="1"/>
  <c r="CL92" i="1"/>
  <c r="CL98" i="1" s="1"/>
  <c r="CM9" i="1" l="1"/>
  <c r="CM58" i="1" s="1"/>
  <c r="CM114" i="1"/>
  <c r="CM115" i="1" s="1"/>
  <c r="CM13" i="1"/>
  <c r="CO20" i="1"/>
  <c r="CL160" i="1"/>
  <c r="CL163" i="1" s="1"/>
  <c r="CL170" i="1" s="1"/>
  <c r="CL151" i="1"/>
  <c r="CL152" i="1" s="1"/>
  <c r="CL153" i="1" s="1"/>
  <c r="CN30" i="1"/>
  <c r="CN21" i="1"/>
  <c r="CN31" i="1" s="1"/>
  <c r="CL45" i="1"/>
  <c r="CM59" i="1" l="1"/>
  <c r="CM61" i="1" s="1"/>
  <c r="CL105" i="1"/>
  <c r="CL173" i="1"/>
  <c r="CO18" i="1"/>
  <c r="CO22" i="1" s="1"/>
  <c r="CM38" i="1"/>
  <c r="CM161" i="1"/>
  <c r="CN34" i="1"/>
  <c r="BO9" i="25"/>
  <c r="BO13" i="25" s="1"/>
  <c r="CN60" i="1" s="1"/>
  <c r="CN6" i="1"/>
  <c r="CM93" i="1" l="1"/>
  <c r="CM65" i="1"/>
  <c r="CM40" i="1" s="1"/>
  <c r="CM92" i="1"/>
  <c r="CM98" i="1" s="1"/>
  <c r="CM66" i="1"/>
  <c r="CM172" i="1"/>
  <c r="CL111" i="1"/>
  <c r="CO16" i="1"/>
  <c r="CM41" i="1"/>
  <c r="CM39" i="1"/>
  <c r="CM43" i="1"/>
  <c r="CN7" i="1"/>
  <c r="CN8" i="1"/>
  <c r="CN9" i="1" s="1"/>
  <c r="CM45" i="1" l="1"/>
  <c r="CO24" i="1"/>
  <c r="CO17" i="1" s="1"/>
  <c r="CO15" i="1"/>
  <c r="CP36" i="1"/>
  <c r="CP37" i="1" s="1"/>
  <c r="CL112" i="1"/>
  <c r="CL128" i="1"/>
  <c r="CL129" i="1" s="1"/>
  <c r="CL156" i="1" s="1"/>
  <c r="CN114" i="1"/>
  <c r="CN115" i="1" s="1"/>
  <c r="CN58" i="1"/>
  <c r="CN13" i="1"/>
  <c r="CN59" i="1"/>
  <c r="CL174" i="1"/>
  <c r="CM151" i="1"/>
  <c r="CM152" i="1" s="1"/>
  <c r="CM153" i="1" s="1"/>
  <c r="CM160" i="1"/>
  <c r="CM163" i="1" s="1"/>
  <c r="CM170" i="1" s="1"/>
  <c r="CM105" i="1" s="1"/>
  <c r="CM42" i="1"/>
  <c r="CM44" i="1" s="1"/>
  <c r="CN161" i="1" l="1"/>
  <c r="CM173" i="1"/>
  <c r="CM111" i="1"/>
  <c r="CN38" i="1"/>
  <c r="CP20" i="1"/>
  <c r="CO30" i="1"/>
  <c r="CO21" i="1"/>
  <c r="CO31" i="1" s="1"/>
  <c r="CN61" i="1"/>
  <c r="CN93" i="1" s="1"/>
  <c r="CN65" i="1" l="1"/>
  <c r="CN40" i="1"/>
  <c r="CN92" i="1"/>
  <c r="CN98" i="1" s="1"/>
  <c r="CN66" i="1"/>
  <c r="CM112" i="1"/>
  <c r="CM128" i="1"/>
  <c r="CM129" i="1" s="1"/>
  <c r="CM156" i="1" s="1"/>
  <c r="CN39" i="1"/>
  <c r="CN41" i="1"/>
  <c r="CN43" i="1"/>
  <c r="CN172" i="1"/>
  <c r="CM174" i="1"/>
  <c r="CO6" i="1"/>
  <c r="BP9" i="25"/>
  <c r="BP13" i="25" s="1"/>
  <c r="CO60" i="1" s="1"/>
  <c r="CO34" i="1"/>
  <c r="CP18" i="1"/>
  <c r="CP22" i="1" s="1"/>
  <c r="CN45" i="1" l="1"/>
  <c r="CO7" i="1"/>
  <c r="CO8" i="1"/>
  <c r="CO9" i="1"/>
  <c r="CP16" i="1"/>
  <c r="CN151" i="1"/>
  <c r="CN152" i="1" s="1"/>
  <c r="CN153" i="1" s="1"/>
  <c r="CN160" i="1"/>
  <c r="CN163" i="1" s="1"/>
  <c r="CN170" i="1" s="1"/>
  <c r="CN105" i="1" s="1"/>
  <c r="CN42" i="1"/>
  <c r="CN44" i="1" s="1"/>
  <c r="CN111" i="1" l="1"/>
  <c r="CP24" i="1"/>
  <c r="CP17" i="1" s="1"/>
  <c r="CP15" i="1"/>
  <c r="CQ36" i="1"/>
  <c r="CQ37" i="1" s="1"/>
  <c r="CN173" i="1"/>
  <c r="CO114" i="1"/>
  <c r="CO115" i="1" s="1"/>
  <c r="CO58" i="1"/>
  <c r="CO59" i="1"/>
  <c r="CO13" i="1"/>
  <c r="CP30" i="1" l="1"/>
  <c r="CP21" i="1"/>
  <c r="CP31" i="1" s="1"/>
  <c r="CO172" i="1"/>
  <c r="CN174" i="1"/>
  <c r="CQ20" i="1"/>
  <c r="CO38" i="1"/>
  <c r="CO61" i="1"/>
  <c r="CO93" i="1" s="1"/>
  <c r="CO161" i="1"/>
  <c r="CN112" i="1"/>
  <c r="CN128" i="1"/>
  <c r="CN129" i="1" s="1"/>
  <c r="CN156" i="1" s="1"/>
  <c r="CO65" i="1" l="1"/>
  <c r="CO39" i="1"/>
  <c r="CO41" i="1"/>
  <c r="CO92" i="1"/>
  <c r="CO98" i="1" s="1"/>
  <c r="CO66" i="1"/>
  <c r="CO40" i="1"/>
  <c r="CO42" i="1" s="1"/>
  <c r="CO43" i="1"/>
  <c r="BQ9" i="25"/>
  <c r="BQ13" i="25" s="1"/>
  <c r="CP60" i="1" s="1"/>
  <c r="CP34" i="1"/>
  <c r="CP6" i="1"/>
  <c r="CQ18" i="1"/>
  <c r="CQ22" i="1" s="1"/>
  <c r="CO44" i="1" l="1"/>
  <c r="CQ16" i="1"/>
  <c r="CP8" i="1"/>
  <c r="CP7" i="1"/>
  <c r="CP9" i="1" s="1"/>
  <c r="CO45" i="1"/>
  <c r="CO151" i="1"/>
  <c r="CO152" i="1" s="1"/>
  <c r="CO153" i="1" s="1"/>
  <c r="CO160" i="1"/>
  <c r="CO163" i="1" s="1"/>
  <c r="CO170" i="1" s="1"/>
  <c r="CO105" i="1" l="1"/>
  <c r="CO173" i="1"/>
  <c r="CQ24" i="1"/>
  <c r="CQ17" i="1" s="1"/>
  <c r="CQ15" i="1"/>
  <c r="CR36" i="1"/>
  <c r="CR37" i="1" s="1"/>
  <c r="CP114" i="1"/>
  <c r="CP115" i="1" s="1"/>
  <c r="CP58" i="1"/>
  <c r="CP13" i="1"/>
  <c r="CP59" i="1"/>
  <c r="CP161" i="1" l="1"/>
  <c r="CQ30" i="1"/>
  <c r="CQ21" i="1"/>
  <c r="CQ31" i="1" s="1"/>
  <c r="CR20" i="1"/>
  <c r="CP38" i="1"/>
  <c r="CP172" i="1"/>
  <c r="CP61" i="1"/>
  <c r="CP93" i="1" s="1"/>
  <c r="CO111" i="1"/>
  <c r="CR18" i="1" l="1"/>
  <c r="CR22" i="1" s="1"/>
  <c r="CP41" i="1"/>
  <c r="CP39" i="1"/>
  <c r="CP43" i="1"/>
  <c r="CO112" i="1"/>
  <c r="CO128" i="1"/>
  <c r="CO129" i="1" s="1"/>
  <c r="CO156" i="1" s="1"/>
  <c r="CQ34" i="1"/>
  <c r="CQ6" i="1"/>
  <c r="BR9" i="25"/>
  <c r="BR13" i="25" s="1"/>
  <c r="CQ60" i="1" s="1"/>
  <c r="CO174" i="1"/>
  <c r="CP65" i="1"/>
  <c r="CP40" i="1" l="1"/>
  <c r="CP42" i="1" s="1"/>
  <c r="CP44" i="1" s="1"/>
  <c r="CP92" i="1"/>
  <c r="CP98" i="1" s="1"/>
  <c r="CP66" i="1"/>
  <c r="CP45" i="1"/>
  <c r="CQ7" i="1"/>
  <c r="CQ8" i="1"/>
  <c r="CQ9" i="1"/>
  <c r="CR16" i="1"/>
  <c r="CP160" i="1" l="1"/>
  <c r="CP163" i="1" s="1"/>
  <c r="CP170" i="1" s="1"/>
  <c r="CP151" i="1"/>
  <c r="CP152" i="1" s="1"/>
  <c r="CP153" i="1" s="1"/>
  <c r="CQ114" i="1"/>
  <c r="CQ115" i="1" s="1"/>
  <c r="CQ13" i="1"/>
  <c r="CQ58" i="1"/>
  <c r="CQ59" i="1"/>
  <c r="CR15" i="1"/>
  <c r="CS20" i="1"/>
  <c r="CR24" i="1"/>
  <c r="CR17" i="1" s="1"/>
  <c r="CS36" i="1"/>
  <c r="CS37" i="1" s="1"/>
  <c r="CQ61" i="1" l="1"/>
  <c r="CQ93" i="1" s="1"/>
  <c r="CS18" i="1"/>
  <c r="CS22" i="1" s="1"/>
  <c r="CR30" i="1"/>
  <c r="CR21" i="1"/>
  <c r="CR31" i="1" s="1"/>
  <c r="CQ43" i="1"/>
  <c r="CQ38" i="1"/>
  <c r="CQ65" i="1"/>
  <c r="CQ161" i="1"/>
  <c r="CP105" i="1"/>
  <c r="CP173" i="1"/>
  <c r="CQ172" i="1" l="1"/>
  <c r="CP111" i="1"/>
  <c r="CQ40" i="1"/>
  <c r="CQ92" i="1"/>
  <c r="CQ98" i="1" s="1"/>
  <c r="CQ66" i="1"/>
  <c r="CS16" i="1"/>
  <c r="CQ39" i="1"/>
  <c r="CQ41" i="1"/>
  <c r="CR6" i="1"/>
  <c r="CR34" i="1"/>
  <c r="BS9" i="25"/>
  <c r="BS13" i="25" s="1"/>
  <c r="CR60" i="1" s="1"/>
  <c r="CQ42" i="1" l="1"/>
  <c r="CQ44" i="1" s="1"/>
  <c r="CQ151" i="1"/>
  <c r="CQ152" i="1" s="1"/>
  <c r="CQ153" i="1" s="1"/>
  <c r="CQ160" i="1"/>
  <c r="CQ163" i="1" s="1"/>
  <c r="CQ170" i="1" s="1"/>
  <c r="CQ105" i="1" s="1"/>
  <c r="CR8" i="1"/>
  <c r="CR7" i="1"/>
  <c r="CQ45" i="1"/>
  <c r="CP112" i="1"/>
  <c r="CP128" i="1"/>
  <c r="CP129" i="1" s="1"/>
  <c r="CP156" i="1" s="1"/>
  <c r="CP174" i="1"/>
  <c r="CS24" i="1"/>
  <c r="CS17" i="1" s="1"/>
  <c r="CS15" i="1"/>
  <c r="CT36" i="1"/>
  <c r="CT37" i="1" s="1"/>
  <c r="CQ173" i="1"/>
  <c r="CR9" i="1" l="1"/>
  <c r="CT20" i="1"/>
  <c r="CR172" i="1"/>
  <c r="CR114" i="1"/>
  <c r="CR115" i="1" s="1"/>
  <c r="CR58" i="1"/>
  <c r="CR59" i="1"/>
  <c r="CR13" i="1"/>
  <c r="CQ111" i="1"/>
  <c r="CS30" i="1"/>
  <c r="CS21" i="1"/>
  <c r="CS31" i="1" s="1"/>
  <c r="CR38" i="1" l="1"/>
  <c r="CQ112" i="1"/>
  <c r="CQ128" i="1"/>
  <c r="CQ129" i="1" s="1"/>
  <c r="CQ156" i="1" s="1"/>
  <c r="CR61" i="1"/>
  <c r="CR93" i="1" s="1"/>
  <c r="CR161" i="1"/>
  <c r="CQ174" i="1"/>
  <c r="CS6" i="1"/>
  <c r="BT9" i="25"/>
  <c r="BT13" i="25" s="1"/>
  <c r="CS60" i="1" s="1"/>
  <c r="CS34" i="1"/>
  <c r="CT18" i="1"/>
  <c r="CT22" i="1" s="1"/>
  <c r="CT16" i="1" l="1"/>
  <c r="CR43" i="1"/>
  <c r="CR41" i="1"/>
  <c r="CR39" i="1"/>
  <c r="CS7" i="1"/>
  <c r="CS8" i="1"/>
  <c r="CS9" i="1" s="1"/>
  <c r="CR65" i="1"/>
  <c r="CT15" i="1" l="1"/>
  <c r="CT24" i="1"/>
  <c r="CT17" i="1" s="1"/>
  <c r="CU36" i="1"/>
  <c r="CU37" i="1" s="1"/>
  <c r="CR92" i="1"/>
  <c r="CR98" i="1" s="1"/>
  <c r="CR66" i="1"/>
  <c r="CR40" i="1"/>
  <c r="CR42" i="1" s="1"/>
  <c r="CR44" i="1" s="1"/>
  <c r="CS114" i="1"/>
  <c r="CS115" i="1" s="1"/>
  <c r="CS13" i="1"/>
  <c r="CS58" i="1"/>
  <c r="CS59" i="1"/>
  <c r="CR160" i="1" l="1"/>
  <c r="CR163" i="1" s="1"/>
  <c r="CR170" i="1" s="1"/>
  <c r="CR151" i="1"/>
  <c r="CR152" i="1" s="1"/>
  <c r="CR153" i="1" s="1"/>
  <c r="CS61" i="1"/>
  <c r="CS93" i="1" s="1"/>
  <c r="CU20" i="1"/>
  <c r="CS38" i="1"/>
  <c r="CS65" i="1"/>
  <c r="CT30" i="1"/>
  <c r="CT21" i="1"/>
  <c r="CT31" i="1" s="1"/>
  <c r="CS161" i="1"/>
  <c r="CR45" i="1"/>
  <c r="CS39" i="1" l="1"/>
  <c r="CS41" i="1"/>
  <c r="CU18" i="1"/>
  <c r="CU22" i="1" s="1"/>
  <c r="CS40" i="1"/>
  <c r="CS42" i="1" s="1"/>
  <c r="CS92" i="1"/>
  <c r="CS98" i="1" s="1"/>
  <c r="CS66" i="1"/>
  <c r="CS43" i="1"/>
  <c r="BU9" i="25"/>
  <c r="BU13" i="25" s="1"/>
  <c r="CT60" i="1" s="1"/>
  <c r="CT6" i="1"/>
  <c r="CT34" i="1"/>
  <c r="CR105" i="1"/>
  <c r="CR173" i="1"/>
  <c r="CS44" i="1" l="1"/>
  <c r="CS172" i="1"/>
  <c r="CR111" i="1"/>
  <c r="CS151" i="1"/>
  <c r="CS152" i="1" s="1"/>
  <c r="CS153" i="1" s="1"/>
  <c r="CS160" i="1"/>
  <c r="CS163" i="1" s="1"/>
  <c r="CS170" i="1" s="1"/>
  <c r="CS105" i="1" s="1"/>
  <c r="CT8" i="1"/>
  <c r="CT7" i="1"/>
  <c r="CT9" i="1" s="1"/>
  <c r="CU16" i="1"/>
  <c r="CS45" i="1"/>
  <c r="CS111" i="1" l="1"/>
  <c r="CT114" i="1"/>
  <c r="CT115" i="1" s="1"/>
  <c r="CT58" i="1"/>
  <c r="CT59" i="1"/>
  <c r="CT13" i="1"/>
  <c r="CV20" i="1"/>
  <c r="CU24" i="1"/>
  <c r="CU17" i="1" s="1"/>
  <c r="CU15" i="1"/>
  <c r="CV36" i="1"/>
  <c r="CV37" i="1" s="1"/>
  <c r="CR112" i="1"/>
  <c r="CR128" i="1"/>
  <c r="CR129" i="1" s="1"/>
  <c r="CR156" i="1" s="1"/>
  <c r="CS173" i="1"/>
  <c r="CR174" i="1"/>
  <c r="CV18" i="1" l="1"/>
  <c r="CV22" i="1" s="1"/>
  <c r="CS174" i="1"/>
  <c r="CT172" i="1"/>
  <c r="CT38" i="1"/>
  <c r="CT161" i="1"/>
  <c r="CT61" i="1"/>
  <c r="CT93" i="1" s="1"/>
  <c r="CS112" i="1"/>
  <c r="CS128" i="1"/>
  <c r="CS129" i="1" s="1"/>
  <c r="CS156" i="1" s="1"/>
  <c r="CU30" i="1"/>
  <c r="CU21" i="1"/>
  <c r="CU31" i="1" s="1"/>
  <c r="CT43" i="1" l="1"/>
  <c r="CU6" i="1"/>
  <c r="CU34" i="1"/>
  <c r="BV9" i="25"/>
  <c r="BV13" i="25" s="1"/>
  <c r="CU60" i="1" s="1"/>
  <c r="CT65" i="1"/>
  <c r="CV16" i="1"/>
  <c r="CT39" i="1"/>
  <c r="CT41" i="1"/>
  <c r="CU8" i="1" l="1"/>
  <c r="CU7" i="1"/>
  <c r="CU9" i="1" s="1"/>
  <c r="CT66" i="1"/>
  <c r="CT40" i="1"/>
  <c r="CT42" i="1" s="1"/>
  <c r="CT44" i="1" s="1"/>
  <c r="CT92" i="1"/>
  <c r="CT98" i="1" s="1"/>
  <c r="CW20" i="1"/>
  <c r="CV24" i="1"/>
  <c r="CV17" i="1" s="1"/>
  <c r="CV15" i="1"/>
  <c r="CW36" i="1"/>
  <c r="CW37" i="1" s="1"/>
  <c r="CU114" i="1" l="1"/>
  <c r="CU115" i="1" s="1"/>
  <c r="CU58" i="1"/>
  <c r="CU13" i="1"/>
  <c r="CU59" i="1"/>
  <c r="CW18" i="1"/>
  <c r="CW22" i="1" s="1"/>
  <c r="CT151" i="1"/>
  <c r="CT152" i="1" s="1"/>
  <c r="CT153" i="1" s="1"/>
  <c r="CT160" i="1"/>
  <c r="CT163" i="1" s="1"/>
  <c r="CT170" i="1" s="1"/>
  <c r="CV30" i="1"/>
  <c r="CV21" i="1"/>
  <c r="CV31" i="1" s="1"/>
  <c r="CT45" i="1"/>
  <c r="CW16" i="1" l="1"/>
  <c r="CV34" i="1"/>
  <c r="BW9" i="25"/>
  <c r="BW13" i="25" s="1"/>
  <c r="CV60" i="1" s="1"/>
  <c r="CV6" i="1"/>
  <c r="CT105" i="1"/>
  <c r="CT173" i="1"/>
  <c r="CU65" i="1"/>
  <c r="CU38" i="1"/>
  <c r="CU61" i="1"/>
  <c r="CU93" i="1" s="1"/>
  <c r="CU161" i="1"/>
  <c r="CU172" i="1" l="1"/>
  <c r="CU40" i="1"/>
  <c r="CU42" i="1" s="1"/>
  <c r="CU66" i="1"/>
  <c r="CU92" i="1"/>
  <c r="CU98" i="1" s="1"/>
  <c r="CT111" i="1"/>
  <c r="CV7" i="1"/>
  <c r="CV8" i="1"/>
  <c r="CU43" i="1"/>
  <c r="CU39" i="1"/>
  <c r="CU41" i="1"/>
  <c r="CW15" i="1"/>
  <c r="CW24" i="1"/>
  <c r="CW17" i="1" s="1"/>
  <c r="CX36" i="1"/>
  <c r="CX37" i="1" s="1"/>
  <c r="CV9" i="1" l="1"/>
  <c r="CV114" i="1" s="1"/>
  <c r="CV115" i="1" s="1"/>
  <c r="CU45" i="1"/>
  <c r="CX20" i="1"/>
  <c r="CW30" i="1"/>
  <c r="CW21" i="1"/>
  <c r="CW31" i="1" s="1"/>
  <c r="CT112" i="1"/>
  <c r="CT128" i="1"/>
  <c r="CT129" i="1" s="1"/>
  <c r="CT156" i="1" s="1"/>
  <c r="CU151" i="1"/>
  <c r="CU152" i="1" s="1"/>
  <c r="CU153" i="1" s="1"/>
  <c r="CU160" i="1"/>
  <c r="CU163" i="1" s="1"/>
  <c r="CU170" i="1" s="1"/>
  <c r="CU105" i="1" s="1"/>
  <c r="CU44" i="1"/>
  <c r="CT174" i="1"/>
  <c r="CV58" i="1" l="1"/>
  <c r="CV59" i="1"/>
  <c r="CV13" i="1"/>
  <c r="CV38" i="1" s="1"/>
  <c r="CU173" i="1"/>
  <c r="CX18" i="1"/>
  <c r="CX22" i="1" s="1"/>
  <c r="J45" i="5"/>
  <c r="CV172" i="1"/>
  <c r="CV61" i="1"/>
  <c r="CV93" i="1" s="1"/>
  <c r="CU111" i="1"/>
  <c r="CW34" i="1"/>
  <c r="BX9" i="25"/>
  <c r="BX13" i="25" s="1"/>
  <c r="CW60" i="1" s="1"/>
  <c r="CW6" i="1"/>
  <c r="CV161" i="1"/>
  <c r="CV65" i="1" l="1"/>
  <c r="CV92" i="1"/>
  <c r="CV98" i="1" s="1"/>
  <c r="CV40" i="1"/>
  <c r="CV66" i="1"/>
  <c r="CV39" i="1"/>
  <c r="CV41" i="1"/>
  <c r="CW7" i="1"/>
  <c r="CW8" i="1"/>
  <c r="CW9" i="1" s="1"/>
  <c r="CV43" i="1"/>
  <c r="CU112" i="1"/>
  <c r="CU128" i="1"/>
  <c r="CU129" i="1" s="1"/>
  <c r="CU156" i="1" s="1"/>
  <c r="CX16" i="1"/>
  <c r="CU174" i="1"/>
  <c r="CV45" i="1" l="1"/>
  <c r="CW114" i="1"/>
  <c r="CW115" i="1" s="1"/>
  <c r="CW58" i="1"/>
  <c r="CW59" i="1"/>
  <c r="CW13" i="1"/>
  <c r="CX15" i="1"/>
  <c r="CX24" i="1"/>
  <c r="CX17" i="1" s="1"/>
  <c r="CY36" i="1"/>
  <c r="CY37" i="1" s="1"/>
  <c r="CV42" i="1"/>
  <c r="CV44" i="1" s="1"/>
  <c r="CV151" i="1"/>
  <c r="CV152" i="1" s="1"/>
  <c r="CV153" i="1" s="1"/>
  <c r="CV160" i="1"/>
  <c r="CV163" i="1" s="1"/>
  <c r="CV170" i="1" s="1"/>
  <c r="CY20" i="1" l="1"/>
  <c r="CY18" i="1" s="1"/>
  <c r="CY22" i="1" s="1"/>
  <c r="CX30" i="1"/>
  <c r="CX21" i="1"/>
  <c r="CX31" i="1" s="1"/>
  <c r="CV105" i="1"/>
  <c r="CV173" i="1"/>
  <c r="CW38" i="1"/>
  <c r="CW61" i="1"/>
  <c r="CW93" i="1" s="1"/>
  <c r="CW161" i="1"/>
  <c r="CW65" i="1" l="1"/>
  <c r="CW172" i="1"/>
  <c r="CV111" i="1"/>
  <c r="CW66" i="1"/>
  <c r="CW92" i="1"/>
  <c r="CW98" i="1" s="1"/>
  <c r="CW40" i="1"/>
  <c r="CW41" i="1"/>
  <c r="CW39" i="1"/>
  <c r="CW43" i="1"/>
  <c r="CX6" i="1"/>
  <c r="CX34" i="1"/>
  <c r="BY9" i="25"/>
  <c r="BY13" i="25" s="1"/>
  <c r="CX60" i="1" s="1"/>
  <c r="CY16" i="1"/>
  <c r="CW42" i="1" l="1"/>
  <c r="CW44" i="1" s="1"/>
  <c r="CW151" i="1"/>
  <c r="CW152" i="1" s="1"/>
  <c r="CW153" i="1" s="1"/>
  <c r="CW160" i="1"/>
  <c r="CW163" i="1" s="1"/>
  <c r="CW170" i="1" s="1"/>
  <c r="CW105" i="1" s="1"/>
  <c r="CX8" i="1"/>
  <c r="CX7" i="1"/>
  <c r="CX9" i="1" s="1"/>
  <c r="CY15" i="1"/>
  <c r="CY24" i="1"/>
  <c r="CY17" i="1" s="1"/>
  <c r="CZ36" i="1"/>
  <c r="CZ37" i="1" s="1"/>
  <c r="CW45" i="1"/>
  <c r="CV112" i="1"/>
  <c r="CV128" i="1"/>
  <c r="CV129" i="1" s="1"/>
  <c r="CV156" i="1" s="1"/>
  <c r="CV174" i="1"/>
  <c r="CW173" i="1"/>
  <c r="CX172" i="1" l="1"/>
  <c r="CW111" i="1"/>
  <c r="CY30" i="1"/>
  <c r="CY21" i="1"/>
  <c r="CY31" i="1" s="1"/>
  <c r="CX114" i="1"/>
  <c r="CX115" i="1" s="1"/>
  <c r="CX13" i="1"/>
  <c r="CX58" i="1"/>
  <c r="CX59" i="1"/>
  <c r="CZ20" i="1"/>
  <c r="CZ18" i="1" l="1"/>
  <c r="CZ22" i="1" s="1"/>
  <c r="CY34" i="1"/>
  <c r="BZ9" i="25"/>
  <c r="BZ13" i="25" s="1"/>
  <c r="CY60" i="1" s="1"/>
  <c r="CY6" i="1"/>
  <c r="CX61" i="1"/>
  <c r="CX93" i="1" s="1"/>
  <c r="CX65" i="1"/>
  <c r="CX38" i="1"/>
  <c r="CX161" i="1"/>
  <c r="CW112" i="1"/>
  <c r="CW128" i="1"/>
  <c r="CW129" i="1" s="1"/>
  <c r="CW156" i="1" s="1"/>
  <c r="CW174" i="1"/>
  <c r="CX41" i="1" l="1"/>
  <c r="CX39" i="1"/>
  <c r="CX40" i="1"/>
  <c r="CX42" i="1" s="1"/>
  <c r="CX66" i="1"/>
  <c r="CX92" i="1"/>
  <c r="CX98" i="1" s="1"/>
  <c r="CY7" i="1"/>
  <c r="CY8" i="1"/>
  <c r="CX43" i="1"/>
  <c r="CX45" i="1" s="1"/>
  <c r="CZ16" i="1"/>
  <c r="CY9" i="1" l="1"/>
  <c r="CY114" i="1" s="1"/>
  <c r="CY115" i="1" s="1"/>
  <c r="CY59" i="1"/>
  <c r="CY58" i="1"/>
  <c r="CY13" i="1"/>
  <c r="CZ24" i="1"/>
  <c r="CZ17" i="1" s="1"/>
  <c r="CZ15" i="1"/>
  <c r="DA36" i="1"/>
  <c r="DA37" i="1" s="1"/>
  <c r="CX151" i="1"/>
  <c r="CX152" i="1" s="1"/>
  <c r="CX153" i="1" s="1"/>
  <c r="CX160" i="1"/>
  <c r="CX163" i="1" s="1"/>
  <c r="CX170" i="1" s="1"/>
  <c r="CX44" i="1"/>
  <c r="DA20" i="1" l="1"/>
  <c r="CZ30" i="1"/>
  <c r="CZ21" i="1"/>
  <c r="CZ31" i="1" s="1"/>
  <c r="DA18" i="1"/>
  <c r="DA22" i="1" s="1"/>
  <c r="CX105" i="1"/>
  <c r="CX173" i="1"/>
  <c r="CY61" i="1"/>
  <c r="CY93" i="1" s="1"/>
  <c r="CY38" i="1"/>
  <c r="CY161" i="1"/>
  <c r="CX111" i="1" l="1"/>
  <c r="CY43" i="1"/>
  <c r="DA16" i="1"/>
  <c r="CY172" i="1"/>
  <c r="CX174" i="1"/>
  <c r="CY39" i="1"/>
  <c r="CY41" i="1"/>
  <c r="CY65" i="1"/>
  <c r="CZ34" i="1"/>
  <c r="CZ6" i="1"/>
  <c r="CA9" i="25"/>
  <c r="CA13" i="25" s="1"/>
  <c r="CZ60" i="1" s="1"/>
  <c r="CY40" i="1" l="1"/>
  <c r="CY42" i="1" s="1"/>
  <c r="CY44" i="1" s="1"/>
  <c r="CY92" i="1"/>
  <c r="CY98" i="1" s="1"/>
  <c r="CY66" i="1"/>
  <c r="CY45" i="1"/>
  <c r="DA24" i="1"/>
  <c r="DA17" i="1" s="1"/>
  <c r="DA15" i="1"/>
  <c r="DB36" i="1"/>
  <c r="DB37" i="1" s="1"/>
  <c r="CZ7" i="1"/>
  <c r="CZ8" i="1"/>
  <c r="CX112" i="1"/>
  <c r="CX128" i="1"/>
  <c r="CX129" i="1" s="1"/>
  <c r="CX156" i="1" s="1"/>
  <c r="CZ9" i="1" l="1"/>
  <c r="CZ114" i="1" s="1"/>
  <c r="CZ115" i="1" s="1"/>
  <c r="DB20" i="1"/>
  <c r="DB18" i="1"/>
  <c r="DB22" i="1" s="1"/>
  <c r="CY151" i="1"/>
  <c r="CY152" i="1" s="1"/>
  <c r="CY153" i="1" s="1"/>
  <c r="CY160" i="1"/>
  <c r="CY163" i="1" s="1"/>
  <c r="CY170" i="1" s="1"/>
  <c r="DA30" i="1"/>
  <c r="DA21" i="1"/>
  <c r="DA31" i="1" s="1"/>
  <c r="CZ58" i="1" l="1"/>
  <c r="CZ13" i="1"/>
  <c r="CZ59" i="1"/>
  <c r="CY105" i="1"/>
  <c r="CY173" i="1"/>
  <c r="DA34" i="1"/>
  <c r="CB9" i="25"/>
  <c r="CB13" i="25" s="1"/>
  <c r="DA60" i="1" s="1"/>
  <c r="DA6" i="1"/>
  <c r="DB16" i="1"/>
  <c r="CZ38" i="1"/>
  <c r="CZ61" i="1"/>
  <c r="CZ93" i="1" s="1"/>
  <c r="CZ161" i="1"/>
  <c r="CZ43" i="1" l="1"/>
  <c r="CZ65" i="1"/>
  <c r="CZ172" i="1"/>
  <c r="DB15" i="1"/>
  <c r="DB24" i="1"/>
  <c r="DB17" i="1" s="1"/>
  <c r="DC36" i="1"/>
  <c r="DC37" i="1" s="1"/>
  <c r="DA8" i="1"/>
  <c r="DA7" i="1"/>
  <c r="DA9" i="1" s="1"/>
  <c r="CZ39" i="1"/>
  <c r="CZ41" i="1"/>
  <c r="CY111" i="1"/>
  <c r="DA58" i="1" l="1"/>
  <c r="DA59" i="1"/>
  <c r="DA13" i="1"/>
  <c r="DA114" i="1"/>
  <c r="DA115" i="1" s="1"/>
  <c r="CZ40" i="1"/>
  <c r="CZ42" i="1" s="1"/>
  <c r="CZ44" i="1" s="1"/>
  <c r="CZ92" i="1"/>
  <c r="CZ98" i="1" s="1"/>
  <c r="CZ66" i="1"/>
  <c r="CY112" i="1"/>
  <c r="CY128" i="1"/>
  <c r="CY129" i="1" s="1"/>
  <c r="CY156" i="1" s="1"/>
  <c r="DB30" i="1"/>
  <c r="DB21" i="1"/>
  <c r="DB31" i="1" s="1"/>
  <c r="DC20" i="1"/>
  <c r="CY174" i="1"/>
  <c r="DC18" i="1" l="1"/>
  <c r="DC22" i="1" s="1"/>
  <c r="DB6" i="1"/>
  <c r="DB34" i="1"/>
  <c r="CC9" i="25"/>
  <c r="CC13" i="25" s="1"/>
  <c r="DB60" i="1" s="1"/>
  <c r="DA65" i="1"/>
  <c r="DA38" i="1"/>
  <c r="CZ45" i="1"/>
  <c r="DA161" i="1"/>
  <c r="CZ151" i="1"/>
  <c r="CZ152" i="1" s="1"/>
  <c r="CZ153" i="1" s="1"/>
  <c r="CZ160" i="1"/>
  <c r="CZ163" i="1" s="1"/>
  <c r="CZ170" i="1" s="1"/>
  <c r="DA61" i="1"/>
  <c r="DA93" i="1" s="1"/>
  <c r="DA92" i="1" l="1"/>
  <c r="DA98" i="1" s="1"/>
  <c r="DA40" i="1"/>
  <c r="DA66" i="1"/>
  <c r="DA43" i="1"/>
  <c r="DA45" i="1" s="1"/>
  <c r="CZ105" i="1"/>
  <c r="CZ173" i="1"/>
  <c r="DB8" i="1"/>
  <c r="DB7" i="1"/>
  <c r="DB9" i="1" s="1"/>
  <c r="DA41" i="1"/>
  <c r="DA39" i="1"/>
  <c r="DC16" i="1"/>
  <c r="DB13" i="1" l="1"/>
  <c r="DB114" i="1"/>
  <c r="DB115" i="1" s="1"/>
  <c r="DB59" i="1"/>
  <c r="DB58" i="1"/>
  <c r="DB61" i="1" s="1"/>
  <c r="DB93" i="1" s="1"/>
  <c r="DC15" i="1"/>
  <c r="DC24" i="1"/>
  <c r="DC17" i="1" s="1"/>
  <c r="DD36" i="1"/>
  <c r="DD37" i="1" s="1"/>
  <c r="DA172" i="1"/>
  <c r="DA42" i="1"/>
  <c r="DA44" i="1" s="1"/>
  <c r="CZ111" i="1"/>
  <c r="DA160" i="1"/>
  <c r="DA163" i="1" s="1"/>
  <c r="DA170" i="1" s="1"/>
  <c r="DA105" i="1" s="1"/>
  <c r="DA151" i="1"/>
  <c r="DA152" i="1" s="1"/>
  <c r="DA153" i="1" s="1"/>
  <c r="DA111" i="1" l="1"/>
  <c r="DD20" i="1"/>
  <c r="DC30" i="1"/>
  <c r="DC21" i="1"/>
  <c r="DC31" i="1" s="1"/>
  <c r="CZ112" i="1"/>
  <c r="CZ128" i="1"/>
  <c r="CZ129" i="1" s="1"/>
  <c r="CZ156" i="1" s="1"/>
  <c r="DB43" i="1"/>
  <c r="CZ174" i="1"/>
  <c r="DB161" i="1"/>
  <c r="DA173" i="1"/>
  <c r="DB65" i="1"/>
  <c r="DB38" i="1"/>
  <c r="DB40" i="1" l="1"/>
  <c r="DB66" i="1"/>
  <c r="DB92" i="1"/>
  <c r="DB98" i="1" s="1"/>
  <c r="DA174" i="1"/>
  <c r="DB172" i="1"/>
  <c r="DB39" i="1"/>
  <c r="DB41" i="1"/>
  <c r="CD9" i="25"/>
  <c r="CD13" i="25" s="1"/>
  <c r="DC60" i="1" s="1"/>
  <c r="DC6" i="1"/>
  <c r="DC34" i="1"/>
  <c r="DD18" i="1"/>
  <c r="DD22" i="1" s="1"/>
  <c r="DA112" i="1"/>
  <c r="DA128" i="1"/>
  <c r="DA129" i="1" s="1"/>
  <c r="DA156" i="1" s="1"/>
  <c r="DD16" i="1" l="1"/>
  <c r="DB160" i="1"/>
  <c r="DB163" i="1" s="1"/>
  <c r="DB170" i="1" s="1"/>
  <c r="DB105" i="1" s="1"/>
  <c r="DB151" i="1"/>
  <c r="DB152" i="1" s="1"/>
  <c r="DB153" i="1" s="1"/>
  <c r="DC8" i="1"/>
  <c r="DC7" i="1"/>
  <c r="DC9" i="1" s="1"/>
  <c r="DB42" i="1"/>
  <c r="DB44" i="1" s="1"/>
  <c r="DB45" i="1"/>
  <c r="DC114" i="1" l="1"/>
  <c r="DC115" i="1" s="1"/>
  <c r="DC58" i="1"/>
  <c r="DC59" i="1"/>
  <c r="DC13" i="1"/>
  <c r="DB111" i="1"/>
  <c r="DD24" i="1"/>
  <c r="DD17" i="1" s="1"/>
  <c r="DD15" i="1"/>
  <c r="DE36" i="1"/>
  <c r="DE37" i="1" s="1"/>
  <c r="DB173" i="1"/>
  <c r="DD30" i="1" l="1"/>
  <c r="DD21" i="1"/>
  <c r="DD31" i="1" s="1"/>
  <c r="DB112" i="1"/>
  <c r="DB128" i="1"/>
  <c r="DB129" i="1" s="1"/>
  <c r="DB156" i="1" s="1"/>
  <c r="DB174" i="1"/>
  <c r="DC172" i="1"/>
  <c r="DC38" i="1"/>
  <c r="DC61" i="1"/>
  <c r="DC93" i="1" s="1"/>
  <c r="DE20" i="1"/>
  <c r="DC161" i="1"/>
  <c r="DC43" i="1" l="1"/>
  <c r="DD6" i="1"/>
  <c r="DD34" i="1"/>
  <c r="CE9" i="25"/>
  <c r="CE13" i="25" s="1"/>
  <c r="DD60" i="1" s="1"/>
  <c r="DE18" i="1"/>
  <c r="DE22" i="1" s="1"/>
  <c r="DC65" i="1"/>
  <c r="DC39" i="1"/>
  <c r="DC41" i="1"/>
  <c r="DC92" i="1" l="1"/>
  <c r="DC98" i="1" s="1"/>
  <c r="DC40" i="1"/>
  <c r="DC42" i="1" s="1"/>
  <c r="DC44" i="1" s="1"/>
  <c r="DC66" i="1"/>
  <c r="DC45" i="1"/>
  <c r="DE16" i="1"/>
  <c r="DD7" i="1"/>
  <c r="DD8" i="1"/>
  <c r="DD9" i="1" l="1"/>
  <c r="DD59" i="1"/>
  <c r="DD114" i="1"/>
  <c r="DD115" i="1" s="1"/>
  <c r="DD58" i="1"/>
  <c r="DD61" i="1" s="1"/>
  <c r="DD93" i="1" s="1"/>
  <c r="DD13" i="1"/>
  <c r="DE15" i="1"/>
  <c r="DE24" i="1"/>
  <c r="DE17" i="1" s="1"/>
  <c r="DF36" i="1"/>
  <c r="DF37" i="1" s="1"/>
  <c r="DC151" i="1"/>
  <c r="DC152" i="1" s="1"/>
  <c r="DC153" i="1" s="1"/>
  <c r="DC160" i="1"/>
  <c r="DC163" i="1" s="1"/>
  <c r="DC170" i="1" s="1"/>
  <c r="DF20" i="1" l="1"/>
  <c r="DE30" i="1"/>
  <c r="DE21" i="1"/>
  <c r="DE31" i="1" s="1"/>
  <c r="DD65" i="1"/>
  <c r="DD38" i="1"/>
  <c r="DD43" i="1"/>
  <c r="DC105" i="1"/>
  <c r="DC173" i="1"/>
  <c r="DD161" i="1"/>
  <c r="DD66" i="1" l="1"/>
  <c r="DD40" i="1"/>
  <c r="DD92" i="1"/>
  <c r="DD98" i="1" s="1"/>
  <c r="DD172" i="1"/>
  <c r="DC174" i="1"/>
  <c r="CF9" i="25"/>
  <c r="CF13" i="25" s="1"/>
  <c r="DE60" i="1" s="1"/>
  <c r="DE6" i="1"/>
  <c r="DE34" i="1"/>
  <c r="DD41" i="1"/>
  <c r="DD39" i="1"/>
  <c r="DC111" i="1"/>
  <c r="DD45" i="1"/>
  <c r="DF18" i="1"/>
  <c r="DF22" i="1" s="1"/>
  <c r="DE7" i="1" l="1"/>
  <c r="DE8" i="1"/>
  <c r="DE9" i="1"/>
  <c r="DF16" i="1"/>
  <c r="DD151" i="1"/>
  <c r="DD152" i="1" s="1"/>
  <c r="DD153" i="1" s="1"/>
  <c r="DD160" i="1"/>
  <c r="DD163" i="1" s="1"/>
  <c r="DD170" i="1" s="1"/>
  <c r="DD105" i="1" s="1"/>
  <c r="DC112" i="1"/>
  <c r="DC128" i="1"/>
  <c r="DC129" i="1" s="1"/>
  <c r="DC156" i="1" s="1"/>
  <c r="DD42" i="1"/>
  <c r="DD44" i="1" s="1"/>
  <c r="DD173" i="1" l="1"/>
  <c r="DE172" i="1"/>
  <c r="DD111" i="1"/>
  <c r="DF15" i="1"/>
  <c r="DF24" i="1"/>
  <c r="DF17" i="1" s="1"/>
  <c r="DG36" i="1"/>
  <c r="DG37" i="1" s="1"/>
  <c r="DE58" i="1"/>
  <c r="DE114" i="1"/>
  <c r="DE115" i="1" s="1"/>
  <c r="DE59" i="1"/>
  <c r="DE13" i="1"/>
  <c r="DG20" i="1" l="1"/>
  <c r="DG18" i="1" s="1"/>
  <c r="DG22" i="1" s="1"/>
  <c r="DG16" i="1" s="1"/>
  <c r="DG24" i="1" s="1"/>
  <c r="DG17" i="1" s="1"/>
  <c r="DF30" i="1"/>
  <c r="DF21" i="1"/>
  <c r="DF31" i="1" s="1"/>
  <c r="DE61" i="1"/>
  <c r="DE93" i="1" s="1"/>
  <c r="DE38" i="1"/>
  <c r="DD112" i="1"/>
  <c r="DD128" i="1"/>
  <c r="DD129" i="1" s="1"/>
  <c r="DD156" i="1" s="1"/>
  <c r="DE161" i="1"/>
  <c r="DD174" i="1"/>
  <c r="DG15" i="1" l="1"/>
  <c r="DG21" i="1" s="1"/>
  <c r="DG31" i="1" s="1"/>
  <c r="DE41" i="1"/>
  <c r="DE39" i="1"/>
  <c r="G24" i="5"/>
  <c r="H24" i="5"/>
  <c r="I24" i="5"/>
  <c r="J24" i="5"/>
  <c r="K24" i="5"/>
  <c r="DE43" i="1"/>
  <c r="CG9" i="25"/>
  <c r="CG13" i="25" s="1"/>
  <c r="DF60" i="1" s="1"/>
  <c r="DF34" i="1"/>
  <c r="DF6" i="1"/>
  <c r="DG30" i="1"/>
  <c r="G22" i="5"/>
  <c r="H22" i="5"/>
  <c r="I22" i="5"/>
  <c r="J22" i="5"/>
  <c r="K22" i="5"/>
  <c r="DE65" i="1"/>
  <c r="DG34" i="1" l="1"/>
  <c r="DG6" i="1"/>
  <c r="CH9" i="25"/>
  <c r="CH13" i="25" s="1"/>
  <c r="DG60" i="1" s="1"/>
  <c r="DF8" i="1"/>
  <c r="DF7" i="1"/>
  <c r="DF9" i="1" s="1"/>
  <c r="DE66" i="1"/>
  <c r="DE40" i="1"/>
  <c r="DE42" i="1" s="1"/>
  <c r="DE44" i="1" s="1"/>
  <c r="DE92" i="1"/>
  <c r="DE98" i="1" s="1"/>
  <c r="DF58" i="1" l="1"/>
  <c r="DF59" i="1"/>
  <c r="DF114" i="1"/>
  <c r="DF115" i="1" s="1"/>
  <c r="DF13" i="1"/>
  <c r="DE45" i="1"/>
  <c r="G29" i="5"/>
  <c r="H29" i="5"/>
  <c r="I29" i="5"/>
  <c r="J29" i="5"/>
  <c r="K29" i="5"/>
  <c r="DG8" i="1"/>
  <c r="DG7" i="1"/>
  <c r="DG9" i="1" s="1"/>
  <c r="DE160" i="1"/>
  <c r="DE163" i="1" s="1"/>
  <c r="DE170" i="1" s="1"/>
  <c r="DE151" i="1"/>
  <c r="DE152" i="1" s="1"/>
  <c r="DE153" i="1" s="1"/>
  <c r="DG114" i="1" l="1"/>
  <c r="DG115" i="1" s="1"/>
  <c r="DG59" i="1"/>
  <c r="DG58" i="1"/>
  <c r="DG13" i="1"/>
  <c r="G19" i="5"/>
  <c r="G21" i="5" s="1"/>
  <c r="H19" i="5"/>
  <c r="H21" i="5" s="1"/>
  <c r="I19" i="5"/>
  <c r="I21" i="5" s="1"/>
  <c r="J19" i="5"/>
  <c r="J21" i="5" s="1"/>
  <c r="K19" i="5"/>
  <c r="K21" i="5" s="1"/>
  <c r="DE105" i="1"/>
  <c r="DE173" i="1"/>
  <c r="DF38" i="1"/>
  <c r="DF161" i="1"/>
  <c r="DF61" i="1"/>
  <c r="DF93" i="1" s="1"/>
  <c r="H25" i="5" l="1"/>
  <c r="I25" i="5"/>
  <c r="DF41" i="1"/>
  <c r="DF39" i="1"/>
  <c r="G25" i="5"/>
  <c r="DF65" i="1"/>
  <c r="DG38" i="1"/>
  <c r="DF172" i="1"/>
  <c r="DG61" i="1"/>
  <c r="DG93" i="1" s="1"/>
  <c r="DG43" i="1" s="1"/>
  <c r="G27" i="5"/>
  <c r="H27" i="5"/>
  <c r="H30" i="5" s="1"/>
  <c r="H32" i="5" s="1"/>
  <c r="I27" i="5"/>
  <c r="J27" i="5"/>
  <c r="K27" i="5"/>
  <c r="DE111" i="1"/>
  <c r="G28" i="5"/>
  <c r="H28" i="5"/>
  <c r="I28" i="5"/>
  <c r="J28" i="5"/>
  <c r="K28" i="5"/>
  <c r="J25" i="5"/>
  <c r="DF43" i="1"/>
  <c r="K25" i="5"/>
  <c r="DG161" i="1"/>
  <c r="G30" i="5" l="1"/>
  <c r="G32" i="5" s="1"/>
  <c r="H38" i="5"/>
  <c r="H33" i="5"/>
  <c r="G38" i="5"/>
  <c r="G33" i="5"/>
  <c r="DE112" i="1"/>
  <c r="DE128" i="1"/>
  <c r="DE129" i="1" s="1"/>
  <c r="DE156" i="1" s="1"/>
  <c r="DE174" i="1"/>
  <c r="K30" i="5"/>
  <c r="K32" i="5" s="1"/>
  <c r="DG41" i="1"/>
  <c r="DG39" i="1"/>
  <c r="J30" i="5"/>
  <c r="J32" i="5" s="1"/>
  <c r="DG65" i="1"/>
  <c r="I30" i="5"/>
  <c r="I32" i="5" s="1"/>
  <c r="DF40" i="1"/>
  <c r="DF42" i="1" s="1"/>
  <c r="DF44" i="1" s="1"/>
  <c r="DF66" i="1"/>
  <c r="DF92" i="1"/>
  <c r="DF98" i="1" s="1"/>
  <c r="DF45" i="1" l="1"/>
  <c r="DF160" i="1"/>
  <c r="DF163" i="1" s="1"/>
  <c r="DF170" i="1" s="1"/>
  <c r="DF151" i="1"/>
  <c r="DF152" i="1" s="1"/>
  <c r="DF153" i="1" s="1"/>
  <c r="I38" i="5"/>
  <c r="I33" i="5"/>
  <c r="DG92" i="1"/>
  <c r="DG98" i="1" s="1"/>
  <c r="DG40" i="1"/>
  <c r="DG66" i="1"/>
  <c r="K38" i="5"/>
  <c r="K33" i="5"/>
  <c r="J38" i="5"/>
  <c r="J33" i="5"/>
  <c r="G23" i="5"/>
  <c r="H23" i="5"/>
  <c r="I23" i="5"/>
  <c r="J23" i="5"/>
  <c r="K23" i="5"/>
  <c r="G42" i="5"/>
  <c r="G39" i="5"/>
  <c r="H42" i="5"/>
  <c r="H39" i="5"/>
  <c r="DG42" i="1" l="1"/>
  <c r="DG44" i="1" s="1"/>
  <c r="DG45" i="1"/>
  <c r="DG151" i="1"/>
  <c r="DG152" i="1" s="1"/>
  <c r="DG153" i="1" s="1"/>
  <c r="DG160" i="1"/>
  <c r="DG163" i="1" s="1"/>
  <c r="DG170" i="1" s="1"/>
  <c r="K39" i="5"/>
  <c r="K42" i="5"/>
  <c r="H43" i="5"/>
  <c r="H44" i="5"/>
  <c r="I42" i="5"/>
  <c r="I39" i="5"/>
  <c r="J42" i="5"/>
  <c r="J39" i="5"/>
  <c r="G44" i="5"/>
  <c r="G43" i="5"/>
  <c r="DF105" i="1"/>
  <c r="DF173" i="1"/>
  <c r="K44" i="5" l="1"/>
  <c r="K43" i="5"/>
  <c r="I44" i="5"/>
  <c r="I43" i="5"/>
  <c r="DF111" i="1"/>
  <c r="DG105" i="1"/>
  <c r="DG111" i="1" s="1"/>
  <c r="J44" i="5"/>
  <c r="J43" i="5"/>
  <c r="DG172" i="1"/>
  <c r="DG173" i="1" s="1"/>
  <c r="DF112" i="1" l="1"/>
  <c r="DF128" i="1"/>
  <c r="DF129" i="1" s="1"/>
  <c r="DF156" i="1" s="1"/>
  <c r="DF174" i="1"/>
  <c r="DG112" i="1"/>
  <c r="DG128" i="1"/>
  <c r="DG129" i="1" s="1"/>
  <c r="DG156" i="1" s="1"/>
  <c r="DG174" i="1"/>
  <c r="K4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tc={42248B89-4AC1-4936-B286-27B8FEDEB8DE}</author>
    <author>tc={735C9239-FB8A-4B36-9D20-C68BC4D2B976}</author>
    <author>tc={701A54C3-1B46-4893-BC62-B2EFF266C055}</author>
    <author>tc={2562B8DD-0805-4553-A630-43D324DEF683}</author>
  </authors>
  <commentList>
    <comment ref="AJ30" authorId="0" shapeId="0" xr:uid="{42248B89-4AC1-4936-B286-27B8FEDEB8DE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Adjustment made to data capture of billable time</t>
      </text>
    </comment>
    <comment ref="S77" authorId="1" shapeId="0" xr:uid="{735C9239-FB8A-4B36-9D20-C68BC4D2B976}">
      <text>
        <t>[Threaded comment]
Your version of Excel allows you to read this threaded comment; however, any edits to it will get removed if the file is opened in a newer version of Excel. Learn more: https://go.microsoft.com/fwlink/?linkid=870924
Comment:
    Tax Advice JMM Group LLC</t>
      </text>
    </comment>
    <comment ref="T77" authorId="2" shapeId="0" xr:uid="{701A54C3-1B46-4893-BC62-B2EFF266C055}">
      <text>
        <t>[Threaded comment]
Your version of Excel allows you to read this threaded comment; however, any edits to it will get removed if the file is opened in a newer version of Excel. Learn more: https://go.microsoft.com/fwlink/?linkid=870924
Comment:
    Offboarding JMM Group LLC</t>
      </text>
    </comment>
    <comment ref="AF86" authorId="3" shapeId="0" xr:uid="{2562B8DD-0805-4553-A630-43D324DEF683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question which utilities are business related</t>
      </text>
    </comment>
  </commentList>
</comments>
</file>

<file path=xl/sharedStrings.xml><?xml version="1.0" encoding="utf-8"?>
<sst xmlns="http://schemas.openxmlformats.org/spreadsheetml/2006/main" count="1318" uniqueCount="393">
  <si>
    <t>Total</t>
  </si>
  <si>
    <t>Income</t>
  </si>
  <si>
    <t>Total Income</t>
  </si>
  <si>
    <t>Gross Profit</t>
  </si>
  <si>
    <t>Expenses</t>
  </si>
  <si>
    <t>Total Expenses</t>
  </si>
  <si>
    <t>Net Operating Income</t>
  </si>
  <si>
    <t>Other Income</t>
  </si>
  <si>
    <t xml:space="preserve">   Interest Income</t>
  </si>
  <si>
    <t>Total Other Income</t>
  </si>
  <si>
    <t>Net Other Income</t>
  </si>
  <si>
    <t>Net Income</t>
  </si>
  <si>
    <t>ASSETS</t>
  </si>
  <si>
    <t xml:space="preserve">   Current Assets</t>
  </si>
  <si>
    <t xml:space="preserve">      Bank Accounts</t>
  </si>
  <si>
    <t xml:space="preserve">      Total Bank Accounts</t>
  </si>
  <si>
    <t xml:space="preserve">      Accounts Receivable</t>
  </si>
  <si>
    <t xml:space="preserve">      Total Accounts Receivable</t>
  </si>
  <si>
    <t xml:space="preserve">   Total Current Assets</t>
  </si>
  <si>
    <t>TOTAL ASSETS</t>
  </si>
  <si>
    <t>LIABILITIES AND EQUITY</t>
  </si>
  <si>
    <t xml:space="preserve">   Liabilities</t>
  </si>
  <si>
    <t xml:space="preserve">   Total Liabilities</t>
  </si>
  <si>
    <t xml:space="preserve">   Equity</t>
  </si>
  <si>
    <t xml:space="preserve">      Net Income</t>
  </si>
  <si>
    <t xml:space="preserve">   Total Equity</t>
  </si>
  <si>
    <t>TOTAL LIABILITIES AND EQUITY</t>
  </si>
  <si>
    <t>Cash Flow From Operations</t>
  </si>
  <si>
    <t>Change in AR</t>
  </si>
  <si>
    <t>Change in Other Assets/Liabilities</t>
  </si>
  <si>
    <t>Change in Equity</t>
  </si>
  <si>
    <t>Cash Flow From Financing</t>
  </si>
  <si>
    <t>Net change in Cash Flow for the Period</t>
  </si>
  <si>
    <t>Beginning Balance</t>
  </si>
  <si>
    <t>Ending Balance</t>
  </si>
  <si>
    <t>Check</t>
  </si>
  <si>
    <t>Holidays</t>
  </si>
  <si>
    <t>New Years</t>
  </si>
  <si>
    <t>MLK</t>
  </si>
  <si>
    <t>Presidents Day</t>
  </si>
  <si>
    <t>Memorial Day</t>
  </si>
  <si>
    <t>Labor Day</t>
  </si>
  <si>
    <t>4th of July</t>
  </si>
  <si>
    <t>Thanksgiving</t>
  </si>
  <si>
    <t>Black Friday</t>
  </si>
  <si>
    <t>Christmas Eve</t>
  </si>
  <si>
    <t>Christmas</t>
  </si>
  <si>
    <t>Service Income</t>
  </si>
  <si>
    <t>Billing Days</t>
  </si>
  <si>
    <t>Realized / Effective Bill Rate</t>
  </si>
  <si>
    <t>Utilization %</t>
  </si>
  <si>
    <t>Student</t>
  </si>
  <si>
    <t>Date</t>
  </si>
  <si>
    <t>Hours</t>
  </si>
  <si>
    <t>Rate ($/hr)</t>
  </si>
  <si>
    <t>Coin</t>
  </si>
  <si>
    <t>Billed?</t>
  </si>
  <si>
    <t>Received payment?</t>
  </si>
  <si>
    <t>Topic</t>
  </si>
  <si>
    <t>Tip?</t>
  </si>
  <si>
    <t>Paid via invoice?</t>
  </si>
  <si>
    <t>Totals</t>
  </si>
  <si>
    <t>Abby Owen</t>
  </si>
  <si>
    <t>Yes</t>
  </si>
  <si>
    <t>Math (general homework)</t>
  </si>
  <si>
    <t>No</t>
  </si>
  <si>
    <t>BALANCED</t>
  </si>
  <si>
    <t>Algebra 2</t>
  </si>
  <si>
    <t>YES</t>
  </si>
  <si>
    <t>Emergency Math Lab</t>
  </si>
  <si>
    <t>Logarithmic Functions Review</t>
  </si>
  <si>
    <t>Precalc - Exponentials and Logs</t>
  </si>
  <si>
    <t>Addison O'Connor</t>
  </si>
  <si>
    <t>Choreography Review</t>
  </si>
  <si>
    <t>Caroline Frey</t>
  </si>
  <si>
    <t>TN and CoC Essay Supplement Finalization</t>
  </si>
  <si>
    <t>No - Venmo b/c tip; sent to personal account but transferred accordingly (sent to Eric and Eric venmo'd business acc)</t>
  </si>
  <si>
    <t>Bama Honors Appliation</t>
  </si>
  <si>
    <t>No - venmo b/c tip</t>
  </si>
  <si>
    <t>Claire Cecotti</t>
  </si>
  <si>
    <t>SAT Math, Piecewise Functions Test</t>
  </si>
  <si>
    <t>Elle Mishler</t>
  </si>
  <si>
    <t>Algebra 1</t>
  </si>
  <si>
    <t>Algebra 1 Review</t>
  </si>
  <si>
    <t>Gabby Bagot</t>
  </si>
  <si>
    <t>*Sujay 21 Oct, 23 Oct, 29 Oct, and 30 Oct were all billed together.</t>
  </si>
  <si>
    <t>Julia Cecotti</t>
  </si>
  <si>
    <t>Precalc - piecewise functions</t>
  </si>
  <si>
    <t>Limits and Discontinuity</t>
  </si>
  <si>
    <t>Kathryn Oakford</t>
  </si>
  <si>
    <t>Business Calculus</t>
  </si>
  <si>
    <t>Kaylie Thompson</t>
  </si>
  <si>
    <t>Common App Finalizaiton</t>
  </si>
  <si>
    <t>Maddie Wilson</t>
  </si>
  <si>
    <t>ACT Math</t>
  </si>
  <si>
    <t>No - received via PayPal and Transferred</t>
  </si>
  <si>
    <t>Maddox Rogers</t>
  </si>
  <si>
    <t>College Essay</t>
  </si>
  <si>
    <t>Naura Peters</t>
  </si>
  <si>
    <t>Private lesson</t>
  </si>
  <si>
    <t>Nicolette Batori</t>
  </si>
  <si>
    <t>AP Test Advice, Volunteering advice, SAT Math</t>
  </si>
  <si>
    <t>SAT Math</t>
  </si>
  <si>
    <t>Rohan Skanda</t>
  </si>
  <si>
    <t>AOS Integrated Math + Science</t>
  </si>
  <si>
    <t>Math and Physics Review</t>
  </si>
  <si>
    <t>Sienna Cormier</t>
  </si>
  <si>
    <t>Geometry</t>
  </si>
  <si>
    <t>Sophia Gonzales</t>
  </si>
  <si>
    <t>Yes (folded into next-day invoice)</t>
  </si>
  <si>
    <t>Physics</t>
  </si>
  <si>
    <t>Sujay Penugonda</t>
  </si>
  <si>
    <t>Supplemental Essays</t>
  </si>
  <si>
    <t>No - asked to send via Zelle. Transferred from personal to biz immediately.</t>
  </si>
  <si>
    <t>AOS Math/Science</t>
  </si>
  <si>
    <t>College Supplemental Essays</t>
  </si>
  <si>
    <t>Business Calc</t>
  </si>
  <si>
    <t>Math Practice for Quiz</t>
  </si>
  <si>
    <t>ACT Math, NHS Essay</t>
  </si>
  <si>
    <t>Mckenzie Frey</t>
  </si>
  <si>
    <t>Yes (accounted for in October w Caroline)</t>
  </si>
  <si>
    <t>PR/Project Planning</t>
  </si>
  <si>
    <t>NHS Essay</t>
  </si>
  <si>
    <t>Algebra Review/SAT Math</t>
  </si>
  <si>
    <t>Sam Cormier</t>
  </si>
  <si>
    <t>Adderal form</t>
  </si>
  <si>
    <t>SAT/ACT overview, college talk/prep</t>
  </si>
  <si>
    <t>ACT Science</t>
  </si>
  <si>
    <t>Essay</t>
  </si>
  <si>
    <t>ACT Math, college essay</t>
  </si>
  <si>
    <t>Matthew Aasen</t>
  </si>
  <si>
    <t>2nd read common app</t>
  </si>
  <si>
    <t>Row Labels</t>
  </si>
  <si>
    <t>Grand Total</t>
  </si>
  <si>
    <t>Sum of Hours</t>
  </si>
  <si>
    <t>Sum of Coin</t>
  </si>
  <si>
    <t>DATE</t>
  </si>
  <si>
    <t>TIME</t>
  </si>
  <si>
    <t>MONEY</t>
  </si>
  <si>
    <t>TOTAL EARNINGS FOR THIS PD:</t>
  </si>
  <si>
    <t>Paying through ESTINSTITUTE venmo. Should get tax forms from them.</t>
  </si>
  <si>
    <t>Made xfer of total - venmo tax removal to ensure everything would be viewable on NFCU</t>
  </si>
  <si>
    <t>BILLED</t>
  </si>
  <si>
    <t>TIP</t>
  </si>
  <si>
    <t>BALANCE</t>
  </si>
  <si>
    <t xml:space="preserve"> </t>
  </si>
  <si>
    <t>AR Days</t>
  </si>
  <si>
    <t>Gross Margin</t>
  </si>
  <si>
    <t>GM %</t>
  </si>
  <si>
    <t>Operating Expenses</t>
  </si>
  <si>
    <t>Net Operating Income (EBITDA)</t>
  </si>
  <si>
    <t>EBITDA %</t>
  </si>
  <si>
    <t>Other Income / (Expense)</t>
  </si>
  <si>
    <t>NI %</t>
  </si>
  <si>
    <t>Operating Cash</t>
  </si>
  <si>
    <t>Cash Inflow (Outflow)</t>
  </si>
  <si>
    <t>Misc.</t>
  </si>
  <si>
    <t>Operating Expense</t>
  </si>
  <si>
    <t>Misc</t>
  </si>
  <si>
    <t>Coverage</t>
  </si>
  <si>
    <t>Properties of logs and exponents; APERT</t>
  </si>
  <si>
    <t>Brayden Wulff</t>
  </si>
  <si>
    <t>Math Analysis</t>
  </si>
  <si>
    <t>QBA</t>
  </si>
  <si>
    <t>Algebra 1 - Absolute Value Functions</t>
  </si>
  <si>
    <t>Algebra 1 - Graphing, Domain, and Range</t>
  </si>
  <si>
    <t>Emma Thacker</t>
  </si>
  <si>
    <t>Algebra 2 Trig</t>
  </si>
  <si>
    <t>Precalc - rational functions, domain/range, holes, asymptotes, graphing, factoring</t>
  </si>
  <si>
    <t>Business Calc (College)</t>
  </si>
  <si>
    <t>Dance</t>
  </si>
  <si>
    <t>SAT Math (Calculator Section)</t>
  </si>
  <si>
    <t>Trig Proofs</t>
  </si>
  <si>
    <t>SAT English</t>
  </si>
  <si>
    <t>SAT Grammar</t>
  </si>
  <si>
    <t>* Billed with 27 Nov invoice</t>
  </si>
  <si>
    <t>SAT Reading Comprehension</t>
  </si>
  <si>
    <t>Difference Quotient, pre-calc</t>
  </si>
  <si>
    <t>AOS Integrated Math and Science</t>
  </si>
  <si>
    <t>Physics - Position and Veloicty</t>
  </si>
  <si>
    <t>Chemistry</t>
  </si>
  <si>
    <t>Physics - Angles, Motion</t>
  </si>
  <si>
    <t>MONTH GROSS</t>
  </si>
  <si>
    <t>***REMAINING BALANCE***</t>
  </si>
  <si>
    <t>Owner Guarenteed Payments</t>
  </si>
  <si>
    <t>General &amp; Admintrative Expenses</t>
  </si>
  <si>
    <t>Total G&amp;A Expenses</t>
  </si>
  <si>
    <t>Peak</t>
  </si>
  <si>
    <t>Trough</t>
  </si>
  <si>
    <t>Shoulder</t>
  </si>
  <si>
    <t>Average</t>
  </si>
  <si>
    <t xml:space="preserve">      70100 Accounts Payable</t>
  </si>
  <si>
    <t>Asynchronous</t>
  </si>
  <si>
    <t>Honors College Essays</t>
  </si>
  <si>
    <t>Venmo for Tip</t>
  </si>
  <si>
    <t>John Surles</t>
  </si>
  <si>
    <t>Advanced Functions - Fundamental Therem of Algebra, Conjugate Theorem</t>
  </si>
  <si>
    <t>Leyla Aggarwal</t>
  </si>
  <si>
    <t>Dance Private</t>
  </si>
  <si>
    <t>Yes (billed with 11-Dec invoice)</t>
  </si>
  <si>
    <t>Physics - Centripetal force and circular motion</t>
  </si>
  <si>
    <t>Physics - Energy</t>
  </si>
  <si>
    <t>YOY Compounded Growth %</t>
  </si>
  <si>
    <t xml:space="preserve">   Other Current Assets</t>
  </si>
  <si>
    <t xml:space="preserve">   Total Other Current Assets</t>
  </si>
  <si>
    <t xml:space="preserve">         Undeposited Funds</t>
  </si>
  <si>
    <t>Actual</t>
  </si>
  <si>
    <t>Variance</t>
  </si>
  <si>
    <t>Additions</t>
  </si>
  <si>
    <t>Subtrctions</t>
  </si>
  <si>
    <t>Implied Tenure</t>
  </si>
  <si>
    <t>GM%</t>
  </si>
  <si>
    <t>LTV/CAC</t>
  </si>
  <si>
    <t>Payback</t>
  </si>
  <si>
    <t>T6M Avg Monthly Attrition</t>
  </si>
  <si>
    <t>Cost of Goods Sold</t>
  </si>
  <si>
    <t xml:space="preserve">   Materials - COGS</t>
  </si>
  <si>
    <t xml:space="preserve">   Software - COS</t>
  </si>
  <si>
    <t>Total Cost of Goods Sold</t>
  </si>
  <si>
    <t xml:space="preserve">      Owner Contributions</t>
  </si>
  <si>
    <t xml:space="preserve">      Personal Expenses</t>
  </si>
  <si>
    <t xml:space="preserve">      Retained Earnings</t>
  </si>
  <si>
    <t>Hours / Day / Client</t>
  </si>
  <si>
    <t>2024 Overview</t>
  </si>
  <si>
    <t># of Active Clients</t>
  </si>
  <si>
    <t>Total Cash Inflow (Outflow)</t>
  </si>
  <si>
    <t>Operating Cash Burn</t>
  </si>
  <si>
    <t>Owner Cash Burn</t>
  </si>
  <si>
    <t>Operating Cash Runway</t>
  </si>
  <si>
    <t>Owner Cash Runway</t>
  </si>
  <si>
    <t>Operating Cash Runway - Burn Rate</t>
  </si>
  <si>
    <t>Cash Runway - Owner Burn Rate</t>
  </si>
  <si>
    <t>Total Cost of Goods Sold (COGS)</t>
  </si>
  <si>
    <t xml:space="preserve">   50100 Software - COS</t>
  </si>
  <si>
    <t xml:space="preserve">   50200 Materials - COGS</t>
  </si>
  <si>
    <t>COS as a % of Revenue</t>
  </si>
  <si>
    <t>COGS as a % of Revenue</t>
  </si>
  <si>
    <t xml:space="preserve">         10500 Cash in Transit</t>
  </si>
  <si>
    <t xml:space="preserve">            10520 Cash in Transit - Cash App</t>
  </si>
  <si>
    <t xml:space="preserve">            10530 Cash in Transit - Venmo</t>
  </si>
  <si>
    <t xml:space="preserve">            10540 Cash in Transit - Apple Cash</t>
  </si>
  <si>
    <t xml:space="preserve">            10550 Cash in Transit - Infinite Loop</t>
  </si>
  <si>
    <t xml:space="preserve">         Total 10500 Cash in Transit</t>
  </si>
  <si>
    <t>MRR</t>
  </si>
  <si>
    <t>Nonbillable Hours</t>
  </si>
  <si>
    <t>Total Billable Hours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</si>
  <si>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</si>
  <si>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</si>
  <si>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</si>
  <si>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</si>
  <si>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</si>
  <si>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</si>
  <si>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</si>
  <si>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</si>
  <si>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</si>
  <si>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</si>
  <si>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</si>
  <si>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</si>
  <si>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Productivity Utilization</t>
  </si>
  <si>
    <t>Owners' Personal Burden</t>
  </si>
  <si>
    <t>Name</t>
  </si>
  <si>
    <t>Position</t>
  </si>
  <si>
    <t>Hourly Rate</t>
  </si>
  <si>
    <t># of Successful Appointments</t>
  </si>
  <si>
    <t># of Anticipated Appointments</t>
  </si>
  <si>
    <t>Reschedule/Cancellation Rate</t>
  </si>
  <si>
    <t># of Recurring Client Base</t>
  </si>
  <si>
    <t># of Anticipated Clients</t>
  </si>
  <si>
    <t>Average Revenue</t>
  </si>
  <si>
    <t>Lifetime Revenue</t>
  </si>
  <si>
    <t>Nonbillable Hours/Lost Appt</t>
  </si>
  <si>
    <t>Client Base Growth Rate</t>
  </si>
  <si>
    <t>Client Hit Rate</t>
  </si>
  <si>
    <t>Net New Prospective Clients</t>
  </si>
  <si>
    <t>Appt Multiplier</t>
  </si>
  <si>
    <t>CAC</t>
  </si>
  <si>
    <t>Revenue</t>
  </si>
  <si>
    <t># of Appointments</t>
  </si>
  <si>
    <t>Recurring Client Base</t>
  </si>
  <si>
    <t>Total Cash Balance</t>
  </si>
  <si>
    <t>Forecast</t>
  </si>
  <si>
    <t>Q1</t>
  </si>
  <si>
    <t>Q2</t>
  </si>
  <si>
    <t>Q3</t>
  </si>
  <si>
    <t>Q4</t>
  </si>
  <si>
    <t>2024 AOP Income</t>
  </si>
  <si>
    <t>2024 AOP Net Income</t>
  </si>
  <si>
    <t>Variance (Forecast)</t>
  </si>
  <si>
    <t>Bank Fees</t>
  </si>
  <si>
    <t>NOI%</t>
  </si>
  <si>
    <t>Office Supplies &amp; Software</t>
  </si>
  <si>
    <t>Software - COS</t>
  </si>
  <si>
    <t>Materials - COGS</t>
  </si>
  <si>
    <t>Owner Personal Burden</t>
  </si>
  <si>
    <t>T6M LTV</t>
  </si>
  <si>
    <t>T6M CAC</t>
  </si>
  <si>
    <t>2024 AOP Avg. Appointments</t>
  </si>
  <si>
    <t>2024 AOP Avg. Client Base</t>
  </si>
  <si>
    <t>2024 AOP Avg. MRR</t>
  </si>
  <si>
    <t>Adjusted Cash Balance (Operating)</t>
  </si>
  <si>
    <t>Change in Personal Burden</t>
  </si>
  <si>
    <t>Operating (Business) Cash</t>
  </si>
  <si>
    <t>Savings Cash</t>
  </si>
  <si>
    <t xml:space="preserve">   Contractors - COS</t>
  </si>
  <si>
    <t>GP%</t>
  </si>
  <si>
    <t>Net New Clients</t>
  </si>
  <si>
    <t>KPIs</t>
  </si>
  <si>
    <t>Nail Tech Sub</t>
  </si>
  <si>
    <t>5th of July</t>
  </si>
  <si>
    <t>6th of July</t>
  </si>
  <si>
    <t>7th of July</t>
  </si>
  <si>
    <t xml:space="preserve">   40100 Nail Technician Services</t>
  </si>
  <si>
    <t xml:space="preserve">   40800 Tips</t>
  </si>
  <si>
    <t xml:space="preserve">   40900 Refunds/Discounts</t>
  </si>
  <si>
    <t xml:space="preserve">   70000 Miscellaneous</t>
  </si>
  <si>
    <t xml:space="preserve">   Total 40000 Service Income</t>
  </si>
  <si>
    <t xml:space="preserve">      60200 Travel</t>
  </si>
  <si>
    <t xml:space="preserve">         60210 Airfare &amp; Hotels</t>
  </si>
  <si>
    <t xml:space="preserve">         60230 Parking &amp; Tolls</t>
  </si>
  <si>
    <t xml:space="preserve">         60240 Personal Mileage Reimbursement</t>
  </si>
  <si>
    <t xml:space="preserve">      Total 60200 Travel</t>
  </si>
  <si>
    <t xml:space="preserve">      60400 Office Supplies &amp; Software</t>
  </si>
  <si>
    <t xml:space="preserve">      60700 Facility &amp; Storage Rent</t>
  </si>
  <si>
    <t xml:space="preserve">      60800 Business Insurance</t>
  </si>
  <si>
    <t xml:space="preserve">      60900 Donations</t>
  </si>
  <si>
    <t xml:space="preserve">         10100 Operating - 2528</t>
  </si>
  <si>
    <t xml:space="preserve">         10200 Savings - 7351</t>
  </si>
  <si>
    <t xml:space="preserve">         10300 Tax - 9887</t>
  </si>
  <si>
    <t xml:space="preserve">         30000 Accounts Receivable (A/R)</t>
  </si>
  <si>
    <t xml:space="preserve">         50000 Cash-in-Transit - Square</t>
  </si>
  <si>
    <t>-</t>
  </si>
  <si>
    <t>Diamond Hurt</t>
  </si>
  <si>
    <t>Assistant</t>
  </si>
  <si>
    <t>Contractors - COS</t>
  </si>
  <si>
    <t xml:space="preserve">      60300 Legal &amp; Accounting Services</t>
  </si>
  <si>
    <t xml:space="preserve">         60310 Finance &amp; Accounting</t>
  </si>
  <si>
    <t xml:space="preserve">      Total 60300 Legal &amp; Accounting Services</t>
  </si>
  <si>
    <t xml:space="preserve">      50300 Sub-Contractors</t>
  </si>
  <si>
    <t xml:space="preserve">      60600 Bank Fees &amp; Service Charges</t>
  </si>
  <si>
    <t xml:space="preserve">      61000 Business Licences</t>
  </si>
  <si>
    <t>Tips as a % of Revenue</t>
  </si>
  <si>
    <t>Refunds as a % of Revenue</t>
  </si>
  <si>
    <t>Avg. Hours/Month</t>
  </si>
  <si>
    <t>Total Sub Contractors</t>
  </si>
  <si>
    <t xml:space="preserve">         10400 VACU Checking - 2865</t>
  </si>
  <si>
    <t xml:space="preserve">         10500 Cash</t>
  </si>
  <si>
    <t>Travel</t>
  </si>
  <si>
    <t>Legal &amp; Accounting Services</t>
  </si>
  <si>
    <t>Facility &amp; Storage Rent</t>
  </si>
  <si>
    <t>Business Insurance</t>
  </si>
  <si>
    <t>Donations</t>
  </si>
  <si>
    <t>Licenses</t>
  </si>
  <si>
    <t xml:space="preserve">   Contractors - COGS</t>
  </si>
  <si>
    <t>New</t>
  </si>
  <si>
    <t>Nail Tech Services</t>
  </si>
  <si>
    <t>2025 Overview</t>
  </si>
  <si>
    <t>Total G&amp;A Wages</t>
  </si>
  <si>
    <t>Iyalonna West</t>
  </si>
  <si>
    <t>Owner</t>
  </si>
  <si>
    <t>Salary</t>
  </si>
  <si>
    <t xml:space="preserve">   Owner Salary</t>
  </si>
  <si>
    <t xml:space="preserve">     Owner Payroll Taxes</t>
  </si>
  <si>
    <t xml:space="preserve">     Owner Benefits</t>
  </si>
  <si>
    <t>Total Owner Payroll Burden</t>
  </si>
  <si>
    <t>Payroll Tax as a % of Salary</t>
  </si>
  <si>
    <t>Benefits as a % of Salary</t>
  </si>
  <si>
    <t>Owner Reinvestment</t>
  </si>
  <si>
    <t>Owner Cash Burn/Allowance</t>
  </si>
  <si>
    <t>Estimated Tax Burden</t>
  </si>
  <si>
    <t>Cash Balance</t>
  </si>
  <si>
    <t>Variance (Budget)</t>
  </si>
  <si>
    <t>Budget</t>
  </si>
  <si>
    <t xml:space="preserve">            71000 Square Sales Tax Payable</t>
  </si>
  <si>
    <t xml:space="preserve">            72000 Refunds Payable</t>
  </si>
  <si>
    <t xml:space="preserve">            80100 Square Loan</t>
  </si>
  <si>
    <t xml:space="preserve">         Money Market (4030)</t>
  </si>
  <si>
    <t xml:space="preserve">            90000 Payroll Liabilities</t>
  </si>
  <si>
    <t xml:space="preserve">               90100 Payroll Wages Payable</t>
  </si>
  <si>
    <t xml:space="preserve">               90200 Payroll Taxes Payable</t>
  </si>
  <si>
    <t xml:space="preserve">            Total 90000 Payroll Liabilities</t>
  </si>
  <si>
    <t>2025 Overview (Annual Operating Plan)</t>
  </si>
  <si>
    <t>Owner Payroll Burden</t>
  </si>
  <si>
    <t>Q1 2025</t>
  </si>
  <si>
    <t>Q2 2025</t>
  </si>
  <si>
    <t>Q3 2025</t>
  </si>
  <si>
    <t>Q4 2025</t>
  </si>
  <si>
    <t xml:space="preserve">               90300 Reimbursements Payable</t>
  </si>
  <si>
    <t xml:space="preserve">               90400 Retirement Benefits Payable</t>
  </si>
  <si>
    <t xml:space="preserve">         60320 Legal Fees</t>
  </si>
  <si>
    <t xml:space="preserve">         Prepaid Expenses</t>
  </si>
  <si>
    <t xml:space="preserve">         Owner IRA Plan</t>
  </si>
  <si>
    <t xml:space="preserve">      Personal healthcare</t>
  </si>
  <si>
    <t>Interest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</si>
</sst>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\ _€"/>
    <numFmt numFmtId="165" formatCode="&quot;$&quot;* #,##0.00\ _€"/>
    <numFmt numFmtId="166" formatCode="m/d/yyyy;@"/>
    <numFmt numFmtId="167" formatCode="_(* #,##0_);_(* \(#,##0\);_(* &quot;-&quot;??_);_(@_)"/>
    <numFmt numFmtId="168" formatCode="_(#,##0.0%_);\(#,##0.0%\);_(&quot;–&quot;_)_%;_(@_)_%"/>
    <numFmt numFmtId="169" formatCode="_(* #,##0.0_);_(* \(#,##0.0\);_(* &quot;-&quot;??_);_(@_)"/>
    <numFmt numFmtId="170" formatCode="[$-409]mmmm;@"/>
    <numFmt numFmtId="171" formatCode="[$-409]mmmm\-yy;@"/>
    <numFmt numFmtId="172" formatCode="_(&quot;$&quot;* #,##0_);_(&quot;$&quot;* \(#,##0\);_(&quot;$&quot;* &quot;-&quot;??_);_(@_)"/>
    <numFmt numFmtId="173" formatCode="_([$$]#,##0_)_%;\([$$]#,##0\)_%;_(&quot;–&quot;_)_%;_(@_)_%"/>
    <numFmt numFmtId="174" formatCode="0.0%"/>
    <numFmt numFmtId="175" formatCode="0.00000"/>
    <numFmt numFmtId="176" formatCode="0.00\ \x"/>
    <numFmt numFmtId="177" formatCode="_(* #\ ##0.00_)&quot;months&quot;;_(* #\ ##0.00_);_(* &quot;-&quot;??_);_(@_)"/>
    <numFmt numFmtId="178" formatCode="[$-409]mmmm\ yyyy;@"/>
    <numFmt numFmtId="179" formatCode="_(* #,##0.00_)\ \x;_(* \(#,##0.00\)\ \x;_(* &quot;-&quot;??_);_(@_)\ \x"/>
  </numFmts>
  <fonts count="59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sz val="11"/>
      <color indexed="8"/>
      <name val="Calibri"/>
      <family val="2"/>
      <scheme val="minor"/>
    </font>
    <font>
      <b/>
      <sz val="8"/>
      <color indexed="8"/>
      <name val="Arial"/>
      <family val="2"/>
    </font>
    <font>
      <i/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8"/>
      <color indexed="8"/>
      <name val="Arial"/>
      <family val="2"/>
    </font>
    <font>
      <sz val="8"/>
      <color theme="4"/>
      <name val="Arial"/>
      <family val="2"/>
    </font>
    <font>
      <b/>
      <sz val="11"/>
      <color theme="9"/>
      <name val="Calibri"/>
      <family val="2"/>
      <scheme val="minor"/>
    </font>
    <font>
      <sz val="11"/>
      <color theme="4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11"/>
      <color indexed="8"/>
      <name val="Calibri"/>
      <family val="2"/>
      <scheme val="minor"/>
    </font>
    <font>
      <i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22"/>
      <color indexed="8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9"/>
      <name val="Arial"/>
      <family val="2"/>
    </font>
    <font>
      <sz val="10"/>
      <color indexed="8"/>
      <name val="Calibri"/>
      <family val="2"/>
      <scheme val="minor"/>
    </font>
    <font>
      <b/>
      <sz val="10"/>
      <color theme="0"/>
      <name val="Arial"/>
      <family val="2"/>
    </font>
    <font>
      <sz val="11"/>
      <color theme="0"/>
      <name val="Times New Roman"/>
      <family val="1"/>
    </font>
    <font>
      <b/>
      <sz val="10"/>
      <color indexed="8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b/>
      <sz val="11"/>
      <color rgb="FF3333FF"/>
      <name val="Calibri"/>
      <family val="2"/>
      <scheme val="minor"/>
    </font>
    <font>
      <sz val="8"/>
      <name val="Calibri"/>
      <family val="2"/>
      <scheme val="minor"/>
    </font>
    <font>
      <sz val="11"/>
      <color rgb="FF3333FF"/>
      <name val="Calibri"/>
      <family val="2"/>
      <scheme val="minor"/>
    </font>
    <font>
      <sz val="11"/>
      <color rgb="FF00B0F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9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indexed="64"/>
      </top>
      <bottom/>
      <diagonal/>
    </border>
    <border>
      <left style="thick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/>
      <top style="thin">
        <color indexed="64"/>
      </top>
      <bottom style="thin">
        <color auto="1"/>
      </bottom>
      <diagonal/>
    </border>
    <border>
      <left/>
      <right style="thick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/>
      <right style="dotted">
        <color auto="1"/>
      </right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n">
        <color indexed="64"/>
      </top>
      <bottom/>
      <diagonal/>
    </border>
    <border>
      <left/>
      <right style="dotted">
        <color auto="1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indexed="64"/>
      </top>
      <bottom style="thin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auto="1"/>
      </left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thick">
        <color auto="1"/>
      </right>
      <top/>
      <bottom/>
      <diagonal/>
    </border>
    <border>
      <left style="dotted">
        <color auto="1"/>
      </left>
      <right style="thick">
        <color auto="1"/>
      </right>
      <top style="thin">
        <color auto="1"/>
      </top>
      <bottom/>
      <diagonal/>
    </border>
    <border>
      <left style="dotted">
        <color auto="1"/>
      </left>
      <right style="thick">
        <color auto="1"/>
      </right>
      <top style="thin">
        <color indexed="64"/>
      </top>
      <bottom style="medium">
        <color indexed="64"/>
      </bottom>
      <diagonal/>
    </border>
    <border>
      <left style="dotted">
        <color auto="1"/>
      </left>
      <right style="thick">
        <color auto="1"/>
      </right>
      <top style="thin">
        <color indexed="64"/>
      </top>
      <bottom style="thin">
        <color auto="1"/>
      </bottom>
      <diagonal/>
    </border>
    <border>
      <left/>
      <right style="dashed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auto="1"/>
      </right>
      <top style="thin">
        <color auto="1"/>
      </top>
      <bottom/>
      <diagonal/>
    </border>
    <border>
      <left/>
      <right style="dashed">
        <color auto="1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auto="1"/>
      </right>
      <top/>
      <bottom/>
      <diagonal/>
    </border>
    <border>
      <left style="medium">
        <color indexed="64"/>
      </left>
      <right style="dotted">
        <color auto="1"/>
      </right>
      <top style="thin">
        <color auto="1"/>
      </top>
      <bottom/>
      <diagonal/>
    </border>
    <border>
      <left style="medium">
        <color indexed="64"/>
      </left>
      <right style="dotted">
        <color auto="1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5" fillId="0" borderId="0"/>
    <xf numFmtId="0" fontId="3" fillId="0" borderId="0"/>
    <xf numFmtId="0" fontId="2" fillId="0" borderId="0"/>
    <xf numFmtId="0" fontId="1" fillId="0" borderId="0"/>
  </cellStyleXfs>
  <cellXfs count="670">
    <xf numFmtId="0" fontId="0" fillId="0" borderId="0" xfId="0"/>
    <xf numFmtId="0" fontId="4" fillId="0" borderId="0" xfId="0" applyFont="1" applyAlignment="1">
      <alignment horizontal="left" wrapText="1"/>
    </xf>
    <xf numFmtId="164" fontId="5" fillId="0" borderId="0" xfId="0" applyNumberFormat="1" applyFont="1" applyAlignment="1">
      <alignment wrapText="1"/>
    </xf>
    <xf numFmtId="0" fontId="0" fillId="0" borderId="2" xfId="0" applyBorder="1"/>
    <xf numFmtId="0" fontId="4" fillId="0" borderId="2" xfId="0" applyFont="1" applyBorder="1" applyAlignment="1">
      <alignment horizontal="left" wrapText="1"/>
    </xf>
    <xf numFmtId="0" fontId="0" fillId="0" borderId="3" xfId="0" applyBorder="1"/>
    <xf numFmtId="0" fontId="4" fillId="0" borderId="3" xfId="0" applyFont="1" applyBorder="1" applyAlignment="1">
      <alignment horizontal="left" wrapText="1"/>
    </xf>
    <xf numFmtId="0" fontId="0" fillId="0" borderId="0" xfId="0" applyAlignment="1">
      <alignment horizontal="right"/>
    </xf>
    <xf numFmtId="0" fontId="11" fillId="0" borderId="0" xfId="0" applyFont="1" applyAlignment="1">
      <alignment horizontal="right"/>
    </xf>
    <xf numFmtId="44" fontId="0" fillId="0" borderId="0" xfId="0" applyNumberFormat="1"/>
    <xf numFmtId="44" fontId="0" fillId="0" borderId="2" xfId="0" applyNumberFormat="1" applyBorder="1"/>
    <xf numFmtId="0" fontId="12" fillId="0" borderId="0" xfId="0" applyFont="1" applyAlignment="1">
      <alignment horizontal="left" wrapText="1"/>
    </xf>
    <xf numFmtId="166" fontId="8" fillId="2" borderId="0" xfId="0" applyNumberFormat="1" applyFont="1" applyFill="1" applyAlignment="1">
      <alignment horizontal="centerContinuous"/>
    </xf>
    <xf numFmtId="0" fontId="8" fillId="2" borderId="0" xfId="0" applyFont="1" applyFill="1" applyAlignment="1">
      <alignment horizontal="centerContinuous"/>
    </xf>
    <xf numFmtId="166" fontId="0" fillId="0" borderId="0" xfId="0" applyNumberFormat="1" applyAlignment="1">
      <alignment horizontal="left"/>
    </xf>
    <xf numFmtId="167" fontId="18" fillId="0" borderId="0" xfId="1" applyNumberFormat="1" applyFont="1" applyFill="1" applyBorder="1"/>
    <xf numFmtId="167" fontId="17" fillId="2" borderId="0" xfId="1" applyNumberFormat="1" applyFont="1" applyFill="1" applyBorder="1" applyAlignment="1"/>
    <xf numFmtId="167" fontId="17" fillId="2" borderId="8" xfId="1" applyNumberFormat="1" applyFont="1" applyFill="1" applyBorder="1" applyAlignment="1"/>
    <xf numFmtId="167" fontId="20" fillId="0" borderId="0" xfId="1" applyNumberFormat="1" applyFont="1" applyFill="1" applyBorder="1"/>
    <xf numFmtId="167" fontId="20" fillId="2" borderId="0" xfId="1" applyNumberFormat="1" applyFont="1" applyFill="1" applyBorder="1"/>
    <xf numFmtId="167" fontId="20" fillId="2" borderId="8" xfId="1" applyNumberFormat="1" applyFont="1" applyFill="1" applyBorder="1"/>
    <xf numFmtId="43" fontId="17" fillId="0" borderId="0" xfId="1" applyFont="1" applyFill="1" applyBorder="1"/>
    <xf numFmtId="43" fontId="18" fillId="3" borderId="0" xfId="1" applyFont="1" applyFill="1" applyBorder="1"/>
    <xf numFmtId="43" fontId="20" fillId="2" borderId="0" xfId="1" applyFont="1" applyFill="1" applyBorder="1"/>
    <xf numFmtId="43" fontId="20" fillId="2" borderId="8" xfId="1" applyFont="1" applyFill="1" applyBorder="1"/>
    <xf numFmtId="167" fontId="17" fillId="2" borderId="0" xfId="1" applyNumberFormat="1" applyFont="1" applyFill="1" applyBorder="1"/>
    <xf numFmtId="167" fontId="17" fillId="2" borderId="8" xfId="1" applyNumberFormat="1" applyFont="1" applyFill="1" applyBorder="1"/>
    <xf numFmtId="44" fontId="17" fillId="0" borderId="0" xfId="2" applyFont="1" applyFill="1" applyBorder="1"/>
    <xf numFmtId="44" fontId="17" fillId="2" borderId="0" xfId="2" applyFont="1" applyFill="1" applyBorder="1"/>
    <xf numFmtId="44" fontId="17" fillId="2" borderId="8" xfId="2" applyFont="1" applyFill="1" applyBorder="1"/>
    <xf numFmtId="0" fontId="0" fillId="4" borderId="0" xfId="0" applyFill="1"/>
    <xf numFmtId="0" fontId="7" fillId="4" borderId="0" xfId="0" applyFont="1" applyFill="1" applyAlignment="1">
      <alignment horizontal="center"/>
    </xf>
    <xf numFmtId="0" fontId="8" fillId="4" borderId="0" xfId="0" applyFont="1" applyFill="1"/>
    <xf numFmtId="0" fontId="7" fillId="4" borderId="0" xfId="0" applyFont="1" applyFill="1"/>
    <xf numFmtId="14" fontId="7" fillId="4" borderId="0" xfId="0" applyNumberFormat="1" applyFont="1" applyFill="1" applyAlignment="1">
      <alignment horizontal="center"/>
    </xf>
    <xf numFmtId="43" fontId="16" fillId="2" borderId="0" xfId="0" applyNumberFormat="1" applyFont="1" applyFill="1" applyAlignment="1">
      <alignment vertical="center"/>
    </xf>
    <xf numFmtId="0" fontId="16" fillId="2" borderId="0" xfId="0" applyFont="1" applyFill="1" applyAlignment="1">
      <alignment vertical="center"/>
    </xf>
    <xf numFmtId="43" fontId="21" fillId="2" borderId="0" xfId="0" applyNumberFormat="1" applyFont="1" applyFill="1" applyAlignment="1">
      <alignment horizontal="center" vertical="center" wrapText="1"/>
    </xf>
    <xf numFmtId="0" fontId="3" fillId="0" borderId="0" xfId="5"/>
    <xf numFmtId="0" fontId="8" fillId="0" borderId="0" xfId="5" applyFont="1"/>
    <xf numFmtId="0" fontId="3" fillId="2" borderId="0" xfId="5" applyFill="1"/>
    <xf numFmtId="16" fontId="3" fillId="2" borderId="0" xfId="5" applyNumberFormat="1" applyFill="1"/>
    <xf numFmtId="0" fontId="3" fillId="5" borderId="0" xfId="5" applyFill="1"/>
    <xf numFmtId="16" fontId="3" fillId="0" borderId="0" xfId="5" applyNumberFormat="1"/>
    <xf numFmtId="0" fontId="3" fillId="6" borderId="0" xfId="5" applyFill="1"/>
    <xf numFmtId="16" fontId="3" fillId="6" borderId="0" xfId="5" applyNumberFormat="1" applyFill="1"/>
    <xf numFmtId="0" fontId="3" fillId="7" borderId="0" xfId="5" applyFill="1"/>
    <xf numFmtId="14" fontId="3" fillId="7" borderId="0" xfId="5" applyNumberFormat="1" applyFill="1"/>
    <xf numFmtId="0" fontId="0" fillId="0" borderId="0" xfId="0" pivotButton="1"/>
    <xf numFmtId="0" fontId="0" fillId="0" borderId="0" xfId="0" applyAlignment="1">
      <alignment horizontal="left"/>
    </xf>
    <xf numFmtId="167" fontId="19" fillId="3" borderId="0" xfId="1" applyNumberFormat="1" applyFont="1" applyFill="1" applyBorder="1"/>
    <xf numFmtId="167" fontId="3" fillId="0" borderId="0" xfId="1" applyNumberFormat="1" applyFont="1" applyFill="1" applyBorder="1"/>
    <xf numFmtId="165" fontId="4" fillId="0" borderId="0" xfId="0" applyNumberFormat="1" applyFont="1" applyAlignment="1">
      <alignment horizontal="right" wrapText="1"/>
    </xf>
    <xf numFmtId="0" fontId="7" fillId="4" borderId="8" xfId="0" applyFont="1" applyFill="1" applyBorder="1" applyAlignment="1">
      <alignment horizontal="center"/>
    </xf>
    <xf numFmtId="14" fontId="7" fillId="4" borderId="8" xfId="0" applyNumberFormat="1" applyFont="1" applyFill="1" applyBorder="1" applyAlignment="1">
      <alignment horizontal="center"/>
    </xf>
    <xf numFmtId="44" fontId="10" fillId="0" borderId="3" xfId="0" applyNumberFormat="1" applyFont="1" applyBorder="1"/>
    <xf numFmtId="44" fontId="10" fillId="0" borderId="2" xfId="0" applyNumberFormat="1" applyFont="1" applyBorder="1"/>
    <xf numFmtId="44" fontId="10" fillId="0" borderId="1" xfId="0" applyNumberFormat="1" applyFont="1" applyBorder="1"/>
    <xf numFmtId="44" fontId="10" fillId="0" borderId="0" xfId="0" applyNumberFormat="1" applyFont="1"/>
    <xf numFmtId="0" fontId="26" fillId="0" borderId="0" xfId="0" applyFont="1" applyAlignment="1">
      <alignment horizontal="right" wrapText="1"/>
    </xf>
    <xf numFmtId="2" fontId="0" fillId="0" borderId="2" xfId="3" applyNumberFormat="1" applyFont="1" applyBorder="1"/>
    <xf numFmtId="169" fontId="14" fillId="3" borderId="3" xfId="1" applyNumberFormat="1" applyFont="1" applyFill="1" applyBorder="1"/>
    <xf numFmtId="0" fontId="4" fillId="6" borderId="2" xfId="0" applyFont="1" applyFill="1" applyBorder="1" applyAlignment="1">
      <alignment horizontal="left" wrapText="1"/>
    </xf>
    <xf numFmtId="0" fontId="26" fillId="6" borderId="2" xfId="0" applyFont="1" applyFill="1" applyBorder="1" applyAlignment="1">
      <alignment horizontal="right" wrapText="1"/>
    </xf>
    <xf numFmtId="2" fontId="4" fillId="6" borderId="2" xfId="0" applyNumberFormat="1" applyFont="1" applyFill="1" applyBorder="1" applyAlignment="1">
      <alignment horizontal="right" wrapText="1"/>
    </xf>
    <xf numFmtId="0" fontId="0" fillId="6" borderId="2" xfId="0" applyFill="1" applyBorder="1"/>
    <xf numFmtId="44" fontId="28" fillId="0" borderId="2" xfId="0" applyNumberFormat="1" applyFont="1" applyBorder="1"/>
    <xf numFmtId="0" fontId="4" fillId="4" borderId="0" xfId="0" applyFont="1" applyFill="1" applyAlignment="1">
      <alignment horizontal="left" wrapText="1"/>
    </xf>
    <xf numFmtId="44" fontId="10" fillId="4" borderId="0" xfId="0" applyNumberFormat="1" applyFont="1" applyFill="1"/>
    <xf numFmtId="0" fontId="30" fillId="4" borderId="0" xfId="0" applyFont="1" applyFill="1" applyAlignment="1">
      <alignment horizontal="right" vertical="center"/>
    </xf>
    <xf numFmtId="170" fontId="31" fillId="4" borderId="0" xfId="0" applyNumberFormat="1" applyFont="1" applyFill="1" applyAlignment="1">
      <alignment horizontal="center" vertical="center"/>
    </xf>
    <xf numFmtId="0" fontId="32" fillId="4" borderId="0" xfId="0" applyFont="1" applyFill="1" applyAlignment="1">
      <alignment vertical="center"/>
    </xf>
    <xf numFmtId="171" fontId="31" fillId="4" borderId="0" xfId="0" applyNumberFormat="1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172" fontId="16" fillId="2" borderId="2" xfId="2" applyNumberFormat="1" applyFont="1" applyFill="1" applyBorder="1" applyAlignment="1">
      <alignment horizontal="right"/>
    </xf>
    <xf numFmtId="172" fontId="0" fillId="0" borderId="0" xfId="2" applyNumberFormat="1" applyFont="1" applyBorder="1" applyAlignment="1">
      <alignment horizontal="right"/>
    </xf>
    <xf numFmtId="173" fontId="0" fillId="0" borderId="0" xfId="0" applyNumberFormat="1"/>
    <xf numFmtId="172" fontId="32" fillId="0" borderId="0" xfId="2" applyNumberFormat="1" applyFont="1"/>
    <xf numFmtId="0" fontId="10" fillId="2" borderId="2" xfId="0" applyFont="1" applyFill="1" applyBorder="1" applyAlignment="1">
      <alignment horizontal="right"/>
    </xf>
    <xf numFmtId="172" fontId="10" fillId="2" borderId="2" xfId="2" applyNumberFormat="1" applyFont="1" applyFill="1" applyBorder="1" applyAlignment="1"/>
    <xf numFmtId="172" fontId="0" fillId="0" borderId="0" xfId="2" applyNumberFormat="1" applyFont="1" applyAlignment="1"/>
    <xf numFmtId="0" fontId="34" fillId="0" borderId="0" xfId="0" applyFont="1" applyAlignment="1">
      <alignment horizontal="right"/>
    </xf>
    <xf numFmtId="168" fontId="34" fillId="0" borderId="0" xfId="0" applyNumberFormat="1" applyFont="1"/>
    <xf numFmtId="0" fontId="7" fillId="4" borderId="4" xfId="0" applyFont="1" applyFill="1" applyBorder="1" applyAlignment="1">
      <alignment horizontal="right"/>
    </xf>
    <xf numFmtId="44" fontId="7" fillId="4" borderId="4" xfId="2" applyFont="1" applyFill="1" applyBorder="1" applyAlignment="1">
      <alignment horizontal="right"/>
    </xf>
    <xf numFmtId="0" fontId="7" fillId="4" borderId="9" xfId="0" applyFont="1" applyFill="1" applyBorder="1" applyAlignment="1">
      <alignment horizontal="right"/>
    </xf>
    <xf numFmtId="44" fontId="7" fillId="4" borderId="9" xfId="0" applyNumberFormat="1" applyFont="1" applyFill="1" applyBorder="1" applyAlignment="1">
      <alignment horizontal="right"/>
    </xf>
    <xf numFmtId="172" fontId="31" fillId="10" borderId="2" xfId="2" applyNumberFormat="1" applyFont="1" applyFill="1" applyBorder="1" applyAlignment="1">
      <alignment horizontal="right"/>
    </xf>
    <xf numFmtId="172" fontId="31" fillId="10" borderId="2" xfId="2" applyNumberFormat="1" applyFont="1" applyFill="1" applyBorder="1"/>
    <xf numFmtId="0" fontId="33" fillId="10" borderId="0" xfId="0" applyFont="1" applyFill="1" applyAlignment="1">
      <alignment horizontal="right"/>
    </xf>
    <xf numFmtId="168" fontId="33" fillId="10" borderId="0" xfId="0" applyNumberFormat="1" applyFont="1" applyFill="1" applyAlignment="1">
      <alignment horizontal="right"/>
    </xf>
    <xf numFmtId="14" fontId="9" fillId="0" borderId="0" xfId="0" applyNumberFormat="1" applyFont="1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167" fontId="0" fillId="0" borderId="0" xfId="1" applyNumberFormat="1" applyFont="1" applyBorder="1"/>
    <xf numFmtId="172" fontId="16" fillId="2" borderId="2" xfId="2" applyNumberFormat="1" applyFont="1" applyFill="1" applyBorder="1"/>
    <xf numFmtId="172" fontId="10" fillId="2" borderId="2" xfId="2" applyNumberFormat="1" applyFont="1" applyFill="1" applyBorder="1"/>
    <xf numFmtId="0" fontId="32" fillId="0" borderId="7" xfId="0" applyFont="1" applyBorder="1"/>
    <xf numFmtId="0" fontId="32" fillId="0" borderId="8" xfId="0" applyFont="1" applyBorder="1"/>
    <xf numFmtId="0" fontId="32" fillId="0" borderId="0" xfId="0" applyFont="1"/>
    <xf numFmtId="0" fontId="0" fillId="0" borderId="9" xfId="0" applyBorder="1"/>
    <xf numFmtId="0" fontId="0" fillId="0" borderId="10" xfId="0" applyBorder="1" applyAlignment="1">
      <alignment horizontal="right"/>
    </xf>
    <xf numFmtId="0" fontId="0" fillId="0" borderId="10" xfId="0" applyBorder="1"/>
    <xf numFmtId="0" fontId="0" fillId="0" borderId="11" xfId="0" applyBorder="1"/>
    <xf numFmtId="43" fontId="16" fillId="2" borderId="0" xfId="0" applyNumberFormat="1" applyFont="1" applyFill="1" applyAlignment="1">
      <alignment horizontal="center" vertical="center"/>
    </xf>
    <xf numFmtId="169" fontId="18" fillId="3" borderId="0" xfId="1" applyNumberFormat="1" applyFont="1" applyFill="1" applyBorder="1" applyAlignment="1">
      <alignment horizontal="center" vertical="center"/>
    </xf>
    <xf numFmtId="43" fontId="0" fillId="0" borderId="0" xfId="1" applyFont="1"/>
    <xf numFmtId="43" fontId="4" fillId="0" borderId="0" xfId="1" applyFont="1" applyAlignment="1">
      <alignment horizontal="left" wrapText="1"/>
    </xf>
    <xf numFmtId="43" fontId="0" fillId="0" borderId="0" xfId="1" applyFont="1" applyBorder="1"/>
    <xf numFmtId="0" fontId="0" fillId="0" borderId="12" xfId="0" applyBorder="1"/>
    <xf numFmtId="0" fontId="2" fillId="0" borderId="0" xfId="6"/>
    <xf numFmtId="0" fontId="8" fillId="0" borderId="0" xfId="6" applyFont="1"/>
    <xf numFmtId="16" fontId="2" fillId="5" borderId="0" xfId="6" applyNumberFormat="1" applyFill="1"/>
    <xf numFmtId="0" fontId="2" fillId="5" borderId="0" xfId="6" applyFill="1"/>
    <xf numFmtId="0" fontId="2" fillId="11" borderId="0" xfId="6" applyFill="1"/>
    <xf numFmtId="16" fontId="2" fillId="11" borderId="0" xfId="6" applyNumberFormat="1" applyFill="1"/>
    <xf numFmtId="0" fontId="2" fillId="12" borderId="0" xfId="6" applyFill="1"/>
    <xf numFmtId="16" fontId="2" fillId="12" borderId="0" xfId="6" applyNumberFormat="1" applyFill="1"/>
    <xf numFmtId="16" fontId="2" fillId="0" borderId="0" xfId="6" applyNumberFormat="1"/>
    <xf numFmtId="0" fontId="25" fillId="0" borderId="0" xfId="6" applyFont="1"/>
    <xf numFmtId="0" fontId="2" fillId="8" borderId="0" xfId="6" applyFill="1"/>
    <xf numFmtId="0" fontId="2" fillId="9" borderId="0" xfId="6" applyFill="1"/>
    <xf numFmtId="43" fontId="0" fillId="0" borderId="0" xfId="1" applyFont="1" applyAlignment="1">
      <alignment horizontal="right" vertical="center"/>
    </xf>
    <xf numFmtId="9" fontId="36" fillId="0" borderId="0" xfId="3" applyFont="1" applyBorder="1"/>
    <xf numFmtId="174" fontId="0" fillId="0" borderId="0" xfId="3" applyNumberFormat="1" applyFont="1"/>
    <xf numFmtId="43" fontId="0" fillId="0" borderId="0" xfId="1" applyFont="1" applyBorder="1" applyAlignment="1">
      <alignment horizontal="right" vertical="center"/>
    </xf>
    <xf numFmtId="167" fontId="0" fillId="0" borderId="1" xfId="0" applyNumberFormat="1" applyBorder="1" applyAlignment="1">
      <alignment horizontal="right" vertical="center"/>
    </xf>
    <xf numFmtId="44" fontId="0" fillId="0" borderId="1" xfId="0" applyNumberFormat="1" applyBorder="1"/>
    <xf numFmtId="0" fontId="1" fillId="0" borderId="0" xfId="7"/>
    <xf numFmtId="0" fontId="8" fillId="0" borderId="0" xfId="7" applyFont="1"/>
    <xf numFmtId="0" fontId="1" fillId="2" borderId="0" xfId="7" applyFill="1"/>
    <xf numFmtId="0" fontId="8" fillId="2" borderId="0" xfId="7" applyFont="1" applyFill="1"/>
    <xf numFmtId="16" fontId="1" fillId="2" borderId="0" xfId="7" applyNumberFormat="1" applyFill="1"/>
    <xf numFmtId="169" fontId="14" fillId="3" borderId="14" xfId="1" applyNumberFormat="1" applyFont="1" applyFill="1" applyBorder="1"/>
    <xf numFmtId="0" fontId="22" fillId="2" borderId="15" xfId="0" applyFont="1" applyFill="1" applyBorder="1"/>
    <xf numFmtId="0" fontId="24" fillId="2" borderId="15" xfId="0" applyFont="1" applyFill="1" applyBorder="1"/>
    <xf numFmtId="168" fontId="23" fillId="2" borderId="15" xfId="0" applyNumberFormat="1" applyFont="1" applyFill="1" applyBorder="1"/>
    <xf numFmtId="168" fontId="23" fillId="2" borderId="16" xfId="0" applyNumberFormat="1" applyFont="1" applyFill="1" applyBorder="1"/>
    <xf numFmtId="43" fontId="16" fillId="2" borderId="2" xfId="0" applyNumberFormat="1" applyFont="1" applyFill="1" applyBorder="1" applyAlignment="1">
      <alignment vertical="center"/>
    </xf>
    <xf numFmtId="167" fontId="18" fillId="0" borderId="2" xfId="1" applyNumberFormat="1" applyFont="1" applyFill="1" applyBorder="1"/>
    <xf numFmtId="167" fontId="19" fillId="3" borderId="2" xfId="1" applyNumberFormat="1" applyFont="1" applyFill="1" applyBorder="1"/>
    <xf numFmtId="167" fontId="17" fillId="2" borderId="2" xfId="1" applyNumberFormat="1" applyFont="1" applyFill="1" applyBorder="1" applyAlignment="1"/>
    <xf numFmtId="167" fontId="17" fillId="2" borderId="17" xfId="1" applyNumberFormat="1" applyFont="1" applyFill="1" applyBorder="1" applyAlignment="1"/>
    <xf numFmtId="170" fontId="31" fillId="4" borderId="12" xfId="0" applyNumberFormat="1" applyFont="1" applyFill="1" applyBorder="1" applyAlignment="1">
      <alignment horizontal="center" vertical="center"/>
    </xf>
    <xf numFmtId="14" fontId="9" fillId="0" borderId="12" xfId="0" applyNumberFormat="1" applyFont="1" applyBorder="1"/>
    <xf numFmtId="167" fontId="0" fillId="0" borderId="12" xfId="0" applyNumberFormat="1" applyBorder="1" applyAlignment="1">
      <alignment horizontal="right" vertical="center"/>
    </xf>
    <xf numFmtId="172" fontId="16" fillId="2" borderId="13" xfId="2" applyNumberFormat="1" applyFont="1" applyFill="1" applyBorder="1" applyAlignment="1">
      <alignment horizontal="right"/>
    </xf>
    <xf numFmtId="173" fontId="0" fillId="0" borderId="12" xfId="0" applyNumberFormat="1" applyBorder="1"/>
    <xf numFmtId="172" fontId="31" fillId="10" borderId="13" xfId="2" applyNumberFormat="1" applyFont="1" applyFill="1" applyBorder="1"/>
    <xf numFmtId="168" fontId="33" fillId="10" borderId="12" xfId="0" applyNumberFormat="1" applyFont="1" applyFill="1" applyBorder="1" applyAlignment="1">
      <alignment horizontal="right"/>
    </xf>
    <xf numFmtId="172" fontId="10" fillId="2" borderId="13" xfId="2" applyNumberFormat="1" applyFont="1" applyFill="1" applyBorder="1" applyAlignment="1"/>
    <xf numFmtId="168" fontId="34" fillId="0" borderId="12" xfId="0" applyNumberFormat="1" applyFont="1" applyBorder="1"/>
    <xf numFmtId="43" fontId="0" fillId="0" borderId="12" xfId="1" applyFont="1" applyBorder="1" applyAlignment="1">
      <alignment horizontal="right" vertical="center"/>
    </xf>
    <xf numFmtId="44" fontId="7" fillId="4" borderId="18" xfId="2" applyFont="1" applyFill="1" applyBorder="1" applyAlignment="1">
      <alignment horizontal="right"/>
    </xf>
    <xf numFmtId="44" fontId="7" fillId="4" borderId="19" xfId="0" applyNumberFormat="1" applyFont="1" applyFill="1" applyBorder="1" applyAlignment="1">
      <alignment horizontal="right"/>
    </xf>
    <xf numFmtId="44" fontId="7" fillId="4" borderId="5" xfId="2" applyFont="1" applyFill="1" applyBorder="1" applyAlignment="1">
      <alignment horizontal="right"/>
    </xf>
    <xf numFmtId="44" fontId="7" fillId="4" borderId="10" xfId="0" applyNumberFormat="1" applyFont="1" applyFill="1" applyBorder="1" applyAlignment="1">
      <alignment horizontal="right"/>
    </xf>
    <xf numFmtId="14" fontId="7" fillId="4" borderId="10" xfId="0" applyNumberFormat="1" applyFont="1" applyFill="1" applyBorder="1" applyAlignment="1">
      <alignment horizontal="center"/>
    </xf>
    <xf numFmtId="43" fontId="0" fillId="0" borderId="0" xfId="0" applyNumberFormat="1"/>
    <xf numFmtId="0" fontId="9" fillId="4" borderId="0" xfId="0" applyFont="1" applyFill="1" applyAlignment="1">
      <alignment horizontal="center"/>
    </xf>
    <xf numFmtId="43" fontId="10" fillId="0" borderId="0" xfId="1" applyFont="1" applyBorder="1" applyAlignment="1">
      <alignment horizontal="right" vertical="center"/>
    </xf>
    <xf numFmtId="0" fontId="0" fillId="2" borderId="0" xfId="0" applyFill="1"/>
    <xf numFmtId="14" fontId="0" fillId="0" borderId="0" xfId="0" applyNumberFormat="1"/>
    <xf numFmtId="44" fontId="0" fillId="0" borderId="0" xfId="2" applyFont="1" applyBorder="1"/>
    <xf numFmtId="44" fontId="0" fillId="0" borderId="22" xfId="0" applyNumberFormat="1" applyBorder="1"/>
    <xf numFmtId="44" fontId="0" fillId="0" borderId="28" xfId="0" applyNumberFormat="1" applyBorder="1"/>
    <xf numFmtId="0" fontId="0" fillId="0" borderId="29" xfId="0" applyBorder="1"/>
    <xf numFmtId="174" fontId="17" fillId="0" borderId="0" xfId="3" applyNumberFormat="1" applyFont="1" applyFill="1" applyBorder="1"/>
    <xf numFmtId="10" fontId="17" fillId="0" borderId="0" xfId="3" applyNumberFormat="1" applyFont="1" applyFill="1" applyBorder="1"/>
    <xf numFmtId="169" fontId="14" fillId="3" borderId="2" xfId="1" applyNumberFormat="1" applyFont="1" applyFill="1" applyBorder="1"/>
    <xf numFmtId="169" fontId="14" fillId="3" borderId="17" xfId="1" applyNumberFormat="1" applyFont="1" applyFill="1" applyBorder="1"/>
    <xf numFmtId="2" fontId="0" fillId="0" borderId="0" xfId="3" applyNumberFormat="1" applyFont="1"/>
    <xf numFmtId="175" fontId="0" fillId="0" borderId="0" xfId="0" applyNumberFormat="1"/>
    <xf numFmtId="1" fontId="17" fillId="0" borderId="0" xfId="2" applyNumberFormat="1" applyFont="1" applyFill="1" applyBorder="1"/>
    <xf numFmtId="1" fontId="17" fillId="2" borderId="0" xfId="2" applyNumberFormat="1" applyFont="1" applyFill="1" applyBorder="1"/>
    <xf numFmtId="1" fontId="17" fillId="2" borderId="8" xfId="2" applyNumberFormat="1" applyFont="1" applyFill="1" applyBorder="1"/>
    <xf numFmtId="174" fontId="17" fillId="2" borderId="0" xfId="3" applyNumberFormat="1" applyFont="1" applyFill="1" applyBorder="1"/>
    <xf numFmtId="174" fontId="17" fillId="2" borderId="8" xfId="3" applyNumberFormat="1" applyFont="1" applyFill="1" applyBorder="1"/>
    <xf numFmtId="176" fontId="17" fillId="0" borderId="0" xfId="3" applyNumberFormat="1" applyFont="1" applyFill="1" applyBorder="1"/>
    <xf numFmtId="176" fontId="17" fillId="0" borderId="0" xfId="2" applyNumberFormat="1" applyFont="1" applyFill="1" applyBorder="1"/>
    <xf numFmtId="176" fontId="17" fillId="2" borderId="0" xfId="2" applyNumberFormat="1" applyFont="1" applyFill="1" applyBorder="1"/>
    <xf numFmtId="176" fontId="17" fillId="2" borderId="8" xfId="2" applyNumberFormat="1" applyFont="1" applyFill="1" applyBorder="1"/>
    <xf numFmtId="177" fontId="17" fillId="0" borderId="0" xfId="2" applyNumberFormat="1" applyFont="1" applyFill="1" applyBorder="1"/>
    <xf numFmtId="177" fontId="17" fillId="2" borderId="0" xfId="2" applyNumberFormat="1" applyFont="1" applyFill="1" applyBorder="1"/>
    <xf numFmtId="177" fontId="17" fillId="2" borderId="8" xfId="2" applyNumberFormat="1" applyFont="1" applyFill="1" applyBorder="1"/>
    <xf numFmtId="174" fontId="40" fillId="0" borderId="0" xfId="3" applyNumberFormat="1" applyFont="1" applyFill="1" applyBorder="1"/>
    <xf numFmtId="174" fontId="40" fillId="2" borderId="0" xfId="3" applyNumberFormat="1" applyFont="1" applyFill="1" applyBorder="1"/>
    <xf numFmtId="174" fontId="40" fillId="2" borderId="8" xfId="3" applyNumberFormat="1" applyFont="1" applyFill="1" applyBorder="1"/>
    <xf numFmtId="170" fontId="31" fillId="4" borderId="32" xfId="0" applyNumberFormat="1" applyFont="1" applyFill="1" applyBorder="1" applyAlignment="1">
      <alignment horizontal="center" vertical="center"/>
    </xf>
    <xf numFmtId="14" fontId="9" fillId="0" borderId="32" xfId="0" applyNumberFormat="1" applyFont="1" applyBorder="1"/>
    <xf numFmtId="167" fontId="0" fillId="0" borderId="32" xfId="0" applyNumberFormat="1" applyBorder="1" applyAlignment="1">
      <alignment horizontal="right" vertical="center"/>
    </xf>
    <xf numFmtId="172" fontId="16" fillId="2" borderId="33" xfId="2" applyNumberFormat="1" applyFont="1" applyFill="1" applyBorder="1" applyAlignment="1">
      <alignment horizontal="right"/>
    </xf>
    <xf numFmtId="173" fontId="0" fillId="0" borderId="32" xfId="0" applyNumberFormat="1" applyBorder="1"/>
    <xf numFmtId="172" fontId="31" fillId="10" borderId="33" xfId="2" applyNumberFormat="1" applyFont="1" applyFill="1" applyBorder="1"/>
    <xf numFmtId="168" fontId="33" fillId="10" borderId="32" xfId="0" applyNumberFormat="1" applyFont="1" applyFill="1" applyBorder="1" applyAlignment="1">
      <alignment horizontal="right"/>
    </xf>
    <xf numFmtId="0" fontId="0" fillId="0" borderId="32" xfId="0" applyBorder="1"/>
    <xf numFmtId="172" fontId="10" fillId="2" borderId="33" xfId="2" applyNumberFormat="1" applyFont="1" applyFill="1" applyBorder="1" applyAlignment="1"/>
    <xf numFmtId="168" fontId="34" fillId="0" borderId="32" xfId="0" applyNumberFormat="1" applyFont="1" applyBorder="1"/>
    <xf numFmtId="43" fontId="0" fillId="0" borderId="32" xfId="1" applyFont="1" applyBorder="1" applyAlignment="1">
      <alignment horizontal="right" vertical="center"/>
    </xf>
    <xf numFmtId="44" fontId="7" fillId="4" borderId="35" xfId="2" applyFont="1" applyFill="1" applyBorder="1" applyAlignment="1">
      <alignment horizontal="right"/>
    </xf>
    <xf numFmtId="44" fontId="7" fillId="4" borderId="34" xfId="0" applyNumberFormat="1" applyFont="1" applyFill="1" applyBorder="1" applyAlignment="1">
      <alignment horizontal="right"/>
    </xf>
    <xf numFmtId="0" fontId="29" fillId="3" borderId="0" xfId="0" applyFont="1" applyFill="1"/>
    <xf numFmtId="2" fontId="0" fillId="0" borderId="0" xfId="3" applyNumberFormat="1" applyFont="1" applyBorder="1"/>
    <xf numFmtId="43" fontId="0" fillId="2" borderId="22" xfId="1" applyFont="1" applyFill="1" applyBorder="1"/>
    <xf numFmtId="0" fontId="20" fillId="0" borderId="32" xfId="0" applyFont="1" applyBorder="1"/>
    <xf numFmtId="0" fontId="30" fillId="4" borderId="7" xfId="0" applyFont="1" applyFill="1" applyBorder="1" applyAlignment="1">
      <alignment horizontal="right" vertical="center"/>
    </xf>
    <xf numFmtId="0" fontId="0" fillId="0" borderId="7" xfId="0" applyBorder="1" applyAlignment="1">
      <alignment horizontal="right"/>
    </xf>
    <xf numFmtId="0" fontId="0" fillId="0" borderId="7" xfId="0" applyBorder="1" applyAlignment="1">
      <alignment horizontal="right" vertical="center"/>
    </xf>
    <xf numFmtId="172" fontId="16" fillId="2" borderId="37" xfId="2" applyNumberFormat="1" applyFont="1" applyFill="1" applyBorder="1" applyAlignment="1">
      <alignment horizontal="right"/>
    </xf>
    <xf numFmtId="172" fontId="16" fillId="2" borderId="39" xfId="2" applyNumberFormat="1" applyFont="1" applyFill="1" applyBorder="1" applyAlignment="1">
      <alignment horizontal="right"/>
    </xf>
    <xf numFmtId="167" fontId="16" fillId="2" borderId="3" xfId="1" applyNumberFormat="1" applyFont="1" applyFill="1" applyBorder="1" applyAlignment="1">
      <alignment horizontal="right"/>
    </xf>
    <xf numFmtId="172" fontId="16" fillId="2" borderId="7" xfId="2" applyNumberFormat="1" applyFont="1" applyFill="1" applyBorder="1" applyAlignment="1">
      <alignment horizontal="right"/>
    </xf>
    <xf numFmtId="172" fontId="16" fillId="2" borderId="3" xfId="2" applyNumberFormat="1" applyFont="1" applyFill="1" applyBorder="1" applyAlignment="1">
      <alignment horizontal="right"/>
    </xf>
    <xf numFmtId="172" fontId="16" fillId="2" borderId="0" xfId="2" applyNumberFormat="1" applyFont="1" applyFill="1" applyBorder="1" applyAlignment="1">
      <alignment horizontal="right"/>
    </xf>
    <xf numFmtId="173" fontId="0" fillId="0" borderId="8" xfId="0" applyNumberFormat="1" applyBorder="1"/>
    <xf numFmtId="172" fontId="31" fillId="10" borderId="37" xfId="2" applyNumberFormat="1" applyFont="1" applyFill="1" applyBorder="1" applyAlignment="1">
      <alignment horizontal="right"/>
    </xf>
    <xf numFmtId="172" fontId="31" fillId="10" borderId="38" xfId="2" applyNumberFormat="1" applyFont="1" applyFill="1" applyBorder="1"/>
    <xf numFmtId="0" fontId="33" fillId="10" borderId="7" xfId="0" applyFont="1" applyFill="1" applyBorder="1" applyAlignment="1">
      <alignment horizontal="right"/>
    </xf>
    <xf numFmtId="168" fontId="33" fillId="10" borderId="8" xfId="0" applyNumberFormat="1" applyFont="1" applyFill="1" applyBorder="1" applyAlignment="1">
      <alignment horizontal="right"/>
    </xf>
    <xf numFmtId="172" fontId="0" fillId="0" borderId="0" xfId="2" applyNumberFormat="1" applyFont="1" applyBorder="1" applyAlignment="1"/>
    <xf numFmtId="0" fontId="10" fillId="2" borderId="37" xfId="0" applyFont="1" applyFill="1" applyBorder="1" applyAlignment="1">
      <alignment horizontal="right"/>
    </xf>
    <xf numFmtId="172" fontId="32" fillId="0" borderId="0" xfId="2" applyNumberFormat="1" applyFont="1" applyBorder="1"/>
    <xf numFmtId="0" fontId="34" fillId="0" borderId="7" xfId="0" applyFont="1" applyBorder="1" applyAlignment="1">
      <alignment horizontal="right"/>
    </xf>
    <xf numFmtId="168" fontId="34" fillId="0" borderId="8" xfId="0" applyNumberFormat="1" applyFont="1" applyBorder="1"/>
    <xf numFmtId="0" fontId="16" fillId="13" borderId="42" xfId="0" applyFont="1" applyFill="1" applyBorder="1" applyAlignment="1">
      <alignment horizontal="right"/>
    </xf>
    <xf numFmtId="44" fontId="42" fillId="13" borderId="43" xfId="2" applyFont="1" applyFill="1" applyBorder="1" applyAlignment="1">
      <alignment horizontal="right"/>
    </xf>
    <xf numFmtId="44" fontId="42" fillId="13" borderId="44" xfId="2" applyFont="1" applyFill="1" applyBorder="1" applyAlignment="1">
      <alignment horizontal="right"/>
    </xf>
    <xf numFmtId="44" fontId="42" fillId="13" borderId="42" xfId="2" applyFont="1" applyFill="1" applyBorder="1" applyAlignment="1">
      <alignment horizontal="right"/>
    </xf>
    <xf numFmtId="0" fontId="16" fillId="13" borderId="45" xfId="0" applyFont="1" applyFill="1" applyBorder="1" applyAlignment="1">
      <alignment horizontal="right"/>
    </xf>
    <xf numFmtId="0" fontId="7" fillId="4" borderId="7" xfId="0" applyFont="1" applyFill="1" applyBorder="1" applyAlignment="1">
      <alignment horizontal="right"/>
    </xf>
    <xf numFmtId="44" fontId="43" fillId="4" borderId="9" xfId="0" applyNumberFormat="1" applyFont="1" applyFill="1" applyBorder="1" applyAlignment="1">
      <alignment horizontal="right"/>
    </xf>
    <xf numFmtId="44" fontId="43" fillId="4" borderId="0" xfId="0" applyNumberFormat="1" applyFont="1" applyFill="1" applyAlignment="1">
      <alignment horizontal="right"/>
    </xf>
    <xf numFmtId="44" fontId="7" fillId="4" borderId="0" xfId="0" applyNumberFormat="1" applyFont="1" applyFill="1" applyAlignment="1">
      <alignment horizontal="right"/>
    </xf>
    <xf numFmtId="177" fontId="7" fillId="4" borderId="5" xfId="0" applyNumberFormat="1" applyFont="1" applyFill="1" applyBorder="1" applyAlignment="1">
      <alignment horizontal="right"/>
    </xf>
    <xf numFmtId="177" fontId="7" fillId="4" borderId="0" xfId="0" applyNumberFormat="1" applyFont="1" applyFill="1" applyAlignment="1">
      <alignment horizontal="right"/>
    </xf>
    <xf numFmtId="44" fontId="10" fillId="0" borderId="2" xfId="0" applyNumberFormat="1" applyFont="1" applyBorder="1" applyAlignment="1">
      <alignment horizontal="center"/>
    </xf>
    <xf numFmtId="0" fontId="0" fillId="7" borderId="0" xfId="0" applyFill="1"/>
    <xf numFmtId="0" fontId="4" fillId="7" borderId="0" xfId="0" applyFont="1" applyFill="1" applyAlignment="1">
      <alignment horizontal="left" wrapText="1"/>
    </xf>
    <xf numFmtId="44" fontId="10" fillId="7" borderId="0" xfId="0" applyNumberFormat="1" applyFont="1" applyFill="1"/>
    <xf numFmtId="174" fontId="10" fillId="7" borderId="0" xfId="3" applyNumberFormat="1" applyFont="1" applyFill="1" applyBorder="1"/>
    <xf numFmtId="0" fontId="7" fillId="4" borderId="46" xfId="0" applyFont="1" applyFill="1" applyBorder="1" applyAlignment="1">
      <alignment horizontal="center"/>
    </xf>
    <xf numFmtId="0" fontId="9" fillId="4" borderId="46" xfId="0" applyFont="1" applyFill="1" applyBorder="1" applyAlignment="1">
      <alignment horizontal="center"/>
    </xf>
    <xf numFmtId="14" fontId="7" fillId="4" borderId="46" xfId="0" applyNumberFormat="1" applyFont="1" applyFill="1" applyBorder="1" applyAlignment="1">
      <alignment horizontal="center"/>
    </xf>
    <xf numFmtId="0" fontId="0" fillId="0" borderId="46" xfId="0" applyBorder="1"/>
    <xf numFmtId="43" fontId="0" fillId="0" borderId="46" xfId="1" applyFont="1" applyBorder="1"/>
    <xf numFmtId="44" fontId="10" fillId="0" borderId="17" xfId="0" applyNumberFormat="1" applyFont="1" applyBorder="1"/>
    <xf numFmtId="44" fontId="10" fillId="0" borderId="46" xfId="0" applyNumberFormat="1" applyFont="1" applyBorder="1"/>
    <xf numFmtId="168" fontId="23" fillId="2" borderId="47" xfId="0" applyNumberFormat="1" applyFont="1" applyFill="1" applyBorder="1"/>
    <xf numFmtId="174" fontId="10" fillId="7" borderId="46" xfId="3" applyNumberFormat="1" applyFont="1" applyFill="1" applyBorder="1"/>
    <xf numFmtId="44" fontId="10" fillId="0" borderId="14" xfId="0" applyNumberFormat="1" applyFont="1" applyBorder="1"/>
    <xf numFmtId="44" fontId="10" fillId="4" borderId="46" xfId="0" applyNumberFormat="1" applyFont="1" applyFill="1" applyBorder="1"/>
    <xf numFmtId="2" fontId="4" fillId="6" borderId="17" xfId="0" applyNumberFormat="1" applyFont="1" applyFill="1" applyBorder="1" applyAlignment="1">
      <alignment horizontal="right" wrapText="1"/>
    </xf>
    <xf numFmtId="0" fontId="0" fillId="4" borderId="46" xfId="0" applyFill="1" applyBorder="1"/>
    <xf numFmtId="44" fontId="0" fillId="0" borderId="17" xfId="0" applyNumberFormat="1" applyBorder="1"/>
    <xf numFmtId="44" fontId="0" fillId="0" borderId="46" xfId="0" applyNumberFormat="1" applyBorder="1"/>
    <xf numFmtId="44" fontId="40" fillId="0" borderId="0" xfId="2" applyFont="1" applyFill="1" applyBorder="1"/>
    <xf numFmtId="44" fontId="40" fillId="2" borderId="0" xfId="2" applyFont="1" applyFill="1" applyBorder="1"/>
    <xf numFmtId="44" fontId="40" fillId="2" borderId="8" xfId="2" applyFont="1" applyFill="1" applyBorder="1"/>
    <xf numFmtId="174" fontId="18" fillId="3" borderId="0" xfId="3" applyNumberFormat="1" applyFont="1" applyFill="1" applyBorder="1"/>
    <xf numFmtId="174" fontId="43" fillId="0" borderId="0" xfId="3" applyNumberFormat="1" applyFont="1" applyFill="1" applyBorder="1"/>
    <xf numFmtId="174" fontId="44" fillId="2" borderId="0" xfId="3" applyNumberFormat="1" applyFont="1" applyFill="1" applyBorder="1" applyAlignment="1"/>
    <xf numFmtId="44" fontId="28" fillId="0" borderId="17" xfId="0" applyNumberFormat="1" applyFont="1" applyBorder="1"/>
    <xf numFmtId="174" fontId="44" fillId="2" borderId="46" xfId="3" applyNumberFormat="1" applyFont="1" applyFill="1" applyBorder="1" applyAlignment="1"/>
    <xf numFmtId="167" fontId="17" fillId="2" borderId="46" xfId="1" applyNumberFormat="1" applyFont="1" applyFill="1" applyBorder="1" applyAlignment="1"/>
    <xf numFmtId="167" fontId="20" fillId="2" borderId="46" xfId="1" applyNumberFormat="1" applyFont="1" applyFill="1" applyBorder="1"/>
    <xf numFmtId="43" fontId="20" fillId="2" borderId="46" xfId="1" applyFont="1" applyFill="1" applyBorder="1"/>
    <xf numFmtId="167" fontId="17" fillId="2" borderId="46" xfId="1" applyNumberFormat="1" applyFont="1" applyFill="1" applyBorder="1"/>
    <xf numFmtId="44" fontId="17" fillId="2" borderId="46" xfId="2" applyFont="1" applyFill="1" applyBorder="1"/>
    <xf numFmtId="174" fontId="17" fillId="2" borderId="46" xfId="3" applyNumberFormat="1" applyFont="1" applyFill="1" applyBorder="1"/>
    <xf numFmtId="1" fontId="17" fillId="2" borderId="46" xfId="2" applyNumberFormat="1" applyFont="1" applyFill="1" applyBorder="1"/>
    <xf numFmtId="174" fontId="40" fillId="2" borderId="46" xfId="3" applyNumberFormat="1" applyFont="1" applyFill="1" applyBorder="1"/>
    <xf numFmtId="44" fontId="40" fillId="2" borderId="46" xfId="2" applyFont="1" applyFill="1" applyBorder="1"/>
    <xf numFmtId="176" fontId="17" fillId="2" borderId="46" xfId="2" applyNumberFormat="1" applyFont="1" applyFill="1" applyBorder="1"/>
    <xf numFmtId="177" fontId="17" fillId="2" borderId="46" xfId="2" applyNumberFormat="1" applyFont="1" applyFill="1" applyBorder="1"/>
    <xf numFmtId="43" fontId="40" fillId="0" borderId="0" xfId="1" applyFont="1" applyBorder="1"/>
    <xf numFmtId="43" fontId="40" fillId="0" borderId="46" xfId="1" applyFont="1" applyBorder="1"/>
    <xf numFmtId="0" fontId="4" fillId="2" borderId="0" xfId="0" applyFont="1" applyFill="1" applyAlignment="1">
      <alignment horizontal="left" wrapText="1"/>
    </xf>
    <xf numFmtId="44" fontId="10" fillId="2" borderId="0" xfId="0" applyNumberFormat="1" applyFont="1" applyFill="1"/>
    <xf numFmtId="44" fontId="10" fillId="2" borderId="46" xfId="0" applyNumberFormat="1" applyFont="1" applyFill="1" applyBorder="1"/>
    <xf numFmtId="172" fontId="0" fillId="0" borderId="0" xfId="2" applyNumberFormat="1" applyFont="1"/>
    <xf numFmtId="44" fontId="0" fillId="2" borderId="0" xfId="0" applyNumberFormat="1" applyFill="1"/>
    <xf numFmtId="44" fontId="0" fillId="2" borderId="46" xfId="0" applyNumberFormat="1" applyFill="1" applyBorder="1"/>
    <xf numFmtId="0" fontId="30" fillId="4" borderId="4" xfId="0" applyFont="1" applyFill="1" applyBorder="1" applyAlignment="1">
      <alignment horizontal="right" vertical="center"/>
    </xf>
    <xf numFmtId="0" fontId="31" fillId="4" borderId="5" xfId="0" applyFont="1" applyFill="1" applyBorder="1" applyAlignment="1">
      <alignment horizontal="center" vertical="center"/>
    </xf>
    <xf numFmtId="0" fontId="31" fillId="4" borderId="6" xfId="0" applyFont="1" applyFill="1" applyBorder="1" applyAlignment="1">
      <alignment horizontal="center" vertical="center"/>
    </xf>
    <xf numFmtId="0" fontId="34" fillId="0" borderId="7" xfId="0" applyFont="1" applyBorder="1" applyAlignment="1">
      <alignment horizontal="left"/>
    </xf>
    <xf numFmtId="0" fontId="31" fillId="0" borderId="0" xfId="0" applyFont="1" applyAlignment="1">
      <alignment horizontal="center"/>
    </xf>
    <xf numFmtId="0" fontId="31" fillId="0" borderId="8" xfId="0" applyFont="1" applyBorder="1" applyAlignment="1">
      <alignment horizontal="center"/>
    </xf>
    <xf numFmtId="167" fontId="0" fillId="0" borderId="8" xfId="1" applyNumberFormat="1" applyFont="1" applyBorder="1"/>
    <xf numFmtId="172" fontId="16" fillId="2" borderId="38" xfId="2" applyNumberFormat="1" applyFont="1" applyFill="1" applyBorder="1"/>
    <xf numFmtId="0" fontId="35" fillId="0" borderId="7" xfId="0" applyFont="1" applyBorder="1" applyAlignment="1">
      <alignment horizontal="right" vertical="top"/>
    </xf>
    <xf numFmtId="9" fontId="36" fillId="0" borderId="8" xfId="3" applyFont="1" applyBorder="1"/>
    <xf numFmtId="172" fontId="10" fillId="2" borderId="37" xfId="2" applyNumberFormat="1" applyFont="1" applyFill="1" applyBorder="1" applyAlignment="1">
      <alignment horizontal="right"/>
    </xf>
    <xf numFmtId="172" fontId="10" fillId="2" borderId="38" xfId="2" applyNumberFormat="1" applyFont="1" applyFill="1" applyBorder="1"/>
    <xf numFmtId="0" fontId="33" fillId="10" borderId="9" xfId="0" applyFont="1" applyFill="1" applyBorder="1" applyAlignment="1">
      <alignment horizontal="right"/>
    </xf>
    <xf numFmtId="168" fontId="33" fillId="10" borderId="10" xfId="0" applyNumberFormat="1" applyFont="1" applyFill="1" applyBorder="1" applyAlignment="1">
      <alignment horizontal="right"/>
    </xf>
    <xf numFmtId="168" fontId="33" fillId="10" borderId="11" xfId="0" applyNumberFormat="1" applyFont="1" applyFill="1" applyBorder="1" applyAlignment="1">
      <alignment horizontal="right"/>
    </xf>
    <xf numFmtId="0" fontId="0" fillId="4" borderId="5" xfId="0" applyFill="1" applyBorder="1"/>
    <xf numFmtId="0" fontId="7" fillId="4" borderId="5" xfId="0" applyFont="1" applyFill="1" applyBorder="1" applyAlignment="1">
      <alignment horizontal="center"/>
    </xf>
    <xf numFmtId="0" fontId="7" fillId="4" borderId="48" xfId="0" applyFont="1" applyFill="1" applyBorder="1" applyAlignment="1">
      <alignment horizontal="center"/>
    </xf>
    <xf numFmtId="174" fontId="28" fillId="0" borderId="0" xfId="3" applyNumberFormat="1" applyFont="1" applyFill="1" applyBorder="1"/>
    <xf numFmtId="174" fontId="40" fillId="2" borderId="0" xfId="3" applyNumberFormat="1" applyFont="1" applyFill="1" applyBorder="1" applyAlignment="1"/>
    <xf numFmtId="174" fontId="40" fillId="2" borderId="46" xfId="3" applyNumberFormat="1" applyFont="1" applyFill="1" applyBorder="1" applyAlignment="1"/>
    <xf numFmtId="0" fontId="40" fillId="0" borderId="0" xfId="0" applyFont="1"/>
    <xf numFmtId="43" fontId="44" fillId="0" borderId="0" xfId="1" applyFont="1" applyFill="1" applyBorder="1"/>
    <xf numFmtId="44" fontId="43" fillId="2" borderId="0" xfId="0" applyNumberFormat="1" applyFont="1" applyFill="1" applyAlignment="1">
      <alignment horizontal="center"/>
    </xf>
    <xf numFmtId="44" fontId="43" fillId="2" borderId="0" xfId="0" applyNumberFormat="1" applyFont="1" applyFill="1"/>
    <xf numFmtId="44" fontId="43" fillId="2" borderId="46" xfId="0" applyNumberFormat="1" applyFont="1" applyFill="1" applyBorder="1"/>
    <xf numFmtId="170" fontId="31" fillId="4" borderId="2" xfId="0" applyNumberFormat="1" applyFont="1" applyFill="1" applyBorder="1" applyAlignment="1">
      <alignment horizontal="center" vertical="center"/>
    </xf>
    <xf numFmtId="170" fontId="31" fillId="4" borderId="50" xfId="0" applyNumberFormat="1" applyFont="1" applyFill="1" applyBorder="1" applyAlignment="1">
      <alignment horizontal="center" vertical="center"/>
    </xf>
    <xf numFmtId="170" fontId="31" fillId="4" borderId="33" xfId="0" applyNumberFormat="1" applyFont="1" applyFill="1" applyBorder="1" applyAlignment="1">
      <alignment horizontal="center" vertical="center"/>
    </xf>
    <xf numFmtId="0" fontId="32" fillId="4" borderId="2" xfId="0" applyFont="1" applyFill="1" applyBorder="1" applyAlignment="1">
      <alignment vertical="center"/>
    </xf>
    <xf numFmtId="14" fontId="9" fillId="0" borderId="51" xfId="0" applyNumberFormat="1" applyFont="1" applyBorder="1"/>
    <xf numFmtId="167" fontId="10" fillId="7" borderId="51" xfId="0" applyNumberFormat="1" applyFont="1" applyFill="1" applyBorder="1" applyAlignment="1">
      <alignment horizontal="right" vertical="center"/>
    </xf>
    <xf numFmtId="172" fontId="16" fillId="7" borderId="50" xfId="2" applyNumberFormat="1" applyFont="1" applyFill="1" applyBorder="1" applyAlignment="1">
      <alignment horizontal="right"/>
    </xf>
    <xf numFmtId="172" fontId="16" fillId="2" borderId="17" xfId="2" applyNumberFormat="1" applyFont="1" applyFill="1" applyBorder="1" applyAlignment="1">
      <alignment horizontal="right"/>
    </xf>
    <xf numFmtId="167" fontId="16" fillId="2" borderId="0" xfId="1" applyNumberFormat="1" applyFont="1" applyFill="1" applyBorder="1" applyAlignment="1">
      <alignment horizontal="right"/>
    </xf>
    <xf numFmtId="167" fontId="16" fillId="7" borderId="51" xfId="1" applyNumberFormat="1" applyFont="1" applyFill="1" applyBorder="1" applyAlignment="1">
      <alignment horizontal="right"/>
    </xf>
    <xf numFmtId="173" fontId="10" fillId="7" borderId="51" xfId="0" applyNumberFormat="1" applyFont="1" applyFill="1" applyBorder="1"/>
    <xf numFmtId="172" fontId="38" fillId="7" borderId="50" xfId="2" applyNumberFormat="1" applyFont="1" applyFill="1" applyBorder="1"/>
    <xf numFmtId="172" fontId="31" fillId="10" borderId="17" xfId="2" applyNumberFormat="1" applyFont="1" applyFill="1" applyBorder="1"/>
    <xf numFmtId="168" fontId="39" fillId="7" borderId="51" xfId="0" applyNumberFormat="1" applyFont="1" applyFill="1" applyBorder="1" applyAlignment="1">
      <alignment horizontal="right"/>
    </xf>
    <xf numFmtId="168" fontId="33" fillId="10" borderId="46" xfId="0" applyNumberFormat="1" applyFont="1" applyFill="1" applyBorder="1" applyAlignment="1">
      <alignment horizontal="right"/>
    </xf>
    <xf numFmtId="0" fontId="16" fillId="7" borderId="51" xfId="0" applyFont="1" applyFill="1" applyBorder="1"/>
    <xf numFmtId="167" fontId="16" fillId="7" borderId="51" xfId="0" applyNumberFormat="1" applyFont="1" applyFill="1" applyBorder="1" applyAlignment="1">
      <alignment horizontal="right" vertical="center"/>
    </xf>
    <xf numFmtId="172" fontId="16" fillId="7" borderId="50" xfId="2" applyNumberFormat="1" applyFont="1" applyFill="1" applyBorder="1" applyAlignment="1"/>
    <xf numFmtId="172" fontId="10" fillId="2" borderId="17" xfId="2" applyNumberFormat="1" applyFont="1" applyFill="1" applyBorder="1" applyAlignment="1"/>
    <xf numFmtId="168" fontId="39" fillId="7" borderId="51" xfId="0" applyNumberFormat="1" applyFont="1" applyFill="1" applyBorder="1"/>
    <xf numFmtId="43" fontId="16" fillId="7" borderId="51" xfId="1" applyFont="1" applyFill="1" applyBorder="1" applyAlignment="1">
      <alignment horizontal="right" vertical="center"/>
    </xf>
    <xf numFmtId="168" fontId="14" fillId="7" borderId="51" xfId="0" applyNumberFormat="1" applyFont="1" applyFill="1" applyBorder="1" applyAlignment="1">
      <alignment horizontal="right"/>
    </xf>
    <xf numFmtId="0" fontId="0" fillId="0" borderId="51" xfId="0" applyBorder="1"/>
    <xf numFmtId="44" fontId="28" fillId="4" borderId="52" xfId="2" applyFont="1" applyFill="1" applyBorder="1" applyAlignment="1">
      <alignment horizontal="right"/>
    </xf>
    <xf numFmtId="44" fontId="7" fillId="4" borderId="53" xfId="0" applyNumberFormat="1" applyFont="1" applyFill="1" applyBorder="1" applyAlignment="1">
      <alignment horizontal="right"/>
    </xf>
    <xf numFmtId="44" fontId="7" fillId="4" borderId="1" xfId="0" applyNumberFormat="1" applyFont="1" applyFill="1" applyBorder="1" applyAlignment="1">
      <alignment horizontal="right"/>
    </xf>
    <xf numFmtId="44" fontId="7" fillId="4" borderId="55" xfId="0" applyNumberFormat="1" applyFont="1" applyFill="1" applyBorder="1" applyAlignment="1">
      <alignment horizontal="right"/>
    </xf>
    <xf numFmtId="0" fontId="0" fillId="0" borderId="1" xfId="0" applyBorder="1"/>
    <xf numFmtId="44" fontId="0" fillId="0" borderId="0" xfId="2" applyFont="1"/>
    <xf numFmtId="0" fontId="46" fillId="0" borderId="0" xfId="0" applyFont="1"/>
    <xf numFmtId="0" fontId="47" fillId="4" borderId="21" xfId="0" applyFont="1" applyFill="1" applyBorder="1" applyAlignment="1">
      <alignment vertical="center" wrapText="1"/>
    </xf>
    <xf numFmtId="0" fontId="48" fillId="4" borderId="20" xfId="0" applyFont="1" applyFill="1" applyBorder="1" applyAlignment="1">
      <alignment horizontal="center"/>
    </xf>
    <xf numFmtId="14" fontId="48" fillId="4" borderId="20" xfId="0" applyNumberFormat="1" applyFont="1" applyFill="1" applyBorder="1" applyAlignment="1">
      <alignment horizontal="center"/>
    </xf>
    <xf numFmtId="0" fontId="48" fillId="4" borderId="59" xfId="0" applyFont="1" applyFill="1" applyBorder="1" applyAlignment="1">
      <alignment horizontal="center"/>
    </xf>
    <xf numFmtId="44" fontId="0" fillId="0" borderId="12" xfId="2" applyFont="1" applyBorder="1"/>
    <xf numFmtId="44" fontId="0" fillId="0" borderId="22" xfId="2" applyFont="1" applyBorder="1"/>
    <xf numFmtId="1" fontId="0" fillId="2" borderId="13" xfId="0" applyNumberFormat="1" applyFill="1" applyBorder="1"/>
    <xf numFmtId="1" fontId="0" fillId="2" borderId="24" xfId="0" applyNumberFormat="1" applyFill="1" applyBorder="1"/>
    <xf numFmtId="1" fontId="0" fillId="2" borderId="12" xfId="0" applyNumberFormat="1" applyFill="1" applyBorder="1"/>
    <xf numFmtId="1" fontId="0" fillId="2" borderId="22" xfId="0" applyNumberFormat="1" applyFill="1" applyBorder="1"/>
    <xf numFmtId="43" fontId="50" fillId="2" borderId="21" xfId="0" applyNumberFormat="1" applyFont="1" applyFill="1" applyBorder="1" applyAlignment="1">
      <alignment horizontal="center" vertical="center" wrapText="1"/>
    </xf>
    <xf numFmtId="2" fontId="0" fillId="2" borderId="12" xfId="0" applyNumberFormat="1" applyFill="1" applyBorder="1"/>
    <xf numFmtId="2" fontId="0" fillId="2" borderId="22" xfId="0" applyNumberFormat="1" applyFill="1" applyBorder="1"/>
    <xf numFmtId="0" fontId="0" fillId="2" borderId="12" xfId="0" applyFill="1" applyBorder="1"/>
    <xf numFmtId="0" fontId="0" fillId="2" borderId="22" xfId="0" applyFill="1" applyBorder="1"/>
    <xf numFmtId="0" fontId="50" fillId="2" borderId="21" xfId="0" applyFont="1" applyFill="1" applyBorder="1" applyAlignment="1">
      <alignment vertical="center"/>
    </xf>
    <xf numFmtId="0" fontId="53" fillId="2" borderId="25" xfId="0" applyFont="1" applyFill="1" applyBorder="1"/>
    <xf numFmtId="10" fontId="0" fillId="2" borderId="62" xfId="3" applyNumberFormat="1" applyFont="1" applyFill="1" applyBorder="1" applyAlignment="1"/>
    <xf numFmtId="10" fontId="0" fillId="2" borderId="26" xfId="3" applyNumberFormat="1" applyFont="1" applyFill="1" applyBorder="1" applyAlignment="1"/>
    <xf numFmtId="44" fontId="0" fillId="0" borderId="12" xfId="2" applyFont="1" applyBorder="1" applyAlignment="1"/>
    <xf numFmtId="44" fontId="0" fillId="0" borderId="22" xfId="2" applyFont="1" applyBorder="1" applyAlignment="1"/>
    <xf numFmtId="44" fontId="0" fillId="0" borderId="40" xfId="0" applyNumberFormat="1" applyBorder="1"/>
    <xf numFmtId="44" fontId="0" fillId="0" borderId="12" xfId="0" applyNumberFormat="1" applyBorder="1"/>
    <xf numFmtId="44" fontId="20" fillId="0" borderId="60" xfId="0" applyNumberFormat="1" applyFont="1" applyBorder="1" applyAlignment="1">
      <alignment horizontal="center"/>
    </xf>
    <xf numFmtId="174" fontId="0" fillId="2" borderId="13" xfId="3" applyNumberFormat="1" applyFont="1" applyFill="1" applyBorder="1"/>
    <xf numFmtId="174" fontId="0" fillId="2" borderId="24" xfId="3" applyNumberFormat="1" applyFont="1" applyFill="1" applyBorder="1"/>
    <xf numFmtId="44" fontId="0" fillId="0" borderId="13" xfId="0" applyNumberFormat="1" applyBorder="1"/>
    <xf numFmtId="44" fontId="0" fillId="0" borderId="24" xfId="0" applyNumberFormat="1" applyBorder="1"/>
    <xf numFmtId="44" fontId="0" fillId="2" borderId="40" xfId="0" applyNumberFormat="1" applyFill="1" applyBorder="1"/>
    <xf numFmtId="44" fontId="0" fillId="2" borderId="28" xfId="0" applyNumberFormat="1" applyFill="1" applyBorder="1"/>
    <xf numFmtId="44" fontId="0" fillId="0" borderId="65" xfId="0" applyNumberFormat="1" applyBorder="1"/>
    <xf numFmtId="0" fontId="49" fillId="0" borderId="0" xfId="0" applyFont="1" applyAlignment="1">
      <alignment horizontal="center" wrapText="1"/>
    </xf>
    <xf numFmtId="44" fontId="0" fillId="0" borderId="0" xfId="0" applyNumberFormat="1" applyAlignment="1">
      <alignment horizontal="center"/>
    </xf>
    <xf numFmtId="0" fontId="47" fillId="4" borderId="0" xfId="0" applyFont="1" applyFill="1" applyAlignment="1">
      <alignment vertical="center" wrapText="1"/>
    </xf>
    <xf numFmtId="174" fontId="0" fillId="2" borderId="22" xfId="3" applyNumberFormat="1" applyFont="1" applyFill="1" applyBorder="1"/>
    <xf numFmtId="44" fontId="0" fillId="2" borderId="22" xfId="2" applyFont="1" applyFill="1" applyBorder="1"/>
    <xf numFmtId="44" fontId="0" fillId="0" borderId="30" xfId="2" applyFont="1" applyBorder="1" applyAlignment="1"/>
    <xf numFmtId="176" fontId="0" fillId="2" borderId="22" xfId="0" applyNumberFormat="1" applyFill="1" applyBorder="1"/>
    <xf numFmtId="174" fontId="0" fillId="2" borderId="28" xfId="3" applyNumberFormat="1" applyFont="1" applyFill="1" applyBorder="1"/>
    <xf numFmtId="44" fontId="0" fillId="2" borderId="12" xfId="2" applyFont="1" applyFill="1" applyBorder="1"/>
    <xf numFmtId="174" fontId="0" fillId="2" borderId="40" xfId="3" applyNumberFormat="1" applyFont="1" applyFill="1" applyBorder="1"/>
    <xf numFmtId="43" fontId="51" fillId="2" borderId="13" xfId="0" applyNumberFormat="1" applyFont="1" applyFill="1" applyBorder="1" applyAlignment="1">
      <alignment horizontal="right"/>
    </xf>
    <xf numFmtId="0" fontId="52" fillId="2" borderId="12" xfId="0" applyFont="1" applyFill="1" applyBorder="1" applyAlignment="1">
      <alignment horizontal="right"/>
    </xf>
    <xf numFmtId="43" fontId="51" fillId="2" borderId="12" xfId="0" applyNumberFormat="1" applyFont="1" applyFill="1" applyBorder="1" applyAlignment="1">
      <alignment horizontal="right"/>
    </xf>
    <xf numFmtId="0" fontId="51" fillId="2" borderId="12" xfId="0" applyFont="1" applyFill="1" applyBorder="1" applyAlignment="1">
      <alignment horizontal="right"/>
    </xf>
    <xf numFmtId="0" fontId="54" fillId="2" borderId="62" xfId="0" applyFont="1" applyFill="1" applyBorder="1" applyAlignment="1">
      <alignment horizontal="right"/>
    </xf>
    <xf numFmtId="167" fontId="20" fillId="2" borderId="12" xfId="1" applyNumberFormat="1" applyFont="1" applyFill="1" applyBorder="1" applyAlignment="1">
      <alignment horizontal="center"/>
    </xf>
    <xf numFmtId="174" fontId="0" fillId="2" borderId="12" xfId="3" applyNumberFormat="1" applyFont="1" applyFill="1" applyBorder="1"/>
    <xf numFmtId="176" fontId="0" fillId="2" borderId="12" xfId="0" applyNumberFormat="1" applyFill="1" applyBorder="1"/>
    <xf numFmtId="44" fontId="20" fillId="2" borderId="64" xfId="0" applyNumberFormat="1" applyFont="1" applyFill="1" applyBorder="1" applyAlignment="1">
      <alignment horizontal="center"/>
    </xf>
    <xf numFmtId="173" fontId="10" fillId="0" borderId="51" xfId="0" applyNumberFormat="1" applyFont="1" applyBorder="1"/>
    <xf numFmtId="170" fontId="31" fillId="4" borderId="17" xfId="0" applyNumberFormat="1" applyFont="1" applyFill="1" applyBorder="1" applyAlignment="1">
      <alignment horizontal="center" vertical="center"/>
    </xf>
    <xf numFmtId="14" fontId="9" fillId="0" borderId="46" xfId="0" applyNumberFormat="1" applyFont="1" applyBorder="1"/>
    <xf numFmtId="167" fontId="10" fillId="0" borderId="46" xfId="0" applyNumberFormat="1" applyFont="1" applyBorder="1" applyAlignment="1">
      <alignment horizontal="right" vertical="center"/>
    </xf>
    <xf numFmtId="167" fontId="16" fillId="2" borderId="46" xfId="1" applyNumberFormat="1" applyFont="1" applyFill="1" applyBorder="1" applyAlignment="1">
      <alignment horizontal="right"/>
    </xf>
    <xf numFmtId="173" fontId="10" fillId="0" borderId="46" xfId="0" applyNumberFormat="1" applyFont="1" applyBorder="1"/>
    <xf numFmtId="168" fontId="37" fillId="10" borderId="46" xfId="0" applyNumberFormat="1" applyFont="1" applyFill="1" applyBorder="1" applyAlignment="1">
      <alignment horizontal="right"/>
    </xf>
    <xf numFmtId="0" fontId="10" fillId="0" borderId="46" xfId="0" applyFont="1" applyBorder="1"/>
    <xf numFmtId="168" fontId="11" fillId="0" borderId="46" xfId="0" applyNumberFormat="1" applyFont="1" applyBorder="1"/>
    <xf numFmtId="43" fontId="10" fillId="0" borderId="46" xfId="1" applyFont="1" applyBorder="1" applyAlignment="1">
      <alignment horizontal="right" vertical="center"/>
    </xf>
    <xf numFmtId="171" fontId="31" fillId="4" borderId="70" xfId="0" applyNumberFormat="1" applyFont="1" applyFill="1" applyBorder="1" applyAlignment="1">
      <alignment horizontal="center" vertical="center"/>
    </xf>
    <xf numFmtId="0" fontId="0" fillId="0" borderId="71" xfId="0" applyBorder="1"/>
    <xf numFmtId="167" fontId="0" fillId="0" borderId="71" xfId="0" applyNumberFormat="1" applyBorder="1" applyAlignment="1">
      <alignment horizontal="right" vertical="center"/>
    </xf>
    <xf numFmtId="172" fontId="16" fillId="2" borderId="70" xfId="2" applyNumberFormat="1" applyFont="1" applyFill="1" applyBorder="1" applyAlignment="1">
      <alignment horizontal="right"/>
    </xf>
    <xf numFmtId="173" fontId="0" fillId="0" borderId="71" xfId="0" applyNumberFormat="1" applyBorder="1"/>
    <xf numFmtId="172" fontId="31" fillId="10" borderId="49" xfId="2" applyNumberFormat="1" applyFont="1" applyFill="1" applyBorder="1"/>
    <xf numFmtId="172" fontId="31" fillId="10" borderId="70" xfId="2" applyNumberFormat="1" applyFont="1" applyFill="1" applyBorder="1"/>
    <xf numFmtId="168" fontId="33" fillId="10" borderId="71" xfId="0" applyNumberFormat="1" applyFont="1" applyFill="1" applyBorder="1" applyAlignment="1">
      <alignment horizontal="right"/>
    </xf>
    <xf numFmtId="172" fontId="10" fillId="2" borderId="70" xfId="2" applyNumberFormat="1" applyFont="1" applyFill="1" applyBorder="1" applyAlignment="1"/>
    <xf numFmtId="168" fontId="34" fillId="0" borderId="71" xfId="0" applyNumberFormat="1" applyFont="1" applyBorder="1"/>
    <xf numFmtId="43" fontId="0" fillId="0" borderId="71" xfId="1" applyFont="1" applyBorder="1"/>
    <xf numFmtId="0" fontId="0" fillId="0" borderId="72" xfId="0" applyBorder="1"/>
    <xf numFmtId="172" fontId="16" fillId="2" borderId="71" xfId="2" applyNumberFormat="1" applyFont="1" applyFill="1" applyBorder="1" applyAlignment="1">
      <alignment horizontal="right"/>
    </xf>
    <xf numFmtId="167" fontId="16" fillId="2" borderId="71" xfId="1" applyNumberFormat="1" applyFont="1" applyFill="1" applyBorder="1" applyAlignment="1">
      <alignment horizontal="right"/>
    </xf>
    <xf numFmtId="174" fontId="44" fillId="0" borderId="0" xfId="3" applyNumberFormat="1" applyFont="1" applyFill="1" applyBorder="1"/>
    <xf numFmtId="174" fontId="44" fillId="2" borderId="0" xfId="3" applyNumberFormat="1" applyFont="1" applyFill="1" applyBorder="1"/>
    <xf numFmtId="174" fontId="44" fillId="2" borderId="46" xfId="3" applyNumberFormat="1" applyFont="1" applyFill="1" applyBorder="1"/>
    <xf numFmtId="174" fontId="44" fillId="3" borderId="0" xfId="3" applyNumberFormat="1" applyFont="1" applyFill="1" applyBorder="1"/>
    <xf numFmtId="174" fontId="44" fillId="2" borderId="8" xfId="3" applyNumberFormat="1" applyFont="1" applyFill="1" applyBorder="1"/>
    <xf numFmtId="172" fontId="16" fillId="2" borderId="4" xfId="2" applyNumberFormat="1" applyFont="1" applyFill="1" applyBorder="1" applyAlignment="1">
      <alignment horizontal="right"/>
    </xf>
    <xf numFmtId="172" fontId="16" fillId="2" borderId="3" xfId="2" applyNumberFormat="1" applyFont="1" applyFill="1" applyBorder="1"/>
    <xf numFmtId="172" fontId="16" fillId="2" borderId="41" xfId="2" applyNumberFormat="1" applyFont="1" applyFill="1" applyBorder="1"/>
    <xf numFmtId="167" fontId="16" fillId="2" borderId="5" xfId="1" applyNumberFormat="1" applyFont="1" applyFill="1" applyBorder="1"/>
    <xf numFmtId="167" fontId="16" fillId="2" borderId="6" xfId="1" applyNumberFormat="1" applyFont="1" applyFill="1" applyBorder="1"/>
    <xf numFmtId="167" fontId="16" fillId="2" borderId="3" xfId="1" applyNumberFormat="1" applyFont="1" applyFill="1" applyBorder="1"/>
    <xf numFmtId="167" fontId="16" fillId="2" borderId="41" xfId="1" applyNumberFormat="1" applyFont="1" applyFill="1" applyBorder="1"/>
    <xf numFmtId="44" fontId="0" fillId="0" borderId="46" xfId="2" applyFont="1" applyBorder="1"/>
    <xf numFmtId="167" fontId="16" fillId="2" borderId="14" xfId="1" applyNumberFormat="1" applyFont="1" applyFill="1" applyBorder="1" applyAlignment="1">
      <alignment horizontal="right"/>
    </xf>
    <xf numFmtId="44" fontId="16" fillId="13" borderId="44" xfId="2" applyFont="1" applyFill="1" applyBorder="1" applyAlignment="1">
      <alignment horizontal="right"/>
    </xf>
    <xf numFmtId="44" fontId="16" fillId="13" borderId="43" xfId="2" applyFont="1" applyFill="1" applyBorder="1" applyAlignment="1">
      <alignment horizontal="right"/>
    </xf>
    <xf numFmtId="44" fontId="16" fillId="13" borderId="42" xfId="2" applyFont="1" applyFill="1" applyBorder="1" applyAlignment="1">
      <alignment horizontal="right"/>
    </xf>
    <xf numFmtId="0" fontId="16" fillId="14" borderId="45" xfId="0" applyFont="1" applyFill="1" applyBorder="1" applyAlignment="1">
      <alignment horizontal="right"/>
    </xf>
    <xf numFmtId="44" fontId="28" fillId="14" borderId="44" xfId="2" applyFont="1" applyFill="1" applyBorder="1" applyAlignment="1">
      <alignment horizontal="right"/>
    </xf>
    <xf numFmtId="44" fontId="28" fillId="14" borderId="43" xfId="2" applyFont="1" applyFill="1" applyBorder="1" applyAlignment="1">
      <alignment horizontal="right"/>
    </xf>
    <xf numFmtId="44" fontId="28" fillId="14" borderId="42" xfId="2" applyFont="1" applyFill="1" applyBorder="1" applyAlignment="1">
      <alignment horizontal="right"/>
    </xf>
    <xf numFmtId="43" fontId="20" fillId="0" borderId="0" xfId="1" applyFont="1" applyBorder="1"/>
    <xf numFmtId="43" fontId="20" fillId="0" borderId="46" xfId="1" applyFont="1" applyBorder="1"/>
    <xf numFmtId="176" fontId="55" fillId="3" borderId="0" xfId="1" applyNumberFormat="1" applyFont="1" applyFill="1" applyBorder="1"/>
    <xf numFmtId="0" fontId="7" fillId="4" borderId="12" xfId="0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/>
    </xf>
    <xf numFmtId="14" fontId="7" fillId="4" borderId="12" xfId="0" applyNumberFormat="1" applyFont="1" applyFill="1" applyBorder="1" applyAlignment="1">
      <alignment horizontal="center"/>
    </xf>
    <xf numFmtId="167" fontId="20" fillId="2" borderId="61" xfId="1" applyNumberFormat="1" applyFont="1" applyFill="1" applyBorder="1" applyAlignment="1">
      <alignment horizontal="center" vertical="center"/>
    </xf>
    <xf numFmtId="167" fontId="20" fillId="2" borderId="60" xfId="1" applyNumberFormat="1" applyFont="1" applyFill="1" applyBorder="1" applyAlignment="1">
      <alignment horizontal="center" vertical="center"/>
    </xf>
    <xf numFmtId="174" fontId="20" fillId="2" borderId="60" xfId="1" applyNumberFormat="1" applyFont="1" applyFill="1" applyBorder="1" applyAlignment="1">
      <alignment horizontal="right" vertical="center"/>
    </xf>
    <xf numFmtId="179" fontId="20" fillId="2" borderId="60" xfId="1" applyNumberFormat="1" applyFont="1" applyFill="1" applyBorder="1" applyAlignment="1">
      <alignment horizontal="center" vertical="center"/>
    </xf>
    <xf numFmtId="43" fontId="20" fillId="2" borderId="60" xfId="1" applyFont="1" applyFill="1" applyBorder="1" applyAlignment="1">
      <alignment horizontal="center" vertical="center"/>
    </xf>
    <xf numFmtId="44" fontId="20" fillId="2" borderId="60" xfId="2" applyFont="1" applyFill="1" applyBorder="1" applyAlignment="1">
      <alignment horizontal="center" vertical="center"/>
    </xf>
    <xf numFmtId="44" fontId="20" fillId="2" borderId="60" xfId="0" applyNumberFormat="1" applyFont="1" applyFill="1" applyBorder="1" applyAlignment="1">
      <alignment horizontal="center"/>
    </xf>
    <xf numFmtId="10" fontId="20" fillId="2" borderId="63" xfId="3" applyNumberFormat="1" applyFont="1" applyFill="1" applyBorder="1" applyAlignment="1">
      <alignment horizontal="center"/>
    </xf>
    <xf numFmtId="44" fontId="20" fillId="0" borderId="64" xfId="0" applyNumberFormat="1" applyFont="1" applyBorder="1" applyAlignment="1">
      <alignment horizontal="center"/>
    </xf>
    <xf numFmtId="174" fontId="20" fillId="2" borderId="64" xfId="0" applyNumberFormat="1" applyFont="1" applyFill="1" applyBorder="1" applyAlignment="1">
      <alignment horizontal="center"/>
    </xf>
    <xf numFmtId="174" fontId="20" fillId="2" borderId="61" xfId="0" applyNumberFormat="1" applyFont="1" applyFill="1" applyBorder="1" applyAlignment="1">
      <alignment horizontal="center"/>
    </xf>
    <xf numFmtId="44" fontId="20" fillId="0" borderId="61" xfId="0" applyNumberFormat="1" applyFont="1" applyBorder="1" applyAlignment="1">
      <alignment horizontal="center"/>
    </xf>
    <xf numFmtId="44" fontId="20" fillId="0" borderId="66" xfId="0" applyNumberFormat="1" applyFont="1" applyBorder="1" applyAlignment="1">
      <alignment horizontal="center"/>
    </xf>
    <xf numFmtId="171" fontId="31" fillId="4" borderId="74" xfId="0" applyNumberFormat="1" applyFont="1" applyFill="1" applyBorder="1" applyAlignment="1">
      <alignment horizontal="center" vertical="center"/>
    </xf>
    <xf numFmtId="0" fontId="0" fillId="0" borderId="75" xfId="0" applyBorder="1"/>
    <xf numFmtId="167" fontId="0" fillId="0" borderId="75" xfId="0" applyNumberFormat="1" applyBorder="1" applyAlignment="1">
      <alignment horizontal="right" vertical="center"/>
    </xf>
    <xf numFmtId="172" fontId="16" fillId="2" borderId="74" xfId="2" applyNumberFormat="1" applyFont="1" applyFill="1" applyBorder="1" applyAlignment="1">
      <alignment horizontal="right"/>
    </xf>
    <xf numFmtId="167" fontId="16" fillId="2" borderId="74" xfId="1" applyNumberFormat="1" applyFont="1" applyFill="1" applyBorder="1" applyAlignment="1">
      <alignment horizontal="center"/>
    </xf>
    <xf numFmtId="172" fontId="16" fillId="2" borderId="73" xfId="2" applyNumberFormat="1" applyFont="1" applyFill="1" applyBorder="1" applyAlignment="1">
      <alignment horizontal="center"/>
    </xf>
    <xf numFmtId="173" fontId="0" fillId="0" borderId="75" xfId="0" applyNumberFormat="1" applyBorder="1"/>
    <xf numFmtId="172" fontId="31" fillId="10" borderId="74" xfId="2" applyNumberFormat="1" applyFont="1" applyFill="1" applyBorder="1"/>
    <xf numFmtId="168" fontId="33" fillId="10" borderId="75" xfId="0" applyNumberFormat="1" applyFont="1" applyFill="1" applyBorder="1" applyAlignment="1">
      <alignment horizontal="right"/>
    </xf>
    <xf numFmtId="172" fontId="10" fillId="2" borderId="74" xfId="2" applyNumberFormat="1" applyFont="1" applyFill="1" applyBorder="1" applyAlignment="1"/>
    <xf numFmtId="168" fontId="34" fillId="0" borderId="75" xfId="0" applyNumberFormat="1" applyFont="1" applyBorder="1"/>
    <xf numFmtId="43" fontId="0" fillId="0" borderId="75" xfId="1" applyFont="1" applyBorder="1"/>
    <xf numFmtId="168" fontId="33" fillId="10" borderId="76" xfId="0" applyNumberFormat="1" applyFont="1" applyFill="1" applyBorder="1" applyAlignment="1">
      <alignment horizontal="right"/>
    </xf>
    <xf numFmtId="170" fontId="31" fillId="4" borderId="46" xfId="0" applyNumberFormat="1" applyFont="1" applyFill="1" applyBorder="1" applyAlignment="1">
      <alignment horizontal="center" vertical="center"/>
    </xf>
    <xf numFmtId="167" fontId="0" fillId="0" borderId="46" xfId="0" applyNumberFormat="1" applyBorder="1" applyAlignment="1">
      <alignment horizontal="right" vertical="center"/>
    </xf>
    <xf numFmtId="172" fontId="16" fillId="2" borderId="46" xfId="2" applyNumberFormat="1" applyFont="1" applyFill="1" applyBorder="1" applyAlignment="1">
      <alignment horizontal="right"/>
    </xf>
    <xf numFmtId="173" fontId="0" fillId="0" borderId="46" xfId="0" applyNumberFormat="1" applyBorder="1"/>
    <xf numFmtId="168" fontId="34" fillId="0" borderId="46" xfId="0" applyNumberFormat="1" applyFont="1" applyBorder="1"/>
    <xf numFmtId="43" fontId="0" fillId="0" borderId="46" xfId="1" applyFont="1" applyBorder="1" applyAlignment="1">
      <alignment horizontal="right" vertical="center"/>
    </xf>
    <xf numFmtId="0" fontId="9" fillId="4" borderId="8" xfId="0" applyFont="1" applyFill="1" applyBorder="1" applyAlignment="1">
      <alignment horizontal="center"/>
    </xf>
    <xf numFmtId="14" fontId="7" fillId="4" borderId="0" xfId="0" applyNumberFormat="1" applyFont="1" applyFill="1"/>
    <xf numFmtId="9" fontId="36" fillId="0" borderId="0" xfId="3" applyFont="1" applyBorder="1" applyAlignment="1">
      <alignment horizontal="center"/>
    </xf>
    <xf numFmtId="0" fontId="0" fillId="7" borderId="3" xfId="0" applyFill="1" applyBorder="1"/>
    <xf numFmtId="0" fontId="4" fillId="7" borderId="3" xfId="0" applyFont="1" applyFill="1" applyBorder="1" applyAlignment="1">
      <alignment horizontal="left" wrapText="1"/>
    </xf>
    <xf numFmtId="44" fontId="10" fillId="7" borderId="3" xfId="0" applyNumberFormat="1" applyFont="1" applyFill="1" applyBorder="1"/>
    <xf numFmtId="174" fontId="10" fillId="7" borderId="3" xfId="3" applyNumberFormat="1" applyFont="1" applyFill="1" applyBorder="1"/>
    <xf numFmtId="174" fontId="10" fillId="7" borderId="14" xfId="3" applyNumberFormat="1" applyFont="1" applyFill="1" applyBorder="1"/>
    <xf numFmtId="44" fontId="28" fillId="0" borderId="46" xfId="2" applyFont="1" applyBorder="1"/>
    <xf numFmtId="44" fontId="28" fillId="0" borderId="0" xfId="2" applyFont="1"/>
    <xf numFmtId="172" fontId="29" fillId="0" borderId="0" xfId="2" applyNumberFormat="1" applyFont="1"/>
    <xf numFmtId="0" fontId="0" fillId="0" borderId="69" xfId="0" applyBorder="1"/>
    <xf numFmtId="172" fontId="0" fillId="0" borderId="3" xfId="2" applyNumberFormat="1" applyFont="1" applyBorder="1"/>
    <xf numFmtId="172" fontId="0" fillId="0" borderId="14" xfId="2" applyNumberFormat="1" applyFont="1" applyBorder="1"/>
    <xf numFmtId="167" fontId="0" fillId="2" borderId="22" xfId="1" applyNumberFormat="1" applyFont="1" applyFill="1" applyBorder="1"/>
    <xf numFmtId="167" fontId="0" fillId="2" borderId="77" xfId="1" applyNumberFormat="1" applyFont="1" applyFill="1" applyBorder="1"/>
    <xf numFmtId="172" fontId="29" fillId="0" borderId="0" xfId="2" applyNumberFormat="1" applyFont="1" applyBorder="1"/>
    <xf numFmtId="167" fontId="16" fillId="2" borderId="1" xfId="1" applyNumberFormat="1" applyFont="1" applyFill="1" applyBorder="1" applyAlignment="1">
      <alignment horizontal="right"/>
    </xf>
    <xf numFmtId="167" fontId="16" fillId="7" borderId="54" xfId="1" applyNumberFormat="1" applyFont="1" applyFill="1" applyBorder="1" applyAlignment="1">
      <alignment horizontal="right"/>
    </xf>
    <xf numFmtId="167" fontId="16" fillId="2" borderId="78" xfId="1" applyNumberFormat="1" applyFont="1" applyFill="1" applyBorder="1" applyAlignment="1">
      <alignment horizontal="right"/>
    </xf>
    <xf numFmtId="44" fontId="7" fillId="4" borderId="54" xfId="0" applyNumberFormat="1" applyFont="1" applyFill="1" applyBorder="1" applyAlignment="1">
      <alignment horizontal="right"/>
    </xf>
    <xf numFmtId="0" fontId="0" fillId="0" borderId="79" xfId="0" applyBorder="1"/>
    <xf numFmtId="0" fontId="0" fillId="0" borderId="20" xfId="0" applyBorder="1"/>
    <xf numFmtId="0" fontId="0" fillId="0" borderId="80" xfId="0" applyBorder="1"/>
    <xf numFmtId="0" fontId="0" fillId="0" borderId="21" xfId="0" applyBorder="1"/>
    <xf numFmtId="0" fontId="0" fillId="0" borderId="22" xfId="0" applyBorder="1"/>
    <xf numFmtId="0" fontId="9" fillId="0" borderId="0" xfId="0" applyFont="1"/>
    <xf numFmtId="0" fontId="30" fillId="4" borderId="23" xfId="0" applyFont="1" applyFill="1" applyBorder="1" applyAlignment="1">
      <alignment horizontal="right" vertical="center"/>
    </xf>
    <xf numFmtId="0" fontId="0" fillId="0" borderId="21" xfId="0" applyBorder="1" applyAlignment="1">
      <alignment horizontal="right"/>
    </xf>
    <xf numFmtId="0" fontId="0" fillId="0" borderId="21" xfId="0" applyBorder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172" fontId="16" fillId="2" borderId="23" xfId="2" applyNumberFormat="1" applyFont="1" applyFill="1" applyBorder="1" applyAlignment="1">
      <alignment horizontal="right"/>
    </xf>
    <xf numFmtId="172" fontId="16" fillId="2" borderId="21" xfId="2" applyNumberFormat="1" applyFont="1" applyFill="1" applyBorder="1" applyAlignment="1">
      <alignment horizontal="right"/>
    </xf>
    <xf numFmtId="172" fontId="16" fillId="2" borderId="31" xfId="2" applyNumberFormat="1" applyFont="1" applyFill="1" applyBorder="1" applyAlignment="1">
      <alignment horizontal="right"/>
    </xf>
    <xf numFmtId="173" fontId="10" fillId="0" borderId="0" xfId="0" applyNumberFormat="1" applyFont="1"/>
    <xf numFmtId="172" fontId="31" fillId="10" borderId="23" xfId="2" applyNumberFormat="1" applyFont="1" applyFill="1" applyBorder="1" applyAlignment="1">
      <alignment horizontal="right"/>
    </xf>
    <xf numFmtId="172" fontId="31" fillId="0" borderId="27" xfId="2" applyNumberFormat="1" applyFont="1" applyFill="1" applyBorder="1" applyAlignment="1">
      <alignment horizontal="right"/>
    </xf>
    <xf numFmtId="0" fontId="33" fillId="10" borderId="21" xfId="0" applyFont="1" applyFill="1" applyBorder="1" applyAlignment="1">
      <alignment horizontal="right"/>
    </xf>
    <xf numFmtId="168" fontId="37" fillId="10" borderId="0" xfId="0" applyNumberFormat="1" applyFont="1" applyFill="1" applyAlignment="1">
      <alignment horizontal="right"/>
    </xf>
    <xf numFmtId="0" fontId="10" fillId="0" borderId="0" xfId="0" applyFont="1"/>
    <xf numFmtId="0" fontId="10" fillId="2" borderId="23" xfId="0" applyFont="1" applyFill="1" applyBorder="1" applyAlignment="1">
      <alignment horizontal="right"/>
    </xf>
    <xf numFmtId="0" fontId="34" fillId="0" borderId="21" xfId="0" applyFont="1" applyBorder="1" applyAlignment="1">
      <alignment horizontal="right"/>
    </xf>
    <xf numFmtId="168" fontId="11" fillId="0" borderId="0" xfId="0" applyNumberFormat="1" applyFont="1"/>
    <xf numFmtId="172" fontId="0" fillId="0" borderId="0" xfId="0" applyNumberFormat="1"/>
    <xf numFmtId="0" fontId="7" fillId="4" borderId="81" xfId="0" applyFont="1" applyFill="1" applyBorder="1" applyAlignment="1">
      <alignment horizontal="right"/>
    </xf>
    <xf numFmtId="0" fontId="7" fillId="4" borderId="31" xfId="0" applyFont="1" applyFill="1" applyBorder="1" applyAlignment="1">
      <alignment horizontal="right"/>
    </xf>
    <xf numFmtId="0" fontId="0" fillId="0" borderId="82" xfId="0" applyBorder="1"/>
    <xf numFmtId="0" fontId="0" fillId="0" borderId="30" xfId="0" applyBorder="1"/>
    <xf numFmtId="167" fontId="0" fillId="0" borderId="0" xfId="0" applyNumberFormat="1"/>
    <xf numFmtId="172" fontId="18" fillId="3" borderId="0" xfId="2" applyNumberFormat="1" applyFont="1" applyFill="1"/>
    <xf numFmtId="44" fontId="33" fillId="10" borderId="0" xfId="2" applyFont="1" applyFill="1" applyBorder="1" applyAlignment="1">
      <alignment horizontal="right"/>
    </xf>
    <xf numFmtId="172" fontId="33" fillId="10" borderId="0" xfId="2" applyNumberFormat="1" applyFont="1" applyFill="1" applyBorder="1" applyAlignment="1">
      <alignment horizontal="right"/>
    </xf>
    <xf numFmtId="172" fontId="33" fillId="10" borderId="6" xfId="2" applyNumberFormat="1" applyFont="1" applyFill="1" applyBorder="1" applyAlignment="1">
      <alignment horizontal="right"/>
    </xf>
    <xf numFmtId="172" fontId="33" fillId="10" borderId="4" xfId="2" applyNumberFormat="1" applyFont="1" applyFill="1" applyBorder="1" applyAlignment="1">
      <alignment horizontal="right"/>
    </xf>
    <xf numFmtId="0" fontId="23" fillId="0" borderId="9" xfId="0" applyFont="1" applyBorder="1" applyAlignment="1">
      <alignment horizontal="right"/>
    </xf>
    <xf numFmtId="172" fontId="22" fillId="0" borderId="10" xfId="2" applyNumberFormat="1" applyFont="1" applyFill="1" applyBorder="1"/>
    <xf numFmtId="172" fontId="22" fillId="0" borderId="11" xfId="2" applyNumberFormat="1" applyFont="1" applyFill="1" applyBorder="1"/>
    <xf numFmtId="172" fontId="22" fillId="0" borderId="9" xfId="2" applyNumberFormat="1" applyFont="1" applyFill="1" applyBorder="1"/>
    <xf numFmtId="174" fontId="42" fillId="3" borderId="3" xfId="3" applyNumberFormat="1" applyFont="1" applyFill="1" applyBorder="1"/>
    <xf numFmtId="174" fontId="43" fillId="3" borderId="0" xfId="3" applyNumberFormat="1" applyFont="1" applyFill="1" applyBorder="1"/>
    <xf numFmtId="174" fontId="55" fillId="3" borderId="0" xfId="3" applyNumberFormat="1" applyFont="1" applyFill="1" applyBorder="1" applyAlignment="1"/>
    <xf numFmtId="43" fontId="19" fillId="3" borderId="0" xfId="1" applyFont="1" applyFill="1" applyBorder="1"/>
    <xf numFmtId="44" fontId="19" fillId="3" borderId="0" xfId="2" applyFont="1" applyFill="1" applyBorder="1"/>
    <xf numFmtId="174" fontId="20" fillId="2" borderId="0" xfId="3" applyNumberFormat="1" applyFont="1" applyFill="1" applyBorder="1"/>
    <xf numFmtId="1" fontId="17" fillId="2" borderId="0" xfId="1" applyNumberFormat="1" applyFont="1" applyFill="1" applyBorder="1"/>
    <xf numFmtId="176" fontId="17" fillId="2" borderId="0" xfId="1" applyNumberFormat="1" applyFont="1" applyFill="1" applyBorder="1"/>
    <xf numFmtId="174" fontId="16" fillId="7" borderId="0" xfId="3" applyNumberFormat="1" applyFont="1" applyFill="1" applyBorder="1"/>
    <xf numFmtId="44" fontId="28" fillId="0" borderId="0" xfId="2" applyFont="1" applyBorder="1"/>
    <xf numFmtId="44" fontId="28" fillId="0" borderId="3" xfId="0" applyNumberFormat="1" applyFont="1" applyBorder="1"/>
    <xf numFmtId="14" fontId="48" fillId="4" borderId="0" xfId="0" applyNumberFormat="1" applyFont="1" applyFill="1" applyAlignment="1">
      <alignment horizontal="center"/>
    </xf>
    <xf numFmtId="0" fontId="0" fillId="0" borderId="83" xfId="0" applyBorder="1"/>
    <xf numFmtId="167" fontId="57" fillId="0" borderId="0" xfId="1" applyNumberFormat="1" applyFont="1" applyFill="1" applyBorder="1"/>
    <xf numFmtId="43" fontId="9" fillId="0" borderId="8" xfId="0" applyNumberFormat="1" applyFont="1" applyBorder="1"/>
    <xf numFmtId="44" fontId="0" fillId="0" borderId="85" xfId="2" applyFont="1" applyBorder="1"/>
    <xf numFmtId="1" fontId="0" fillId="2" borderId="86" xfId="0" applyNumberFormat="1" applyFill="1" applyBorder="1"/>
    <xf numFmtId="167" fontId="20" fillId="2" borderId="85" xfId="1" applyNumberFormat="1" applyFont="1" applyFill="1" applyBorder="1" applyAlignment="1">
      <alignment horizontal="center"/>
    </xf>
    <xf numFmtId="1" fontId="0" fillId="2" borderId="85" xfId="0" applyNumberFormat="1" applyFill="1" applyBorder="1"/>
    <xf numFmtId="167" fontId="0" fillId="2" borderId="85" xfId="1" applyNumberFormat="1" applyFont="1" applyFill="1" applyBorder="1"/>
    <xf numFmtId="174" fontId="0" fillId="2" borderId="85" xfId="3" applyNumberFormat="1" applyFont="1" applyFill="1" applyBorder="1"/>
    <xf numFmtId="176" fontId="0" fillId="2" borderId="85" xfId="0" applyNumberFormat="1" applyFill="1" applyBorder="1"/>
    <xf numFmtId="2" fontId="0" fillId="2" borderId="85" xfId="0" applyNumberFormat="1" applyFill="1" applyBorder="1"/>
    <xf numFmtId="44" fontId="0" fillId="2" borderId="85" xfId="2" applyFont="1" applyFill="1" applyBorder="1"/>
    <xf numFmtId="0" fontId="0" fillId="2" borderId="85" xfId="0" applyFill="1" applyBorder="1"/>
    <xf numFmtId="10" fontId="0" fillId="2" borderId="87" xfId="3" applyNumberFormat="1" applyFont="1" applyFill="1" applyBorder="1" applyAlignment="1"/>
    <xf numFmtId="44" fontId="0" fillId="0" borderId="85" xfId="2" applyFont="1" applyBorder="1" applyAlignment="1"/>
    <xf numFmtId="44" fontId="0" fillId="0" borderId="88" xfId="0" applyNumberFormat="1" applyBorder="1"/>
    <xf numFmtId="44" fontId="0" fillId="0" borderId="85" xfId="0" applyNumberFormat="1" applyBorder="1"/>
    <xf numFmtId="174" fontId="0" fillId="2" borderId="88" xfId="3" applyNumberFormat="1" applyFont="1" applyFill="1" applyBorder="1"/>
    <xf numFmtId="174" fontId="0" fillId="2" borderId="86" xfId="3" applyNumberFormat="1" applyFont="1" applyFill="1" applyBorder="1"/>
    <xf numFmtId="44" fontId="0" fillId="0" borderId="86" xfId="0" applyNumberFormat="1" applyBorder="1"/>
    <xf numFmtId="44" fontId="0" fillId="2" borderId="88" xfId="0" applyNumberFormat="1" applyFill="1" applyBorder="1"/>
    <xf numFmtId="44" fontId="0" fillId="0" borderId="84" xfId="0" applyNumberFormat="1" applyBorder="1"/>
    <xf numFmtId="167" fontId="20" fillId="2" borderId="22" xfId="1" applyNumberFormat="1" applyFont="1" applyFill="1" applyBorder="1" applyAlignment="1">
      <alignment horizontal="center"/>
    </xf>
    <xf numFmtId="44" fontId="0" fillId="0" borderId="30" xfId="0" applyNumberFormat="1" applyBorder="1"/>
    <xf numFmtId="14" fontId="58" fillId="4" borderId="0" xfId="0" applyNumberFormat="1" applyFont="1" applyFill="1" applyAlignment="1">
      <alignment horizontal="center"/>
    </xf>
    <xf numFmtId="14" fontId="58" fillId="4" borderId="20" xfId="0" applyNumberFormat="1" applyFont="1" applyFill="1" applyBorder="1" applyAlignment="1">
      <alignment horizontal="center"/>
    </xf>
    <xf numFmtId="167" fontId="19" fillId="3" borderId="17" xfId="1" applyNumberFormat="1" applyFont="1" applyFill="1" applyBorder="1"/>
    <xf numFmtId="167" fontId="19" fillId="3" borderId="46" xfId="1" applyNumberFormat="1" applyFont="1" applyFill="1" applyBorder="1"/>
    <xf numFmtId="167" fontId="3" fillId="0" borderId="46" xfId="1" applyNumberFormat="1" applyFont="1" applyFill="1" applyBorder="1"/>
    <xf numFmtId="167" fontId="57" fillId="0" borderId="46" xfId="1" applyNumberFormat="1" applyFont="1" applyFill="1" applyBorder="1"/>
    <xf numFmtId="174" fontId="43" fillId="0" borderId="46" xfId="3" applyNumberFormat="1" applyFont="1" applyFill="1" applyBorder="1"/>
    <xf numFmtId="174" fontId="28" fillId="0" borderId="46" xfId="3" applyNumberFormat="1" applyFont="1" applyFill="1" applyBorder="1"/>
    <xf numFmtId="176" fontId="17" fillId="0" borderId="46" xfId="2" applyNumberFormat="1" applyFont="1" applyFill="1" applyBorder="1"/>
    <xf numFmtId="167" fontId="18" fillId="0" borderId="46" xfId="1" applyNumberFormat="1" applyFont="1" applyFill="1" applyBorder="1"/>
    <xf numFmtId="167" fontId="20" fillId="0" borderId="46" xfId="1" applyNumberFormat="1" applyFont="1" applyFill="1" applyBorder="1"/>
    <xf numFmtId="43" fontId="17" fillId="0" borderId="46" xfId="1" applyFont="1" applyFill="1" applyBorder="1"/>
    <xf numFmtId="44" fontId="17" fillId="0" borderId="46" xfId="2" applyFont="1" applyFill="1" applyBorder="1"/>
    <xf numFmtId="174" fontId="44" fillId="0" borderId="46" xfId="3" applyNumberFormat="1" applyFont="1" applyFill="1" applyBorder="1"/>
    <xf numFmtId="174" fontId="17" fillId="0" borderId="46" xfId="3" applyNumberFormat="1" applyFont="1" applyFill="1" applyBorder="1"/>
    <xf numFmtId="1" fontId="17" fillId="0" borderId="46" xfId="2" applyNumberFormat="1" applyFont="1" applyFill="1" applyBorder="1"/>
    <xf numFmtId="174" fontId="40" fillId="0" borderId="46" xfId="3" applyNumberFormat="1" applyFont="1" applyFill="1" applyBorder="1"/>
    <xf numFmtId="44" fontId="40" fillId="0" borderId="46" xfId="2" applyFont="1" applyFill="1" applyBorder="1"/>
    <xf numFmtId="177" fontId="17" fillId="0" borderId="46" xfId="2" applyNumberFormat="1" applyFont="1" applyFill="1" applyBorder="1"/>
    <xf numFmtId="175" fontId="0" fillId="0" borderId="46" xfId="0" applyNumberFormat="1" applyBorder="1"/>
    <xf numFmtId="2" fontId="0" fillId="0" borderId="46" xfId="3" applyNumberFormat="1" applyFont="1" applyBorder="1"/>
    <xf numFmtId="164" fontId="5" fillId="0" borderId="46" xfId="0" applyNumberFormat="1" applyFont="1" applyBorder="1" applyAlignment="1">
      <alignment wrapText="1"/>
    </xf>
    <xf numFmtId="165" fontId="4" fillId="0" borderId="46" xfId="0" applyNumberFormat="1" applyFont="1" applyBorder="1" applyAlignment="1">
      <alignment horizontal="right" wrapText="1"/>
    </xf>
    <xf numFmtId="44" fontId="0" fillId="0" borderId="78" xfId="0" applyNumberFormat="1" applyBorder="1"/>
    <xf numFmtId="44" fontId="42" fillId="13" borderId="90" xfId="2" applyFont="1" applyFill="1" applyBorder="1" applyAlignment="1">
      <alignment horizontal="right"/>
    </xf>
    <xf numFmtId="44" fontId="28" fillId="14" borderId="90" xfId="2" applyFont="1" applyFill="1" applyBorder="1" applyAlignment="1">
      <alignment horizontal="right"/>
    </xf>
    <xf numFmtId="44" fontId="16" fillId="13" borderId="90" xfId="2" applyFont="1" applyFill="1" applyBorder="1" applyAlignment="1">
      <alignment horizontal="right"/>
    </xf>
    <xf numFmtId="170" fontId="31" fillId="4" borderId="89" xfId="0" applyNumberFormat="1" applyFont="1" applyFill="1" applyBorder="1" applyAlignment="1">
      <alignment horizontal="center" vertical="center"/>
    </xf>
    <xf numFmtId="14" fontId="9" fillId="0" borderId="89" xfId="0" applyNumberFormat="1" applyFont="1" applyBorder="1"/>
    <xf numFmtId="167" fontId="0" fillId="0" borderId="89" xfId="0" applyNumberFormat="1" applyBorder="1" applyAlignment="1">
      <alignment horizontal="right" vertical="center"/>
    </xf>
    <xf numFmtId="172" fontId="16" fillId="2" borderId="91" xfId="2" applyNumberFormat="1" applyFont="1" applyFill="1" applyBorder="1" applyAlignment="1">
      <alignment horizontal="right"/>
    </xf>
    <xf numFmtId="167" fontId="16" fillId="2" borderId="92" xfId="1" applyNumberFormat="1" applyFont="1" applyFill="1" applyBorder="1" applyAlignment="1">
      <alignment horizontal="right"/>
    </xf>
    <xf numFmtId="172" fontId="16" fillId="2" borderId="89" xfId="2" applyNumberFormat="1" applyFont="1" applyFill="1" applyBorder="1" applyAlignment="1">
      <alignment horizontal="right"/>
    </xf>
    <xf numFmtId="173" fontId="0" fillId="0" borderId="89" xfId="0" applyNumberFormat="1" applyBorder="1"/>
    <xf numFmtId="172" fontId="31" fillId="10" borderId="91" xfId="2" applyNumberFormat="1" applyFont="1" applyFill="1" applyBorder="1"/>
    <xf numFmtId="168" fontId="33" fillId="10" borderId="89" xfId="0" applyNumberFormat="1" applyFont="1" applyFill="1" applyBorder="1" applyAlignment="1">
      <alignment horizontal="right"/>
    </xf>
    <xf numFmtId="0" fontId="0" fillId="0" borderId="89" xfId="0" applyBorder="1"/>
    <xf numFmtId="172" fontId="10" fillId="2" borderId="91" xfId="2" applyNumberFormat="1" applyFont="1" applyFill="1" applyBorder="1" applyAlignment="1"/>
    <xf numFmtId="168" fontId="34" fillId="0" borderId="89" xfId="0" applyNumberFormat="1" applyFont="1" applyBorder="1"/>
    <xf numFmtId="43" fontId="0" fillId="0" borderId="89" xfId="1" applyFont="1" applyBorder="1" applyAlignment="1">
      <alignment horizontal="right" vertical="center"/>
    </xf>
    <xf numFmtId="44" fontId="42" fillId="13" borderId="93" xfId="2" applyFont="1" applyFill="1" applyBorder="1" applyAlignment="1">
      <alignment horizontal="right"/>
    </xf>
    <xf numFmtId="44" fontId="28" fillId="14" borderId="93" xfId="2" applyFont="1" applyFill="1" applyBorder="1" applyAlignment="1">
      <alignment horizontal="right"/>
    </xf>
    <xf numFmtId="44" fontId="16" fillId="13" borderId="93" xfId="2" applyFont="1" applyFill="1" applyBorder="1" applyAlignment="1">
      <alignment horizontal="right"/>
    </xf>
    <xf numFmtId="0" fontId="9" fillId="0" borderId="8" xfId="0" applyFont="1" applyBorder="1"/>
    <xf numFmtId="0" fontId="0" fillId="4" borderId="4" xfId="0" applyFill="1" applyBorder="1"/>
    <xf numFmtId="0" fontId="0" fillId="4" borderId="7" xfId="0" applyFill="1" applyBorder="1"/>
    <xf numFmtId="0" fontId="7" fillId="4" borderId="7" xfId="0" applyFont="1" applyFill="1" applyBorder="1"/>
    <xf numFmtId="0" fontId="4" fillId="0" borderId="94" xfId="0" applyFont="1" applyBorder="1" applyAlignment="1">
      <alignment horizontal="left" wrapText="1"/>
    </xf>
    <xf numFmtId="0" fontId="4" fillId="0" borderId="95" xfId="0" applyFont="1" applyBorder="1" applyAlignment="1">
      <alignment horizontal="right" wrapText="1"/>
    </xf>
    <xf numFmtId="0" fontId="4" fillId="7" borderId="39" xfId="0" applyFont="1" applyFill="1" applyBorder="1" applyAlignment="1">
      <alignment horizontal="left" wrapText="1"/>
    </xf>
    <xf numFmtId="43" fontId="4" fillId="0" borderId="94" xfId="1" applyFont="1" applyBorder="1" applyAlignment="1">
      <alignment horizontal="left" wrapText="1"/>
    </xf>
    <xf numFmtId="0" fontId="4" fillId="0" borderId="95" xfId="0" applyFont="1" applyBorder="1" applyAlignment="1">
      <alignment horizontal="left" wrapText="1"/>
    </xf>
    <xf numFmtId="43" fontId="17" fillId="2" borderId="95" xfId="0" applyNumberFormat="1" applyFont="1" applyFill="1" applyBorder="1" applyAlignment="1">
      <alignment horizontal="right"/>
    </xf>
    <xf numFmtId="43" fontId="17" fillId="2" borderId="94" xfId="0" applyNumberFormat="1" applyFont="1" applyFill="1" applyBorder="1" applyAlignment="1">
      <alignment horizontal="right"/>
    </xf>
    <xf numFmtId="0" fontId="13" fillId="2" borderId="94" xfId="0" applyFont="1" applyFill="1" applyBorder="1" applyAlignment="1">
      <alignment horizontal="right"/>
    </xf>
    <xf numFmtId="0" fontId="17" fillId="2" borderId="94" xfId="0" applyFont="1" applyFill="1" applyBorder="1" applyAlignment="1">
      <alignment horizontal="right"/>
    </xf>
    <xf numFmtId="0" fontId="23" fillId="2" borderId="96" xfId="0" applyFont="1" applyFill="1" applyBorder="1" applyAlignment="1">
      <alignment horizontal="left"/>
    </xf>
    <xf numFmtId="164" fontId="45" fillId="3" borderId="0" xfId="0" applyNumberFormat="1" applyFont="1" applyFill="1" applyAlignment="1">
      <alignment horizontal="right" wrapText="1"/>
    </xf>
    <xf numFmtId="164" fontId="27" fillId="3" borderId="0" xfId="0" applyNumberFormat="1" applyFont="1" applyFill="1" applyAlignment="1">
      <alignment horizontal="right" wrapText="1"/>
    </xf>
    <xf numFmtId="44" fontId="29" fillId="3" borderId="0" xfId="0" applyNumberFormat="1" applyFont="1" applyFill="1"/>
    <xf numFmtId="0" fontId="7" fillId="4" borderId="6" xfId="0" applyFont="1" applyFill="1" applyBorder="1" applyAlignment="1">
      <alignment horizontal="center"/>
    </xf>
    <xf numFmtId="44" fontId="28" fillId="0" borderId="8" xfId="2" applyFont="1" applyBorder="1"/>
    <xf numFmtId="43" fontId="0" fillId="0" borderId="8" xfId="1" applyFont="1" applyBorder="1"/>
    <xf numFmtId="44" fontId="28" fillId="0" borderId="38" xfId="0" applyNumberFormat="1" applyFont="1" applyBorder="1"/>
    <xf numFmtId="174" fontId="10" fillId="7" borderId="41" xfId="3" applyNumberFormat="1" applyFont="1" applyFill="1" applyBorder="1"/>
    <xf numFmtId="44" fontId="10" fillId="0" borderId="38" xfId="0" applyNumberFormat="1" applyFont="1" applyBorder="1"/>
    <xf numFmtId="44" fontId="10" fillId="0" borderId="8" xfId="0" applyNumberFormat="1" applyFont="1" applyBorder="1"/>
    <xf numFmtId="167" fontId="17" fillId="2" borderId="38" xfId="1" applyNumberFormat="1" applyFont="1" applyFill="1" applyBorder="1" applyAlignment="1"/>
    <xf numFmtId="169" fontId="14" fillId="3" borderId="41" xfId="1" applyNumberFormat="1" applyFont="1" applyFill="1" applyBorder="1"/>
    <xf numFmtId="169" fontId="14" fillId="3" borderId="38" xfId="1" applyNumberFormat="1" applyFont="1" applyFill="1" applyBorder="1"/>
    <xf numFmtId="174" fontId="44" fillId="2" borderId="8" xfId="3" applyNumberFormat="1" applyFont="1" applyFill="1" applyBorder="1" applyAlignment="1"/>
    <xf numFmtId="174" fontId="40" fillId="2" borderId="8" xfId="3" applyNumberFormat="1" applyFont="1" applyFill="1" applyBorder="1" applyAlignment="1"/>
    <xf numFmtId="0" fontId="41" fillId="0" borderId="4" xfId="0" applyFont="1" applyBorder="1" applyAlignment="1">
      <alignment horizontal="center"/>
    </xf>
    <xf numFmtId="0" fontId="41" fillId="0" borderId="5" xfId="0" applyFont="1" applyBorder="1" applyAlignment="1">
      <alignment horizontal="center"/>
    </xf>
    <xf numFmtId="0" fontId="41" fillId="0" borderId="6" xfId="0" applyFont="1" applyBorder="1" applyAlignment="1">
      <alignment horizontal="center"/>
    </xf>
    <xf numFmtId="0" fontId="41" fillId="0" borderId="7" xfId="0" applyFont="1" applyBorder="1" applyAlignment="1">
      <alignment horizontal="center"/>
    </xf>
    <xf numFmtId="0" fontId="41" fillId="0" borderId="0" xfId="0" applyFont="1" applyAlignment="1">
      <alignment horizontal="center"/>
    </xf>
    <xf numFmtId="0" fontId="41" fillId="0" borderId="8" xfId="0" applyFont="1" applyBorder="1" applyAlignment="1">
      <alignment horizontal="center"/>
    </xf>
    <xf numFmtId="0" fontId="49" fillId="0" borderId="21" xfId="0" applyFont="1" applyBorder="1" applyAlignment="1">
      <alignment horizontal="center" wrapText="1"/>
    </xf>
    <xf numFmtId="0" fontId="49" fillId="0" borderId="12" xfId="0" applyFont="1" applyBorder="1" applyAlignment="1">
      <alignment horizontal="center" wrapText="1"/>
    </xf>
    <xf numFmtId="0" fontId="49" fillId="0" borderId="31" xfId="0" applyFont="1" applyBorder="1" applyAlignment="1">
      <alignment horizontal="center" wrapText="1"/>
    </xf>
    <xf numFmtId="0" fontId="49" fillId="0" borderId="67" xfId="0" applyFont="1" applyBorder="1" applyAlignment="1">
      <alignment horizontal="center" wrapText="1"/>
    </xf>
    <xf numFmtId="0" fontId="49" fillId="0" borderId="27" xfId="0" applyFont="1" applyBorder="1" applyAlignment="1">
      <alignment horizontal="center" wrapText="1"/>
    </xf>
    <xf numFmtId="0" fontId="49" fillId="0" borderId="40" xfId="0" applyFont="1" applyBorder="1" applyAlignment="1">
      <alignment horizontal="center" wrapText="1"/>
    </xf>
    <xf numFmtId="0" fontId="49" fillId="2" borderId="27" xfId="0" applyFont="1" applyFill="1" applyBorder="1" applyAlignment="1">
      <alignment horizontal="right" wrapText="1"/>
    </xf>
    <xf numFmtId="0" fontId="49" fillId="2" borderId="40" xfId="0" applyFont="1" applyFill="1" applyBorder="1" applyAlignment="1">
      <alignment horizontal="right" wrapText="1"/>
    </xf>
    <xf numFmtId="0" fontId="49" fillId="0" borderId="36" xfId="0" applyFont="1" applyBorder="1" applyAlignment="1">
      <alignment horizontal="center" wrapText="1"/>
    </xf>
    <xf numFmtId="0" fontId="49" fillId="0" borderId="68" xfId="0" applyFont="1" applyBorder="1" applyAlignment="1">
      <alignment horizontal="center" wrapText="1"/>
    </xf>
    <xf numFmtId="0" fontId="49" fillId="2" borderId="23" xfId="0" applyFont="1" applyFill="1" applyBorder="1" applyAlignment="1">
      <alignment horizontal="right" wrapText="1"/>
    </xf>
    <xf numFmtId="0" fontId="49" fillId="2" borderId="13" xfId="0" applyFont="1" applyFill="1" applyBorder="1" applyAlignment="1">
      <alignment horizontal="right" wrapText="1"/>
    </xf>
    <xf numFmtId="178" fontId="31" fillId="4" borderId="56" xfId="0" applyNumberFormat="1" applyFont="1" applyFill="1" applyBorder="1" applyAlignment="1">
      <alignment horizontal="center"/>
    </xf>
    <xf numFmtId="178" fontId="31" fillId="4" borderId="57" xfId="0" applyNumberFormat="1" applyFont="1" applyFill="1" applyBorder="1" applyAlignment="1">
      <alignment horizontal="center"/>
    </xf>
    <xf numFmtId="178" fontId="31" fillId="4" borderId="58" xfId="0" applyNumberFormat="1" applyFont="1" applyFill="1" applyBorder="1" applyAlignment="1">
      <alignment horizontal="center"/>
    </xf>
    <xf numFmtId="0" fontId="49" fillId="0" borderId="31" xfId="0" applyFont="1" applyBorder="1" applyAlignment="1">
      <alignment horizontal="center" vertical="center" wrapText="1"/>
    </xf>
    <xf numFmtId="0" fontId="49" fillId="0" borderId="67" xfId="0" applyFont="1" applyBorder="1" applyAlignment="1">
      <alignment horizontal="center" vertical="center" wrapText="1"/>
    </xf>
    <xf numFmtId="43" fontId="50" fillId="2" borderId="23" xfId="0" applyNumberFormat="1" applyFont="1" applyFill="1" applyBorder="1" applyAlignment="1">
      <alignment horizontal="right" vertical="center" textRotation="90"/>
    </xf>
    <xf numFmtId="43" fontId="50" fillId="2" borderId="21" xfId="0" applyNumberFormat="1" applyFont="1" applyFill="1" applyBorder="1" applyAlignment="1">
      <alignment horizontal="right" vertical="center" textRotation="90"/>
    </xf>
  </cellXfs>
  <cellStyles count="8">
    <cellStyle name="Comma" xfId="1" builtinId="3"/>
    <cellStyle name="Currency" xfId="2" builtinId="4"/>
    <cellStyle name="Normal" xfId="0" builtinId="0"/>
    <cellStyle name="Normal 2" xfId="4" xr:uid="{A5ED2F32-1B1B-4422-89AC-06B905178AB4}"/>
    <cellStyle name="Normal 3" xfId="5" xr:uid="{EEF0F66D-CCB6-4A89-A2B1-11A2C0430C60}"/>
    <cellStyle name="Normal 4" xfId="6" xr:uid="{5015E43E-9714-4930-A17C-691DE01CF2AC}"/>
    <cellStyle name="Normal 5" xfId="7" xr:uid="{B2BE4F6B-0336-47F0-90E9-D8419412B55F}"/>
    <cellStyle name="Percent" xfId="3" builtinId="5"/>
  </cellStyles>
  <dxfs count="5">
    <dxf>
      <fill>
        <patternFill>
          <bgColor rgb="FFFF0000"/>
        </patternFill>
      </fill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</dxfs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Cash</a:t>
            </a:r>
            <a:r>
              <a:rPr lang="en-US" b="0" baseline="0"/>
              <a:t> Position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1586593560621682E-2"/>
          <c:y val="7.8882915510537846E-2"/>
          <c:w val="0.89119345895470237"/>
          <c:h val="0.68670443737093045"/>
        </c:manualLayout>
      </c:layout>
      <c:areaChart>
        <c:grouping val="standard"/>
        <c:varyColors val="0"/>
        <c:ser>
          <c:idx val="0"/>
          <c:order val="0"/>
          <c:tx>
            <c:v>Cash Balance</c:v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</c:spPr>
          <c:cat>
            <c:numRef>
              <c:f>'Monthly Detail'!$AH$4:$BE$4</c:f>
              <c:numCache>
                <c:formatCode>m/d/yyyy</c:formatCode>
                <c:ptCount val="15"/>
                <c:pt idx="0">
                  <c:v>45777</c:v>
                </c:pt>
                <c:pt idx="1">
                  <c:v>45808</c:v>
                </c:pt>
                <c:pt idx="2">
                  <c:v>45838</c:v>
                </c:pt>
                <c:pt idx="3">
                  <c:v>45869</c:v>
                </c:pt>
                <c:pt idx="4">
                  <c:v>45900</c:v>
                </c:pt>
                <c:pt idx="5">
                  <c:v>45930</c:v>
                </c:pt>
                <c:pt idx="6">
                  <c:v>45961</c:v>
                </c:pt>
                <c:pt idx="7">
                  <c:v>45991</c:v>
                </c:pt>
                <c:pt idx="8">
                  <c:v>46022</c:v>
                </c:pt>
                <c:pt idx="9">
                  <c:v>46053</c:v>
                </c:pt>
                <c:pt idx="10">
                  <c:v>46081</c:v>
                </c:pt>
                <c:pt idx="11">
                  <c:v>46112</c:v>
                </c:pt>
                <c:pt idx="12">
                  <c:v>46142</c:v>
                </c:pt>
                <c:pt idx="13">
                  <c:v>46173</c:v>
                </c:pt>
                <c:pt idx="14">
                  <c:v>46203</c:v>
                </c:pt>
              </c:numCache>
            </c:numRef>
          </c:cat>
          <c:val>
            <c:numRef>
              <c:f>'Monthly Detail'!$AH$173:$BE$173</c:f>
              <c:numCache>
                <c:formatCode>_("$"* #,##0.00_);_("$"* \(#,##0.00\);_("$"* "-"??_);_(@_)</c:formatCode>
                <c:ptCount val="15"/>
                <c:pt idx="0">
                  <c:v>4308.260000000002</c:v>
                </c:pt>
                <c:pt idx="1">
                  <c:v>6543.9400000000005</c:v>
                </c:pt>
                <c:pt idx="2">
                  <c:v>6711.0300000000025</c:v>
                </c:pt>
                <c:pt idx="3">
                  <c:v>6634.2400000000007</c:v>
                </c:pt>
                <c:pt idx="4">
                  <c:v>7155.09</c:v>
                </c:pt>
                <c:pt idx="5">
                  <c:v>6407.6500000000042</c:v>
                </c:pt>
                <c:pt idx="6">
                  <c:v>5875.6200000000063</c:v>
                </c:pt>
                <c:pt idx="7">
                  <c:v>6709.384926385479</c:v>
                </c:pt>
                <c:pt idx="8">
                  <c:v>6984.8443392392683</c:v>
                </c:pt>
                <c:pt idx="9">
                  <c:v>6862.0471109875516</c:v>
                </c:pt>
                <c:pt idx="10">
                  <c:v>7406.8116477666917</c:v>
                </c:pt>
                <c:pt idx="11">
                  <c:v>8495.1490119753107</c:v>
                </c:pt>
                <c:pt idx="12">
                  <c:v>10625.230603735199</c:v>
                </c:pt>
                <c:pt idx="13">
                  <c:v>12363.364296821561</c:v>
                </c:pt>
                <c:pt idx="14">
                  <c:v>14273.665575682058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761-4B2D-8399-6735833BA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245648"/>
        <c:axId val="2026246064"/>
      </c:areaChar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6245648"/>
        <c:axId val="2026246064"/>
        <c:extLst>
          <c:ext xmlns:c15="http://schemas.microsoft.com/office/drawing/2012/chart" uri="{02D57815-91ED-43cb-92C2-25804820EDAC}">
            <c15:filteredBarSeries>
              <c15:ser>
                <c:idx val="2"/>
                <c:order val="1"/>
                <c:tx>
                  <c:v>COGS</c:v>
                </c:tx>
                <c:spPr>
                  <a:solidFill>
                    <a:schemeClr val="accent6">
                      <a:tint val="86000"/>
                    </a:schemeClr>
                  </a:solidFill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'Monthly Detail'!$AB$4:$AY$4</c15:sqref>
                        </c15:formulaRef>
                      </c:ext>
                    </c:extLst>
                    <c:numCache>
                      <c:formatCode>m/d/yyyy</c:formatCode>
                      <c:ptCount val="9"/>
                      <c:pt idx="0">
                        <c:v>45777</c:v>
                      </c:pt>
                      <c:pt idx="1">
                        <c:v>45808</c:v>
                      </c:pt>
                      <c:pt idx="2">
                        <c:v>45838</c:v>
                      </c:pt>
                      <c:pt idx="3">
                        <c:v>45869</c:v>
                      </c:pt>
                      <c:pt idx="4">
                        <c:v>45900</c:v>
                      </c:pt>
                      <c:pt idx="5">
                        <c:v>45930</c:v>
                      </c:pt>
                      <c:pt idx="6">
                        <c:v>45961</c:v>
                      </c:pt>
                      <c:pt idx="7">
                        <c:v>45991</c:v>
                      </c:pt>
                      <c:pt idx="8">
                        <c:v>46022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'Monthly Detail'!$AB$61:$BE$61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15"/>
                      <c:pt idx="0">
                        <c:v>600.56999999999994</c:v>
                      </c:pt>
                      <c:pt idx="1">
                        <c:v>1623.48</c:v>
                      </c:pt>
                      <c:pt idx="2">
                        <c:v>685.83</c:v>
                      </c:pt>
                      <c:pt idx="3">
                        <c:v>804.71</c:v>
                      </c:pt>
                      <c:pt idx="4">
                        <c:v>973.71</c:v>
                      </c:pt>
                      <c:pt idx="5">
                        <c:v>1145.55</c:v>
                      </c:pt>
                      <c:pt idx="6">
                        <c:v>860.51</c:v>
                      </c:pt>
                      <c:pt idx="7">
                        <c:v>949.43806480266301</c:v>
                      </c:pt>
                      <c:pt idx="8">
                        <c:v>1931.8545773333349</c:v>
                      </c:pt>
                      <c:pt idx="9">
                        <c:v>1659.0107852656674</c:v>
                      </c:pt>
                      <c:pt idx="10">
                        <c:v>2155.0375654454901</c:v>
                      </c:pt>
                      <c:pt idx="11">
                        <c:v>2521.7613948034968</c:v>
                      </c:pt>
                      <c:pt idx="12">
                        <c:v>3310.7110598909453</c:v>
                      </c:pt>
                      <c:pt idx="13">
                        <c:v>3035.7058357528072</c:v>
                      </c:pt>
                      <c:pt idx="14">
                        <c:v>3070.395950798139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3761-4B2D-8399-6735833BA7A7}"/>
                  </c:ext>
                </c:extLst>
              </c15:ser>
            </c15:filteredBarSeries>
          </c:ext>
        </c:extLst>
      </c:barChart>
      <c:barChart>
        <c:barDir val="col"/>
        <c:grouping val="stacked"/>
        <c:varyColors val="0"/>
        <c:ser>
          <c:idx val="3"/>
          <c:order val="2"/>
          <c:tx>
            <c:v>Total Income</c:v>
          </c:tx>
          <c:spPr>
            <a:ln>
              <a:solidFill>
                <a:sysClr val="windowText" lastClr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E-BBAC-4052-B5F7-7EA330FA936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73A1-4459-A24B-9BF62985F00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73A1-4459-A24B-9BF62985F00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73A1-4459-A24B-9BF62985F00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73A1-4459-A24B-9BF62985F00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C-73A1-4459-A24B-9BF62985F00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73A1-4459-A24B-9BF62985F00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73A1-4459-A24B-9BF62985F00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F8EA-4D02-9C8D-0EE197A50C7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8-D95E-4311-898C-F53DC6912E27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D95E-4311-898C-F53DC6912E27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A-D95E-4311-898C-F53DC6912E27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D95E-4311-898C-F53DC6912E27}"/>
              </c:ext>
            </c:extLst>
          </c:dPt>
          <c:cat>
            <c:numRef>
              <c:f>'Monthly Detail'!$AB$4:$AY$4</c:f>
              <c:numCache>
                <c:formatCode>m/d/yyyy</c:formatCode>
                <c:ptCount val="9"/>
                <c:pt idx="0">
                  <c:v>45777</c:v>
                </c:pt>
                <c:pt idx="1">
                  <c:v>45808</c:v>
                </c:pt>
                <c:pt idx="2">
                  <c:v>45838</c:v>
                </c:pt>
                <c:pt idx="3">
                  <c:v>45869</c:v>
                </c:pt>
                <c:pt idx="4">
                  <c:v>45900</c:v>
                </c:pt>
                <c:pt idx="5">
                  <c:v>45930</c:v>
                </c:pt>
                <c:pt idx="6">
                  <c:v>45961</c:v>
                </c:pt>
                <c:pt idx="7">
                  <c:v>45991</c:v>
                </c:pt>
                <c:pt idx="8">
                  <c:v>46022</c:v>
                </c:pt>
              </c:numCache>
            </c:numRef>
          </c:cat>
          <c:val>
            <c:numRef>
              <c:f>'Monthly Detail'!$AB$13:$BE$13</c:f>
            </c:numRef>
          </c:val>
          <c:extLst>
            <c:ext xmlns:c16="http://schemas.microsoft.com/office/drawing/2014/chart" uri="{C3380CC4-5D6E-409C-BE32-E72D297353CC}">
              <c16:uniqueId val="{0000000A-3761-4B2D-8399-6735833BA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245648"/>
        <c:axId val="2026246064"/>
      </c:barChart>
      <c:barChart>
        <c:barDir val="col"/>
        <c:grouping val="stacked"/>
        <c:varyColors val="0"/>
        <c:ser>
          <c:idx val="4"/>
          <c:order val="3"/>
          <c:tx>
            <c:v>EBITDA</c:v>
          </c:tx>
          <c:spPr>
            <a:ln>
              <a:solidFill>
                <a:sysClr val="windowText" lastClr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73A1-4459-A24B-9BF62985F00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73A1-4459-A24B-9BF62985F00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73A1-4459-A24B-9BF62985F00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73A1-4459-A24B-9BF62985F00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73A1-4459-A24B-9BF62985F00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73A1-4459-A24B-9BF62985F00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73A1-4459-A24B-9BF62985F00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73A1-4459-A24B-9BF62985F00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0-F8EA-4D02-9C8D-0EE197A50C7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4-2410-499F-8DC8-28DB4D6F5C01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6-E678-4401-94C0-6297A2D058BC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C-D95E-4311-898C-F53DC6912E27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D-D95E-4311-898C-F53DC6912E27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4-E9B9-42D0-B36F-CCCFA0FEAA6A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5-E9B9-42D0-B36F-CCCFA0FEAA6A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8-72BC-4842-B470-C1CD417BDDD1}"/>
              </c:ext>
            </c:extLst>
          </c:dPt>
          <c:cat>
            <c:numRef>
              <c:f>'Monthly Detail'!$AH$4:$AY$4</c:f>
              <c:numCache>
                <c:formatCode>m/d/yyyy</c:formatCode>
                <c:ptCount val="9"/>
                <c:pt idx="0">
                  <c:v>45777</c:v>
                </c:pt>
                <c:pt idx="1">
                  <c:v>45808</c:v>
                </c:pt>
                <c:pt idx="2">
                  <c:v>45838</c:v>
                </c:pt>
                <c:pt idx="3">
                  <c:v>45869</c:v>
                </c:pt>
                <c:pt idx="4">
                  <c:v>45900</c:v>
                </c:pt>
                <c:pt idx="5">
                  <c:v>45930</c:v>
                </c:pt>
                <c:pt idx="6">
                  <c:v>45961</c:v>
                </c:pt>
                <c:pt idx="7">
                  <c:v>45991</c:v>
                </c:pt>
                <c:pt idx="8">
                  <c:v>46022</c:v>
                </c:pt>
              </c:numCache>
            </c:numRef>
          </c:cat>
          <c:val>
            <c:numRef>
              <c:f>'Monthly Detail'!$AH$92:$BE$92</c:f>
              <c:numCache>
                <c:formatCode>_("$"* #,##0.00_);_("$"* \(#,##0.00\);_("$"* "-"??_);_(@_)</c:formatCode>
                <c:ptCount val="15"/>
                <c:pt idx="0">
                  <c:v>2096.9800000000014</c:v>
                </c:pt>
                <c:pt idx="1">
                  <c:v>2264.0999999999995</c:v>
                </c:pt>
                <c:pt idx="2">
                  <c:v>2846.1099999999997</c:v>
                </c:pt>
                <c:pt idx="3">
                  <c:v>2933.4300000000003</c:v>
                </c:pt>
                <c:pt idx="4">
                  <c:v>3070.3800000000006</c:v>
                </c:pt>
                <c:pt idx="5">
                  <c:v>1881.12</c:v>
                </c:pt>
                <c:pt idx="6">
                  <c:v>2290</c:v>
                </c:pt>
                <c:pt idx="7">
                  <c:v>-710.26530412345983</c:v>
                </c:pt>
                <c:pt idx="8">
                  <c:v>495.58377970419224</c:v>
                </c:pt>
                <c:pt idx="9">
                  <c:v>11.849956241489963</c:v>
                </c:pt>
                <c:pt idx="10">
                  <c:v>732.97914693500206</c:v>
                </c:pt>
                <c:pt idx="11">
                  <c:v>1266.1262850332587</c:v>
                </c:pt>
                <c:pt idx="12">
                  <c:v>2339.4956586852468</c:v>
                </c:pt>
                <c:pt idx="13">
                  <c:v>1864.180038014264</c:v>
                </c:pt>
                <c:pt idx="14">
                  <c:v>2063.7372390375622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761-4B2D-8399-6735833BA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245648"/>
        <c:axId val="2026246064"/>
      </c:barChart>
      <c:dateAx>
        <c:axId val="2026245648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246064"/>
        <c:crosses val="autoZero"/>
        <c:auto val="1"/>
        <c:lblOffset val="100"/>
        <c:baseTimeUnit val="months"/>
        <c:majorUnit val="3"/>
      </c:dateAx>
      <c:valAx>
        <c:axId val="2026246064"/>
        <c:scaling>
          <c:orientation val="minMax"/>
        </c:scaling>
        <c:delete val="0"/>
        <c:axPos val="l"/>
        <c:numFmt formatCode="&quot;$&quot;* #,##0_€;[Red]\(&quot;$&quot;* #,##0_€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24564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ysClr val="window" lastClr="FFFFFF"/>
    </a:solidFill>
    <a:ln w="1905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'2023 Overview'!$B$29</c:f>
              <c:strCache>
                <c:ptCount val="1"/>
                <c:pt idx="0">
                  <c:v>Operating Cash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9A4-4232-A037-0B61B973C6F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9A4-4232-A037-0B61B973C6F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9A4-4232-A037-0B61B973C6F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9A4-4232-A037-0B61B973C6F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9A4-4232-A037-0B61B973C6F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9A4-4232-A037-0B61B973C6F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9A4-4232-A037-0B61B973C6F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9A4-4232-A037-0B61B973C6F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9A4-4232-A037-0B61B973C6F0}"/>
                </c:ext>
              </c:extLst>
            </c:dLbl>
            <c:dLbl>
              <c:idx val="9"/>
              <c:layout>
                <c:manualLayout>
                  <c:x val="4.2762454564892029E-3"/>
                  <c:y val="-4.49897750511248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9A4-4232-A037-0B61B973C6F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9A4-4232-A037-0B61B973C6F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9A4-4232-A037-0B61B973C6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'2023 Overview'!$C$10:$N$10</c:f>
              <c:strCache>
                <c:ptCount val="5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</c:strCache>
            </c:strRef>
          </c:cat>
          <c:val>
            <c:numRef>
              <c:f>'2023 Overview'!$C$29:$N$29</c:f>
              <c:numCache>
                <c:formatCode>_("$"* #,##0.00_);_("$"* \(#,##0.00\);_("$"*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8-43BA-843B-9620D8EB01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418911"/>
        <c:axId val="1908237535"/>
      </c:barChart>
      <c:lineChart>
        <c:grouping val="standard"/>
        <c:varyColors val="0"/>
        <c:ser>
          <c:idx val="1"/>
          <c:order val="1"/>
          <c:tx>
            <c:strRef>
              <c:f>'2023 Overview'!$B$30</c:f>
              <c:strCache>
                <c:ptCount val="1"/>
                <c:pt idx="0">
                  <c:v>Cash Inflow (Outflow)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'2023 Overview'!$C$30:$N$30</c:f>
              <c:numCache>
                <c:formatCode>_("$"* #,##0.00_);_("$"* \(#,##0.00\);_("$"*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A8-43BA-843B-9620D8EB01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418911"/>
        <c:axId val="1908237535"/>
      </c:lineChart>
      <c:catAx>
        <c:axId val="1834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37535"/>
        <c:crosses val="autoZero"/>
        <c:auto val="1"/>
        <c:lblAlgn val="ctr"/>
        <c:lblOffset val="100"/>
        <c:noMultiLvlLbl val="0"/>
      </c:catAx>
      <c:valAx>
        <c:axId val="190823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 - Recurring Client Base</a:t>
            </a:r>
          </a:p>
        </c:rich>
      </c:tx>
      <c:layout>
        <c:manualLayout>
          <c:xMode val="edge"/>
          <c:yMode val="edge"/>
          <c:x val="0.46199195537212084"/>
          <c:y val="4.5295064353765152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5"/>
          <c:order val="0"/>
          <c:tx>
            <c:strRef>
              <c:f>'2025 Overview (Budget)'!$B$46</c:f>
              <c:strCache>
                <c:ptCount val="1"/>
                <c:pt idx="0">
                  <c:v>Operating (Business) Cash</c:v>
                </c:pt>
              </c:strCache>
            </c:strRef>
          </c:tx>
          <c:spPr>
            <a:solidFill>
              <a:schemeClr val="accent1"/>
            </a:solidFill>
            <a:ln w="15875">
              <a:solidFill>
                <a:schemeClr val="tx1"/>
              </a:solidFill>
            </a:ln>
          </c:spPr>
          <c:cat>
            <c:strRef>
              <c:f>'2025 Overview (Budget)'!$C$18:$N$18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Overview (Budget)'!$C$46:$N$46</c:f>
              <c:numCache>
                <c:formatCode>_("$"* #,##0.00_);_("$"* \(#,##0.00\);_("$"* "-"??_);_(@_)</c:formatCode>
                <c:ptCount val="12"/>
                <c:pt idx="0">
                  <c:v>1326.2080000000001</c:v>
                </c:pt>
                <c:pt idx="1">
                  <c:v>1606.7285000000002</c:v>
                </c:pt>
                <c:pt idx="2">
                  <c:v>2203.0059999999999</c:v>
                </c:pt>
                <c:pt idx="3">
                  <c:v>2800.3690000000001</c:v>
                </c:pt>
                <c:pt idx="4">
                  <c:v>4253.5610000000006</c:v>
                </c:pt>
                <c:pt idx="5">
                  <c:v>4362.1695000000009</c:v>
                </c:pt>
                <c:pt idx="6">
                  <c:v>4312.2560000000003</c:v>
                </c:pt>
                <c:pt idx="7">
                  <c:v>4650.8085000000001</c:v>
                </c:pt>
                <c:pt idx="8">
                  <c:v>4164.9724999999999</c:v>
                </c:pt>
                <c:pt idx="9">
                  <c:v>3819.1530000000002</c:v>
                </c:pt>
                <c:pt idx="10">
                  <c:v>2019.7107169290684</c:v>
                </c:pt>
                <c:pt idx="11">
                  <c:v>1694.3506908550485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1-43C7-ABE2-00D21FCAA1F2}"/>
            </c:ext>
          </c:extLst>
        </c:ser>
        <c:ser>
          <c:idx val="2"/>
          <c:order val="1"/>
          <c:tx>
            <c:strRef>
              <c:f>'2025 Overview (Budget)'!$B$47</c:f>
              <c:strCache>
                <c:ptCount val="1"/>
                <c:pt idx="0">
                  <c:v>Savings Cash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tx1"/>
              </a:solidFill>
            </a:ln>
          </c:spPr>
          <c:cat>
            <c:strRef>
              <c:f>'2025 Overview (Budget)'!$C$18:$N$18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Overview (Budget)'!$C$47:$N$47</c:f>
              <c:numCache>
                <c:formatCode>_("$"* #,##0.00_);_("$"* \(#,##0.00\);_("$"* "-"??_);_(@_)</c:formatCode>
                <c:ptCount val="12"/>
                <c:pt idx="0">
                  <c:v>45.02</c:v>
                </c:pt>
                <c:pt idx="1">
                  <c:v>68.56</c:v>
                </c:pt>
                <c:pt idx="2">
                  <c:v>0.03</c:v>
                </c:pt>
                <c:pt idx="3">
                  <c:v>9.57</c:v>
                </c:pt>
                <c:pt idx="4">
                  <c:v>150.5</c:v>
                </c:pt>
                <c:pt idx="5">
                  <c:v>17.12</c:v>
                </c:pt>
                <c:pt idx="6">
                  <c:v>50.77</c:v>
                </c:pt>
                <c:pt idx="7">
                  <c:v>0.77</c:v>
                </c:pt>
                <c:pt idx="8">
                  <c:v>37.46</c:v>
                </c:pt>
                <c:pt idx="9">
                  <c:v>15.87</c:v>
                </c:pt>
                <c:pt idx="10">
                  <c:v>28.95</c:v>
                </c:pt>
                <c:pt idx="11">
                  <c:v>28.95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91-43C7-ABE2-00D21FCAA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18911"/>
        <c:axId val="1908237535"/>
      </c:areaChart>
      <c:barChart>
        <c:barDir val="col"/>
        <c:grouping val="clustered"/>
        <c:varyColors val="0"/>
        <c:ser>
          <c:idx val="6"/>
          <c:order val="2"/>
          <c:tx>
            <c:strRef>
              <c:f>'2025 Overview (Budget)'!$B$49</c:f>
              <c:strCache>
                <c:ptCount val="1"/>
                <c:pt idx="0">
                  <c:v>Total Cash Inflow (Outflow)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rgbClr val="FF0000"/>
              </a:solidFill>
            </a:ln>
          </c:spPr>
          <c:invertIfNegative val="0"/>
          <c:cat>
            <c:strRef>
              <c:f>'2025 Overview (Budget)'!$C$18:$N$18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Overview (Budget)'!$C$49:$N$49</c:f>
              <c:numCache>
                <c:formatCode>_("$"* #,##0.00_);_("$"* \(#,##0.00\);_("$"* "-"??_);_(@_)</c:formatCode>
                <c:ptCount val="12"/>
                <c:pt idx="0">
                  <c:v>614.3199999999988</c:v>
                </c:pt>
                <c:pt idx="1">
                  <c:v>431.57000000000471</c:v>
                </c:pt>
                <c:pt idx="2">
                  <c:v>917.34999999999854</c:v>
                </c:pt>
                <c:pt idx="3">
                  <c:v>919.02000000000089</c:v>
                </c:pt>
                <c:pt idx="4">
                  <c:v>2235.6799999999985</c:v>
                </c:pt>
                <c:pt idx="5">
                  <c:v>167.09000000000196</c:v>
                </c:pt>
                <c:pt idx="6">
                  <c:v>-76.790000000001783</c:v>
                </c:pt>
                <c:pt idx="7">
                  <c:v>520.84999999999945</c:v>
                </c:pt>
                <c:pt idx="8">
                  <c:v>-747.43999999999596</c:v>
                </c:pt>
                <c:pt idx="9">
                  <c:v>-532.02999999999747</c:v>
                </c:pt>
                <c:pt idx="10">
                  <c:v>-1736.4419478597249</c:v>
                </c:pt>
                <c:pt idx="11">
                  <c:v>-500.5538862677231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91-43C7-ABE2-00D21FCAA1F2}"/>
            </c:ext>
          </c:extLst>
        </c:ser>
        <c:ser>
          <c:idx val="7"/>
          <c:order val="3"/>
          <c:tx>
            <c:strRef>
              <c:f>'2025 Overview (Budget)'!$B$22</c:f>
              <c:strCache>
                <c:ptCount val="1"/>
                <c:pt idx="0">
                  <c:v> Total Income 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solidFill>
                <a:schemeClr val="tx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4A91-43C7-ABE2-00D21FCAA1F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4A91-43C7-ABE2-00D21FCAA1F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4A91-43C7-ABE2-00D21FCAA1F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4A91-43C7-ABE2-00D21FCAA1F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4A91-43C7-ABE2-00D21FCAA1F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4A91-43C7-ABE2-00D21FCAA1F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4A91-43C7-ABE2-00D21FCAA1F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4A91-43C7-ABE2-00D21FCAA1F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C-4A91-43C7-ABE2-00D21FCAA1F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4A91-43C7-ABE2-00D21FCAA1F2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4A91-43C7-ABE2-00D21FCAA1F2}"/>
              </c:ext>
            </c:extLst>
          </c:dPt>
          <c:cat>
            <c:strRef>
              <c:f>'2025 Overview (Budget)'!$C$18:$N$18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Overview (Budget)'!$C$22:$N$22</c:f>
              <c:numCache>
                <c:formatCode>_("$"* #,##0_);_("$"* \(#,##0\);_("$"* "-"??_);_(@_)</c:formatCode>
                <c:ptCount val="12"/>
                <c:pt idx="0">
                  <c:v>6721.05</c:v>
                </c:pt>
                <c:pt idx="1">
                  <c:v>6501.14</c:v>
                </c:pt>
                <c:pt idx="2">
                  <c:v>7108.5</c:v>
                </c:pt>
                <c:pt idx="3">
                  <c:v>7861.75</c:v>
                </c:pt>
                <c:pt idx="4">
                  <c:v>7877.62</c:v>
                </c:pt>
                <c:pt idx="5">
                  <c:v>6887.45</c:v>
                </c:pt>
                <c:pt idx="6">
                  <c:v>7418.55</c:v>
                </c:pt>
                <c:pt idx="7">
                  <c:v>7653.35</c:v>
                </c:pt>
                <c:pt idx="8">
                  <c:v>6170.45</c:v>
                </c:pt>
                <c:pt idx="9">
                  <c:v>6998.25</c:v>
                </c:pt>
                <c:pt idx="10">
                  <c:v>7017.707274880775</c:v>
                </c:pt>
                <c:pt idx="11">
                  <c:v>8571.1672628560773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A91-43C7-ABE2-00D21FCAA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418911"/>
        <c:axId val="1908237535"/>
        <c:extLst>
          <c:ext xmlns:c15="http://schemas.microsoft.com/office/drawing/2012/chart" uri="{02D57815-91ED-43cb-92C2-25804820EDAC}">
            <c15:filteredBarSeries>
              <c15:ser>
                <c:idx val="8"/>
                <c:order val="4"/>
                <c:tx>
                  <c:strRef>
                    <c:extLst>
                      <c:ext uri="{02D57815-91ED-43cb-92C2-25804820EDAC}">
                        <c15:formulaRef>
                          <c15:sqref>'2025 Overview (Budget)'!$B$24</c15:sqref>
                        </c15:formulaRef>
                      </c:ext>
                    </c:extLst>
                    <c:strCache>
                      <c:ptCount val="1"/>
                      <c:pt idx="0">
                        <c:v> MRR </c:v>
                      </c:pt>
                    </c:strCache>
                  </c:strRef>
                </c:tx>
                <c:spPr>
                  <a:ln>
                    <a:solidFill>
                      <a:schemeClr val="tx1"/>
                    </a:solidFill>
                  </a:ln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'2025 Overview (Budget)'!$C$18:$N$18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Overview (Budget)'!$C$24:$N$24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12"/>
                      <c:pt idx="0">
                        <c:v>4460.1049985636309</c:v>
                      </c:pt>
                      <c:pt idx="1">
                        <c:v>4123.6762769319166</c:v>
                      </c:pt>
                      <c:pt idx="2">
                        <c:v>3775.439153439153</c:v>
                      </c:pt>
                      <c:pt idx="3">
                        <c:v>4062.1518588531817</c:v>
                      </c:pt>
                      <c:pt idx="4">
                        <c:v>4083.8286456278765</c:v>
                      </c:pt>
                      <c:pt idx="5">
                        <c:v>4773.196357960458</c:v>
                      </c:pt>
                      <c:pt idx="6">
                        <c:v>4270.3348629984403</c:v>
                      </c:pt>
                      <c:pt idx="7">
                        <c:v>4966.173777777778</c:v>
                      </c:pt>
                      <c:pt idx="8">
                        <c:v>4723.0604938271608</c:v>
                      </c:pt>
                      <c:pt idx="9">
                        <c:v>4942.8781212841859</c:v>
                      </c:pt>
                      <c:pt idx="10">
                        <c:v>4643.0955504882249</c:v>
                      </c:pt>
                      <c:pt idx="11">
                        <c:v>6105.5717917078182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E-4A91-43C7-ABE2-00D21FCAA1F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5"/>
          <c:tx>
            <c:strRef>
              <c:f>'2025 Overview (Budget)'!$B$25</c:f>
              <c:strCache>
                <c:ptCount val="1"/>
                <c:pt idx="0">
                  <c:v> Recurring Client Base 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dPt>
            <c:idx val="1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4A91-43C7-ABE2-00D21FCAA1F2}"/>
              </c:ext>
            </c:extLst>
          </c:dPt>
          <c:dPt>
            <c:idx val="2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2-4A91-43C7-ABE2-00D21FCAA1F2}"/>
              </c:ext>
            </c:extLst>
          </c:dPt>
          <c:dPt>
            <c:idx val="3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4A91-43C7-ABE2-00D21FCAA1F2}"/>
              </c:ext>
            </c:extLst>
          </c:dPt>
          <c:dPt>
            <c:idx val="4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4A91-43C7-ABE2-00D21FCAA1F2}"/>
              </c:ext>
            </c:extLst>
          </c:dPt>
          <c:dPt>
            <c:idx val="5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4A91-43C7-ABE2-00D21FCAA1F2}"/>
              </c:ext>
            </c:extLst>
          </c:dPt>
          <c:dPt>
            <c:idx val="6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4A91-43C7-ABE2-00D21FCAA1F2}"/>
              </c:ext>
            </c:extLst>
          </c:dPt>
          <c:dPt>
            <c:idx val="7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4A91-43C7-ABE2-00D21FCAA1F2}"/>
              </c:ext>
            </c:extLst>
          </c:dPt>
          <c:dPt>
            <c:idx val="8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8-4A91-43C7-ABE2-00D21FCAA1F2}"/>
              </c:ext>
            </c:extLst>
          </c:dPt>
          <c:dPt>
            <c:idx val="9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4A91-43C7-ABE2-00D21FCAA1F2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1A-4A91-43C7-ABE2-00D21FCAA1F2}"/>
              </c:ext>
            </c:extLst>
          </c:dPt>
          <c:dLbls>
            <c:dLbl>
              <c:idx val="0"/>
              <c:layout>
                <c:manualLayout>
                  <c:x val="-1.7706234108261183E-2"/>
                  <c:y val="-1.37087269626366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A91-43C7-ABE2-00D21FCAA1F2}"/>
                </c:ext>
              </c:extLst>
            </c:dLbl>
            <c:dLbl>
              <c:idx val="1"/>
              <c:layout>
                <c:manualLayout>
                  <c:x val="-1.7251257479128722E-2"/>
                  <c:y val="-5.32126221510629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A91-43C7-ABE2-00D21FCAA1F2}"/>
                </c:ext>
              </c:extLst>
            </c:dLbl>
            <c:dLbl>
              <c:idx val="2"/>
              <c:layout>
                <c:manualLayout>
                  <c:x val="-2.1441846340455512E-2"/>
                  <c:y val="-5.09092966750318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A91-43C7-ABE2-00D21FCAA1F2}"/>
                </c:ext>
              </c:extLst>
            </c:dLbl>
            <c:dLbl>
              <c:idx val="3"/>
              <c:layout>
                <c:manualLayout>
                  <c:x val="-1.7251257479128722E-2"/>
                  <c:y val="-4.39993202469382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A91-43C7-ABE2-00D21FCAA1F2}"/>
                </c:ext>
              </c:extLst>
            </c:dLbl>
            <c:dLbl>
              <c:idx val="4"/>
              <c:layout>
                <c:manualLayout>
                  <c:x val="-1.7251257479128722E-2"/>
                  <c:y val="-4.16959947709070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A91-43C7-ABE2-00D21FCAA1F2}"/>
                </c:ext>
              </c:extLst>
            </c:dLbl>
            <c:dLbl>
              <c:idx val="5"/>
              <c:layout>
                <c:manualLayout>
                  <c:x val="-1.725125747912867E-2"/>
                  <c:y val="-5.09092966750317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A91-43C7-ABE2-00D21FCAA1F2}"/>
                </c:ext>
              </c:extLst>
            </c:dLbl>
            <c:dLbl>
              <c:idx val="6"/>
              <c:layout>
                <c:manualLayout>
                  <c:x val="-2.9820216945924526E-2"/>
                  <c:y val="-3.22591460314811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A91-43C7-ABE2-00D21FCAA1F2}"/>
                </c:ext>
              </c:extLst>
            </c:dLbl>
            <c:dLbl>
              <c:idx val="7"/>
              <c:layout>
                <c:manualLayout>
                  <c:x val="-2.6634525909234985E-2"/>
                  <c:y val="-3.91839922187817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A91-43C7-ABE2-00D21FCAA1F2}"/>
                </c:ext>
              </c:extLst>
            </c:dLbl>
            <c:dLbl>
              <c:idx val="8"/>
              <c:layout>
                <c:manualLayout>
                  <c:x val="-2.3910829108556263E-2"/>
                  <c:y val="-3.01793673907511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A91-43C7-ABE2-00D21FCAA1F2}"/>
                </c:ext>
              </c:extLst>
            </c:dLbl>
            <c:dLbl>
              <c:idx val="9"/>
              <c:layout>
                <c:manualLayout>
                  <c:x val="-2.6704572318935537E-2"/>
                  <c:y val="-5.25168916987732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A91-43C7-ABE2-00D21FCAA1F2}"/>
                </c:ext>
              </c:extLst>
            </c:dLbl>
            <c:dLbl>
              <c:idx val="10"/>
              <c:layout>
                <c:manualLayout>
                  <c:x val="-2.6704555016107471E-2"/>
                  <c:y val="-3.01793673907511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A91-43C7-ABE2-00D21FCAA1F2}"/>
                </c:ext>
              </c:extLst>
            </c:dLbl>
            <c:dLbl>
              <c:idx val="11"/>
              <c:layout>
                <c:manualLayout>
                  <c:x val="-1.9720240247229345E-2"/>
                  <c:y val="-4.63026457229694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A91-43C7-ABE2-00D21FCAA1F2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'2025 Overview (Budget)'!$C$18:$N$18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Overview (Budget)'!$C$25:$N$25</c:f>
              <c:numCache>
                <c:formatCode>_(* #,##0_);_(* \(#,##0\);_(* "-"??_);_(@_)</c:formatCode>
                <c:ptCount val="12"/>
                <c:pt idx="0">
                  <c:v>35</c:v>
                </c:pt>
                <c:pt idx="1">
                  <c:v>32</c:v>
                </c:pt>
                <c:pt idx="2">
                  <c:v>31</c:v>
                </c:pt>
                <c:pt idx="3">
                  <c:v>30</c:v>
                </c:pt>
                <c:pt idx="4">
                  <c:v>38</c:v>
                </c:pt>
                <c:pt idx="5">
                  <c:v>37</c:v>
                </c:pt>
                <c:pt idx="6">
                  <c:v>34</c:v>
                </c:pt>
                <c:pt idx="7">
                  <c:v>32</c:v>
                </c:pt>
                <c:pt idx="8">
                  <c:v>36</c:v>
                </c:pt>
                <c:pt idx="9">
                  <c:v>33</c:v>
                </c:pt>
                <c:pt idx="10">
                  <c:v>48.077614914278655</c:v>
                </c:pt>
                <c:pt idx="11">
                  <c:v>49.208852912261676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A91-43C7-ABE2-00D21FCAA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7202144"/>
        <c:axId val="1727206464"/>
      </c:lineChart>
      <c:catAx>
        <c:axId val="1834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37535"/>
        <c:crosses val="autoZero"/>
        <c:auto val="1"/>
        <c:lblAlgn val="ctr"/>
        <c:lblOffset val="100"/>
        <c:noMultiLvlLbl val="0"/>
      </c:catAx>
      <c:valAx>
        <c:axId val="190823753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8911"/>
        <c:crosses val="autoZero"/>
        <c:crossBetween val="between"/>
      </c:valAx>
      <c:valAx>
        <c:axId val="1727206464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crossAx val="1727202144"/>
        <c:crosses val="max"/>
        <c:crossBetween val="between"/>
      </c:valAx>
      <c:catAx>
        <c:axId val="1727202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27206464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 - Recurring Client Base</a:t>
            </a:r>
          </a:p>
        </c:rich>
      </c:tx>
      <c:layout>
        <c:manualLayout>
          <c:xMode val="edge"/>
          <c:yMode val="edge"/>
          <c:x val="0.46199195537212084"/>
          <c:y val="4.5295064353765152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5"/>
          <c:order val="0"/>
          <c:tx>
            <c:strRef>
              <c:f>'2025 Overview'!$B$46</c:f>
              <c:strCache>
                <c:ptCount val="1"/>
                <c:pt idx="0">
                  <c:v>Operating (Business) Cash</c:v>
                </c:pt>
              </c:strCache>
            </c:strRef>
          </c:tx>
          <c:spPr>
            <a:solidFill>
              <a:schemeClr val="accent1"/>
            </a:solidFill>
            <a:ln w="15875">
              <a:solidFill>
                <a:schemeClr val="tx1"/>
              </a:solidFill>
            </a:ln>
          </c:spPr>
          <c:cat>
            <c:strRef>
              <c:f>'2025 Overview'!$C$18:$N$18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Overview'!$C$46:$N$46</c:f>
              <c:numCache>
                <c:formatCode>_("$"* #,##0.00_);_("$"* \(#,##0.00\);_("$"* "-"??_);_(@_)</c:formatCode>
                <c:ptCount val="12"/>
                <c:pt idx="0">
                  <c:v>1326.2080000000001</c:v>
                </c:pt>
                <c:pt idx="1">
                  <c:v>1606.7285000000002</c:v>
                </c:pt>
                <c:pt idx="2">
                  <c:v>2203.0059999999999</c:v>
                </c:pt>
                <c:pt idx="3">
                  <c:v>2800.3690000000001</c:v>
                </c:pt>
                <c:pt idx="4">
                  <c:v>4253.5610000000006</c:v>
                </c:pt>
                <c:pt idx="5">
                  <c:v>4362.1695000000009</c:v>
                </c:pt>
                <c:pt idx="6">
                  <c:v>4312.2560000000003</c:v>
                </c:pt>
                <c:pt idx="7">
                  <c:v>4650.8085000000001</c:v>
                </c:pt>
                <c:pt idx="8">
                  <c:v>4164.9724999999999</c:v>
                </c:pt>
                <c:pt idx="9">
                  <c:v>3819.1530000000002</c:v>
                </c:pt>
                <c:pt idx="10">
                  <c:v>4361.1002021505583</c:v>
                </c:pt>
                <c:pt idx="11">
                  <c:v>4540.1488205055202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D-4694-89CD-A5E9A74E7D42}"/>
            </c:ext>
          </c:extLst>
        </c:ser>
        <c:ser>
          <c:idx val="2"/>
          <c:order val="1"/>
          <c:tx>
            <c:strRef>
              <c:f>'2025 Overview'!$B$47</c:f>
              <c:strCache>
                <c:ptCount val="1"/>
                <c:pt idx="0">
                  <c:v>Savings Cash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tx1"/>
              </a:solidFill>
            </a:ln>
          </c:spPr>
          <c:cat>
            <c:strRef>
              <c:f>'2025 Overview'!$C$18:$N$18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Overview'!$C$47:$N$47</c:f>
              <c:numCache>
                <c:formatCode>_("$"* #,##0.00_);_("$"* \(#,##0.00\);_("$"* "-"??_);_(@_)</c:formatCode>
                <c:ptCount val="12"/>
                <c:pt idx="0">
                  <c:v>45.02</c:v>
                </c:pt>
                <c:pt idx="1">
                  <c:v>68.56</c:v>
                </c:pt>
                <c:pt idx="2">
                  <c:v>0.03</c:v>
                </c:pt>
                <c:pt idx="3">
                  <c:v>9.57</c:v>
                </c:pt>
                <c:pt idx="4">
                  <c:v>150.5</c:v>
                </c:pt>
                <c:pt idx="5">
                  <c:v>17.12</c:v>
                </c:pt>
                <c:pt idx="6">
                  <c:v>50.77</c:v>
                </c:pt>
                <c:pt idx="7">
                  <c:v>0.77</c:v>
                </c:pt>
                <c:pt idx="8">
                  <c:v>37.46</c:v>
                </c:pt>
                <c:pt idx="9">
                  <c:v>15.87</c:v>
                </c:pt>
                <c:pt idx="10">
                  <c:v>15.87</c:v>
                </c:pt>
                <c:pt idx="11">
                  <c:v>15.87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CD-4694-89CD-A5E9A74E7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18911"/>
        <c:axId val="1908237535"/>
      </c:areaChart>
      <c:barChart>
        <c:barDir val="col"/>
        <c:grouping val="clustered"/>
        <c:varyColors val="0"/>
        <c:ser>
          <c:idx val="6"/>
          <c:order val="2"/>
          <c:tx>
            <c:strRef>
              <c:f>'2025 Overview'!$B$49</c:f>
              <c:strCache>
                <c:ptCount val="1"/>
                <c:pt idx="0">
                  <c:v>Total Cash Inflow (Outflow)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rgbClr val="FF0000"/>
              </a:solidFill>
            </a:ln>
          </c:spPr>
          <c:invertIfNegative val="0"/>
          <c:cat>
            <c:strRef>
              <c:f>'2025 Overview'!$C$18:$N$18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Overview'!$C$49:$N$49</c:f>
              <c:numCache>
                <c:formatCode>_("$"* #,##0.00_);_("$"* \(#,##0.00\);_("$"* "-"??_);_(@_)</c:formatCode>
                <c:ptCount val="12"/>
                <c:pt idx="0">
                  <c:v>614.3199999999988</c:v>
                </c:pt>
                <c:pt idx="1">
                  <c:v>431.57000000000471</c:v>
                </c:pt>
                <c:pt idx="2">
                  <c:v>917.34999999999854</c:v>
                </c:pt>
                <c:pt idx="3">
                  <c:v>919.02000000000089</c:v>
                </c:pt>
                <c:pt idx="4">
                  <c:v>2235.6799999999985</c:v>
                </c:pt>
                <c:pt idx="5">
                  <c:v>167.09000000000196</c:v>
                </c:pt>
                <c:pt idx="6">
                  <c:v>-76.790000000001783</c:v>
                </c:pt>
                <c:pt idx="7">
                  <c:v>520.84999999999945</c:v>
                </c:pt>
                <c:pt idx="8">
                  <c:v>-747.43999999999596</c:v>
                </c:pt>
                <c:pt idx="9">
                  <c:v>-532.02999999999747</c:v>
                </c:pt>
                <c:pt idx="10">
                  <c:v>833.76492638547325</c:v>
                </c:pt>
                <c:pt idx="11">
                  <c:v>275.45941285378888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CD-4694-89CD-A5E9A74E7D42}"/>
            </c:ext>
          </c:extLst>
        </c:ser>
        <c:ser>
          <c:idx val="7"/>
          <c:order val="3"/>
          <c:tx>
            <c:strRef>
              <c:f>'2025 Overview'!$B$22</c:f>
              <c:strCache>
                <c:ptCount val="1"/>
                <c:pt idx="0">
                  <c:v> Total Income 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solidFill>
                <a:schemeClr val="tx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60CD-4694-89CD-A5E9A74E7D4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60CD-4694-89CD-A5E9A74E7D4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60CD-4694-89CD-A5E9A74E7D4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60CD-4694-89CD-A5E9A74E7D4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C-60CD-4694-89CD-A5E9A74E7D4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60CD-4694-89CD-A5E9A74E7D4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0-60CD-4694-89CD-A5E9A74E7D4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2-60CD-4694-89CD-A5E9A74E7D4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60CD-4694-89CD-A5E9A74E7D4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60CD-4694-89CD-A5E9A74E7D42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60CD-4694-89CD-A5E9A74E7D42}"/>
              </c:ext>
            </c:extLst>
          </c:dPt>
          <c:cat>
            <c:strRef>
              <c:f>'2025 Overview'!$C$18:$N$18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Overview'!$C$22:$N$22</c:f>
              <c:numCache>
                <c:formatCode>_("$"* #,##0_);_("$"* \(#,##0\);_("$"* "-"??_);_(@_)</c:formatCode>
                <c:ptCount val="12"/>
                <c:pt idx="0">
                  <c:v>6721.05</c:v>
                </c:pt>
                <c:pt idx="1">
                  <c:v>6501.14</c:v>
                </c:pt>
                <c:pt idx="2">
                  <c:v>7108.5</c:v>
                </c:pt>
                <c:pt idx="3">
                  <c:v>7861.75</c:v>
                </c:pt>
                <c:pt idx="4">
                  <c:v>7877.62</c:v>
                </c:pt>
                <c:pt idx="5">
                  <c:v>6887.45</c:v>
                </c:pt>
                <c:pt idx="6">
                  <c:v>7418.55</c:v>
                </c:pt>
                <c:pt idx="7">
                  <c:v>7653.35</c:v>
                </c:pt>
                <c:pt idx="8">
                  <c:v>6170.45</c:v>
                </c:pt>
                <c:pt idx="9">
                  <c:v>6998.25</c:v>
                </c:pt>
                <c:pt idx="10">
                  <c:v>5277.0751849216276</c:v>
                </c:pt>
                <c:pt idx="11">
                  <c:v>7465.3407812799524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0CD-4694-89CD-A5E9A74E7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418911"/>
        <c:axId val="1908237535"/>
        <c:extLst>
          <c:ext xmlns:c15="http://schemas.microsoft.com/office/drawing/2012/chart" uri="{02D57815-91ED-43cb-92C2-25804820EDAC}">
            <c15:filteredBarSeries>
              <c15:ser>
                <c:idx val="8"/>
                <c:order val="4"/>
                <c:tx>
                  <c:strRef>
                    <c:extLst>
                      <c:ext uri="{02D57815-91ED-43cb-92C2-25804820EDAC}">
                        <c15:formulaRef>
                          <c15:sqref>'2025 Overview'!$B$24</c15:sqref>
                        </c15:formulaRef>
                      </c:ext>
                    </c:extLst>
                    <c:strCache>
                      <c:ptCount val="1"/>
                      <c:pt idx="0">
                        <c:v> MRR </c:v>
                      </c:pt>
                    </c:strCache>
                  </c:strRef>
                </c:tx>
                <c:spPr>
                  <a:ln>
                    <a:solidFill>
                      <a:schemeClr val="tx1"/>
                    </a:solidFill>
                  </a:ln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'2025 Overview'!$C$18:$N$18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Overview'!$C$24:$N$24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12"/>
                      <c:pt idx="0">
                        <c:v>4460.1049985636309</c:v>
                      </c:pt>
                      <c:pt idx="1">
                        <c:v>4123.6762769319166</c:v>
                      </c:pt>
                      <c:pt idx="2">
                        <c:v>3775.439153439153</c:v>
                      </c:pt>
                      <c:pt idx="3">
                        <c:v>4062.1518588531817</c:v>
                      </c:pt>
                      <c:pt idx="4">
                        <c:v>4083.8286456278765</c:v>
                      </c:pt>
                      <c:pt idx="5">
                        <c:v>4773.196357960458</c:v>
                      </c:pt>
                      <c:pt idx="6">
                        <c:v>4270.3348629984403</c:v>
                      </c:pt>
                      <c:pt idx="7">
                        <c:v>4966.173777777778</c:v>
                      </c:pt>
                      <c:pt idx="8">
                        <c:v>4723.0604938271608</c:v>
                      </c:pt>
                      <c:pt idx="9">
                        <c:v>4942.8781212841859</c:v>
                      </c:pt>
                      <c:pt idx="10">
                        <c:v>3263.5584914245451</c:v>
                      </c:pt>
                      <c:pt idx="11">
                        <c:v>4798.1261151713097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0-60CD-4694-89CD-A5E9A74E7D4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5"/>
          <c:tx>
            <c:strRef>
              <c:f>'2025 Overview'!$B$25</c:f>
              <c:strCache>
                <c:ptCount val="1"/>
                <c:pt idx="0">
                  <c:v> Recurring Client Base 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dPt>
            <c:idx val="1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60CD-4694-89CD-A5E9A74E7D42}"/>
              </c:ext>
            </c:extLst>
          </c:dPt>
          <c:dPt>
            <c:idx val="2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60CD-4694-89CD-A5E9A74E7D42}"/>
              </c:ext>
            </c:extLst>
          </c:dPt>
          <c:dPt>
            <c:idx val="3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60CD-4694-89CD-A5E9A74E7D42}"/>
              </c:ext>
            </c:extLst>
          </c:dPt>
          <c:dPt>
            <c:idx val="4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60CD-4694-89CD-A5E9A74E7D42}"/>
              </c:ext>
            </c:extLst>
          </c:dPt>
          <c:dPt>
            <c:idx val="5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60CD-4694-89CD-A5E9A74E7D42}"/>
              </c:ext>
            </c:extLst>
          </c:dPt>
          <c:dPt>
            <c:idx val="6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60CD-4694-89CD-A5E9A74E7D42}"/>
              </c:ext>
            </c:extLst>
          </c:dPt>
          <c:dPt>
            <c:idx val="7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60CD-4694-89CD-A5E9A74E7D42}"/>
              </c:ext>
            </c:extLst>
          </c:dPt>
          <c:dPt>
            <c:idx val="8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60CD-4694-89CD-A5E9A74E7D42}"/>
              </c:ext>
            </c:extLst>
          </c:dPt>
          <c:dPt>
            <c:idx val="9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60CD-4694-89CD-A5E9A74E7D42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2D-60CD-4694-89CD-A5E9A74E7D42}"/>
              </c:ext>
            </c:extLst>
          </c:dPt>
          <c:dLbls>
            <c:dLbl>
              <c:idx val="0"/>
              <c:layout>
                <c:manualLayout>
                  <c:x val="-1.7706234108261183E-2"/>
                  <c:y val="-1.37087269626366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3CA5-4363-A27C-B364E6058DCE}"/>
                </c:ext>
              </c:extLst>
            </c:dLbl>
            <c:dLbl>
              <c:idx val="1"/>
              <c:layout>
                <c:manualLayout>
                  <c:x val="-1.7251257479128722E-2"/>
                  <c:y val="-5.32126221510629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0CD-4694-89CD-A5E9A74E7D42}"/>
                </c:ext>
              </c:extLst>
            </c:dLbl>
            <c:dLbl>
              <c:idx val="2"/>
              <c:layout>
                <c:manualLayout>
                  <c:x val="-2.1441846340455512E-2"/>
                  <c:y val="-5.09092966750318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0CD-4694-89CD-A5E9A74E7D42}"/>
                </c:ext>
              </c:extLst>
            </c:dLbl>
            <c:dLbl>
              <c:idx val="3"/>
              <c:layout>
                <c:manualLayout>
                  <c:x val="-1.7251257479128722E-2"/>
                  <c:y val="-4.39993202469382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0CD-4694-89CD-A5E9A74E7D42}"/>
                </c:ext>
              </c:extLst>
            </c:dLbl>
            <c:dLbl>
              <c:idx val="4"/>
              <c:layout>
                <c:manualLayout>
                  <c:x val="-1.7251257479128722E-2"/>
                  <c:y val="-4.16959947709070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0CD-4694-89CD-A5E9A74E7D42}"/>
                </c:ext>
              </c:extLst>
            </c:dLbl>
            <c:dLbl>
              <c:idx val="5"/>
              <c:layout>
                <c:manualLayout>
                  <c:x val="-1.725125747912867E-2"/>
                  <c:y val="-5.09092966750317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0CD-4694-89CD-A5E9A74E7D42}"/>
                </c:ext>
              </c:extLst>
            </c:dLbl>
            <c:dLbl>
              <c:idx val="6"/>
              <c:layout>
                <c:manualLayout>
                  <c:x val="-2.2986043577012637E-2"/>
                  <c:y val="2.32789402773053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0CD-4694-89CD-A5E9A74E7D42}"/>
                </c:ext>
              </c:extLst>
            </c:dLbl>
            <c:dLbl>
              <c:idx val="7"/>
              <c:layout>
                <c:manualLayout>
                  <c:x val="-2.6634525909234985E-2"/>
                  <c:y val="-3.91839922187817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0CD-4694-89CD-A5E9A74E7D42}"/>
                </c:ext>
              </c:extLst>
            </c:dLbl>
            <c:dLbl>
              <c:idx val="8"/>
              <c:layout>
                <c:manualLayout>
                  <c:x val="-2.3910829108556263E-2"/>
                  <c:y val="-3.01793673907511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0CD-4694-89CD-A5E9A74E7D42}"/>
                </c:ext>
              </c:extLst>
            </c:dLbl>
            <c:dLbl>
              <c:idx val="9"/>
              <c:layout>
                <c:manualLayout>
                  <c:x val="-2.6704572318935537E-2"/>
                  <c:y val="-5.25168916987732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0CD-4694-89CD-A5E9A74E7D42}"/>
                </c:ext>
              </c:extLst>
            </c:dLbl>
            <c:dLbl>
              <c:idx val="10"/>
              <c:layout>
                <c:manualLayout>
                  <c:x val="-2.6704555016107471E-2"/>
                  <c:y val="-3.01793673907511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60CD-4694-89CD-A5E9A74E7D42}"/>
                </c:ext>
              </c:extLst>
            </c:dLbl>
            <c:dLbl>
              <c:idx val="11"/>
              <c:layout>
                <c:manualLayout>
                  <c:x val="-1.9720240247229345E-2"/>
                  <c:y val="-4.63026457229694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60CD-4694-89CD-A5E9A74E7D42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'2025 Overview'!$C$18:$N$18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Overview'!$C$25:$N$25</c:f>
              <c:numCache>
                <c:formatCode>_(* #,##0_);_(* \(#,##0\);_(* "-"??_);_(@_)</c:formatCode>
                <c:ptCount val="12"/>
                <c:pt idx="0">
                  <c:v>35</c:v>
                </c:pt>
                <c:pt idx="1">
                  <c:v>32</c:v>
                </c:pt>
                <c:pt idx="2">
                  <c:v>31</c:v>
                </c:pt>
                <c:pt idx="3">
                  <c:v>30</c:v>
                </c:pt>
                <c:pt idx="4">
                  <c:v>38</c:v>
                </c:pt>
                <c:pt idx="5">
                  <c:v>37</c:v>
                </c:pt>
                <c:pt idx="6">
                  <c:v>34</c:v>
                </c:pt>
                <c:pt idx="7">
                  <c:v>32</c:v>
                </c:pt>
                <c:pt idx="8">
                  <c:v>36</c:v>
                </c:pt>
                <c:pt idx="9">
                  <c:v>33</c:v>
                </c:pt>
                <c:pt idx="10">
                  <c:v>25.285541632518211</c:v>
                </c:pt>
                <c:pt idx="11">
                  <c:v>30.127453860021696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60CD-4694-89CD-A5E9A74E7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7202144"/>
        <c:axId val="1727206464"/>
      </c:lineChart>
      <c:catAx>
        <c:axId val="1834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37535"/>
        <c:crosses val="autoZero"/>
        <c:auto val="1"/>
        <c:lblAlgn val="ctr"/>
        <c:lblOffset val="100"/>
        <c:noMultiLvlLbl val="0"/>
      </c:catAx>
      <c:valAx>
        <c:axId val="190823753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8911"/>
        <c:crosses val="autoZero"/>
        <c:crossBetween val="between"/>
      </c:valAx>
      <c:valAx>
        <c:axId val="1727206464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crossAx val="1727202144"/>
        <c:crosses val="max"/>
        <c:crossBetween val="between"/>
      </c:valAx>
      <c:catAx>
        <c:axId val="1727202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27206464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 - Recurring Client Base</a:t>
            </a:r>
          </a:p>
        </c:rich>
      </c:tx>
      <c:layout>
        <c:manualLayout>
          <c:xMode val="edge"/>
          <c:yMode val="edge"/>
          <c:x val="0.46199195537212084"/>
          <c:y val="4.5295064353765152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5"/>
          <c:order val="0"/>
          <c:tx>
            <c:strRef>
              <c:f>'2025 AOP'!$B$46</c:f>
              <c:strCache>
                <c:ptCount val="1"/>
                <c:pt idx="0">
                  <c:v>Operating (Business) Cash</c:v>
                </c:pt>
              </c:strCache>
            </c:strRef>
          </c:tx>
          <c:spPr>
            <a:solidFill>
              <a:schemeClr val="accent1"/>
            </a:solidFill>
            <a:ln w="15875">
              <a:solidFill>
                <a:schemeClr val="tx1"/>
              </a:solidFill>
            </a:ln>
          </c:spPr>
          <c:cat>
            <c:strRef>
              <c:f>'2025 AOP'!$C$18:$N$18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AOP'!$C$46:$N$46</c:f>
              <c:numCache>
                <c:formatCode>_("$"* #,##0.00_);_("$"* \(#,##0.00\);_("$"* "-"??_);_(@_)</c:formatCode>
                <c:ptCount val="12"/>
                <c:pt idx="0">
                  <c:v>1971.0958937687467</c:v>
                </c:pt>
                <c:pt idx="1">
                  <c:v>1048.9393058358728</c:v>
                </c:pt>
                <c:pt idx="2">
                  <c:v>874.49432173702985</c:v>
                </c:pt>
                <c:pt idx="3">
                  <c:v>2144.9226219490529</c:v>
                </c:pt>
                <c:pt idx="4">
                  <c:v>4127.9301798082952</c:v>
                </c:pt>
                <c:pt idx="5">
                  <c:v>5968.4947848120328</c:v>
                </c:pt>
                <c:pt idx="6">
                  <c:v>5707.961391715201</c:v>
                </c:pt>
                <c:pt idx="7">
                  <c:v>4917.3936901292591</c:v>
                </c:pt>
                <c:pt idx="8">
                  <c:v>3876.0897638125498</c:v>
                </c:pt>
                <c:pt idx="9">
                  <c:v>3148.3979830378898</c:v>
                </c:pt>
                <c:pt idx="10">
                  <c:v>2019.7107169290684</c:v>
                </c:pt>
                <c:pt idx="11">
                  <c:v>1694.3506908550485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5-4F88-941B-A08D273B3DD2}"/>
            </c:ext>
          </c:extLst>
        </c:ser>
        <c:ser>
          <c:idx val="2"/>
          <c:order val="1"/>
          <c:tx>
            <c:strRef>
              <c:f>'2025 AOP'!$B$47</c:f>
              <c:strCache>
                <c:ptCount val="1"/>
                <c:pt idx="0">
                  <c:v>Savings Cash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tx1"/>
              </a:solidFill>
            </a:ln>
          </c:spPr>
          <c:cat>
            <c:strRef>
              <c:f>'2025 AOP'!$C$18:$N$18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AOP'!$C$47:$N$47</c:f>
              <c:numCache>
                <c:formatCode>_("$"* #,##0.00_);_("$"* \(#,##0.00\);_("$"* "-"??_);_(@_)</c:formatCode>
                <c:ptCount val="12"/>
                <c:pt idx="0">
                  <c:v>28.95</c:v>
                </c:pt>
                <c:pt idx="1">
                  <c:v>28.95</c:v>
                </c:pt>
                <c:pt idx="2">
                  <c:v>28.95</c:v>
                </c:pt>
                <c:pt idx="3">
                  <c:v>28.95</c:v>
                </c:pt>
                <c:pt idx="4">
                  <c:v>28.95</c:v>
                </c:pt>
                <c:pt idx="5">
                  <c:v>28.95</c:v>
                </c:pt>
                <c:pt idx="6">
                  <c:v>28.95</c:v>
                </c:pt>
                <c:pt idx="7">
                  <c:v>28.95</c:v>
                </c:pt>
                <c:pt idx="8">
                  <c:v>28.95</c:v>
                </c:pt>
                <c:pt idx="9">
                  <c:v>28.95</c:v>
                </c:pt>
                <c:pt idx="10">
                  <c:v>28.95</c:v>
                </c:pt>
                <c:pt idx="11">
                  <c:v>28.95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C5-4F88-941B-A08D273B3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18911"/>
        <c:axId val="1908237535"/>
      </c:areaChart>
      <c:barChart>
        <c:barDir val="col"/>
        <c:grouping val="clustered"/>
        <c:varyColors val="0"/>
        <c:ser>
          <c:idx val="6"/>
          <c:order val="2"/>
          <c:tx>
            <c:strRef>
              <c:f>'2025 AOP'!$B$49</c:f>
              <c:strCache>
                <c:ptCount val="1"/>
                <c:pt idx="0">
                  <c:v>Total Cash Inflow (Outflow)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rgbClr val="FF0000"/>
              </a:solidFill>
            </a:ln>
          </c:spPr>
          <c:invertIfNegative val="0"/>
          <c:cat>
            <c:strRef>
              <c:f>'2025 AOP'!$C$18:$N$18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AOP'!$C$49:$N$49</c:f>
              <c:numCache>
                <c:formatCode>_("$"* #,##0.00_);_("$"* \(#,##0.00\);_("$"* "-"??_);_(@_)</c:formatCode>
                <c:ptCount val="12"/>
                <c:pt idx="0">
                  <c:v>2311.7783648722234</c:v>
                </c:pt>
                <c:pt idx="1">
                  <c:v>-1418.7024429736521</c:v>
                </c:pt>
                <c:pt idx="2">
                  <c:v>-268.37689861360468</c:v>
                </c:pt>
                <c:pt idx="3">
                  <c:v>1954.5050772492664</c:v>
                </c:pt>
                <c:pt idx="4">
                  <c:v>3050.7808582449879</c:v>
                </c:pt>
                <c:pt idx="5">
                  <c:v>2831.6378538519039</c:v>
                </c:pt>
                <c:pt idx="6">
                  <c:v>-400.82060476435663</c:v>
                </c:pt>
                <c:pt idx="7">
                  <c:v>-1216.2580024399113</c:v>
                </c:pt>
                <c:pt idx="8">
                  <c:v>-1602.0060404872447</c:v>
                </c:pt>
                <c:pt idx="9">
                  <c:v>-1119.5258165763998</c:v>
                </c:pt>
                <c:pt idx="10">
                  <c:v>-1736.4419478597249</c:v>
                </c:pt>
                <c:pt idx="11">
                  <c:v>-500.5538862677231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C5-4F88-941B-A08D273B3DD2}"/>
            </c:ext>
          </c:extLst>
        </c:ser>
        <c:ser>
          <c:idx val="7"/>
          <c:order val="3"/>
          <c:tx>
            <c:strRef>
              <c:f>'2025 AOP'!$B$22</c:f>
              <c:strCache>
                <c:ptCount val="1"/>
                <c:pt idx="0">
                  <c:v> Total Income 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solidFill>
                <a:schemeClr val="tx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93C5-4F88-941B-A08D273B3DD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93C5-4F88-941B-A08D273B3DD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93C5-4F88-941B-A08D273B3DD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93C5-4F88-941B-A08D273B3DD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C-93C5-4F88-941B-A08D273B3DD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93C5-4F88-941B-A08D273B3DD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0-93C5-4F88-941B-A08D273B3DD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2-93C5-4F88-941B-A08D273B3DD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93C5-4F88-941B-A08D273B3DD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93C5-4F88-941B-A08D273B3DD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8-93C5-4F88-941B-A08D273B3DD2}"/>
              </c:ext>
            </c:extLst>
          </c:dPt>
          <c:cat>
            <c:strRef>
              <c:f>'2025 AOP'!$C$18:$N$18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AOP'!$C$22:$N$22</c:f>
              <c:numCache>
                <c:formatCode>_("$"* #,##0_);_("$"* \(#,##0\);_("$"* "-"??_);_(@_)</c:formatCode>
                <c:ptCount val="12"/>
                <c:pt idx="0">
                  <c:v>7249.7138221771829</c:v>
                </c:pt>
                <c:pt idx="1">
                  <c:v>4913.4871726024867</c:v>
                </c:pt>
                <c:pt idx="2">
                  <c:v>6536.715075223894</c:v>
                </c:pt>
                <c:pt idx="3">
                  <c:v>9380.6105949641606</c:v>
                </c:pt>
                <c:pt idx="4">
                  <c:v>10754.416700710424</c:v>
                </c:pt>
                <c:pt idx="5">
                  <c:v>10296.469025833441</c:v>
                </c:pt>
                <c:pt idx="6">
                  <c:v>8231.4189836152764</c:v>
                </c:pt>
                <c:pt idx="7">
                  <c:v>7580.1792553820114</c:v>
                </c:pt>
                <c:pt idx="8">
                  <c:v>6911.5121495078683</c:v>
                </c:pt>
                <c:pt idx="9">
                  <c:v>7871.841058711183</c:v>
                </c:pt>
                <c:pt idx="10">
                  <c:v>7017.707274880775</c:v>
                </c:pt>
                <c:pt idx="11">
                  <c:v>8571.1672628560773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3C5-4F88-941B-A08D273B3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418911"/>
        <c:axId val="1908237535"/>
        <c:extLst>
          <c:ext xmlns:c15="http://schemas.microsoft.com/office/drawing/2012/chart" uri="{02D57815-91ED-43cb-92C2-25804820EDAC}">
            <c15:filteredBarSeries>
              <c15:ser>
                <c:idx val="8"/>
                <c:order val="4"/>
                <c:tx>
                  <c:strRef>
                    <c:extLst>
                      <c:ext uri="{02D57815-91ED-43cb-92C2-25804820EDAC}">
                        <c15:formulaRef>
                          <c15:sqref>'2025 AOP'!$B$24</c15:sqref>
                        </c15:formulaRef>
                      </c:ext>
                    </c:extLst>
                    <c:strCache>
                      <c:ptCount val="1"/>
                      <c:pt idx="0">
                        <c:v> MRR </c:v>
                      </c:pt>
                    </c:strCache>
                  </c:strRef>
                </c:tx>
                <c:spPr>
                  <a:ln>
                    <a:solidFill>
                      <a:schemeClr val="tx1"/>
                    </a:solidFill>
                  </a:ln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'2025 AOP'!$C$18:$N$18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AOP'!$C$24:$N$24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12"/>
                      <c:pt idx="0">
                        <c:v>5375.6771266420528</c:v>
                      </c:pt>
                      <c:pt idx="1">
                        <c:v>3207.5442412200227</c:v>
                      </c:pt>
                      <c:pt idx="2">
                        <c:v>4505.4851989075178</c:v>
                      </c:pt>
                      <c:pt idx="3">
                        <c:v>6748.107226416907</c:v>
                      </c:pt>
                      <c:pt idx="4">
                        <c:v>7779.5024400854227</c:v>
                      </c:pt>
                      <c:pt idx="5">
                        <c:v>7231.6337639632848</c:v>
                      </c:pt>
                      <c:pt idx="6">
                        <c:v>6123.8576013369675</c:v>
                      </c:pt>
                      <c:pt idx="7">
                        <c:v>5252.8867615891395</c:v>
                      </c:pt>
                      <c:pt idx="8">
                        <c:v>4808.0084518315589</c:v>
                      </c:pt>
                      <c:pt idx="9">
                        <c:v>5880.5452968237687</c:v>
                      </c:pt>
                      <c:pt idx="10">
                        <c:v>4643.0955504882249</c:v>
                      </c:pt>
                      <c:pt idx="11">
                        <c:v>6105.5717917078182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0-93C5-4F88-941B-A08D273B3DD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5"/>
          <c:tx>
            <c:strRef>
              <c:f>'2025 AOP'!$B$25</c:f>
              <c:strCache>
                <c:ptCount val="1"/>
                <c:pt idx="0">
                  <c:v> Recurring Client Base 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dPt>
            <c:idx val="1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93C5-4F88-941B-A08D273B3DD2}"/>
              </c:ext>
            </c:extLst>
          </c:dPt>
          <c:dPt>
            <c:idx val="2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93C5-4F88-941B-A08D273B3DD2}"/>
              </c:ext>
            </c:extLst>
          </c:dPt>
          <c:dPt>
            <c:idx val="3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93C5-4F88-941B-A08D273B3DD2}"/>
              </c:ext>
            </c:extLst>
          </c:dPt>
          <c:dPt>
            <c:idx val="4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93C5-4F88-941B-A08D273B3DD2}"/>
              </c:ext>
            </c:extLst>
          </c:dPt>
          <c:dPt>
            <c:idx val="5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93C5-4F88-941B-A08D273B3DD2}"/>
              </c:ext>
            </c:extLst>
          </c:dPt>
          <c:dPt>
            <c:idx val="6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93C5-4F88-941B-A08D273B3DD2}"/>
              </c:ext>
            </c:extLst>
          </c:dPt>
          <c:dPt>
            <c:idx val="7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93C5-4F88-941B-A08D273B3DD2}"/>
              </c:ext>
            </c:extLst>
          </c:dPt>
          <c:dPt>
            <c:idx val="8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93C5-4F88-941B-A08D273B3DD2}"/>
              </c:ext>
            </c:extLst>
          </c:dPt>
          <c:dPt>
            <c:idx val="9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93C5-4F88-941B-A08D273B3DD2}"/>
              </c:ext>
            </c:extLst>
          </c:dPt>
          <c:dPt>
            <c:idx val="10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D-93C5-4F88-941B-A08D273B3DD2}"/>
              </c:ext>
            </c:extLst>
          </c:dPt>
          <c:dLbls>
            <c:dLbl>
              <c:idx val="1"/>
              <c:layout>
                <c:manualLayout>
                  <c:x val="-1.7251257479128722E-2"/>
                  <c:y val="-5.32126221510629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93C5-4F88-941B-A08D273B3DD2}"/>
                </c:ext>
              </c:extLst>
            </c:dLbl>
            <c:dLbl>
              <c:idx val="2"/>
              <c:layout>
                <c:manualLayout>
                  <c:x val="-2.1441846340455512E-2"/>
                  <c:y val="-5.09092966750318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93C5-4F88-941B-A08D273B3DD2}"/>
                </c:ext>
              </c:extLst>
            </c:dLbl>
            <c:dLbl>
              <c:idx val="3"/>
              <c:layout>
                <c:manualLayout>
                  <c:x val="-1.7251257479128722E-2"/>
                  <c:y val="-4.39993202469382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93C5-4F88-941B-A08D273B3DD2}"/>
                </c:ext>
              </c:extLst>
            </c:dLbl>
            <c:dLbl>
              <c:idx val="4"/>
              <c:layout>
                <c:manualLayout>
                  <c:x val="-1.7251257479128722E-2"/>
                  <c:y val="-4.16959947709070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93C5-4F88-941B-A08D273B3DD2}"/>
                </c:ext>
              </c:extLst>
            </c:dLbl>
            <c:dLbl>
              <c:idx val="5"/>
              <c:layout>
                <c:manualLayout>
                  <c:x val="-1.725125747912867E-2"/>
                  <c:y val="-5.09092966750317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93C5-4F88-941B-A08D273B3DD2}"/>
                </c:ext>
              </c:extLst>
            </c:dLbl>
            <c:dLbl>
              <c:idx val="6"/>
              <c:layout>
                <c:manualLayout>
                  <c:x val="-1.7251257479128722E-2"/>
                  <c:y val="-4.86059711990006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93C5-4F88-941B-A08D273B3DD2}"/>
                </c:ext>
              </c:extLst>
            </c:dLbl>
            <c:dLbl>
              <c:idx val="7"/>
              <c:layout>
                <c:manualLayout>
                  <c:x val="-2.6634525909234985E-2"/>
                  <c:y val="-3.91839922187817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93C5-4F88-941B-A08D273B3DD2}"/>
                </c:ext>
              </c:extLst>
            </c:dLbl>
            <c:dLbl>
              <c:idx val="8"/>
              <c:layout>
                <c:manualLayout>
                  <c:x val="-2.3910829108556263E-2"/>
                  <c:y val="-3.01793673907511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93C5-4F88-941B-A08D273B3DD2}"/>
                </c:ext>
              </c:extLst>
            </c:dLbl>
            <c:dLbl>
              <c:idx val="9"/>
              <c:layout>
                <c:manualLayout>
                  <c:x val="-2.6704572318935537E-2"/>
                  <c:y val="-5.25168916987732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93C5-4F88-941B-A08D273B3DD2}"/>
                </c:ext>
              </c:extLst>
            </c:dLbl>
            <c:dLbl>
              <c:idx val="10"/>
              <c:layout>
                <c:manualLayout>
                  <c:x val="-2.6704555016107471E-2"/>
                  <c:y val="-3.01793673907511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93C5-4F88-941B-A08D273B3DD2}"/>
                </c:ext>
              </c:extLst>
            </c:dLbl>
            <c:dLbl>
              <c:idx val="11"/>
              <c:layout>
                <c:manualLayout>
                  <c:x val="-1.9720240247229345E-2"/>
                  <c:y val="-4.63026457229694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93C5-4F88-941B-A08D273B3DD2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'2025 AOP'!$C$18:$N$18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AOP'!$C$25:$N$25</c:f>
              <c:numCache>
                <c:formatCode>_(* #,##0_);_(* \(#,##0\);_(* "-"??_);_(@_)</c:formatCode>
                <c:ptCount val="12"/>
                <c:pt idx="0">
                  <c:v>40.158948928397464</c:v>
                </c:pt>
                <c:pt idx="1">
                  <c:v>33.937139939490812</c:v>
                </c:pt>
                <c:pt idx="2">
                  <c:v>40.724567927388982</c:v>
                </c:pt>
                <c:pt idx="3">
                  <c:v>55.996280900159853</c:v>
                </c:pt>
                <c:pt idx="4">
                  <c:v>66.743041880998604</c:v>
                </c:pt>
                <c:pt idx="5">
                  <c:v>59.955613893100434</c:v>
                </c:pt>
                <c:pt idx="6">
                  <c:v>47.51199591528713</c:v>
                </c:pt>
                <c:pt idx="7">
                  <c:v>49.208852912261676</c:v>
                </c:pt>
                <c:pt idx="8">
                  <c:v>40.724567927388975</c:v>
                </c:pt>
                <c:pt idx="9">
                  <c:v>45.249519919321088</c:v>
                </c:pt>
                <c:pt idx="10">
                  <c:v>48.077614914278655</c:v>
                </c:pt>
                <c:pt idx="11">
                  <c:v>49.208852912261676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93C5-4F88-941B-A08D273B3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7202144"/>
        <c:axId val="1727206464"/>
      </c:lineChart>
      <c:catAx>
        <c:axId val="1834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37535"/>
        <c:crosses val="autoZero"/>
        <c:auto val="1"/>
        <c:lblAlgn val="ctr"/>
        <c:lblOffset val="100"/>
        <c:noMultiLvlLbl val="0"/>
      </c:catAx>
      <c:valAx>
        <c:axId val="190823753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8911"/>
        <c:crosses val="autoZero"/>
        <c:crossBetween val="between"/>
      </c:valAx>
      <c:valAx>
        <c:axId val="1727206464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crossAx val="1727202144"/>
        <c:crosses val="max"/>
        <c:crossBetween val="between"/>
      </c:valAx>
      <c:catAx>
        <c:axId val="1727202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27206464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 - Recurring Client Base</a:t>
            </a:r>
          </a:p>
        </c:rich>
      </c:tx>
      <c:layout>
        <c:manualLayout>
          <c:xMode val="edge"/>
          <c:yMode val="edge"/>
          <c:x val="0.46199195537212084"/>
          <c:y val="4.5295064353765152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5"/>
          <c:order val="0"/>
          <c:tx>
            <c:strRef>
              <c:f>'2024 Overview'!$B$46</c:f>
              <c:strCache>
                <c:ptCount val="1"/>
                <c:pt idx="0">
                  <c:v>Operating (Business) Cash</c:v>
                </c:pt>
              </c:strCache>
            </c:strRef>
          </c:tx>
          <c:spPr>
            <a:solidFill>
              <a:schemeClr val="accent1"/>
            </a:solidFill>
            <a:ln w="15875">
              <a:solidFill>
                <a:schemeClr val="tx1"/>
              </a:solidFill>
            </a:ln>
          </c:spPr>
          <c:cat>
            <c:strRef>
              <c:f>'2024 Overview'!$C$18:$N$18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'2024 Overview'!$C$46:$N$46</c:f>
              <c:numCache>
                <c:formatCode>_("$"* #,##0.00_);_("$"* \(#,##0.00\);_("$"* "-"??_);_(@_)</c:formatCode>
                <c:ptCount val="12"/>
                <c:pt idx="0">
                  <c:v>606.71</c:v>
                </c:pt>
                <c:pt idx="1">
                  <c:v>679.75049999999999</c:v>
                </c:pt>
                <c:pt idx="2">
                  <c:v>1825.2845000000002</c:v>
                </c:pt>
                <c:pt idx="3">
                  <c:v>1156.9480000000001</c:v>
                </c:pt>
                <c:pt idx="4">
                  <c:v>1696.8445000000002</c:v>
                </c:pt>
                <c:pt idx="5">
                  <c:v>1703.2404999999999</c:v>
                </c:pt>
                <c:pt idx="6">
                  <c:v>1893.2809999999999</c:v>
                </c:pt>
                <c:pt idx="7">
                  <c:v>689.98800000000006</c:v>
                </c:pt>
                <c:pt idx="8">
                  <c:v>80.255500000000012</c:v>
                </c:pt>
                <c:pt idx="9">
                  <c:v>1476.6829999999998</c:v>
                </c:pt>
                <c:pt idx="10">
                  <c:v>1193.8355000000001</c:v>
                </c:pt>
                <c:pt idx="11">
                  <c:v>926.9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C10-48CF-8510-B01C52F19708}"/>
            </c:ext>
          </c:extLst>
        </c:ser>
        <c:ser>
          <c:idx val="2"/>
          <c:order val="1"/>
          <c:tx>
            <c:strRef>
              <c:f>'2024 Overview'!$B$47</c:f>
              <c:strCache>
                <c:ptCount val="1"/>
                <c:pt idx="0">
                  <c:v>Savings Cash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tx1"/>
              </a:solidFill>
            </a:ln>
          </c:spPr>
          <c:cat>
            <c:strRef>
              <c:f>'2024 Overview'!$C$18:$N$18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'2024 Overview'!$C$47:$N$47</c:f>
              <c:numCache>
                <c:formatCode>_("$"* #,##0.00_);_("$"* \(#,##0.00\);_("$"* "-"??_);_(@_)</c:formatCode>
                <c:ptCount val="12"/>
                <c:pt idx="0">
                  <c:v>130.91</c:v>
                </c:pt>
                <c:pt idx="1">
                  <c:v>33.950000000000003</c:v>
                </c:pt>
                <c:pt idx="2">
                  <c:v>770.48</c:v>
                </c:pt>
                <c:pt idx="3">
                  <c:v>79.36</c:v>
                </c:pt>
                <c:pt idx="4">
                  <c:v>107.93</c:v>
                </c:pt>
                <c:pt idx="5">
                  <c:v>496.7</c:v>
                </c:pt>
                <c:pt idx="6">
                  <c:v>27.5</c:v>
                </c:pt>
                <c:pt idx="7">
                  <c:v>53.18</c:v>
                </c:pt>
                <c:pt idx="8">
                  <c:v>110.31</c:v>
                </c:pt>
                <c:pt idx="9">
                  <c:v>540.47</c:v>
                </c:pt>
                <c:pt idx="10">
                  <c:v>28.95</c:v>
                </c:pt>
                <c:pt idx="11">
                  <c:v>92.91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10-48CF-8510-B01C52F19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18911"/>
        <c:axId val="1908237535"/>
      </c:areaChart>
      <c:barChart>
        <c:barDir val="col"/>
        <c:grouping val="clustered"/>
        <c:varyColors val="0"/>
        <c:ser>
          <c:idx val="6"/>
          <c:order val="2"/>
          <c:tx>
            <c:strRef>
              <c:f>'2024 Overview'!$B$49</c:f>
              <c:strCache>
                <c:ptCount val="1"/>
                <c:pt idx="0">
                  <c:v>Total Cash Inflow (Outflow)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rgbClr val="FF0000"/>
              </a:solidFill>
            </a:ln>
          </c:spPr>
          <c:invertIfNegative val="0"/>
          <c:cat>
            <c:strRef>
              <c:f>'2024 Overview'!$C$18:$N$18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'2024 Overview'!$C$49:$N$49</c:f>
              <c:numCache>
                <c:formatCode>_("$"* #,##0.00_);_("$"* \(#,##0.00\);_("$"* "-"??_);_(@_)</c:formatCode>
                <c:ptCount val="12"/>
                <c:pt idx="0">
                  <c:v>933.39999999999964</c:v>
                </c:pt>
                <c:pt idx="1">
                  <c:v>112.36999999999898</c:v>
                </c:pt>
                <c:pt idx="2">
                  <c:v>1762.3599999999997</c:v>
                </c:pt>
                <c:pt idx="3">
                  <c:v>-1028.2099999999982</c:v>
                </c:pt>
                <c:pt idx="4">
                  <c:v>830.61000000000058</c:v>
                </c:pt>
                <c:pt idx="5">
                  <c:v>9.8399999999960528</c:v>
                </c:pt>
                <c:pt idx="6">
                  <c:v>292.37000000000307</c:v>
                </c:pt>
                <c:pt idx="7">
                  <c:v>-1851.2199999999989</c:v>
                </c:pt>
                <c:pt idx="8">
                  <c:v>-938.0500000000045</c:v>
                </c:pt>
                <c:pt idx="9">
                  <c:v>2148.3500000000013</c:v>
                </c:pt>
                <c:pt idx="10">
                  <c:v>-435.14999999999759</c:v>
                </c:pt>
                <c:pt idx="11">
                  <c:v>-410.67000000000189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C10-48CF-8510-B01C52F19708}"/>
            </c:ext>
          </c:extLst>
        </c:ser>
        <c:ser>
          <c:idx val="7"/>
          <c:order val="3"/>
          <c:tx>
            <c:strRef>
              <c:f>'2024 Overview'!$B$22</c:f>
              <c:strCache>
                <c:ptCount val="1"/>
                <c:pt idx="0">
                  <c:v> Total Income 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solidFill>
                <a:schemeClr val="tx1"/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EC10-48CF-8510-B01C52F1970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EC10-48CF-8510-B01C52F19708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EC10-48CF-8510-B01C52F19708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EC10-48CF-8510-B01C52F19708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EC10-48CF-8510-B01C52F19708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EC10-48CF-8510-B01C52F19708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6E40-48DA-993D-1F550627AE8F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0170-4EC2-9A66-11B04703D1F0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E-CE11-4CB0-938C-2D4CD7069DDB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2-4D00-4DA1-A1EA-9CBE042F69DB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6-BB7E-4BEA-B819-1A5ADAF13114}"/>
              </c:ext>
            </c:extLst>
          </c:dPt>
          <c:cat>
            <c:strRef>
              <c:f>'2024 Overview'!$C$18:$N$18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'2024 Overview'!$C$22:$N$22</c:f>
              <c:numCache>
                <c:formatCode>_("$"* #,##0_);_("$"* \(#,##0\);_("$"* "-"??_);_(@_)</c:formatCode>
                <c:ptCount val="12"/>
                <c:pt idx="0">
                  <c:v>5728.5</c:v>
                </c:pt>
                <c:pt idx="1">
                  <c:v>6746.25</c:v>
                </c:pt>
                <c:pt idx="2">
                  <c:v>7639.25</c:v>
                </c:pt>
                <c:pt idx="3">
                  <c:v>7817</c:v>
                </c:pt>
                <c:pt idx="4">
                  <c:v>8048</c:v>
                </c:pt>
                <c:pt idx="5">
                  <c:v>7154</c:v>
                </c:pt>
                <c:pt idx="6">
                  <c:v>6015.5</c:v>
                </c:pt>
                <c:pt idx="7">
                  <c:v>7295</c:v>
                </c:pt>
                <c:pt idx="8">
                  <c:v>4538</c:v>
                </c:pt>
                <c:pt idx="9">
                  <c:v>7697</c:v>
                </c:pt>
                <c:pt idx="10">
                  <c:v>4938.75</c:v>
                </c:pt>
                <c:pt idx="11">
                  <c:v>6152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C10-48CF-8510-B01C52F19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418911"/>
        <c:axId val="1908237535"/>
        <c:extLst>
          <c:ext xmlns:c15="http://schemas.microsoft.com/office/drawing/2012/chart" uri="{02D57815-91ED-43cb-92C2-25804820EDAC}">
            <c15:filteredBarSeries>
              <c15:ser>
                <c:idx val="8"/>
                <c:order val="4"/>
                <c:tx>
                  <c:strRef>
                    <c:extLst>
                      <c:ext uri="{02D57815-91ED-43cb-92C2-25804820EDAC}">
                        <c15:formulaRef>
                          <c15:sqref>'2024 Overview'!$B$24</c15:sqref>
                        </c15:formulaRef>
                      </c:ext>
                    </c:extLst>
                    <c:strCache>
                      <c:ptCount val="1"/>
                      <c:pt idx="0">
                        <c:v> MRR </c:v>
                      </c:pt>
                    </c:strCache>
                  </c:strRef>
                </c:tx>
                <c:spPr>
                  <a:ln>
                    <a:solidFill>
                      <a:schemeClr val="tx1"/>
                    </a:solidFill>
                  </a:ln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'2024 Overview'!$C$18:$N$18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'2024 Overview'!$C$24:$N$24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12"/>
                      <c:pt idx="0">
                        <c:v>3806.3752066115703</c:v>
                      </c:pt>
                      <c:pt idx="1">
                        <c:v>3565.1260239445496</c:v>
                      </c:pt>
                      <c:pt idx="2">
                        <c:v>3434.6887435121107</c:v>
                      </c:pt>
                      <c:pt idx="3">
                        <c:v>2659.5027548209364</c:v>
                      </c:pt>
                      <c:pt idx="4">
                        <c:v>4158.3868935097671</c:v>
                      </c:pt>
                      <c:pt idx="5">
                        <c:v>3809.8224852071003</c:v>
                      </c:pt>
                      <c:pt idx="6">
                        <c:v>3948.4454732510294</c:v>
                      </c:pt>
                      <c:pt idx="7">
                        <c:v>4344.1940828402367</c:v>
                      </c:pt>
                      <c:pt idx="8">
                        <c:v>4568.8707482993195</c:v>
                      </c:pt>
                      <c:pt idx="9">
                        <c:v>4150.6549586776864</c:v>
                      </c:pt>
                      <c:pt idx="10">
                        <c:v>3267.6039697542533</c:v>
                      </c:pt>
                      <c:pt idx="11">
                        <c:v>3217.3525377229075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C-EC10-48CF-8510-B01C52F1970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5"/>
          <c:tx>
            <c:strRef>
              <c:f>'2024 Overview'!$B$25</c:f>
              <c:strCache>
                <c:ptCount val="1"/>
                <c:pt idx="0">
                  <c:v> Recurring Client Base 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0-0170-4EC2-9A66-11B04703D1F0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1-0170-4EC2-9A66-11B04703D1F0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12-0170-4EC2-9A66-11B04703D1F0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13-0170-4EC2-9A66-11B04703D1F0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14-0170-4EC2-9A66-11B04703D1F0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15-0170-4EC2-9A66-11B04703D1F0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16-0170-4EC2-9A66-11B04703D1F0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1E-8E61-4F7E-9851-49C6ABE5B54C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F-8E61-4F7E-9851-49C6ABE5B54C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20-8E61-4F7E-9851-49C6ABE5B54C}"/>
              </c:ext>
            </c:extLst>
          </c:dPt>
          <c:dLbls>
            <c:dLbl>
              <c:idx val="1"/>
              <c:layout>
                <c:manualLayout>
                  <c:x val="-1.7251257479128722E-2"/>
                  <c:y val="-5.32126221510629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170-4EC2-9A66-11B04703D1F0}"/>
                </c:ext>
              </c:extLst>
            </c:dLbl>
            <c:dLbl>
              <c:idx val="2"/>
              <c:layout>
                <c:manualLayout>
                  <c:x val="-2.1441846340455512E-2"/>
                  <c:y val="-5.09092966750318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170-4EC2-9A66-11B04703D1F0}"/>
                </c:ext>
              </c:extLst>
            </c:dLbl>
            <c:dLbl>
              <c:idx val="3"/>
              <c:layout>
                <c:manualLayout>
                  <c:x val="-1.7251257479128722E-2"/>
                  <c:y val="-4.39993202469382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170-4EC2-9A66-11B04703D1F0}"/>
                </c:ext>
              </c:extLst>
            </c:dLbl>
            <c:dLbl>
              <c:idx val="4"/>
              <c:layout>
                <c:manualLayout>
                  <c:x val="-1.7251257479128722E-2"/>
                  <c:y val="-4.16959947709070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170-4EC2-9A66-11B04703D1F0}"/>
                </c:ext>
              </c:extLst>
            </c:dLbl>
            <c:dLbl>
              <c:idx val="5"/>
              <c:layout>
                <c:manualLayout>
                  <c:x val="-1.725125747912867E-2"/>
                  <c:y val="-5.09092966750317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170-4EC2-9A66-11B04703D1F0}"/>
                </c:ext>
              </c:extLst>
            </c:dLbl>
            <c:dLbl>
              <c:idx val="6"/>
              <c:layout>
                <c:manualLayout>
                  <c:x val="-1.7251257479128722E-2"/>
                  <c:y val="-4.86059711990006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170-4EC2-9A66-11B04703D1F0}"/>
                </c:ext>
              </c:extLst>
            </c:dLbl>
            <c:dLbl>
              <c:idx val="7"/>
              <c:layout>
                <c:manualLayout>
                  <c:x val="-2.6634525909234985E-2"/>
                  <c:y val="-3.91839922187817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170-4EC2-9A66-11B04703D1F0}"/>
                </c:ext>
              </c:extLst>
            </c:dLbl>
            <c:dLbl>
              <c:idx val="8"/>
              <c:layout>
                <c:manualLayout>
                  <c:x val="-2.3910829108556263E-2"/>
                  <c:y val="-3.01793673907511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E61-4F7E-9851-49C6ABE5B54C}"/>
                </c:ext>
              </c:extLst>
            </c:dLbl>
            <c:dLbl>
              <c:idx val="9"/>
              <c:layout>
                <c:manualLayout>
                  <c:x val="-2.6704572318935537E-2"/>
                  <c:y val="-5.25168916987732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E61-4F7E-9851-49C6ABE5B54C}"/>
                </c:ext>
              </c:extLst>
            </c:dLbl>
            <c:dLbl>
              <c:idx val="10"/>
              <c:layout>
                <c:manualLayout>
                  <c:x val="-2.6704555016107471E-2"/>
                  <c:y val="-3.01793673907511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E61-4F7E-9851-49C6ABE5B54C}"/>
                </c:ext>
              </c:extLst>
            </c:dLbl>
            <c:dLbl>
              <c:idx val="11"/>
              <c:layout>
                <c:manualLayout>
                  <c:x val="-1.9720240247229345E-2"/>
                  <c:y val="-4.63026457229694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E61-4F7E-9851-49C6ABE5B54C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'2024 Overview'!$C$18:$N$18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'2024 Overview'!$C$25:$N$25</c:f>
              <c:numCache>
                <c:formatCode>_(* #,##0_);_(* \(#,##0\);_(* "-"??_);_(@_)</c:formatCode>
                <c:ptCount val="12"/>
                <c:pt idx="0">
                  <c:v>30</c:v>
                </c:pt>
                <c:pt idx="1">
                  <c:v>34</c:v>
                </c:pt>
                <c:pt idx="2">
                  <c:v>27</c:v>
                </c:pt>
                <c:pt idx="3">
                  <c:v>19</c:v>
                </c:pt>
                <c:pt idx="4">
                  <c:v>30</c:v>
                </c:pt>
                <c:pt idx="5">
                  <c:v>30</c:v>
                </c:pt>
                <c:pt idx="6">
                  <c:v>29</c:v>
                </c:pt>
                <c:pt idx="7">
                  <c:v>34</c:v>
                </c:pt>
                <c:pt idx="8">
                  <c:v>37</c:v>
                </c:pt>
                <c:pt idx="9">
                  <c:v>29</c:v>
                </c:pt>
                <c:pt idx="10">
                  <c:v>28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170-4EC2-9A66-11B04703D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7202144"/>
        <c:axId val="1727206464"/>
      </c:lineChart>
      <c:catAx>
        <c:axId val="1834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37535"/>
        <c:crosses val="autoZero"/>
        <c:auto val="1"/>
        <c:lblAlgn val="ctr"/>
        <c:lblOffset val="100"/>
        <c:noMultiLvlLbl val="0"/>
      </c:catAx>
      <c:valAx>
        <c:axId val="190823753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8911"/>
        <c:crosses val="autoZero"/>
        <c:crossBetween val="between"/>
      </c:valAx>
      <c:valAx>
        <c:axId val="1727206464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crossAx val="1727202144"/>
        <c:crosses val="max"/>
        <c:crossBetween val="between"/>
      </c:valAx>
      <c:catAx>
        <c:axId val="1727202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27206464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Condensed</a:t>
            </a:r>
            <a:r>
              <a:rPr lang="en-US" baseline="0"/>
              <a:t> </a:t>
            </a:r>
            <a:r>
              <a:rPr lang="en-US"/>
              <a:t>Rolling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3"/>
          <c:tx>
            <c:v>Rolling Forecast Net Operating Income</c:v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63B-4A8D-843B-FC625F21CFE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63B-4A8D-843B-FC625F21CFE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63B-4A8D-843B-FC625F21CFE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63B-4A8D-843B-FC625F21CFE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A63B-4A8D-843B-FC625F21CFE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A63B-4A8D-843B-FC625F21CFE8}"/>
              </c:ext>
            </c:extLst>
          </c:dPt>
          <c:cat>
            <c:strRef>
              <c:f>('Quarterly Overview'!$C$41,'Quarterly Overview'!$D$41,'Quarterly Overview'!$F$41,'Quarterly Overview'!$H$41)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('Quarterly Overview'!$C$29,'Quarterly Overview'!$D$29,'Quarterly Overview'!$F$29,'Quarterly Overview'!$H$29)</c:f>
              <c:numCache>
                <c:formatCode>_("$"* #,##0_);_("$"* \(#,##0\);_("$"* "-"??_);_(@_)</c:formatCode>
                <c:ptCount val="4"/>
                <c:pt idx="0">
                  <c:v>8639.27</c:v>
                </c:pt>
                <c:pt idx="1">
                  <c:v>7207.1900000000005</c:v>
                </c:pt>
                <c:pt idx="2">
                  <c:v>7884.93</c:v>
                </c:pt>
                <c:pt idx="3">
                  <c:v>2091.4484755807352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63B-4A8D-843B-FC625F21CFE8}"/>
            </c:ext>
          </c:extLst>
        </c:ser>
        <c:ser>
          <c:idx val="6"/>
          <c:order val="4"/>
          <c:tx>
            <c:v>Rolling Forecast MRR</c:v>
          </c:tx>
          <c:spPr>
            <a:solidFill>
              <a:schemeClr val="accent2">
                <a:lumMod val="5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E69B-4D09-BA52-1A2AAA00FF1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69B-4D09-BA52-1A2AAA00FF1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E69B-4D09-BA52-1A2AAA00FF19}"/>
              </c:ext>
            </c:extLst>
          </c:dPt>
          <c:val>
            <c:numRef>
              <c:f>('Quarterly Overview'!$C$15,'Quarterly Overview'!$D$15,'Quarterly Overview'!$F$15,'Quarterly Overview'!$H$15)</c:f>
              <c:numCache>
                <c:formatCode>_(* #,##0_);_(* \(#,##0\);_(* "-"??_);_(@_)</c:formatCode>
                <c:ptCount val="4"/>
                <c:pt idx="0">
                  <c:v>4119.740142978234</c:v>
                </c:pt>
                <c:pt idx="1">
                  <c:v>4306.3922874805057</c:v>
                </c:pt>
                <c:pt idx="2">
                  <c:v>4653.1897115344591</c:v>
                </c:pt>
                <c:pt idx="3">
                  <c:v>4334.8542426266804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D36-4535-B6C9-B93817137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3793967"/>
        <c:axId val="493786287"/>
        <c:extLst>
          <c:ext xmlns:c15="http://schemas.microsoft.com/office/drawing/2012/chart" uri="{02D57815-91ED-43cb-92C2-25804820EDAC}">
            <c15:filteredBa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'Quarterly Overview'!$B$45</c15:sqref>
                        </c15:formulaRef>
                      </c:ext>
                    </c:extLst>
                    <c:strCache>
                      <c:ptCount val="1"/>
                      <c:pt idx="0">
                        <c:v>2024 AOP Avg. MRR</c:v>
                      </c:pt>
                    </c:strCache>
                  </c:strRef>
                </c:tx>
                <c:spPr>
                  <a:solidFill>
                    <a:schemeClr val="tx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('Quarterly Overview'!$C$45,'Quarterly Overview'!$D$45,'Quarterly Overview'!$F$45,'Quarterly Overview'!$H$45)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7-1D36-4535-B6C9-B93817137972}"/>
                  </c:ext>
                </c:extLst>
              </c15:ser>
            </c15:filteredBarSeries>
            <c15:filteredBarSeries>
              <c15:ser>
                <c:idx val="0"/>
                <c:order val="1"/>
                <c:tx>
                  <c:v>2024 AOP Total Income</c:v>
                </c:tx>
                <c:spPr>
                  <a:solidFill>
                    <a:schemeClr val="tx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('Quarterly Overview'!$C$41,'Quarterly Overview'!$D$41,'Quarterly Overview'!$F$41,'Quarterly Overview'!$H$41)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('Quarterly Overview'!$C$42,'Quarterly Overview'!$D$42,'Quarterly Overview'!$F$42,'Quarterly Overview'!$H$42)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A63B-4A8D-843B-FC625F21CFE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7"/>
          <c:order val="5"/>
          <c:tx>
            <c:v>Rolling Forecast Recurring Client Base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1D36-4535-B6C9-B93817137972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1D36-4535-B6C9-B93817137972}"/>
              </c:ext>
            </c:extLst>
          </c:dPt>
          <c:dLbls>
            <c:dLbl>
              <c:idx val="0"/>
              <c:layout>
                <c:manualLayout>
                  <c:x val="-5.7507987220447282E-2"/>
                  <c:y val="2.76243093922651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1D36-4535-B6C9-B93817137972}"/>
                </c:ext>
              </c:extLst>
            </c:dLbl>
            <c:dLbl>
              <c:idx val="1"/>
              <c:layout>
                <c:manualLayout>
                  <c:x val="-4.472843450479233E-2"/>
                  <c:y val="3.68324125230201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1D36-4535-B6C9-B93817137972}"/>
                </c:ext>
              </c:extLst>
            </c:dLbl>
            <c:dLbl>
              <c:idx val="2"/>
              <c:layout>
                <c:manualLayout>
                  <c:x val="-4.898828541001065E-2"/>
                  <c:y val="3.9901780233271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1D36-4535-B6C9-B93817137972}"/>
                </c:ext>
              </c:extLst>
            </c:dLbl>
            <c:dLbl>
              <c:idx val="3"/>
              <c:layout>
                <c:manualLayout>
                  <c:x val="-1.6616673655913374E-2"/>
                  <c:y val="5.5248652713949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1D36-4535-B6C9-B93817137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('Quarterly Overview'!$C$16,'Quarterly Overview'!$D$16,'Quarterly Overview'!$F$16,'Quarterly Overview'!$H$16)</c:f>
              <c:numCache>
                <c:formatCode>_(* #,##0_);_(* \(#,##0\);_(* "-"??_);_(@_)</c:formatCode>
                <c:ptCount val="4"/>
                <c:pt idx="0">
                  <c:v>32.666666666666664</c:v>
                </c:pt>
                <c:pt idx="1">
                  <c:v>35</c:v>
                </c:pt>
                <c:pt idx="2">
                  <c:v>34</c:v>
                </c:pt>
                <c:pt idx="3">
                  <c:v>29.470998497513303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D36-4535-B6C9-B93817137972}"/>
            </c:ext>
          </c:extLst>
        </c:ser>
        <c:ser>
          <c:idx val="3"/>
          <c:order val="7"/>
          <c:tx>
            <c:v>Rolling Forecast # of Appointments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A63B-4A8D-843B-FC625F21CFE8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A63B-4A8D-843B-FC625F21CFE8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A63B-4A8D-843B-FC625F21CFE8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A63B-4A8D-843B-FC625F21CFE8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A63B-4A8D-843B-FC625F21CF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('Quarterly Overview'!$C$41,'Quarterly Overview'!$D$41,'Quarterly Overview'!$F$41,'Quarterly Overview'!$H$41)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('Quarterly Overview'!$C$14,'Quarterly Overview'!$D$14,'Quarterly Overview'!$F$14,'Quarterly Overview'!$H$14)</c:f>
              <c:numCache>
                <c:formatCode>_(* #,##0_);_(* \(#,##0\);_(* "-"??_);_(@_)</c:formatCode>
                <c:ptCount val="4"/>
                <c:pt idx="0">
                  <c:v>203</c:v>
                </c:pt>
                <c:pt idx="1">
                  <c:v>237</c:v>
                </c:pt>
                <c:pt idx="2">
                  <c:v>211</c:v>
                </c:pt>
                <c:pt idx="3">
                  <c:v>180.12104963235203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63B-4A8D-843B-FC625F21C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798287"/>
        <c:axId val="493784847"/>
        <c:extLst>
          <c:ext xmlns:c15="http://schemas.microsoft.com/office/drawing/2012/chart" uri="{02D57815-91ED-43cb-92C2-25804820EDAC}">
            <c15:filteredLineSeries>
              <c15:ser>
                <c:idx val="5"/>
                <c:order val="2"/>
                <c:tx>
                  <c:strRef>
                    <c:extLst>
                      <c:ext uri="{02D57815-91ED-43cb-92C2-25804820EDAC}">
                        <c15:formulaRef>
                          <c15:sqref>'Quarterly Overview'!$B$46</c15:sqref>
                        </c15:formulaRef>
                      </c:ext>
                    </c:extLst>
                    <c:strCache>
                      <c:ptCount val="1"/>
                      <c:pt idx="0">
                        <c:v>2024 AOP Avg. Client Base</c:v>
                      </c:pt>
                    </c:strCache>
                  </c:strRef>
                </c:tx>
                <c:spPr>
                  <a:ln w="285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4.898828541001065E-2"/>
                        <c:y val="-4.297114794352363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B-1D36-4535-B6C9-B93817137972}"/>
                      </c:ext>
                    </c:extLst>
                  </c:dLbl>
                  <c:dLbl>
                    <c:idx val="1"/>
                    <c:layout>
                      <c:manualLayout>
                        <c:x val="-5.7507987220447282E-2"/>
                        <c:y val="-4.29711479435235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C-1D36-4535-B6C9-B93817137972}"/>
                      </c:ext>
                    </c:extLst>
                  </c:dLbl>
                  <c:dLbl>
                    <c:idx val="2"/>
                    <c:layout>
                      <c:manualLayout>
                        <c:x val="-5.7507987220447282E-2"/>
                        <c:y val="-3.990178023327194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D-1D36-4535-B6C9-B93817137972}"/>
                      </c:ext>
                    </c:extLst>
                  </c:dLbl>
                  <c:dLbl>
                    <c:idx val="3"/>
                    <c:layout>
                      <c:manualLayout>
                        <c:x val="-6.389776357827491E-2"/>
                        <c:y val="-3.683241252302031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E-1D36-4535-B6C9-B93817137972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('Quarterly Overview'!$C$46,'Quarterly Overview'!$D$46,'Quarterly Overview'!$F$46,'Quarterly Overview'!$H$46)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8-1D36-4535-B6C9-B93817137972}"/>
                  </c:ext>
                </c:extLst>
              </c15:ser>
            </c15:filteredLineSeries>
            <c15:filteredLineSeries>
              <c15:ser>
                <c:idx val="1"/>
                <c:order val="6"/>
                <c:tx>
                  <c:v>2024 AOP # of Appointments</c:v>
                </c:tx>
                <c:spPr>
                  <a:ln w="285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4.472843450479233E-2"/>
                        <c:y val="-2.836879432624116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E-A63B-4A8D-843B-FC625F21CFE8}"/>
                      </c:ext>
                    </c:extLst>
                  </c:dLbl>
                  <c:dLbl>
                    <c:idx val="1"/>
                    <c:layout>
                      <c:manualLayout>
                        <c:x val="-5.4462381432622109E-2"/>
                        <c:y val="-8.1561273985478272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F-A63B-4A8D-843B-FC625F21CFE8}"/>
                      </c:ext>
                    </c:extLst>
                  </c:dLbl>
                  <c:dLbl>
                    <c:idx val="2"/>
                    <c:layout>
                      <c:manualLayout>
                        <c:x val="-2.9823769627259609E-2"/>
                        <c:y val="-2.63971254348769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0-A63B-4A8D-843B-FC625F21CFE8}"/>
                      </c:ext>
                    </c:extLst>
                  </c:dLbl>
                  <c:dLbl>
                    <c:idx val="3"/>
                    <c:layout>
                      <c:manualLayout>
                        <c:x val="-2.5616394492475339E-2"/>
                        <c:y val="-3.323430446334092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6-1D36-4535-B6C9-B93817137972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('Quarterly Overview'!$C$41,'Quarterly Overview'!$D$41,'Quarterly Overview'!$F$41,'Quarterly Overview'!$H$41)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('Quarterly Overview'!$C$44,'Quarterly Overview'!$D$44,'Quarterly Overview'!$F$44,'Quarterly Overview'!$H$44)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A63B-4A8D-843B-FC625F21CFE8}"/>
                  </c:ext>
                </c:extLst>
              </c15:ser>
            </c15:filteredLineSeries>
          </c:ext>
        </c:extLst>
      </c:lineChart>
      <c:catAx>
        <c:axId val="49379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86287"/>
        <c:crosses val="autoZero"/>
        <c:auto val="1"/>
        <c:lblAlgn val="ctr"/>
        <c:lblOffset val="100"/>
        <c:noMultiLvlLbl val="0"/>
      </c:catAx>
      <c:valAx>
        <c:axId val="493786287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93967"/>
        <c:crosses val="autoZero"/>
        <c:crossBetween val="between"/>
      </c:valAx>
      <c:valAx>
        <c:axId val="493784847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98287"/>
        <c:crosses val="max"/>
        <c:crossBetween val="between"/>
      </c:valAx>
      <c:catAx>
        <c:axId val="4937982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37848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</a:t>
            </a:r>
            <a:r>
              <a:rPr lang="en-US" baseline="0"/>
              <a:t> </a:t>
            </a:r>
            <a:r>
              <a:rPr lang="en-US"/>
              <a:t>Rolling</a:t>
            </a:r>
            <a:r>
              <a:rPr lang="en-US" baseline="0"/>
              <a:t> </a:t>
            </a:r>
            <a:r>
              <a:rPr lang="en-US"/>
              <a:t>Forecast </a:t>
            </a:r>
            <a:r>
              <a:rPr lang="en-US" baseline="0"/>
              <a:t> - Recurring Client Base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Rolling Forecast - Net Operating Income</c:v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4CA8-4140-88B3-1F1BB06B75B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4CA8-4140-88B3-1F1BB06B75B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4CA8-4140-88B3-1F1BB06B75B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4CA8-4140-88B3-1F1BB06B75B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4CA8-4140-88B3-1F1BB06B75B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4CA8-4140-88B3-1F1BB06B75B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4473-4EDB-90C0-15EA3C4F4F0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4FC1-4C7C-B0A1-EA08560A96F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A3F9-434F-B3AE-A9E93435EEB4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5659-4F57-AD79-2A9306F340F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2CC3-4569-896E-F9A6AA52856C}"/>
              </c:ext>
            </c:extLst>
          </c:dPt>
          <c:val>
            <c:numRef>
              <c:f>'2025 Overview'!$C$39:$N$39</c:f>
              <c:numCache>
                <c:formatCode>_("$"* #,##0_);_("$"* \(#,##0\);_("$"* "-"??_);_(@_)</c:formatCode>
                <c:ptCount val="12"/>
                <c:pt idx="0">
                  <c:v>4061.8700000000003</c:v>
                </c:pt>
                <c:pt idx="1">
                  <c:v>2138.420000000001</c:v>
                </c:pt>
                <c:pt idx="2">
                  <c:v>2438.9799999999996</c:v>
                </c:pt>
                <c:pt idx="3">
                  <c:v>2096.9800000000014</c:v>
                </c:pt>
                <c:pt idx="4">
                  <c:v>2264.0999999999995</c:v>
                </c:pt>
                <c:pt idx="5">
                  <c:v>2846.1099999999997</c:v>
                </c:pt>
                <c:pt idx="6">
                  <c:v>2933.4300000000003</c:v>
                </c:pt>
                <c:pt idx="7">
                  <c:v>3070.3800000000006</c:v>
                </c:pt>
                <c:pt idx="8">
                  <c:v>1881.12</c:v>
                </c:pt>
                <c:pt idx="9">
                  <c:v>2290</c:v>
                </c:pt>
                <c:pt idx="10">
                  <c:v>-710.26530412345983</c:v>
                </c:pt>
                <c:pt idx="11">
                  <c:v>495.58377970419224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8-4140-88B3-1F1BB06B75B0}"/>
            </c:ext>
          </c:extLst>
        </c:ser>
        <c:ser>
          <c:idx val="2"/>
          <c:order val="1"/>
          <c:tx>
            <c:v>Rolling Forecast MRR</c:v>
          </c:tx>
          <c:spPr>
            <a:solidFill>
              <a:schemeClr val="accent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CA8-4140-88B3-1F1BB06B75B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CA8-4140-88B3-1F1BB06B75B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CA8-4140-88B3-1F1BB06B75B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CA8-4140-88B3-1F1BB06B75B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4CA8-4140-88B3-1F1BB06B75B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4CA8-4140-88B3-1F1BB06B75B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4473-4EDB-90C0-15EA3C4F4F0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4FC1-4C7C-B0A1-EA08560A96F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A3F9-434F-B3AE-A9E93435EEB4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accent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5659-4F57-AD79-2A9306F340F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A-2CC3-4569-896E-F9A6AA52856C}"/>
              </c:ext>
            </c:extLst>
          </c:dPt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Ref>
              <c:f>'2025 Overview'!$C$24:$N$24</c:f>
              <c:numCache>
                <c:formatCode>_("$"* #,##0_);_("$"* \(#,##0\);_("$"* "-"??_);_(@_)</c:formatCode>
                <c:ptCount val="12"/>
                <c:pt idx="0">
                  <c:v>4460.1049985636309</c:v>
                </c:pt>
                <c:pt idx="1">
                  <c:v>4123.6762769319166</c:v>
                </c:pt>
                <c:pt idx="2">
                  <c:v>3775.439153439153</c:v>
                </c:pt>
                <c:pt idx="3">
                  <c:v>4062.1518588531817</c:v>
                </c:pt>
                <c:pt idx="4">
                  <c:v>4083.8286456278765</c:v>
                </c:pt>
                <c:pt idx="5">
                  <c:v>4773.196357960458</c:v>
                </c:pt>
                <c:pt idx="6">
                  <c:v>4270.3348629984403</c:v>
                </c:pt>
                <c:pt idx="7">
                  <c:v>4966.173777777778</c:v>
                </c:pt>
                <c:pt idx="8">
                  <c:v>4723.0604938271608</c:v>
                </c:pt>
                <c:pt idx="9">
                  <c:v>4942.8781212841859</c:v>
                </c:pt>
                <c:pt idx="10">
                  <c:v>3263.5584914245451</c:v>
                </c:pt>
                <c:pt idx="11">
                  <c:v>4798.1261151713097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CA8-4140-88B3-1F1BB06B7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3793967"/>
        <c:axId val="493786287"/>
      </c:barChart>
      <c:lineChart>
        <c:grouping val="standard"/>
        <c:varyColors val="0"/>
        <c:ser>
          <c:idx val="3"/>
          <c:order val="2"/>
          <c:tx>
            <c:v>Rolling Forecast # of Recurring Client Base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4CA8-4140-88B3-1F1BB06B75B0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4CA8-4140-88B3-1F1BB06B75B0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4CA8-4140-88B3-1F1BB06B75B0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4CA8-4140-88B3-1F1BB06B75B0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4CA8-4140-88B3-1F1BB06B75B0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4CA8-4140-88B3-1F1BB06B75B0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4FC1-4C7C-B0A1-EA08560A96F4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4CA8-4140-88B3-1F1BB06B75B0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4-5659-4F57-AD79-2A9306F340F5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C-2CC3-4569-896E-F9A6AA5285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Ref>
              <c:f>'2025 Overview'!$C$25:$N$25</c:f>
              <c:numCache>
                <c:formatCode>_(* #,##0_);_(* \(#,##0\);_(* "-"??_);_(@_)</c:formatCode>
                <c:ptCount val="12"/>
                <c:pt idx="0">
                  <c:v>35</c:v>
                </c:pt>
                <c:pt idx="1">
                  <c:v>32</c:v>
                </c:pt>
                <c:pt idx="2">
                  <c:v>31</c:v>
                </c:pt>
                <c:pt idx="3">
                  <c:v>30</c:v>
                </c:pt>
                <c:pt idx="4">
                  <c:v>38</c:v>
                </c:pt>
                <c:pt idx="5">
                  <c:v>37</c:v>
                </c:pt>
                <c:pt idx="6">
                  <c:v>34</c:v>
                </c:pt>
                <c:pt idx="7">
                  <c:v>32</c:v>
                </c:pt>
                <c:pt idx="8">
                  <c:v>36</c:v>
                </c:pt>
                <c:pt idx="9">
                  <c:v>33</c:v>
                </c:pt>
                <c:pt idx="10">
                  <c:v>25.285541632518211</c:v>
                </c:pt>
                <c:pt idx="11">
                  <c:v>30.127453860021696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CA8-4140-88B3-1F1BB06B7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798287"/>
        <c:axId val="493784847"/>
      </c:lineChart>
      <c:catAx>
        <c:axId val="49379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86287"/>
        <c:crosses val="autoZero"/>
        <c:auto val="1"/>
        <c:lblAlgn val="ctr"/>
        <c:lblOffset val="100"/>
        <c:noMultiLvlLbl val="0"/>
      </c:catAx>
      <c:valAx>
        <c:axId val="493786287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93967"/>
        <c:crosses val="autoZero"/>
        <c:crossBetween val="between"/>
      </c:valAx>
      <c:valAx>
        <c:axId val="493784847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98287"/>
        <c:crosses val="max"/>
        <c:crossBetween val="between"/>
      </c:valAx>
      <c:catAx>
        <c:axId val="4937982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37848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Rolling</a:t>
            </a:r>
            <a:r>
              <a:rPr lang="en-US" baseline="0"/>
              <a:t> </a:t>
            </a:r>
            <a:r>
              <a:rPr lang="en-US"/>
              <a:t>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2025 AOP Total Income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Ref>
              <c:f>'2025 Overview'!$C$22:$N$22</c:f>
              <c:numCache>
                <c:formatCode>_("$"* #,##0_);_("$"* \(#,##0\);_("$"* "-"??_);_(@_)</c:formatCode>
                <c:ptCount val="12"/>
                <c:pt idx="0">
                  <c:v>6721.05</c:v>
                </c:pt>
                <c:pt idx="1">
                  <c:v>6501.14</c:v>
                </c:pt>
                <c:pt idx="2">
                  <c:v>7108.5</c:v>
                </c:pt>
                <c:pt idx="3">
                  <c:v>7861.75</c:v>
                </c:pt>
                <c:pt idx="4">
                  <c:v>7877.62</c:v>
                </c:pt>
                <c:pt idx="5">
                  <c:v>6887.45</c:v>
                </c:pt>
                <c:pt idx="6">
                  <c:v>7418.55</c:v>
                </c:pt>
                <c:pt idx="7">
                  <c:v>7653.35</c:v>
                </c:pt>
                <c:pt idx="8">
                  <c:v>6170.45</c:v>
                </c:pt>
                <c:pt idx="9">
                  <c:v>6998.25</c:v>
                </c:pt>
                <c:pt idx="10">
                  <c:v>5277.0751849216276</c:v>
                </c:pt>
                <c:pt idx="11">
                  <c:v>7465.3407812799524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3143-4728-9844-9D192346A726}"/>
            </c:ext>
          </c:extLst>
        </c:ser>
        <c:ser>
          <c:idx val="2"/>
          <c:order val="2"/>
          <c:tx>
            <c:v>Rolling Forecast Total Income</c:v>
          </c:tx>
          <c:spPr>
            <a:solidFill>
              <a:schemeClr val="bg2">
                <a:lumMod val="9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143-4728-9844-9D192346A72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143-4728-9844-9D192346A72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143-4728-9844-9D192346A72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143-4728-9844-9D192346A72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3143-4728-9844-9D192346A72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3143-4728-9844-9D192346A72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7436-46D6-92A6-84480C33C49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B74-4BD9-AAC7-A71445C4455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E835-49FC-BF72-3C418677C771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90F0-4487-930E-C8AF5EA1D3A0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C152-4D3B-BCFB-F54C57DB07A4}"/>
              </c:ext>
            </c:extLst>
          </c:dPt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Ref>
              <c:f>'2025 Overview'!$C$22:$N$22</c:f>
              <c:numCache>
                <c:formatCode>_("$"* #,##0_);_("$"* \(#,##0\);_("$"* "-"??_);_(@_)</c:formatCode>
                <c:ptCount val="12"/>
                <c:pt idx="0">
                  <c:v>6721.05</c:v>
                </c:pt>
                <c:pt idx="1">
                  <c:v>6501.14</c:v>
                </c:pt>
                <c:pt idx="2">
                  <c:v>7108.5</c:v>
                </c:pt>
                <c:pt idx="3">
                  <c:v>7861.75</c:v>
                </c:pt>
                <c:pt idx="4">
                  <c:v>7877.62</c:v>
                </c:pt>
                <c:pt idx="5">
                  <c:v>6887.45</c:v>
                </c:pt>
                <c:pt idx="6">
                  <c:v>7418.55</c:v>
                </c:pt>
                <c:pt idx="7">
                  <c:v>7653.35</c:v>
                </c:pt>
                <c:pt idx="8">
                  <c:v>6170.45</c:v>
                </c:pt>
                <c:pt idx="9">
                  <c:v>6998.25</c:v>
                </c:pt>
                <c:pt idx="10">
                  <c:v>5277.0751849216276</c:v>
                </c:pt>
                <c:pt idx="11">
                  <c:v>7465.3407812799524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143-4728-9844-9D192346A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3793967"/>
        <c:axId val="493786287"/>
        <c:extLst/>
      </c:barChart>
      <c:lineChart>
        <c:grouping val="standard"/>
        <c:varyColors val="0"/>
        <c:ser>
          <c:idx val="1"/>
          <c:order val="1"/>
          <c:tx>
            <c:v>2025 AOP # of Clients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3.2174253731485081E-3"/>
                  <c:y val="-1.70798189700573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7A44-4369-8FD1-E81175B35E08}"/>
                </c:ext>
              </c:extLst>
            </c:dLbl>
            <c:dLbl>
              <c:idx val="1"/>
              <c:layout>
                <c:manualLayout>
                  <c:x val="9.6522761194455537E-3"/>
                  <c:y val="2.04957827640687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A44-4369-8FD1-E81175B35E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Ref>
              <c:f>'2025 AOP'!$C$25:$N$25</c:f>
              <c:numCache>
                <c:formatCode>_(* #,##0_);_(* \(#,##0\);_(* "-"??_);_(@_)</c:formatCode>
                <c:ptCount val="12"/>
                <c:pt idx="0">
                  <c:v>40.158948928397464</c:v>
                </c:pt>
                <c:pt idx="1">
                  <c:v>33.937139939490812</c:v>
                </c:pt>
                <c:pt idx="2">
                  <c:v>40.724567927388982</c:v>
                </c:pt>
                <c:pt idx="3">
                  <c:v>55.996280900159853</c:v>
                </c:pt>
                <c:pt idx="4">
                  <c:v>66.743041880998604</c:v>
                </c:pt>
                <c:pt idx="5">
                  <c:v>59.955613893100434</c:v>
                </c:pt>
                <c:pt idx="6">
                  <c:v>47.51199591528713</c:v>
                </c:pt>
                <c:pt idx="7">
                  <c:v>49.208852912261676</c:v>
                </c:pt>
                <c:pt idx="8">
                  <c:v>40.724567927388975</c:v>
                </c:pt>
                <c:pt idx="9">
                  <c:v>45.249519919321088</c:v>
                </c:pt>
                <c:pt idx="10">
                  <c:v>48.077614914278655</c:v>
                </c:pt>
                <c:pt idx="11">
                  <c:v>49.208852912261676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E-3143-4728-9844-9D192346A726}"/>
            </c:ext>
          </c:extLst>
        </c:ser>
        <c:ser>
          <c:idx val="3"/>
          <c:order val="3"/>
          <c:tx>
            <c:v>Rolling Forecast # of Clients</c:v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3143-4728-9844-9D192346A726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3143-4728-9844-9D192346A726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3143-4728-9844-9D192346A726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3143-4728-9844-9D192346A726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3143-4728-9844-9D192346A726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7436-46D6-92A6-84480C33C493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7B74-4BD9-AAC7-A71445C4455A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E835-49FC-BF72-3C418677C771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90F0-4487-930E-C8AF5EA1D3A0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bg2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C152-4D3B-BCFB-F54C57DB07A4}"/>
              </c:ext>
            </c:extLst>
          </c:dPt>
          <c:dLbls>
            <c:dLbl>
              <c:idx val="0"/>
              <c:layout>
                <c:manualLayout>
                  <c:x val="1.4478414179168255E-2"/>
                  <c:y val="1.707981897005607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7A44-4369-8FD1-E81175B35E08}"/>
                </c:ext>
              </c:extLst>
            </c:dLbl>
            <c:dLbl>
              <c:idx val="1"/>
              <c:layout>
                <c:manualLayout>
                  <c:x val="-1.4478414179168285E-2"/>
                  <c:y val="-3.75756017341261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143-4728-9844-9D192346A7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Ref>
              <c:f>'2025 Overview'!$C$25:$N$25</c:f>
              <c:numCache>
                <c:formatCode>_(* #,##0_);_(* \(#,##0\);_(* "-"??_);_(@_)</c:formatCode>
                <c:ptCount val="12"/>
                <c:pt idx="0">
                  <c:v>35</c:v>
                </c:pt>
                <c:pt idx="1">
                  <c:v>32</c:v>
                </c:pt>
                <c:pt idx="2">
                  <c:v>31</c:v>
                </c:pt>
                <c:pt idx="3">
                  <c:v>30</c:v>
                </c:pt>
                <c:pt idx="4">
                  <c:v>38</c:v>
                </c:pt>
                <c:pt idx="5">
                  <c:v>37</c:v>
                </c:pt>
                <c:pt idx="6">
                  <c:v>34</c:v>
                </c:pt>
                <c:pt idx="7">
                  <c:v>32</c:v>
                </c:pt>
                <c:pt idx="8">
                  <c:v>36</c:v>
                </c:pt>
                <c:pt idx="9">
                  <c:v>33</c:v>
                </c:pt>
                <c:pt idx="10">
                  <c:v>25.285541632518211</c:v>
                </c:pt>
                <c:pt idx="11">
                  <c:v>30.127453860021696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143-4728-9844-9D192346A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798287"/>
        <c:axId val="493784847"/>
        <c:extLst/>
      </c:lineChart>
      <c:catAx>
        <c:axId val="49379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86287"/>
        <c:crosses val="autoZero"/>
        <c:auto val="1"/>
        <c:lblAlgn val="ctr"/>
        <c:lblOffset val="100"/>
        <c:noMultiLvlLbl val="0"/>
      </c:catAx>
      <c:valAx>
        <c:axId val="493786287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93967"/>
        <c:crosses val="autoZero"/>
        <c:crossBetween val="between"/>
      </c:valAx>
      <c:valAx>
        <c:axId val="493784847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98287"/>
        <c:crosses val="max"/>
        <c:crossBetween val="between"/>
      </c:valAx>
      <c:catAx>
        <c:axId val="4937982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37848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197255</xdr:colOff>
      <xdr:row>15</xdr:row>
      <xdr:rowOff>132542</xdr:rowOff>
    </xdr:from>
    <xdr:to>
      <xdr:col>23</xdr:col>
      <xdr:colOff>432954</xdr:colOff>
      <xdr:row>45</xdr:row>
      <xdr:rowOff>28864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496BC6-3F52-4783-97CC-3D635E81F4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117232</xdr:colOff>
      <xdr:row>8</xdr:row>
      <xdr:rowOff>89389</xdr:rowOff>
    </xdr:from>
    <xdr:to>
      <xdr:col>2</xdr:col>
      <xdr:colOff>2133600</xdr:colOff>
      <xdr:row>15</xdr:row>
      <xdr:rowOff>53637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E58AD0-F802-4C88-809C-F3E06DAFBA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" t="25500" r="4356" b="28449"/>
        <a:stretch/>
      </xdr:blipFill>
      <xdr:spPr bwMode="auto">
        <a:xfrm>
          <a:off x="726832" y="1601666"/>
          <a:ext cx="2625968" cy="12772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30</xdr:row>
      <xdr:rowOff>64770</xdr:rowOff>
    </xdr:from>
    <xdr:to>
      <xdr:col>14</xdr:col>
      <xdr:colOff>15240</xdr:colOff>
      <xdr:row>47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A2A01E-0B04-4EF9-CEB7-4AFF062983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116688</xdr:colOff>
      <xdr:row>55</xdr:row>
      <xdr:rowOff>53662</xdr:rowOff>
    </xdr:from>
    <xdr:to>
      <xdr:col>15</xdr:col>
      <xdr:colOff>1096261</xdr:colOff>
      <xdr:row>72</xdr:row>
      <xdr:rowOff>2455034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02CCB9-92F8-4891-9655-D35D011BF6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304800</xdr:colOff>
      <xdr:row>6</xdr:row>
      <xdr:rowOff>114300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F433853A-CAC9-4ACA-A844-1BC77F228BCE}"/>
            </a:ext>
          </a:extLst>
        </xdr:cNvPr>
        <xdr:cNvSpPr>
          <a:spLocks noChangeAspect="1" noChangeArrowheads="1"/>
        </xdr:cNvSpPr>
      </xdr:nvSpPr>
      <xdr:spPr bwMode="auto">
        <a:xfrm>
          <a:off x="10858500" y="91440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791086</xdr:colOff>
      <xdr:row>5</xdr:row>
      <xdr:rowOff>12638</xdr:rowOff>
    </xdr:from>
    <xdr:to>
      <xdr:col>8</xdr:col>
      <xdr:colOff>536207</xdr:colOff>
      <xdr:row>13</xdr:row>
      <xdr:rowOff>15750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B23BC5B-9F3B-4308-ADB1-22E51524F9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" t="25500" r="4356" b="28449"/>
        <a:stretch/>
      </xdr:blipFill>
      <xdr:spPr bwMode="auto">
        <a:xfrm>
          <a:off x="8174866" y="927038"/>
          <a:ext cx="3271502" cy="1466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116688</xdr:colOff>
      <xdr:row>55</xdr:row>
      <xdr:rowOff>53662</xdr:rowOff>
    </xdr:from>
    <xdr:to>
      <xdr:col>15</xdr:col>
      <xdr:colOff>1096261</xdr:colOff>
      <xdr:row>72</xdr:row>
      <xdr:rowOff>2455034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C14891-292D-46B6-8F34-DDF6DAFA5D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304800</xdr:colOff>
      <xdr:row>6</xdr:row>
      <xdr:rowOff>114300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C29618A-EA5B-4F37-8317-A51A3490B9FF}"/>
            </a:ext>
          </a:extLst>
        </xdr:cNvPr>
        <xdr:cNvSpPr>
          <a:spLocks noChangeAspect="1" noChangeArrowheads="1"/>
        </xdr:cNvSpPr>
      </xdr:nvSpPr>
      <xdr:spPr bwMode="auto">
        <a:xfrm>
          <a:off x="10877550" y="9048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791086</xdr:colOff>
      <xdr:row>5</xdr:row>
      <xdr:rowOff>12638</xdr:rowOff>
    </xdr:from>
    <xdr:to>
      <xdr:col>8</xdr:col>
      <xdr:colOff>587868</xdr:colOff>
      <xdr:row>13</xdr:row>
      <xdr:rowOff>15750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6142F4-468F-4F32-A88F-6B8BAFF69C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" t="25500" r="4356" b="28449"/>
        <a:stretch/>
      </xdr:blipFill>
      <xdr:spPr bwMode="auto">
        <a:xfrm>
          <a:off x="8180581" y="921323"/>
          <a:ext cx="3284837" cy="1447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116688</xdr:colOff>
      <xdr:row>55</xdr:row>
      <xdr:rowOff>53662</xdr:rowOff>
    </xdr:from>
    <xdr:to>
      <xdr:col>15</xdr:col>
      <xdr:colOff>1096261</xdr:colOff>
      <xdr:row>72</xdr:row>
      <xdr:rowOff>2455034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3D9078-FC80-4F35-9DC0-D58F51425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304800</xdr:colOff>
      <xdr:row>6</xdr:row>
      <xdr:rowOff>114300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D8610EEF-9CB2-4E5D-B2E0-B22428CC782F}"/>
            </a:ext>
          </a:extLst>
        </xdr:cNvPr>
        <xdr:cNvSpPr>
          <a:spLocks noChangeAspect="1" noChangeArrowheads="1"/>
        </xdr:cNvSpPr>
      </xdr:nvSpPr>
      <xdr:spPr bwMode="auto">
        <a:xfrm>
          <a:off x="10858500" y="91440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791086</xdr:colOff>
      <xdr:row>5</xdr:row>
      <xdr:rowOff>12638</xdr:rowOff>
    </xdr:from>
    <xdr:to>
      <xdr:col>8</xdr:col>
      <xdr:colOff>587868</xdr:colOff>
      <xdr:row>13</xdr:row>
      <xdr:rowOff>15750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92A7DA-7F23-4533-878D-C40DBA3B09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" t="25500" r="4356" b="28449"/>
        <a:stretch/>
      </xdr:blipFill>
      <xdr:spPr bwMode="auto">
        <a:xfrm>
          <a:off x="8174866" y="927038"/>
          <a:ext cx="3261977" cy="1466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116688</xdr:colOff>
      <xdr:row>55</xdr:row>
      <xdr:rowOff>53662</xdr:rowOff>
    </xdr:from>
    <xdr:to>
      <xdr:col>15</xdr:col>
      <xdr:colOff>1096261</xdr:colOff>
      <xdr:row>72</xdr:row>
      <xdr:rowOff>2455034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81C503-A48F-431C-A88A-8EDD3CE6AE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304800</xdr:colOff>
      <xdr:row>6</xdr:row>
      <xdr:rowOff>114300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D5527B9F-1438-D9F1-B3CD-8A452A27387B}"/>
            </a:ext>
          </a:extLst>
        </xdr:cNvPr>
        <xdr:cNvSpPr>
          <a:spLocks noChangeAspect="1" noChangeArrowheads="1"/>
        </xdr:cNvSpPr>
      </xdr:nvSpPr>
      <xdr:spPr bwMode="auto">
        <a:xfrm>
          <a:off x="1056322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791086</xdr:colOff>
      <xdr:row>5</xdr:row>
      <xdr:rowOff>12638</xdr:rowOff>
    </xdr:from>
    <xdr:to>
      <xdr:col>8</xdr:col>
      <xdr:colOff>587868</xdr:colOff>
      <xdr:row>13</xdr:row>
      <xdr:rowOff>15750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017E51-68A8-E058-9D4B-B24A86CEF7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" t="25500" r="4356" b="28449"/>
        <a:stretch/>
      </xdr:blipFill>
      <xdr:spPr bwMode="auto">
        <a:xfrm>
          <a:off x="7992523" y="978553"/>
          <a:ext cx="3166056" cy="1552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180976</xdr:colOff>
      <xdr:row>0</xdr:row>
      <xdr:rowOff>76201</xdr:rowOff>
    </xdr:from>
    <xdr:to>
      <xdr:col>11</xdr:col>
      <xdr:colOff>173354</xdr:colOff>
      <xdr:row>8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611C83-253A-2B45-EF80-D83615300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2576" y="76201"/>
          <a:ext cx="1552574" cy="15525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243839</xdr:colOff>
      <xdr:row>8</xdr:row>
      <xdr:rowOff>173874</xdr:rowOff>
    </xdr:from>
    <xdr:to>
      <xdr:col>21</xdr:col>
      <xdr:colOff>540152</xdr:colOff>
      <xdr:row>37</xdr:row>
      <xdr:rowOff>66675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6E052BA8-84E2-497F-A5DE-4D050BE1A2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28816</xdr:colOff>
      <xdr:row>37</xdr:row>
      <xdr:rowOff>158406</xdr:rowOff>
    </xdr:from>
    <xdr:to>
      <xdr:col>21</xdr:col>
      <xdr:colOff>559443</xdr:colOff>
      <xdr:row>58</xdr:row>
      <xdr:rowOff>171570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1547794F-7A0E-4B94-BEAD-BE757A7DE1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160165</xdr:colOff>
      <xdr:row>3</xdr:row>
      <xdr:rowOff>52525</xdr:rowOff>
    </xdr:from>
    <xdr:to>
      <xdr:col>11</xdr:col>
      <xdr:colOff>519361</xdr:colOff>
      <xdr:row>8</xdr:row>
      <xdr:rowOff>54531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0560E14-7172-4F1F-81C3-1179CE4112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" t="25500" r="4356" b="28449"/>
        <a:stretch/>
      </xdr:blipFill>
      <xdr:spPr bwMode="auto">
        <a:xfrm>
          <a:off x="5744950" y="631259"/>
          <a:ext cx="4280607" cy="20835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276407</xdr:colOff>
      <xdr:row>12</xdr:row>
      <xdr:rowOff>188412</xdr:rowOff>
    </xdr:from>
    <xdr:to>
      <xdr:col>59</xdr:col>
      <xdr:colOff>149961</xdr:colOff>
      <xdr:row>59</xdr:row>
      <xdr:rowOff>44002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89CB7B37-D388-4382-96C6-137938046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39</xdr:col>
      <xdr:colOff>503687</xdr:colOff>
      <xdr:row>0</xdr:row>
      <xdr:rowOff>63500</xdr:rowOff>
    </xdr:from>
    <xdr:to>
      <xdr:col>48</xdr:col>
      <xdr:colOff>270011</xdr:colOff>
      <xdr:row>12</xdr:row>
      <xdr:rowOff>128535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AA3B04-77C4-4CBA-8C3A-9CCE5F64DB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" t="25500" r="4356" b="28449"/>
        <a:stretch/>
      </xdr:blipFill>
      <xdr:spPr bwMode="auto">
        <a:xfrm>
          <a:off x="12619487" y="63500"/>
          <a:ext cx="5370793" cy="2351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rdan lee" id="{1EAB70DF-57F2-4E03-B78C-7A4DE89F3DCA}" userId="03a4090e471ff419" providerId="Windows Live"/>
  <person displayName="Jordan Lee" id="{AF1820C4-2935-4AB7-8F1E-30833449764B}" userId="S::jordan.lee.17@cnu.edu::c7004041-c18d-46a2-813c-11a6bccfe04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895.928566087961" createdVersion="8" refreshedVersion="8" minRefreshableVersion="3" recordCount="6" xr:uid="{613EE8A1-CDF4-4843-88FB-66816C45A52A}">
  <cacheSource type="worksheet">
    <worksheetSource ref="A1:J7" sheet="August"/>
  </cacheSource>
  <cacheFields count="10">
    <cacheField name="Student" numFmtId="0">
      <sharedItems count="5">
        <s v="Caroline Frey"/>
        <s v="Nicolette Batori"/>
        <s v="Maddie Wilson"/>
        <s v="Sujay Penugonda"/>
        <s v="Matthew Aasen"/>
      </sharedItems>
    </cacheField>
    <cacheField name="Date" numFmtId="14">
      <sharedItems containsSemiMixedTypes="0" containsNonDate="0" containsDate="1" containsString="0" minDate="2022-08-20T00:00:00" maxDate="2022-08-24T00:00:00"/>
    </cacheField>
    <cacheField name="Hours" numFmtId="0">
      <sharedItems containsSemiMixedTypes="0" containsString="0" containsNumber="1" minValue="0.5" maxValue="2"/>
    </cacheField>
    <cacheField name="Rate ($/hr)" numFmtId="0">
      <sharedItems containsSemiMixedTypes="0" containsString="0" containsNumber="1" containsInteger="1" minValue="50" maxValue="50"/>
    </cacheField>
    <cacheField name="Coin" numFmtId="0">
      <sharedItems containsSemiMixedTypes="0" containsString="0" containsNumber="1" containsInteger="1" minValue="25" maxValue="100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 containsString="0" containsBlank="1" containsNumber="1" containsInteger="1" minValue="0" maxValue="10"/>
    </cacheField>
    <cacheField name="Totals" numFmtId="0">
      <sharedItems containsSemiMixedTypes="0" containsString="0" containsNumber="1" containsInteger="1" minValue="25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895.929830555557" createdVersion="8" refreshedVersion="8" minRefreshableVersion="3" recordCount="15" xr:uid="{154EBD7C-0101-4D63-9E70-E31B3C7C51A8}">
  <cacheSource type="worksheet">
    <worksheetSource ref="A1:J16" sheet="September"/>
  </cacheSource>
  <cacheFields count="10">
    <cacheField name="Student" numFmtId="0">
      <sharedItems count="9">
        <s v="Rohan Skanda"/>
        <s v="Maddie Wilson"/>
        <s v="Caroline Frey"/>
        <s v="Kathryn Oakford"/>
        <s v="Kaylie Thompson"/>
        <s v="Abby Owen"/>
        <s v="Mckenzie Frey"/>
        <s v="Claire Cecotti"/>
        <s v="Sam Cormier"/>
      </sharedItems>
    </cacheField>
    <cacheField name="Date" numFmtId="16">
      <sharedItems containsSemiMixedTypes="0" containsNonDate="0" containsDate="1" containsString="0" minDate="2022-09-18T00:00:00" maxDate="2022-09-29T00:00:00"/>
    </cacheField>
    <cacheField name="Hours" numFmtId="0">
      <sharedItems containsSemiMixedTypes="0" containsString="0" containsNumber="1" minValue="0.5" maxValue="2"/>
    </cacheField>
    <cacheField name="Rate ($/hr)" numFmtId="0">
      <sharedItems containsSemiMixedTypes="0" containsString="0" containsNumber="1" containsInteger="1" minValue="50" maxValue="100"/>
    </cacheField>
    <cacheField name="Coin" numFmtId="0">
      <sharedItems containsSemiMixedTypes="0" containsString="0" containsNumber="1" containsInteger="1" minValue="25" maxValue="100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 containsBlank="1" containsMixedTypes="1" containsNumber="1" containsInteger="1" minValue="25" maxValue="25"/>
    </cacheField>
    <cacheField name="Totals" numFmtId="0">
      <sharedItems containsString="0" containsBlank="1" containsNumber="1" containsInteger="1" minValue="5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895.930193171298" createdVersion="8" refreshedVersion="8" minRefreshableVersion="3" recordCount="40" xr:uid="{88D9A00C-977F-4705-83A8-FAB91CE502E6}">
  <cacheSource type="worksheet">
    <worksheetSource ref="A1:K41" sheet="October"/>
  </cacheSource>
  <cacheFields count="11">
    <cacheField name="Student" numFmtId="0">
      <sharedItems count="17">
        <s v="Abby Owen"/>
        <s v="Addison O'Connor"/>
        <s v="Caroline Frey"/>
        <s v="Claire Cecotti"/>
        <s v="Elle Mishler"/>
        <s v="Gabby Bagot"/>
        <s v="Julia Cecotti"/>
        <s v="Kathryn Oakford"/>
        <s v="Kaylie Thompson"/>
        <s v="Maddie Wilson"/>
        <s v="Maddox Rogers"/>
        <s v="Naura Peters"/>
        <s v="Nicolette Batori"/>
        <s v="Rohan Skanda"/>
        <s v="Sienna Cormier"/>
        <s v="Sophia Gonzales"/>
        <s v="Sujay Penugonda"/>
      </sharedItems>
    </cacheField>
    <cacheField name="Date" numFmtId="16">
      <sharedItems containsSemiMixedTypes="0" containsNonDate="0" containsDate="1" containsString="0" minDate="2022-10-02T00:00:00" maxDate="2022-11-01T00:00:00"/>
    </cacheField>
    <cacheField name="Hours" numFmtId="0">
      <sharedItems containsSemiMixedTypes="0" containsString="0" containsNumber="1" minValue="0.5" maxValue="5"/>
    </cacheField>
    <cacheField name="Rate ($/hr)" numFmtId="0">
      <sharedItems containsSemiMixedTypes="0" containsString="0" containsNumber="1" containsInteger="1" minValue="50" maxValue="60"/>
    </cacheField>
    <cacheField name="Coin" numFmtId="0">
      <sharedItems containsSemiMixedTypes="0" containsString="0" containsNumber="1" minValue="25" maxValue="175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/>
    </cacheField>
    <cacheField name="Paid via invoice?" numFmtId="0">
      <sharedItems/>
    </cacheField>
    <cacheField name="Totals" numFmtId="0">
      <sharedItems containsSemiMixedTypes="0" containsString="0" containsNumber="1" minValue="25" maxValue="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910.784345601853" createdVersion="8" refreshedVersion="8" minRefreshableVersion="3" recordCount="24" xr:uid="{C87EF8AD-2BBE-4D3F-BE88-FC5B28F3A300}">
  <cacheSource type="worksheet">
    <worksheetSource ref="A1:K25" sheet="November"/>
  </cacheSource>
  <cacheFields count="11">
    <cacheField name="Student" numFmtId="0">
      <sharedItems count="11">
        <s v="Abby Owen"/>
        <s v="Brayden Wulff"/>
        <s v="Elle Mishler"/>
        <s v="Emma Thacker"/>
        <s v="Julia Cecotti"/>
        <s v="Kathryn Oakford"/>
        <s v="Naura Peters"/>
        <s v="Nicolette Batori"/>
        <s v="Rohan Skanda"/>
        <s v="Sienna Cormier"/>
        <s v="Sophia Gonzales"/>
      </sharedItems>
    </cacheField>
    <cacheField name="Date" numFmtId="16">
      <sharedItems containsSemiMixedTypes="0" containsNonDate="0" containsDate="1" containsString="0" minDate="2022-11-03T00:00:00" maxDate="2022-12-01T00:00:00"/>
    </cacheField>
    <cacheField name="Hours" numFmtId="0">
      <sharedItems containsSemiMixedTypes="0" containsString="0" containsNumber="1" minValue="0.5" maxValue="2"/>
    </cacheField>
    <cacheField name="Rate ($/hr)" numFmtId="0">
      <sharedItems containsSemiMixedTypes="0" containsString="0" containsNumber="1" containsInteger="1" minValue="50" maxValue="60"/>
    </cacheField>
    <cacheField name="Coin" numFmtId="0">
      <sharedItems containsSemiMixedTypes="0" containsString="0" containsNumber="1" minValue="30" maxValue="100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 containsBlank="1"/>
    </cacheField>
    <cacheField name="Paid via invoice?" numFmtId="0">
      <sharedItems/>
    </cacheField>
    <cacheField name="Totals" numFmtId="0">
      <sharedItems containsSemiMixedTypes="0" containsString="0" containsNumber="1" minValue="3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d v="2022-08-20T00:00:00"/>
    <n v="0.5"/>
    <n v="50"/>
    <n v="25"/>
    <s v="Yes"/>
    <s v="Yes"/>
    <s v="Adderal form"/>
    <n v="10"/>
    <n v="35"/>
  </r>
  <r>
    <x v="1"/>
    <d v="2022-08-21T00:00:00"/>
    <n v="1.5"/>
    <n v="50"/>
    <n v="75"/>
    <s v="No"/>
    <s v="Yes"/>
    <s v="SAT/ACT overview, college talk/prep"/>
    <n v="0"/>
    <n v="75"/>
  </r>
  <r>
    <x v="2"/>
    <d v="2022-08-21T00:00:00"/>
    <n v="1"/>
    <n v="50"/>
    <n v="50"/>
    <s v="No"/>
    <s v="No"/>
    <s v="ACT Science"/>
    <m/>
    <n v="50"/>
  </r>
  <r>
    <x v="3"/>
    <d v="2022-08-23T00:00:00"/>
    <n v="2"/>
    <n v="50"/>
    <n v="100"/>
    <s v="Yes"/>
    <s v="Yes"/>
    <s v="Essay"/>
    <m/>
    <n v="100"/>
  </r>
  <r>
    <x v="2"/>
    <d v="2022-08-23T00:00:00"/>
    <n v="2"/>
    <n v="50"/>
    <n v="100"/>
    <s v="No"/>
    <s v="No"/>
    <s v="ACT Math, college essay"/>
    <m/>
    <n v="100"/>
  </r>
  <r>
    <x v="4"/>
    <d v="2022-08-23T00:00:00"/>
    <n v="0.5"/>
    <n v="50"/>
    <n v="25"/>
    <s v="Yes"/>
    <s v="Yes"/>
    <s v="2nd read common app"/>
    <m/>
    <n v="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d v="2022-09-18T00:00:00"/>
    <n v="1"/>
    <n v="50"/>
    <n v="50"/>
    <s v="Yes"/>
    <s v="Yes"/>
    <s v="AOS Math/Science"/>
    <s v="No"/>
    <n v="50"/>
  </r>
  <r>
    <x v="1"/>
    <d v="2022-09-18T00:00:00"/>
    <n v="2"/>
    <n v="50"/>
    <n v="100"/>
    <s v="Yes"/>
    <s v="Yes"/>
    <s v="College Essay"/>
    <s v="No"/>
    <n v="100"/>
  </r>
  <r>
    <x v="2"/>
    <d v="2022-09-18T00:00:00"/>
    <n v="1.5"/>
    <n v="50"/>
    <n v="75"/>
    <s v="Yes"/>
    <s v="Yes"/>
    <s v="College Supplemental Essays"/>
    <n v="25"/>
    <n v="100"/>
  </r>
  <r>
    <x v="3"/>
    <d v="2022-09-18T00:00:00"/>
    <n v="1.5"/>
    <n v="50"/>
    <n v="75"/>
    <s v="Yes"/>
    <s v="Yes"/>
    <s v="Business Calc"/>
    <s v="No"/>
    <n v="75"/>
  </r>
  <r>
    <x v="4"/>
    <d v="2022-09-18T00:00:00"/>
    <n v="1.5"/>
    <n v="50"/>
    <n v="75"/>
    <s v="Yes"/>
    <s v="Yes"/>
    <s v="College Essay"/>
    <s v="No"/>
    <n v="75"/>
  </r>
  <r>
    <x v="5"/>
    <d v="2022-09-19T00:00:00"/>
    <n v="2"/>
    <n v="50"/>
    <n v="100"/>
    <s v="Yes"/>
    <s v="Yes"/>
    <s v="Math Practice for Quiz"/>
    <s v="No"/>
    <n v="100"/>
  </r>
  <r>
    <x v="3"/>
    <d v="2022-09-19T00:00:00"/>
    <n v="1"/>
    <n v="50"/>
    <n v="50"/>
    <s v="Yes"/>
    <s v="Yes"/>
    <s v="Business Calc"/>
    <s v="No"/>
    <n v="50"/>
  </r>
  <r>
    <x v="1"/>
    <d v="2022-09-22T00:00:00"/>
    <n v="1"/>
    <n v="50"/>
    <n v="50"/>
    <s v="Yes"/>
    <s v="Yes"/>
    <s v="ACT Math, NHS Essay"/>
    <s v="No"/>
    <n v="50"/>
  </r>
  <r>
    <x v="6"/>
    <d v="2022-09-23T00:00:00"/>
    <n v="0.5"/>
    <n v="50"/>
    <n v="25"/>
    <s v="No"/>
    <s v="Yes (accounted for in October w Caroline)"/>
    <s v="PR/Project Planning"/>
    <m/>
    <m/>
  </r>
  <r>
    <x v="1"/>
    <d v="2022-09-23T00:00:00"/>
    <n v="1"/>
    <n v="50"/>
    <n v="50"/>
    <s v="Yes"/>
    <s v="Yes"/>
    <s v="NHS Essay"/>
    <s v="No"/>
    <n v="50"/>
  </r>
  <r>
    <x v="7"/>
    <d v="2022-09-25T00:00:00"/>
    <n v="1"/>
    <n v="50"/>
    <n v="50"/>
    <s v="Yes"/>
    <s v="Yes"/>
    <s v="Algebra Review/SAT Math"/>
    <s v="No"/>
    <n v="50"/>
  </r>
  <r>
    <x v="1"/>
    <d v="2022-09-25T00:00:00"/>
    <n v="2"/>
    <n v="100"/>
    <n v="100"/>
    <s v="Yes"/>
    <s v="Yes"/>
    <s v="Supplemental Essays"/>
    <s v="No"/>
    <n v="100"/>
  </r>
  <r>
    <x v="8"/>
    <d v="2022-09-25T00:00:00"/>
    <n v="2"/>
    <n v="100"/>
    <n v="100"/>
    <s v="Yes"/>
    <s v="Yes"/>
    <s v="Supplemental Essays"/>
    <s v="No"/>
    <n v="100"/>
  </r>
  <r>
    <x v="7"/>
    <d v="2022-09-26T00:00:00"/>
    <n v="1"/>
    <n v="50"/>
    <n v="50"/>
    <s v="Yes"/>
    <s v="Yes"/>
    <s v="Algebra Review/SAT Math"/>
    <s v="No"/>
    <n v="50"/>
  </r>
  <r>
    <x v="1"/>
    <d v="2022-09-28T00:00:00"/>
    <n v="1.5"/>
    <n v="50"/>
    <n v="75"/>
    <s v="Yes"/>
    <s v="Yes"/>
    <s v="Supplemental Essays"/>
    <s v="No"/>
    <n v="7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d v="2022-10-02T00:00:00"/>
    <n v="1"/>
    <n v="50"/>
    <n v="50"/>
    <s v="Yes"/>
    <s v="Yes"/>
    <s v="Math (general homework)"/>
    <s v="No"/>
    <s v="No"/>
    <n v="50"/>
  </r>
  <r>
    <x v="0"/>
    <d v="2022-10-12T00:00:00"/>
    <n v="2"/>
    <n v="50"/>
    <n v="100"/>
    <s v="Yes"/>
    <s v="Yes"/>
    <s v="Algebra 2"/>
    <s v="No"/>
    <s v="YES"/>
    <n v="100"/>
  </r>
  <r>
    <x v="0"/>
    <d v="2022-10-24T00:00:00"/>
    <n v="1"/>
    <n v="50"/>
    <n v="50"/>
    <s v="Yes"/>
    <s v="Yes"/>
    <s v="Emergency Math Lab"/>
    <s v="No"/>
    <s v="YES"/>
    <n v="50"/>
  </r>
  <r>
    <x v="0"/>
    <d v="2022-10-25T00:00:00"/>
    <n v="0.75"/>
    <n v="50"/>
    <n v="37.5"/>
    <s v="Yes"/>
    <s v="Yes"/>
    <s v="Logarithmic Functions Review"/>
    <s v="No"/>
    <s v="YES"/>
    <n v="37.5"/>
  </r>
  <r>
    <x v="0"/>
    <d v="2022-10-27T00:00:00"/>
    <n v="1"/>
    <n v="50"/>
    <n v="50"/>
    <s v="Yes"/>
    <s v="Yes"/>
    <s v="Precalc - Exponentials and Logs"/>
    <s v="No"/>
    <s v="YES"/>
    <n v="50"/>
  </r>
  <r>
    <x v="1"/>
    <d v="2022-10-15T00:00:00"/>
    <n v="1"/>
    <n v="60"/>
    <n v="60"/>
    <s v="Yes"/>
    <s v="Yes"/>
    <s v="Choreography Review"/>
    <s v="No"/>
    <s v="YES"/>
    <n v="60"/>
  </r>
  <r>
    <x v="2"/>
    <d v="2022-10-18T00:00:00"/>
    <n v="3.5"/>
    <n v="50"/>
    <n v="175"/>
    <s v="Yes"/>
    <s v="Yes"/>
    <s v="TN and CoC Essay Supplement Finalization"/>
    <s v="Yes"/>
    <s v="No - Venmo b/c tip; sent to personal account but transferred accordingly (sent to Eric and Eric venmo'd business acc)"/>
    <n v="200"/>
  </r>
  <r>
    <x v="2"/>
    <d v="2022-10-23T00:00:00"/>
    <n v="1"/>
    <n v="50"/>
    <n v="50"/>
    <s v="Yes"/>
    <s v="Yes"/>
    <s v="Bama Honors Appliation"/>
    <s v="No"/>
    <s v="No - venmo b/c tip"/>
    <n v="50"/>
  </r>
  <r>
    <x v="3"/>
    <d v="2022-10-03T00:00:00"/>
    <n v="1"/>
    <n v="50"/>
    <n v="50"/>
    <s v="Yes"/>
    <s v="Yes"/>
    <s v="SAT Math, Piecewise Functions Test"/>
    <s v="No"/>
    <s v="YES"/>
    <n v="50"/>
  </r>
  <r>
    <x v="4"/>
    <d v="2022-10-08T00:00:00"/>
    <n v="1"/>
    <n v="60"/>
    <n v="60"/>
    <s v="Yes"/>
    <s v="Yes"/>
    <s v="Algebra 1"/>
    <s v="No"/>
    <s v="YES"/>
    <n v="60"/>
  </r>
  <r>
    <x v="4"/>
    <d v="2022-10-12T00:00:00"/>
    <n v="1"/>
    <n v="60"/>
    <n v="60"/>
    <s v="Yes"/>
    <s v="Yes"/>
    <s v="Algebra 1"/>
    <s v="No"/>
    <s v="YES"/>
    <n v="60"/>
  </r>
  <r>
    <x v="4"/>
    <d v="2022-10-19T00:00:00"/>
    <n v="1.25"/>
    <n v="60"/>
    <n v="75"/>
    <s v="Yes"/>
    <s v="Yes"/>
    <s v="Algebra 1 Review"/>
    <s v="No"/>
    <s v="YES"/>
    <n v="75"/>
  </r>
  <r>
    <x v="5"/>
    <d v="2022-10-22T00:00:00"/>
    <n v="1"/>
    <n v="60"/>
    <n v="60"/>
    <s v="Yes"/>
    <s v="Yes"/>
    <s v="Algebra 1"/>
    <s v="No"/>
    <s v="YES"/>
    <n v="60"/>
  </r>
  <r>
    <x v="6"/>
    <d v="2022-10-11T00:00:00"/>
    <n v="1"/>
    <n v="50"/>
    <n v="50"/>
    <s v="Yes"/>
    <s v="Yes"/>
    <s v="Precalc - piecewise functions"/>
    <s v="No"/>
    <s v="YES"/>
    <n v="50"/>
  </r>
  <r>
    <x v="6"/>
    <d v="2022-10-17T00:00:00"/>
    <n v="1.5"/>
    <n v="50"/>
    <n v="75"/>
    <s v="Yes"/>
    <s v="Yes"/>
    <s v="Limits and Discontinuity"/>
    <s v="No"/>
    <s v="YES"/>
    <n v="75"/>
  </r>
  <r>
    <x v="7"/>
    <d v="2022-10-17T00:00:00"/>
    <n v="1.5"/>
    <n v="50"/>
    <n v="75"/>
    <s v="Yes"/>
    <s v="Yes"/>
    <s v="Business Calculus"/>
    <s v="No"/>
    <s v="YES"/>
    <n v="75"/>
  </r>
  <r>
    <x v="7"/>
    <d v="2022-10-23T00:00:00"/>
    <n v="1.5"/>
    <n v="50"/>
    <n v="75"/>
    <s v="Yes"/>
    <s v="Yes"/>
    <s v="Business Calculus"/>
    <s v="No"/>
    <s v="YES"/>
    <n v="75"/>
  </r>
  <r>
    <x v="8"/>
    <d v="2022-10-02T00:00:00"/>
    <n v="1.5"/>
    <n v="50"/>
    <n v="75"/>
    <s v="Yes"/>
    <s v="Yes"/>
    <s v="Common App Finalizaiton"/>
    <s v="No"/>
    <s v="No"/>
    <n v="75"/>
  </r>
  <r>
    <x v="9"/>
    <d v="2022-10-02T00:00:00"/>
    <n v="2"/>
    <n v="50"/>
    <n v="100"/>
    <s v="Yes"/>
    <s v="Yes"/>
    <s v="ACT Math"/>
    <s v="No"/>
    <s v="No"/>
    <n v="100"/>
  </r>
  <r>
    <x v="9"/>
    <d v="2022-10-20T00:00:00"/>
    <n v="1.5"/>
    <n v="50"/>
    <n v="75"/>
    <s v="Yes"/>
    <s v="Yes"/>
    <s v="ACT Math"/>
    <s v="No"/>
    <s v="No - received via PayPal and Transferred"/>
    <n v="75"/>
  </r>
  <r>
    <x v="10"/>
    <d v="2022-10-13T00:00:00"/>
    <n v="2"/>
    <n v="50"/>
    <n v="100"/>
    <s v="Yes"/>
    <s v="Yes"/>
    <s v="College Essay"/>
    <s v="No"/>
    <s v="YES"/>
    <n v="100"/>
  </r>
  <r>
    <x v="11"/>
    <d v="2022-10-22T00:00:00"/>
    <n v="0.5"/>
    <n v="60"/>
    <n v="30"/>
    <s v="Yes"/>
    <s v="Yes"/>
    <s v="Private lesson"/>
    <s v="No"/>
    <s v="YES"/>
    <n v="30"/>
  </r>
  <r>
    <x v="12"/>
    <d v="2022-10-23T00:00:00"/>
    <n v="2"/>
    <n v="50"/>
    <n v="100"/>
    <s v="Yes"/>
    <s v="Yes"/>
    <s v="AP Test Advice, Volunteering advice, SAT Math"/>
    <s v="No"/>
    <s v="YES"/>
    <n v="100"/>
  </r>
  <r>
    <x v="12"/>
    <d v="2022-10-29T00:00:00"/>
    <n v="1"/>
    <n v="50"/>
    <n v="50"/>
    <s v="Yes"/>
    <s v="Yes"/>
    <s v="SAT Math"/>
    <s v="No"/>
    <s v="YES"/>
    <n v="50"/>
  </r>
  <r>
    <x v="12"/>
    <d v="2022-10-31T00:00:00"/>
    <n v="1"/>
    <n v="50"/>
    <n v="50"/>
    <s v="Yes"/>
    <s v="Yes"/>
    <s v="SAT Math"/>
    <s v="No"/>
    <s v="YES"/>
    <n v="50"/>
  </r>
  <r>
    <x v="13"/>
    <d v="2022-10-04T00:00:00"/>
    <n v="1"/>
    <n v="50"/>
    <n v="50"/>
    <s v="Yes"/>
    <s v="Yes"/>
    <s v="AOS Integrated Math + Science"/>
    <s v="No"/>
    <s v="YES"/>
    <n v="50"/>
  </r>
  <r>
    <x v="13"/>
    <d v="2022-10-06T00:00:00"/>
    <n v="2"/>
    <n v="50"/>
    <n v="100"/>
    <s v="Yes"/>
    <s v="Yes"/>
    <s v="AOS Integrated Math + Science"/>
    <s v="No"/>
    <s v="YES"/>
    <n v="100"/>
  </r>
  <r>
    <x v="13"/>
    <d v="2022-10-17T00:00:00"/>
    <n v="1.5"/>
    <n v="50"/>
    <n v="75"/>
    <s v="Yes"/>
    <s v="Yes"/>
    <s v="Math and Physics Review"/>
    <s v="No"/>
    <s v="YES"/>
    <n v="75"/>
  </r>
  <r>
    <x v="13"/>
    <d v="2022-10-23T00:00:00"/>
    <n v="1"/>
    <n v="50"/>
    <n v="75"/>
    <s v="Yes"/>
    <s v="Yes"/>
    <s v="AOS Integrated Math + Science"/>
    <s v="No"/>
    <s v="YES"/>
    <n v="75"/>
  </r>
  <r>
    <x v="13"/>
    <d v="2022-10-24T00:00:00"/>
    <n v="1"/>
    <n v="50"/>
    <n v="50"/>
    <s v="Yes"/>
    <s v="Yes"/>
    <s v="AOS Integrated Math + Science"/>
    <s v="No"/>
    <s v="YES"/>
    <n v="50"/>
  </r>
  <r>
    <x v="13"/>
    <d v="2022-10-25T00:00:00"/>
    <n v="1"/>
    <n v="50"/>
    <n v="50"/>
    <s v="Yes"/>
    <s v="Yes"/>
    <s v="AOS Integrated Math + Science"/>
    <s v="No"/>
    <s v="YES"/>
    <n v="50"/>
  </r>
  <r>
    <x v="13"/>
    <d v="2022-10-26T00:00:00"/>
    <n v="1.25"/>
    <n v="50"/>
    <n v="62.5"/>
    <s v="Yes"/>
    <s v="Yes"/>
    <s v="AOS Integrated Math + Science"/>
    <s v="No"/>
    <s v="YES"/>
    <n v="62.5"/>
  </r>
  <r>
    <x v="14"/>
    <d v="2022-10-12T00:00:00"/>
    <n v="1.5"/>
    <n v="50"/>
    <n v="75"/>
    <s v="Yes"/>
    <s v="Yes"/>
    <s v="Geometry"/>
    <s v="No"/>
    <s v="YES"/>
    <n v="75"/>
  </r>
  <r>
    <x v="15"/>
    <d v="2022-10-26T00:00:00"/>
    <n v="1"/>
    <n v="60"/>
    <n v="60"/>
    <s v="Yes (folded into next-day invoice)"/>
    <s v="Yes"/>
    <s v="Physics"/>
    <s v="No"/>
    <s v="YES"/>
    <n v="60"/>
  </r>
  <r>
    <x v="15"/>
    <d v="2022-10-27T00:00:00"/>
    <n v="1"/>
    <n v="60"/>
    <n v="60"/>
    <s v="Yes"/>
    <s v="Yes"/>
    <s v="Physics"/>
    <s v="No"/>
    <s v="YES"/>
    <n v="60"/>
  </r>
  <r>
    <x v="16"/>
    <d v="2022-10-06T00:00:00"/>
    <n v="1.5"/>
    <n v="50"/>
    <n v="75"/>
    <s v="Yes"/>
    <s v="Yes"/>
    <s v="Supplemental Essays"/>
    <s v="No"/>
    <s v="YES"/>
    <n v="75"/>
  </r>
  <r>
    <x v="16"/>
    <d v="2022-10-21T00:00:00"/>
    <n v="2"/>
    <n v="50"/>
    <n v="100"/>
    <s v="Yes"/>
    <s v="Yes"/>
    <s v="College Essay"/>
    <s v="No"/>
    <s v="YES"/>
    <n v="100"/>
  </r>
  <r>
    <x v="16"/>
    <d v="2022-10-23T00:00:00"/>
    <n v="0.5"/>
    <n v="50"/>
    <n v="25"/>
    <s v="No"/>
    <s v="Yes"/>
    <s v="College Essay"/>
    <s v="No"/>
    <s v="YES"/>
    <n v="25"/>
  </r>
  <r>
    <x v="16"/>
    <d v="2022-10-29T00:00:00"/>
    <n v="5"/>
    <n v="50"/>
    <n v="125"/>
    <s v="Yes"/>
    <s v="Yes"/>
    <s v="College Essay"/>
    <s v="No"/>
    <s v="YES"/>
    <n v="250"/>
  </r>
  <r>
    <x v="16"/>
    <d v="2022-10-30T00:00:00"/>
    <n v="2.5"/>
    <n v="50"/>
    <n v="125"/>
    <s v="Yes"/>
    <s v="Yes"/>
    <s v="College Essay"/>
    <s v="No"/>
    <s v="No - asked to send via Zelle. Transferred from personal to biz immediately."/>
    <n v="12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d v="2022-11-03T00:00:00"/>
    <n v="1"/>
    <n v="50"/>
    <n v="50"/>
    <s v="Yes"/>
    <s v="Yes"/>
    <s v="Properties of logs and exponents; APERT"/>
    <s v="No"/>
    <s v="Yes"/>
    <n v="50"/>
  </r>
  <r>
    <x v="1"/>
    <d v="2022-11-13T00:00:00"/>
    <n v="1"/>
    <n v="60"/>
    <n v="60"/>
    <s v="Yes"/>
    <s v="Yes"/>
    <s v="Math Analysis"/>
    <s v="No"/>
    <s v="QBA"/>
    <n v="60"/>
  </r>
  <r>
    <x v="1"/>
    <d v="2022-11-15T00:00:00"/>
    <n v="1.5"/>
    <n v="60"/>
    <n v="90"/>
    <s v="Yes"/>
    <s v="Yes"/>
    <s v="Math Analysis"/>
    <s v="No"/>
    <s v="QBA"/>
    <n v="90"/>
  </r>
  <r>
    <x v="2"/>
    <d v="2022-11-07T00:00:00"/>
    <n v="1"/>
    <n v="60"/>
    <n v="60"/>
    <s v="Yes"/>
    <s v="Yes"/>
    <s v="Algebra 1 - Absolute Value Functions"/>
    <s v="No"/>
    <s v="QBA"/>
    <n v="60"/>
  </r>
  <r>
    <x v="2"/>
    <d v="2022-11-27T00:00:00"/>
    <n v="1.5"/>
    <n v="60"/>
    <n v="90"/>
    <s v="Yes"/>
    <s v="Yes"/>
    <s v="Algebra 1 - Graphing, Domain, and Range"/>
    <s v="No"/>
    <s v="QBA"/>
    <n v="90"/>
  </r>
  <r>
    <x v="3"/>
    <d v="2022-11-13T00:00:00"/>
    <n v="1"/>
    <n v="60"/>
    <n v="60"/>
    <s v="Yes"/>
    <s v="Yes"/>
    <s v="Algebra 2 Trig"/>
    <s v="No"/>
    <s v="QBA"/>
    <n v="60"/>
  </r>
  <r>
    <x v="3"/>
    <d v="2022-11-19T00:00:00"/>
    <n v="1.5"/>
    <n v="60"/>
    <n v="90"/>
    <s v="Yes"/>
    <s v="Yes"/>
    <s v="Algebra 2 Trig"/>
    <s v="No"/>
    <s v="QBA"/>
    <n v="90"/>
  </r>
  <r>
    <x v="4"/>
    <d v="2022-11-10T00:00:00"/>
    <n v="1.5"/>
    <n v="50"/>
    <n v="75"/>
    <s v="Yes"/>
    <s v="Yes"/>
    <s v="Precalc - rational functions, domain/range, holes, asymptotes, graphing, factoring"/>
    <s v="No"/>
    <s v="QBA"/>
    <n v="75"/>
  </r>
  <r>
    <x v="5"/>
    <d v="2022-11-21T00:00:00"/>
    <n v="1"/>
    <n v="50"/>
    <n v="50"/>
    <s v="Yes"/>
    <s v="Yes"/>
    <s v="Business Calc (College)"/>
    <s v="No"/>
    <s v="QBA"/>
    <n v="50"/>
  </r>
  <r>
    <x v="6"/>
    <d v="2022-11-12T00:00:00"/>
    <n v="0.5"/>
    <n v="60"/>
    <n v="30"/>
    <s v="Yes"/>
    <s v="Yes"/>
    <s v="Dance"/>
    <s v="No"/>
    <s v="QBA"/>
    <n v="30"/>
  </r>
  <r>
    <x v="7"/>
    <d v="2022-11-06T00:00:00"/>
    <n v="2"/>
    <n v="50"/>
    <n v="100"/>
    <s v="Yes"/>
    <s v="Yes"/>
    <s v="SAT Math (Calculator Section)"/>
    <s v="No"/>
    <s v="QBA"/>
    <n v="100"/>
  </r>
  <r>
    <x v="7"/>
    <d v="2022-11-08T00:00:00"/>
    <n v="1"/>
    <n v="50"/>
    <n v="50"/>
    <s v="Yes"/>
    <s v="Yes"/>
    <s v="Trig Proofs"/>
    <s v="No"/>
    <s v="QBA"/>
    <n v="50"/>
  </r>
  <r>
    <x v="7"/>
    <d v="2022-11-19T00:00:00"/>
    <n v="1.5"/>
    <n v="50"/>
    <n v="75"/>
    <s v="Yes"/>
    <s v="Yes"/>
    <s v="SAT English"/>
    <s v="No"/>
    <s v="QBA"/>
    <n v="75"/>
  </r>
  <r>
    <x v="7"/>
    <d v="2022-11-26T00:00:00"/>
    <n v="1.5"/>
    <n v="50"/>
    <n v="75"/>
    <s v="Yes"/>
    <s v="Yes"/>
    <s v="SAT Grammar"/>
    <s v="No"/>
    <s v="QBA"/>
    <n v="75"/>
  </r>
  <r>
    <x v="7"/>
    <d v="2022-11-27T00:00:00"/>
    <n v="1.5"/>
    <n v="50"/>
    <n v="75"/>
    <s v="Yes"/>
    <s v="Yes"/>
    <s v="SAT Reading Comprehension"/>
    <s v="No"/>
    <s v="QBA"/>
    <n v="75"/>
  </r>
  <r>
    <x v="8"/>
    <d v="2022-11-03T00:00:00"/>
    <n v="1.25"/>
    <n v="50"/>
    <n v="62.5"/>
    <s v="Yes"/>
    <s v="Yes"/>
    <s v="Difference Quotient, pre-calc"/>
    <s v="No"/>
    <s v="Yes"/>
    <n v="62.5"/>
  </r>
  <r>
    <x v="8"/>
    <d v="2022-11-08T00:00:00"/>
    <n v="1"/>
    <n v="50"/>
    <n v="50"/>
    <s v="Yes"/>
    <s v="Yes"/>
    <s v="AOS Integrated Math and Science"/>
    <s v="No"/>
    <s v="QBA"/>
    <n v="50"/>
  </r>
  <r>
    <x v="8"/>
    <d v="2022-11-10T00:00:00"/>
    <n v="1.25"/>
    <n v="50"/>
    <n v="62.5"/>
    <s v="Yes"/>
    <s v="Yes"/>
    <s v="Physics - Position and Veloicty"/>
    <s v="No"/>
    <s v="QBA"/>
    <n v="62.5"/>
  </r>
  <r>
    <x v="8"/>
    <d v="2022-11-21T00:00:00"/>
    <n v="1.5"/>
    <n v="50"/>
    <n v="75"/>
    <s v="Yes"/>
    <s v="Yes"/>
    <s v="AOS Integrated Math and Science"/>
    <s v="No"/>
    <s v="QBA"/>
    <n v="75"/>
  </r>
  <r>
    <x v="8"/>
    <d v="2022-11-26T00:00:00"/>
    <n v="1"/>
    <n v="50"/>
    <n v="50"/>
    <s v="Yes"/>
    <s v="Yes"/>
    <s v="AOS Integrated Math and Science"/>
    <s v="No"/>
    <s v="QBA"/>
    <n v="50"/>
  </r>
  <r>
    <x v="8"/>
    <d v="2022-11-27T00:00:00"/>
    <n v="2"/>
    <n v="50"/>
    <n v="100"/>
    <s v="Yes"/>
    <s v="Yes"/>
    <s v="AOS Integrated Math and Science"/>
    <s v="No"/>
    <s v="QBA"/>
    <n v="100"/>
  </r>
  <r>
    <x v="8"/>
    <d v="2022-11-28T00:00:00"/>
    <n v="1"/>
    <n v="50"/>
    <n v="50"/>
    <s v="Yes"/>
    <s v="Yes"/>
    <s v="AOS Integrated Math and Science"/>
    <s v="No"/>
    <s v="QBA"/>
    <n v="50"/>
  </r>
  <r>
    <x v="9"/>
    <d v="2022-11-30T00:00:00"/>
    <n v="2"/>
    <n v="50"/>
    <n v="100"/>
    <s v="Yes"/>
    <s v="Yes"/>
    <s v="Chemistry"/>
    <s v="No"/>
    <s v="QBA"/>
    <n v="100"/>
  </r>
  <r>
    <x v="10"/>
    <d v="2022-11-21T00:00:00"/>
    <n v="1"/>
    <n v="60"/>
    <n v="60"/>
    <s v="Yes"/>
    <s v="Yes"/>
    <s v="Physics - Angles, Motion"/>
    <m/>
    <s v="QBA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29E4AA-C066-42A7-97F8-2643FFBDC7EF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8:Q36" firstHeaderRow="0" firstDataRow="1" firstDataCol="1"/>
  <pivotFields count="11"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16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E357D-8EA8-4F97-A879-3A48C0495C5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0:Q20" firstHeaderRow="0" firstDataRow="1" firstDataCol="1"/>
  <pivotFields count="10">
    <pivotField axis="axisRow" showAll="0">
      <items count="10">
        <item x="5"/>
        <item x="2"/>
        <item x="7"/>
        <item x="3"/>
        <item x="4"/>
        <item x="1"/>
        <item x="6"/>
        <item x="0"/>
        <item x="8"/>
        <item t="default"/>
      </items>
    </pivotField>
    <pivotField numFmtId="16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6D204-EEC9-4877-9298-15233B036C3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5:Q11" firstHeaderRow="0" firstDataRow="1" firstDataCol="1"/>
  <pivotFields count="10">
    <pivotField axis="axisRow" showAll="0">
      <items count="6">
        <item x="0"/>
        <item x="2"/>
        <item x="4"/>
        <item x="1"/>
        <item x="3"/>
        <item t="default"/>
      </items>
    </pivotField>
    <pivotField numFmtId="14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72157-608F-4E6E-8684-6F9401855189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2:T14" firstHeaderRow="0" firstDataRow="1" firstDataCol="1"/>
  <pivotFields count="11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umFmtId="16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J30" dT="2025-04-17T05:20:53.19" personId="{AF1820C4-2935-4AB7-8F1E-30833449764B}" id="{42248B89-4AC1-4936-B286-27B8FEDEB8DE}">
    <text>Adjustment made to data capture of billable time</text>
  </threadedComment>
  <threadedComment ref="S77" dT="2022-12-01T04:02:35.34" personId="{1EAB70DF-57F2-4E03-B78C-7A4DE89F3DCA}" id="{735C9239-FB8A-4B36-9D20-C68BC4D2B976}">
    <text>Tax Advice JMM Group LLC</text>
  </threadedComment>
  <threadedComment ref="T77" dT="2022-12-01T04:02:35.34" personId="{1EAB70DF-57F2-4E03-B78C-7A4DE89F3DCA}" id="{701A54C3-1B46-4893-BC62-B2EFF266C055}">
    <text>Offboarding JMM Group LLC</text>
  </threadedComment>
  <threadedComment ref="AF86" dT="2024-06-17T20:02:59.72" personId="{1EAB70DF-57F2-4E03-B78C-7A4DE89F3DCA}" id="{2562B8DD-0805-4553-A630-43D324DEF683}">
    <text>Need to question which utilities are business related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1BF3-DA73-4F62-AD90-BD106EE48A29}">
  <dimension ref="A1"/>
  <sheetViews>
    <sheetView showGridLines="0" topLeftCell="A2" workbookViewId="0">
      <selection activeCell="B2" sqref="B2"/>
    </sheetView>
  </sheetViews>
  <sheetFormatPr defaultColWidth="8.710937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BB1D-97D4-40DB-A9A2-15B041D53A4D}">
  <sheetPr>
    <tabColor theme="1"/>
    <pageSetUpPr fitToPage="1"/>
  </sheetPr>
  <dimension ref="B8:X48"/>
  <sheetViews>
    <sheetView showGridLines="0" topLeftCell="A6" zoomScale="50" zoomScaleNormal="70" workbookViewId="0">
      <selection activeCell="A8" sqref="A8:Y49"/>
    </sheetView>
  </sheetViews>
  <sheetFormatPr defaultColWidth="8.7109375" defaultRowHeight="15" outlineLevelCol="1" x14ac:dyDescent="0.25"/>
  <cols>
    <col min="3" max="3" width="48.42578125" customWidth="1"/>
    <col min="4" max="4" width="10" hidden="1" customWidth="1" outlineLevel="1"/>
    <col min="5" max="5" width="14.28515625" bestFit="1" customWidth="1" collapsed="1"/>
    <col min="6" max="6" width="13.7109375" bestFit="1" customWidth="1"/>
    <col min="7" max="7" width="14.7109375" bestFit="1" customWidth="1"/>
    <col min="8" max="9" width="14.7109375" customWidth="1"/>
    <col min="10" max="11" width="14.7109375" hidden="1" customWidth="1" outlineLevel="1"/>
    <col min="12" max="12" width="8.7109375" collapsed="1"/>
  </cols>
  <sheetData>
    <row r="8" spans="2:24" ht="15.75" thickBot="1" x14ac:dyDescent="0.3"/>
    <row r="9" spans="2:24" x14ac:dyDescent="0.25">
      <c r="B9" s="93"/>
      <c r="C9" s="94"/>
      <c r="D9" s="95"/>
      <c r="E9" s="95"/>
      <c r="F9" s="95"/>
      <c r="G9" s="95"/>
      <c r="H9" s="95"/>
      <c r="I9" s="95"/>
      <c r="J9" s="95"/>
      <c r="K9" s="95"/>
      <c r="L9" s="96"/>
      <c r="M9" s="93"/>
      <c r="N9" s="95"/>
      <c r="O9" s="95"/>
      <c r="P9" s="95"/>
      <c r="Q9" s="95"/>
      <c r="R9" s="95"/>
      <c r="S9" s="95"/>
      <c r="T9" s="95"/>
      <c r="U9" s="95"/>
      <c r="V9" s="95"/>
      <c r="W9" s="95"/>
      <c r="X9" s="96"/>
    </row>
    <row r="10" spans="2:24" x14ac:dyDescent="0.25">
      <c r="B10" s="97"/>
      <c r="C10" s="7"/>
      <c r="L10" s="98"/>
      <c r="M10" s="97"/>
      <c r="X10" s="98"/>
    </row>
    <row r="11" spans="2:24" x14ac:dyDescent="0.25">
      <c r="B11" s="97"/>
      <c r="C11" s="7"/>
      <c r="L11" s="98"/>
      <c r="M11" s="97"/>
      <c r="X11" s="98"/>
    </row>
    <row r="12" spans="2:24" x14ac:dyDescent="0.25">
      <c r="B12" s="97"/>
      <c r="C12" s="7"/>
      <c r="L12" s="98"/>
      <c r="M12" s="97"/>
      <c r="X12" s="98"/>
    </row>
    <row r="13" spans="2:24" x14ac:dyDescent="0.25">
      <c r="B13" s="97"/>
      <c r="C13" s="7"/>
      <c r="L13" s="98"/>
      <c r="M13" s="97"/>
      <c r="X13" s="98"/>
    </row>
    <row r="14" spans="2:24" x14ac:dyDescent="0.25">
      <c r="B14" s="97"/>
      <c r="C14" s="7"/>
      <c r="L14" s="98"/>
      <c r="M14" s="97"/>
      <c r="X14" s="98"/>
    </row>
    <row r="15" spans="2:24" x14ac:dyDescent="0.25">
      <c r="B15" s="97"/>
      <c r="C15" s="7"/>
      <c r="L15" s="98"/>
      <c r="M15" s="97"/>
      <c r="X15" s="98"/>
    </row>
    <row r="16" spans="2:24" ht="15.75" thickBot="1" x14ac:dyDescent="0.3">
      <c r="B16" s="97"/>
      <c r="C16" s="7"/>
      <c r="L16" s="98"/>
      <c r="M16" s="97"/>
      <c r="X16" s="98"/>
    </row>
    <row r="17" spans="2:24" ht="15.75" x14ac:dyDescent="0.25">
      <c r="B17" s="99"/>
      <c r="C17" s="290"/>
      <c r="D17" s="291">
        <v>2023</v>
      </c>
      <c r="E17" s="291">
        <f t="shared" ref="E17:K17" si="0">+D17+1</f>
        <v>2024</v>
      </c>
      <c r="F17" s="291">
        <f t="shared" si="0"/>
        <v>2025</v>
      </c>
      <c r="G17" s="291">
        <f t="shared" si="0"/>
        <v>2026</v>
      </c>
      <c r="H17" s="291">
        <f t="shared" si="0"/>
        <v>2027</v>
      </c>
      <c r="I17" s="291">
        <f t="shared" si="0"/>
        <v>2028</v>
      </c>
      <c r="J17" s="291">
        <f t="shared" si="0"/>
        <v>2029</v>
      </c>
      <c r="K17" s="292">
        <f t="shared" si="0"/>
        <v>2030</v>
      </c>
      <c r="L17" s="100"/>
      <c r="M17" s="99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0"/>
    </row>
    <row r="18" spans="2:24" ht="6.4" customHeight="1" x14ac:dyDescent="0.25">
      <c r="B18" s="97"/>
      <c r="C18" s="293"/>
      <c r="D18" s="294"/>
      <c r="E18" s="294"/>
      <c r="F18" s="294"/>
      <c r="G18" s="294"/>
      <c r="H18" s="294"/>
      <c r="I18" s="295"/>
      <c r="J18" s="294"/>
      <c r="K18" s="295"/>
      <c r="L18" s="98"/>
      <c r="M18" s="97"/>
      <c r="X18" s="98"/>
    </row>
    <row r="19" spans="2:24" x14ac:dyDescent="0.25">
      <c r="B19" s="97"/>
      <c r="C19" s="215" t="s">
        <v>47</v>
      </c>
      <c r="D19" s="102">
        <f>SUMIF('Monthly Detail'!$1:$1,'Annual Summary'!D$17, 'Monthly Detail'!9:9)</f>
        <v>0</v>
      </c>
      <c r="E19" s="102">
        <f>SUMIF('Monthly Detail'!$1:$1,'Annual Summary'!E$17, 'Monthly Detail'!9:9)</f>
        <v>79769.25</v>
      </c>
      <c r="F19" s="102">
        <f>SUMIF('Monthly Detail'!$1:$1,'Annual Summary'!F$17, 'Monthly Detail'!9:9)</f>
        <v>83940.525966201589</v>
      </c>
      <c r="G19" s="102">
        <f>SUMIF('Monthly Detail'!$1:$1,'Annual Summary'!G$17, 'Monthly Detail'!9:9)</f>
        <v>109871.84812888516</v>
      </c>
      <c r="H19" s="102">
        <f>SUMIF('Monthly Detail'!$1:$1,'Annual Summary'!H$17, 'Monthly Detail'!9:9)</f>
        <v>121228.9519642622</v>
      </c>
      <c r="I19" s="296">
        <f>SUMIF('Monthly Detail'!$1:$1,'Annual Summary'!I$17, 'Monthly Detail'!9:9)</f>
        <v>130035.94701067288</v>
      </c>
      <c r="J19" s="102">
        <f>SUMIF('Monthly Detail'!$1:$1,'Annual Summary'!J$17, 'Monthly Detail'!9:9)</f>
        <v>141575.52197323809</v>
      </c>
      <c r="K19" s="296">
        <f>SUMIF('Monthly Detail'!$1:$1,'Annual Summary'!K$17, 'Monthly Detail'!9:9)</f>
        <v>153006.67430253909</v>
      </c>
      <c r="L19" s="98"/>
      <c r="M19" s="97"/>
      <c r="X19" s="98"/>
    </row>
    <row r="20" spans="2:24" x14ac:dyDescent="0.25">
      <c r="B20" s="97"/>
      <c r="C20" s="215" t="s">
        <v>158</v>
      </c>
      <c r="D20" s="102">
        <f>SUMIF('Monthly Detail'!$1:$1,'Annual Summary'!D$17, 'Monthly Detail'!12:12)</f>
        <v>0</v>
      </c>
      <c r="E20" s="102">
        <f>SUMIF('Monthly Detail'!$1:$1,'Annual Summary'!E$17, 'Monthly Detail'!12:12)</f>
        <v>0</v>
      </c>
      <c r="F20" s="102">
        <f>SUMIF('Monthly Detail'!$1:$1,'Annual Summary'!F$17, 'Monthly Detail'!12:12)</f>
        <v>0</v>
      </c>
      <c r="G20" s="102">
        <f>SUMIF('Monthly Detail'!$1:$1,'Annual Summary'!G$17, 'Monthly Detail'!12:12)</f>
        <v>0</v>
      </c>
      <c r="H20" s="102">
        <f>SUMIF('Monthly Detail'!$1:$1,'Annual Summary'!H$17, 'Monthly Detail'!12:12)</f>
        <v>0</v>
      </c>
      <c r="I20" s="296">
        <f>SUMIF('Monthly Detail'!$1:$1,'Annual Summary'!I$17, 'Monthly Detail'!12:12)</f>
        <v>0</v>
      </c>
      <c r="J20" s="102">
        <f>SUMIF('Monthly Detail'!$1:$1,'Annual Summary'!J$17, 'Monthly Detail'!12:12)</f>
        <v>0</v>
      </c>
      <c r="K20" s="296">
        <f>SUMIF('Monthly Detail'!$1:$1,'Annual Summary'!K$17, 'Monthly Detail'!12:12)</f>
        <v>0</v>
      </c>
      <c r="L20" s="98"/>
      <c r="M20" s="97"/>
      <c r="X20" s="98"/>
    </row>
    <row r="21" spans="2:24" ht="15.75" thickBot="1" x14ac:dyDescent="0.3">
      <c r="B21" s="97"/>
      <c r="C21" s="216" t="s">
        <v>2</v>
      </c>
      <c r="D21" s="103">
        <f t="shared" ref="D21:K21" si="1">SUM(D19:D20)</f>
        <v>0</v>
      </c>
      <c r="E21" s="103">
        <f t="shared" si="1"/>
        <v>79769.25</v>
      </c>
      <c r="F21" s="103">
        <f t="shared" si="1"/>
        <v>83940.525966201589</v>
      </c>
      <c r="G21" s="103">
        <f t="shared" si="1"/>
        <v>109871.84812888516</v>
      </c>
      <c r="H21" s="103">
        <f t="shared" si="1"/>
        <v>121228.9519642622</v>
      </c>
      <c r="I21" s="297">
        <f t="shared" si="1"/>
        <v>130035.94701067288</v>
      </c>
      <c r="J21" s="103">
        <f t="shared" si="1"/>
        <v>141575.52197323809</v>
      </c>
      <c r="K21" s="297">
        <f t="shared" si="1"/>
        <v>153006.67430253909</v>
      </c>
      <c r="L21" s="98"/>
      <c r="M21" s="97"/>
      <c r="X21" s="98"/>
    </row>
    <row r="22" spans="2:24" x14ac:dyDescent="0.25">
      <c r="B22" s="97"/>
      <c r="C22" s="425" t="s">
        <v>277</v>
      </c>
      <c r="D22" s="428">
        <f>SUMIF('Monthly Detail'!$1:$1,'Annual Summary'!D$17, 'Monthly Detail'!15:15)</f>
        <v>1088</v>
      </c>
      <c r="E22" s="428">
        <f>SUMIF('Monthly Detail'!$1:$1,'Annual Summary'!E$17, 'Monthly Detail'!15:15)</f>
        <v>833</v>
      </c>
      <c r="F22" s="428">
        <f>SUMIF('Monthly Detail'!$1:$1,'Annual Summary'!F$17, 'Monthly Detail'!15:15)</f>
        <v>831.12104963235208</v>
      </c>
      <c r="G22" s="428">
        <f>SUMIF('Monthly Detail'!$1:$1,'Annual Summary'!G$17, 'Monthly Detail'!15:15)</f>
        <v>973.77711147703678</v>
      </c>
      <c r="H22" s="428">
        <f>SUMIF('Monthly Detail'!$1:$1,'Annual Summary'!H$17, 'Monthly Detail'!15:15)</f>
        <v>1022.3629535641734</v>
      </c>
      <c r="I22" s="429">
        <f>SUMIF('Monthly Detail'!$1:$1,'Annual Summary'!I$17, 'Monthly Detail'!15:15)</f>
        <v>1047.1865529855547</v>
      </c>
      <c r="J22" s="428">
        <f>SUMIF('Monthly Detail'!$1:$1,'Annual Summary'!J$17, 'Monthly Detail'!15:15)</f>
        <v>1082.9690537425454</v>
      </c>
      <c r="K22" s="429">
        <f>SUMIF('Monthly Detail'!$1:$1,'Annual Summary'!K$17, 'Monthly Detail'!15:15)</f>
        <v>1115.3785661072079</v>
      </c>
      <c r="L22" s="98"/>
      <c r="M22" s="97"/>
      <c r="X22" s="98"/>
    </row>
    <row r="23" spans="2:24" x14ac:dyDescent="0.25">
      <c r="B23" s="97"/>
      <c r="C23" s="217" t="s">
        <v>243</v>
      </c>
      <c r="D23" s="426">
        <f>AVERAGEIF('Monthly Detail'!$1:$1,'Annual Summary'!D$17, 'Monthly Detail'!41:41)</f>
        <v>0</v>
      </c>
      <c r="E23" s="426">
        <f>AVERAGEIF('Monthly Detail'!$1:$1,'Annual Summary'!E$17, 'Monthly Detail'!41:41)</f>
        <v>3744.2519898459559</v>
      </c>
      <c r="F23" s="426">
        <f>AVERAGEIF('Monthly Detail'!$1:$1,'Annual Summary'!F$17, 'Monthly Detail'!41:41)</f>
        <v>4353.5440961549702</v>
      </c>
      <c r="G23" s="426">
        <f>AVERAGEIF('Monthly Detail'!$1:$1,'Annual Summary'!G$17, 'Monthly Detail'!41:41)</f>
        <v>5969.5711303034032</v>
      </c>
      <c r="H23" s="426">
        <f>AVERAGEIF('Monthly Detail'!$1:$1,'Annual Summary'!H$17, 'Monthly Detail'!41:41)</f>
        <v>6583.9447334672395</v>
      </c>
      <c r="I23" s="427">
        <f>AVERAGEIF('Monthly Detail'!$1:$1,'Annual Summary'!I$17, 'Monthly Detail'!41:41)</f>
        <v>7060.2912427039892</v>
      </c>
      <c r="J23" s="426">
        <f>AVERAGEIF('Monthly Detail'!$1:$1,'Annual Summary'!J$17, 'Monthly Detail'!41:41)</f>
        <v>7689.7926073283452</v>
      </c>
      <c r="K23" s="427">
        <f>AVERAGEIF('Monthly Detail'!$1:$1,'Annual Summary'!K$17, 'Monthly Detail'!41:41)</f>
        <v>8311.1904284600205</v>
      </c>
      <c r="L23" s="98"/>
      <c r="M23" s="97"/>
      <c r="X23" s="98"/>
    </row>
    <row r="24" spans="2:24" x14ac:dyDescent="0.25">
      <c r="B24" s="97"/>
      <c r="C24" s="217" t="s">
        <v>278</v>
      </c>
      <c r="D24" s="430">
        <f>AVERAGEIF('Monthly Detail'!$1:$1,'Annual Summary'!D$17, 'Monthly Detail'!17:17)</f>
        <v>72.75</v>
      </c>
      <c r="E24" s="430">
        <f>AVERAGEIF('Monthly Detail'!$1:$1,'Annual Summary'!E$17, 'Monthly Detail'!17:17)</f>
        <v>29.333333333333332</v>
      </c>
      <c r="F24" s="430">
        <f>AVERAGEIF('Monthly Detail'!$1:$1,'Annual Summary'!F$17, 'Monthly Detail'!17:17)</f>
        <v>32.784416291044998</v>
      </c>
      <c r="G24" s="430">
        <f>AVERAGEIF('Monthly Detail'!$1:$1,'Annual Summary'!G$17, 'Monthly Detail'!17:17)</f>
        <v>40.304436041904033</v>
      </c>
      <c r="H24" s="430">
        <f>AVERAGEIF('Monthly Detail'!$1:$1,'Annual Summary'!H$17, 'Monthly Detail'!17:17)</f>
        <v>42.32189947003048</v>
      </c>
      <c r="I24" s="431">
        <f>AVERAGEIF('Monthly Detail'!$1:$1,'Annual Summary'!I$17, 'Monthly Detail'!17:17)</f>
        <v>43.353047444406208</v>
      </c>
      <c r="J24" s="430">
        <f>AVERAGEIF('Monthly Detail'!$1:$1,'Annual Summary'!J$17, 'Monthly Detail'!17:17)</f>
        <v>44.832520625032281</v>
      </c>
      <c r="K24" s="431">
        <f>AVERAGEIF('Monthly Detail'!$1:$1,'Annual Summary'!K$17, 'Monthly Detail'!17:17)</f>
        <v>46.177496243783246</v>
      </c>
      <c r="L24" s="98"/>
      <c r="M24" s="97"/>
      <c r="X24" s="98"/>
    </row>
    <row r="25" spans="2:24" ht="10.9" customHeight="1" x14ac:dyDescent="0.25">
      <c r="B25" s="97"/>
      <c r="C25" s="298" t="s">
        <v>202</v>
      </c>
      <c r="D25" s="131"/>
      <c r="E25" s="481" t="s">
        <v>330</v>
      </c>
      <c r="F25" s="131">
        <f t="shared" ref="F25:K25" si="2">(F21/E21)-1</f>
        <v>5.2291778676640366E-2</v>
      </c>
      <c r="G25" s="131">
        <f t="shared" si="2"/>
        <v>0.30892494256141245</v>
      </c>
      <c r="H25" s="131">
        <f t="shared" si="2"/>
        <v>0.10336682261005192</v>
      </c>
      <c r="I25" s="299">
        <f t="shared" si="2"/>
        <v>7.2647621741438018E-2</v>
      </c>
      <c r="J25" s="131">
        <f t="shared" si="2"/>
        <v>8.8741422874538456E-2</v>
      </c>
      <c r="K25" s="299">
        <f t="shared" si="2"/>
        <v>8.0742434638254812E-2</v>
      </c>
      <c r="L25" s="98"/>
      <c r="M25" s="97"/>
      <c r="X25" s="98"/>
    </row>
    <row r="26" spans="2:24" ht="4.9000000000000004" customHeight="1" x14ac:dyDescent="0.25">
      <c r="B26" s="97"/>
      <c r="C26" s="214"/>
      <c r="I26" s="98"/>
      <c r="K26" s="98"/>
      <c r="L26" s="98"/>
      <c r="M26" s="97"/>
      <c r="X26" s="98"/>
    </row>
    <row r="27" spans="2:24" x14ac:dyDescent="0.25">
      <c r="B27" s="97"/>
      <c r="C27" s="214" t="s">
        <v>216</v>
      </c>
      <c r="D27" s="102">
        <f>SUMIF('Monthly Detail'!$1:$1,'Annual Summary'!D$17, 'Monthly Detail'!58:58)</f>
        <v>0</v>
      </c>
      <c r="E27" s="102">
        <f>SUMIF('Monthly Detail'!$1:$1,'Annual Summary'!E$17, 'Monthly Detail'!58:58)</f>
        <v>2199.1200000000003</v>
      </c>
      <c r="F27" s="102">
        <f>SUMIF('Monthly Detail'!$1:$1,'Annual Summary'!F$17, 'Monthly Detail'!58:58)</f>
        <v>2612.3258619319904</v>
      </c>
      <c r="G27" s="102">
        <f>SUMIF('Monthly Detail'!$1:$1,'Annual Summary'!G$17, 'Monthly Detail'!58:58)</f>
        <v>3466.134655256943</v>
      </c>
      <c r="H27" s="102">
        <f>SUMIF('Monthly Detail'!$1:$1,'Annual Summary'!H$17, 'Monthly Detail'!58:58)</f>
        <v>3824.4179813094402</v>
      </c>
      <c r="I27" s="296">
        <f>SUMIF('Monthly Detail'!$1:$1,'Annual Summary'!I$17, 'Monthly Detail'!58:58)</f>
        <v>4102.2528521967624</v>
      </c>
      <c r="J27" s="102">
        <f>SUMIF('Monthly Detail'!$1:$1,'Annual Summary'!J$17, 'Monthly Detail'!58:58)</f>
        <v>4466.2926072918381</v>
      </c>
      <c r="K27" s="296">
        <f>SUMIF('Monthly Detail'!$1:$1,'Annual Summary'!K$17, 'Monthly Detail'!58:58)</f>
        <v>4826.9119462114195</v>
      </c>
      <c r="L27" s="98"/>
      <c r="M27" s="97"/>
      <c r="X27" s="98"/>
    </row>
    <row r="28" spans="2:24" x14ac:dyDescent="0.25">
      <c r="B28" s="97"/>
      <c r="C28" s="214" t="s">
        <v>217</v>
      </c>
      <c r="D28" s="102">
        <f>SUMIF('Monthly Detail'!$1:$1,'Annual Summary'!D$17, 'Monthly Detail'!59:59)</f>
        <v>0</v>
      </c>
      <c r="E28" s="102">
        <f>SUMIF('Monthly Detail'!$1:$1,'Annual Summary'!E$17, 'Monthly Detail'!59:59)</f>
        <v>3885.61</v>
      </c>
      <c r="F28" s="102">
        <f>SUMIF('Monthly Detail'!$1:$1,'Annual Summary'!F$17, 'Monthly Detail'!59:59)</f>
        <v>7219.8393890844545</v>
      </c>
      <c r="G28" s="102">
        <f>SUMIF('Monthly Detail'!$1:$1,'Annual Summary'!G$17, 'Monthly Detail'!59:59)</f>
        <v>10547.416811634734</v>
      </c>
      <c r="H28" s="102">
        <f>SUMIF('Monthly Detail'!$1:$1,'Annual Summary'!H$17, 'Monthly Detail'!59:59)</f>
        <v>11637.669774197258</v>
      </c>
      <c r="I28" s="296">
        <f>SUMIF('Monthly Detail'!$1:$1,'Annual Summary'!I$17, 'Monthly Detail'!59:59)</f>
        <v>12483.118805904905</v>
      </c>
      <c r="J28" s="102">
        <f>SUMIF('Monthly Detail'!$1:$1,'Annual Summary'!J$17, 'Monthly Detail'!59:59)</f>
        <v>13590.888530652821</v>
      </c>
      <c r="K28" s="296">
        <f>SUMIF('Monthly Detail'!$1:$1,'Annual Summary'!K$17, 'Monthly Detail'!59:59)</f>
        <v>14688.249959514866</v>
      </c>
      <c r="L28" s="98"/>
      <c r="M28" s="97"/>
      <c r="X28" s="98"/>
    </row>
    <row r="29" spans="2:24" x14ac:dyDescent="0.25">
      <c r="B29" s="97"/>
      <c r="C29" s="214" t="s">
        <v>303</v>
      </c>
      <c r="D29" s="102">
        <f>SUMIF('Monthly Detail'!$1:$1,'Annual Summary'!D$17, 'Monthly Detail'!60:60)</f>
        <v>0</v>
      </c>
      <c r="E29" s="102">
        <f>SUMIF('Monthly Detail'!$1:$1,'Annual Summary'!E$17, 'Monthly Detail'!60:60)</f>
        <v>4126</v>
      </c>
      <c r="F29" s="102">
        <f>SUMIF('Monthly Detail'!$1:$1,'Annual Summary'!F$17, 'Monthly Detail'!60:60)</f>
        <v>2010.0673911195533</v>
      </c>
      <c r="G29" s="102">
        <f>SUMIF('Monthly Detail'!$1:$1,'Annual Summary'!G$17, 'Monthly Detail'!60:60)</f>
        <v>16122.451250880742</v>
      </c>
      <c r="H29" s="102">
        <f>SUMIF('Monthly Detail'!$1:$1,'Annual Summary'!H$17, 'Monthly Detail'!60:60)</f>
        <v>17685.96961179133</v>
      </c>
      <c r="I29" s="296">
        <f>SUMIF('Monthly Detail'!$1:$1,'Annual Summary'!I$17, 'Monthly Detail'!60:60)</f>
        <v>18383.21373768949</v>
      </c>
      <c r="J29" s="102">
        <f>SUMIF('Monthly Detail'!$1:$1,'Annual Summary'!J$17, 'Monthly Detail'!60:60)</f>
        <v>19601.657821582925</v>
      </c>
      <c r="K29" s="296">
        <f>SUMIF('Monthly Detail'!$1:$1,'Annual Summary'!K$17, 'Monthly Detail'!60:60)</f>
        <v>20604.202514426255</v>
      </c>
      <c r="L29" s="98"/>
      <c r="M29" s="97"/>
      <c r="X29" s="98"/>
    </row>
    <row r="30" spans="2:24" ht="15.75" x14ac:dyDescent="0.25">
      <c r="B30" s="105"/>
      <c r="C30" s="223" t="s">
        <v>232</v>
      </c>
      <c r="D30" s="89">
        <f>SUM(D27:D29)</f>
        <v>0</v>
      </c>
      <c r="E30" s="89">
        <f t="shared" ref="E30:K30" si="3">SUM(E27:E29)</f>
        <v>10210.73</v>
      </c>
      <c r="F30" s="89">
        <f t="shared" si="3"/>
        <v>11842.232642135999</v>
      </c>
      <c r="G30" s="89">
        <f t="shared" si="3"/>
        <v>30136.002717772419</v>
      </c>
      <c r="H30" s="89">
        <f t="shared" si="3"/>
        <v>33148.057367298024</v>
      </c>
      <c r="I30" s="224">
        <f t="shared" si="3"/>
        <v>34968.58539579116</v>
      </c>
      <c r="J30" s="89">
        <f t="shared" si="3"/>
        <v>37658.83895952758</v>
      </c>
      <c r="K30" s="224">
        <f t="shared" si="3"/>
        <v>40119.364420152546</v>
      </c>
      <c r="L30" s="106"/>
      <c r="M30" s="105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6"/>
    </row>
    <row r="31" spans="2:24" ht="3" customHeight="1" x14ac:dyDescent="0.25">
      <c r="B31" s="97"/>
      <c r="C31" s="214"/>
      <c r="I31" s="98"/>
      <c r="K31" s="98"/>
      <c r="L31" s="98"/>
      <c r="M31" s="97"/>
      <c r="X31" s="98"/>
    </row>
    <row r="32" spans="2:24" ht="15.75" x14ac:dyDescent="0.25">
      <c r="B32" s="105"/>
      <c r="C32" s="223" t="s">
        <v>147</v>
      </c>
      <c r="D32" s="89">
        <f t="shared" ref="D32:K32" si="4">D21-D30</f>
        <v>0</v>
      </c>
      <c r="E32" s="89">
        <f t="shared" si="4"/>
        <v>69558.52</v>
      </c>
      <c r="F32" s="89">
        <f t="shared" si="4"/>
        <v>72098.293324065584</v>
      </c>
      <c r="G32" s="89">
        <f t="shared" si="4"/>
        <v>79735.845411112736</v>
      </c>
      <c r="H32" s="89">
        <f t="shared" si="4"/>
        <v>88080.894596964179</v>
      </c>
      <c r="I32" s="224">
        <f t="shared" si="4"/>
        <v>95067.361614881724</v>
      </c>
      <c r="J32" s="89">
        <f t="shared" si="4"/>
        <v>103916.68301371051</v>
      </c>
      <c r="K32" s="224">
        <f t="shared" si="4"/>
        <v>112887.30988238654</v>
      </c>
      <c r="L32" s="106"/>
      <c r="M32" s="105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6"/>
    </row>
    <row r="33" spans="2:24" x14ac:dyDescent="0.25">
      <c r="B33" s="97"/>
      <c r="C33" s="225" t="s">
        <v>148</v>
      </c>
      <c r="D33" s="91" t="e">
        <f t="shared" ref="D33:K33" si="5">+D32/D21</f>
        <v>#DIV/0!</v>
      </c>
      <c r="E33" s="91">
        <f t="shared" si="5"/>
        <v>0.87199666538171039</v>
      </c>
      <c r="F33" s="91">
        <f t="shared" si="5"/>
        <v>0.85892115273492275</v>
      </c>
      <c r="G33" s="91">
        <f t="shared" si="5"/>
        <v>0.72571679432914071</v>
      </c>
      <c r="H33" s="91">
        <f t="shared" si="5"/>
        <v>0.72656649397521855</v>
      </c>
      <c r="I33" s="226">
        <f t="shared" si="5"/>
        <v>0.73108524066102221</v>
      </c>
      <c r="J33" s="91">
        <f t="shared" si="5"/>
        <v>0.73400176503219106</v>
      </c>
      <c r="K33" s="226">
        <f t="shared" si="5"/>
        <v>0.73779337010603352</v>
      </c>
      <c r="L33" s="98"/>
      <c r="M33" s="97"/>
      <c r="X33" s="98"/>
    </row>
    <row r="34" spans="2:24" ht="3.4" customHeight="1" x14ac:dyDescent="0.25">
      <c r="B34" s="97"/>
      <c r="C34" s="214"/>
      <c r="I34" s="98"/>
      <c r="K34" s="98"/>
      <c r="L34" s="98"/>
      <c r="M34" s="97"/>
      <c r="X34" s="98"/>
    </row>
    <row r="35" spans="2:24" x14ac:dyDescent="0.25">
      <c r="B35" s="97"/>
      <c r="C35" s="214" t="s">
        <v>185</v>
      </c>
      <c r="D35" s="77">
        <f>SUMIF('Monthly Detail'!$1:$1,'Annual Summary'!D$17, 'Monthly Detail'!$89:$89)</f>
        <v>0</v>
      </c>
      <c r="E35" s="77">
        <f>SUMIF('Monthly Detail'!$1:$1,'Annual Summary'!E$17, 'Monthly Detail'!$89:$89)+SUMIF('Monthly Detail'!$1:$1,'Annual Summary'!E$17, 'Monthly Detail'!$90:$90)</f>
        <v>22587.090000000004</v>
      </c>
      <c r="F35" s="77">
        <f>SUMIF('Monthly Detail'!$1:$1,'Annual Summary'!F$17, 'Monthly Detail'!$89:$89)+SUMIF('Monthly Detail'!$1:$1,'Annual Summary'!F$17, 'Monthly Detail'!$90:$90)</f>
        <v>46291.584848484847</v>
      </c>
      <c r="G35" s="77">
        <f>SUMIF('Monthly Detail'!$1:$1,'Annual Summary'!G$17, 'Monthly Detail'!$89:$89)+SUMIF('Monthly Detail'!$1:$1,'Annual Summary'!G$17, 'Monthly Detail'!$90:$90)</f>
        <v>64715.34254545455</v>
      </c>
      <c r="H35" s="77">
        <f>SUMIF('Monthly Detail'!$1:$1,'Annual Summary'!H$17, 'Monthly Detail'!$89:$89)+SUMIF('Monthly Detail'!$1:$1,'Annual Summary'!H$17, 'Monthly Detail'!$90:$90)</f>
        <v>69186.590872727305</v>
      </c>
      <c r="I35" s="222">
        <f>SUMIF('Monthly Detail'!$1:$1,'Annual Summary'!I$17, 'Monthly Detail'!$89:$89)+SUMIF('Monthly Detail'!$1:$1,'Annual Summary'!I$17, 'Monthly Detail'!$90:$90)</f>
        <v>74038.641336363653</v>
      </c>
      <c r="J35" s="77">
        <f>SUMIF('Monthly Detail'!$1:$1,'Annual Summary'!J$17, 'Monthly Detail'!$89:$89)</f>
        <v>79306.258015181826</v>
      </c>
      <c r="K35" s="222">
        <f>SUMIF('Monthly Detail'!$1:$1,'Annual Summary'!K$17, 'Monthly Detail'!$89:$89)</f>
        <v>85027.515589140923</v>
      </c>
      <c r="L35" s="98"/>
      <c r="M35" s="97"/>
      <c r="X35" s="98"/>
    </row>
    <row r="36" spans="2:24" x14ac:dyDescent="0.25">
      <c r="B36" s="97"/>
      <c r="C36" s="300" t="s">
        <v>157</v>
      </c>
      <c r="D36" s="104">
        <f t="shared" ref="D36:K36" si="6">SUM(D35:D35)</f>
        <v>0</v>
      </c>
      <c r="E36" s="104">
        <f t="shared" si="6"/>
        <v>22587.090000000004</v>
      </c>
      <c r="F36" s="104">
        <f t="shared" si="6"/>
        <v>46291.584848484847</v>
      </c>
      <c r="G36" s="104">
        <f t="shared" si="6"/>
        <v>64715.34254545455</v>
      </c>
      <c r="H36" s="104">
        <f t="shared" si="6"/>
        <v>69186.590872727305</v>
      </c>
      <c r="I36" s="301">
        <f t="shared" si="6"/>
        <v>74038.641336363653</v>
      </c>
      <c r="J36" s="104">
        <f t="shared" si="6"/>
        <v>79306.258015181826</v>
      </c>
      <c r="K36" s="301">
        <f t="shared" si="6"/>
        <v>85027.515589140923</v>
      </c>
      <c r="L36" s="98"/>
      <c r="M36" s="97"/>
      <c r="X36" s="98"/>
    </row>
    <row r="37" spans="2:24" ht="3" customHeight="1" x14ac:dyDescent="0.25">
      <c r="B37" s="97"/>
      <c r="C37" s="214"/>
      <c r="I37" s="98"/>
      <c r="K37" s="98"/>
      <c r="L37" s="98"/>
      <c r="M37" s="97"/>
      <c r="X37" s="98"/>
    </row>
    <row r="38" spans="2:24" ht="15.75" x14ac:dyDescent="0.25">
      <c r="B38" s="105"/>
      <c r="C38" s="223" t="s">
        <v>150</v>
      </c>
      <c r="D38" s="89">
        <f t="shared" ref="D38:K38" si="7">D32-D36</f>
        <v>0</v>
      </c>
      <c r="E38" s="89">
        <f t="shared" si="7"/>
        <v>46971.43</v>
      </c>
      <c r="F38" s="89">
        <f t="shared" si="7"/>
        <v>25806.708475580737</v>
      </c>
      <c r="G38" s="89">
        <f t="shared" si="7"/>
        <v>15020.502865658185</v>
      </c>
      <c r="H38" s="89">
        <f t="shared" si="7"/>
        <v>18894.303724236874</v>
      </c>
      <c r="I38" s="224">
        <f t="shared" si="7"/>
        <v>21028.720278518071</v>
      </c>
      <c r="J38" s="89">
        <f t="shared" si="7"/>
        <v>24610.424998528688</v>
      </c>
      <c r="K38" s="224">
        <f t="shared" si="7"/>
        <v>27859.794293245621</v>
      </c>
      <c r="L38" s="106"/>
      <c r="M38" s="105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6"/>
    </row>
    <row r="39" spans="2:24" x14ac:dyDescent="0.25">
      <c r="B39" s="97"/>
      <c r="C39" s="225" t="s">
        <v>151</v>
      </c>
      <c r="D39" s="91" t="e">
        <f t="shared" ref="D39:K39" si="8">D38/D21</f>
        <v>#DIV/0!</v>
      </c>
      <c r="E39" s="91">
        <f t="shared" si="8"/>
        <v>0.5888413141655463</v>
      </c>
      <c r="F39" s="91">
        <f t="shared" si="8"/>
        <v>0.30744039519089666</v>
      </c>
      <c r="G39" s="91">
        <f t="shared" si="8"/>
        <v>0.13670929470521317</v>
      </c>
      <c r="H39" s="91">
        <f t="shared" si="8"/>
        <v>0.15585636449127133</v>
      </c>
      <c r="I39" s="226">
        <f t="shared" si="8"/>
        <v>0.16171467015034011</v>
      </c>
      <c r="J39" s="91">
        <f t="shared" si="8"/>
        <v>0.17383248640383453</v>
      </c>
      <c r="K39" s="226">
        <f t="shared" si="8"/>
        <v>0.18208221582647194</v>
      </c>
      <c r="L39" s="98"/>
      <c r="M39" s="97"/>
      <c r="X39" s="98"/>
    </row>
    <row r="40" spans="2:24" ht="3" customHeight="1" x14ac:dyDescent="0.25">
      <c r="B40" s="97"/>
      <c r="C40" s="230"/>
      <c r="D40" s="83"/>
      <c r="E40" s="83"/>
      <c r="F40" s="83"/>
      <c r="G40" s="83"/>
      <c r="H40" s="83"/>
      <c r="I40" s="231"/>
      <c r="J40" s="83"/>
      <c r="K40" s="231"/>
      <c r="L40" s="98"/>
      <c r="M40" s="97"/>
      <c r="X40" s="98"/>
    </row>
    <row r="41" spans="2:24" x14ac:dyDescent="0.25">
      <c r="B41" s="97"/>
      <c r="C41" s="214" t="s">
        <v>152</v>
      </c>
      <c r="D41" s="77">
        <f>SUMIF('Monthly Detail'!$1:$1,'Annual Summary'!D$17, 'Monthly Detail'!95:95)</f>
        <v>0</v>
      </c>
      <c r="E41" s="77">
        <f>SUMIF('Monthly Detail'!$1:$1,'Annual Summary'!E$17, 'Monthly Detail'!95:95)</f>
        <v>0</v>
      </c>
      <c r="F41" s="77">
        <f>SUMIF('Monthly Detail'!$1:$1,'Annual Summary'!F$17, 'Monthly Detail'!95:95)</f>
        <v>29.400000000000002</v>
      </c>
      <c r="G41" s="77">
        <f>SUMIF('Monthly Detail'!$1:$1,'Annual Summary'!G$17, 'Monthly Detail'!95:95)</f>
        <v>21.360000000000003</v>
      </c>
      <c r="H41" s="77">
        <f>SUMIF('Monthly Detail'!$1:$1,'Annual Summary'!H$17, 'Monthly Detail'!95:95)</f>
        <v>21.360000000000003</v>
      </c>
      <c r="I41" s="222">
        <f>SUMIF('Monthly Detail'!$1:$1,'Annual Summary'!I$17, 'Monthly Detail'!95:95)</f>
        <v>21.360000000000003</v>
      </c>
      <c r="J41" s="77">
        <f>SUMIF('Monthly Detail'!$1:$1,'Annual Summary'!J$17, 'Monthly Detail'!95:95)</f>
        <v>21.360000000000003</v>
      </c>
      <c r="K41" s="222">
        <f>SUMIF('Monthly Detail'!$1:$1,'Annual Summary'!K$17, 'Monthly Detail'!95:95)</f>
        <v>21.360000000000003</v>
      </c>
      <c r="L41" s="98"/>
      <c r="M41" s="97"/>
      <c r="X41" s="98"/>
    </row>
    <row r="42" spans="2:24" ht="15.75" x14ac:dyDescent="0.25">
      <c r="B42" s="105"/>
      <c r="C42" s="223" t="s">
        <v>11</v>
      </c>
      <c r="D42" s="89">
        <f t="shared" ref="D42:K42" si="9">D38+D41</f>
        <v>0</v>
      </c>
      <c r="E42" s="89">
        <f t="shared" si="9"/>
        <v>46971.43</v>
      </c>
      <c r="F42" s="89">
        <f t="shared" si="9"/>
        <v>25836.108475580739</v>
      </c>
      <c r="G42" s="89">
        <f t="shared" si="9"/>
        <v>15041.862865658186</v>
      </c>
      <c r="H42" s="89">
        <f t="shared" si="9"/>
        <v>18915.663724236874</v>
      </c>
      <c r="I42" s="224">
        <f t="shared" si="9"/>
        <v>21050.080278518071</v>
      </c>
      <c r="J42" s="89">
        <f t="shared" si="9"/>
        <v>24631.784998528688</v>
      </c>
      <c r="K42" s="224">
        <f t="shared" si="9"/>
        <v>27881.154293245621</v>
      </c>
      <c r="L42" s="106"/>
      <c r="M42" s="105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6"/>
    </row>
    <row r="43" spans="2:24" ht="15.75" thickBot="1" x14ac:dyDescent="0.3">
      <c r="B43" s="97"/>
      <c r="C43" s="302" t="s">
        <v>153</v>
      </c>
      <c r="D43" s="303" t="e">
        <f t="shared" ref="D43:K43" si="10">D42/D21</f>
        <v>#DIV/0!</v>
      </c>
      <c r="E43" s="303">
        <f t="shared" si="10"/>
        <v>0.5888413141655463</v>
      </c>
      <c r="F43" s="303">
        <f t="shared" si="10"/>
        <v>0.30779064317494953</v>
      </c>
      <c r="G43" s="303">
        <f t="shared" si="10"/>
        <v>0.13690370301237975</v>
      </c>
      <c r="H43" s="303">
        <f t="shared" si="10"/>
        <v>0.15603256002586852</v>
      </c>
      <c r="I43" s="304">
        <f t="shared" si="10"/>
        <v>0.16187893242158921</v>
      </c>
      <c r="J43" s="303">
        <f t="shared" si="10"/>
        <v>0.17398335994258113</v>
      </c>
      <c r="K43" s="304">
        <f t="shared" si="10"/>
        <v>0.18222181757977693</v>
      </c>
      <c r="L43" s="98"/>
      <c r="M43" s="97"/>
      <c r="X43" s="98"/>
    </row>
    <row r="44" spans="2:24" x14ac:dyDescent="0.25">
      <c r="B44" s="97"/>
      <c r="C44" s="225" t="s">
        <v>368</v>
      </c>
      <c r="D44" s="529">
        <f>+IF(D42&gt;0, D42*0.25, 0)</f>
        <v>0</v>
      </c>
      <c r="E44" s="530">
        <f>+IF(E42&gt;0, E42*0.25, 0)</f>
        <v>11742.8575</v>
      </c>
      <c r="F44" s="530">
        <f t="shared" ref="F44:K44" si="11">+IF(F42&gt;0, F42*0.25, 0)</f>
        <v>6459.0271188951847</v>
      </c>
      <c r="G44" s="530">
        <f t="shared" si="11"/>
        <v>3760.4657164145465</v>
      </c>
      <c r="H44" s="530">
        <f t="shared" si="11"/>
        <v>4728.9159310592186</v>
      </c>
      <c r="I44" s="531">
        <f t="shared" si="11"/>
        <v>5262.5200696295178</v>
      </c>
      <c r="J44" s="532">
        <f t="shared" si="11"/>
        <v>6157.9462496321721</v>
      </c>
      <c r="K44" s="531">
        <f t="shared" si="11"/>
        <v>6970.2885733114053</v>
      </c>
      <c r="L44" s="98"/>
      <c r="M44" s="98"/>
      <c r="N44" s="97"/>
      <c r="X44" s="98"/>
    </row>
    <row r="45" spans="2:24" ht="15.75" thickBot="1" x14ac:dyDescent="0.3">
      <c r="B45" s="97"/>
      <c r="C45" s="533" t="s">
        <v>369</v>
      </c>
      <c r="D45" s="534" t="e">
        <v>#VALUE!</v>
      </c>
      <c r="E45" s="534">
        <f>+SUMIF('Monthly Detail'!$4:$4, DATE(E17, 12, 31),'Monthly Detail'!$173:$173)</f>
        <v>1425.9999999999984</v>
      </c>
      <c r="F45" s="534">
        <f>+SUMIF('Monthly Detail'!$4:$4, DATE(F17, 12, 31),'Monthly Detail'!$173:$173)</f>
        <v>6984.8443392392683</v>
      </c>
      <c r="G45" s="534">
        <f>+SUMIF('Monthly Detail'!$4:$4, DATE(G17, 12, 31),'Monthly Detail'!$173:$173)</f>
        <v>20154.649114847143</v>
      </c>
      <c r="H45" s="534">
        <f>+SUMIF('Monthly Detail'!$4:$4, DATE(H17, 12, 31),'Monthly Detail'!$173:$173)</f>
        <v>37243.865986884703</v>
      </c>
      <c r="I45" s="535">
        <f>+SUMIF('Monthly Detail'!$4:$4, DATE(I17, 12, 31),'Monthly Detail'!$173:$173)</f>
        <v>56498.00528228379</v>
      </c>
      <c r="J45" s="536">
        <f>+SUMIF('Monthly Detail'!$4:$4, DATE(J17, 12, 31),'Monthly Detail'!$173:$173)</f>
        <v>79302.153895195748</v>
      </c>
      <c r="K45" s="535">
        <f>+SUMIF('Monthly Detail'!$4:$4, DATE(K17, 12, 31),'Monthly Detail'!$173:$173)</f>
        <v>105334.85577292436</v>
      </c>
      <c r="L45" s="98"/>
      <c r="M45" s="98"/>
      <c r="N45" s="97"/>
      <c r="X45" s="98"/>
    </row>
    <row r="46" spans="2:24" x14ac:dyDescent="0.25">
      <c r="B46" s="97"/>
      <c r="C46" s="7"/>
      <c r="L46" s="98"/>
      <c r="M46" s="97"/>
      <c r="X46" s="98"/>
    </row>
    <row r="47" spans="2:24" x14ac:dyDescent="0.25">
      <c r="B47" s="97"/>
      <c r="C47" s="7"/>
      <c r="L47" s="98"/>
      <c r="M47" s="97"/>
      <c r="X47" s="98"/>
    </row>
    <row r="48" spans="2:24" ht="15.75" thickBot="1" x14ac:dyDescent="0.3">
      <c r="B48" s="108"/>
      <c r="C48" s="109"/>
      <c r="D48" s="110"/>
      <c r="E48" s="110"/>
      <c r="F48" s="110"/>
      <c r="G48" s="110"/>
      <c r="H48" s="110"/>
      <c r="I48" s="110"/>
      <c r="J48" s="110"/>
      <c r="K48" s="110"/>
      <c r="L48" s="111"/>
      <c r="M48" s="108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1"/>
    </row>
  </sheetData>
  <printOptions horizontalCentered="1" verticalCentered="1"/>
  <pageMargins left="0.7" right="0.7" top="0.75" bottom="0.75" header="0.3" footer="0.3"/>
  <pageSetup scale="50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C0495-EE2C-4571-93A0-2DD2C9D07CA8}">
  <sheetPr>
    <tabColor theme="1"/>
    <pageSetUpPr fitToPage="1"/>
  </sheetPr>
  <dimension ref="B10:T31"/>
  <sheetViews>
    <sheetView showGridLines="0" topLeftCell="A26" workbookViewId="0">
      <selection activeCell="M23" sqref="M23"/>
    </sheetView>
  </sheetViews>
  <sheetFormatPr defaultColWidth="8.7109375" defaultRowHeight="15" x14ac:dyDescent="0.25"/>
  <cols>
    <col min="2" max="2" width="34" bestFit="1" customWidth="1"/>
    <col min="3" max="9" width="11.42578125" hidden="1" customWidth="1"/>
    <col min="10" max="10" width="11.42578125" bestFit="1" customWidth="1"/>
    <col min="11" max="11" width="11.7109375" bestFit="1" customWidth="1"/>
    <col min="12" max="14" width="11.42578125" bestFit="1" customWidth="1"/>
    <col min="15" max="15" width="2.7109375" customWidth="1"/>
    <col min="16" max="16" width="9.7109375" bestFit="1" customWidth="1"/>
  </cols>
  <sheetData>
    <row r="10" spans="2:16" ht="15.75" x14ac:dyDescent="0.25">
      <c r="B10" s="69"/>
      <c r="C10" s="70" t="str">
        <f>TEXT('Monthly Detail'!D4,"mmmm")</f>
        <v>January</v>
      </c>
      <c r="D10" s="70" t="str">
        <f>TEXT('Monthly Detail'!E4,"mmmm")</f>
        <v>February</v>
      </c>
      <c r="E10" s="70" t="str">
        <f>TEXT('Monthly Detail'!F4,"mmmm")</f>
        <v>March</v>
      </c>
      <c r="F10" s="70" t="str">
        <f>TEXT('Monthly Detail'!G4,"mmmm")</f>
        <v>April</v>
      </c>
      <c r="G10" s="70" t="str">
        <f>TEXT('Monthly Detail'!H4,"mmmm")</f>
        <v>May</v>
      </c>
      <c r="H10" s="70" t="str">
        <f>TEXT('Monthly Detail'!I4,"mmmm")</f>
        <v>June</v>
      </c>
      <c r="I10" s="70" t="str">
        <f>TEXT('Monthly Detail'!J4,"mmmm")</f>
        <v>July</v>
      </c>
      <c r="J10" s="70" t="str">
        <f>TEXT('Monthly Detail'!K4,"mmmm")</f>
        <v>August</v>
      </c>
      <c r="K10" s="70" t="str">
        <f>TEXT('Monthly Detail'!L4,"mmmm")</f>
        <v>September</v>
      </c>
      <c r="L10" s="70" t="str">
        <f>TEXT('Monthly Detail'!M4,"mmmm")</f>
        <v>October</v>
      </c>
      <c r="M10" s="196" t="str">
        <f>TEXT('Monthly Detail'!N4,"mmmm")</f>
        <v>November</v>
      </c>
      <c r="N10" s="70" t="str">
        <f>TEXT('Monthly Detail'!O4,"mmmm")</f>
        <v>December</v>
      </c>
      <c r="O10" s="71"/>
      <c r="P10" s="72" t="s">
        <v>0</v>
      </c>
    </row>
    <row r="11" spans="2:16" ht="6.4" customHeight="1" x14ac:dyDescent="0.25">
      <c r="B11" s="7"/>
      <c r="C11" s="92">
        <v>44957</v>
      </c>
      <c r="D11" s="92">
        <v>44985</v>
      </c>
      <c r="E11" s="92">
        <v>45016</v>
      </c>
      <c r="F11" s="92">
        <v>45046</v>
      </c>
      <c r="G11" s="92">
        <v>45077</v>
      </c>
      <c r="H11" s="92">
        <v>45107</v>
      </c>
      <c r="I11" s="92">
        <v>45138</v>
      </c>
      <c r="J11" s="92">
        <v>45169</v>
      </c>
      <c r="K11" s="92">
        <v>45199</v>
      </c>
      <c r="L11" s="92">
        <v>45230</v>
      </c>
      <c r="M11" s="197">
        <v>45260</v>
      </c>
      <c r="N11" s="92">
        <v>45291</v>
      </c>
      <c r="O11" s="92">
        <v>45322</v>
      </c>
    </row>
    <row r="12" spans="2:16" x14ac:dyDescent="0.25">
      <c r="B12" s="73" t="s">
        <v>47</v>
      </c>
      <c r="C12" s="74">
        <f>SUMIF('Monthly Detail'!$4:$4, '2023 Overview'!C$11, 'Monthly Detail'!9:9)</f>
        <v>0</v>
      </c>
      <c r="D12" s="74">
        <f>SUMIF('Monthly Detail'!$4:$4, '2023 Overview'!D$11, 'Monthly Detail'!9:9)</f>
        <v>0</v>
      </c>
      <c r="E12" s="74">
        <f>SUMIF('Monthly Detail'!$4:$4, '2023 Overview'!E$11, 'Monthly Detail'!9:9)</f>
        <v>0</v>
      </c>
      <c r="F12" s="74">
        <f>SUMIF('Monthly Detail'!$4:$4, '2023 Overview'!F$11, 'Monthly Detail'!9:9)</f>
        <v>0</v>
      </c>
      <c r="G12" s="74">
        <f>SUMIF('Monthly Detail'!$4:$4, '2023 Overview'!G$11, 'Monthly Detail'!9:9)</f>
        <v>0</v>
      </c>
      <c r="H12" s="74">
        <f>SUMIF('Monthly Detail'!$4:$4, '2023 Overview'!H$11, 'Monthly Detail'!9:9)</f>
        <v>0</v>
      </c>
      <c r="I12" s="74">
        <f>SUMIF('Monthly Detail'!$4:$4, '2023 Overview'!I$11, 'Monthly Detail'!9:9)</f>
        <v>0</v>
      </c>
      <c r="J12" s="74">
        <f>SUMIF('Monthly Detail'!$4:$4, '2023 Overview'!J$11, 'Monthly Detail'!9:9)</f>
        <v>0</v>
      </c>
      <c r="K12" s="74">
        <f>SUMIF('Monthly Detail'!$4:$4, '2023 Overview'!K$11, 'Monthly Detail'!9:9)</f>
        <v>0</v>
      </c>
      <c r="L12" s="74">
        <f>SUMIF('Monthly Detail'!$4:$4, '2023 Overview'!L$11, 'Monthly Detail'!9:9)</f>
        <v>0</v>
      </c>
      <c r="M12" s="198">
        <f>SUMIF('Monthly Detail'!$4:$4, '2023 Overview'!M$11, 'Monthly Detail'!9:9)</f>
        <v>0</v>
      </c>
      <c r="N12" s="74">
        <f>SUMIF('Monthly Detail'!$4:$4, '2023 Overview'!N$11, 'Monthly Detail'!9:9)</f>
        <v>0</v>
      </c>
      <c r="O12" s="74"/>
      <c r="P12" s="74">
        <f>SUM(C12:O12)</f>
        <v>0</v>
      </c>
    </row>
    <row r="13" spans="2:16" x14ac:dyDescent="0.25">
      <c r="B13" s="73" t="s">
        <v>156</v>
      </c>
      <c r="C13" s="74">
        <f>SUMIF('Monthly Detail'!$4:$4, '2023 Overview'!C$11, 'Monthly Detail'!12:12)</f>
        <v>0</v>
      </c>
      <c r="D13" s="74">
        <f>SUMIF('Monthly Detail'!$4:$4, '2023 Overview'!D$11, 'Monthly Detail'!12:12)</f>
        <v>0</v>
      </c>
      <c r="E13" s="74">
        <f>SUMIF('Monthly Detail'!$4:$4, '2023 Overview'!E$11, 'Monthly Detail'!12:12)</f>
        <v>0</v>
      </c>
      <c r="F13" s="74">
        <f>SUMIF('Monthly Detail'!$4:$4, '2023 Overview'!F$11, 'Monthly Detail'!12:12)</f>
        <v>0</v>
      </c>
      <c r="G13" s="74">
        <f>SUMIF('Monthly Detail'!$4:$4, '2023 Overview'!G$11, 'Monthly Detail'!12:12)</f>
        <v>0</v>
      </c>
      <c r="H13" s="74">
        <f>SUMIF('Monthly Detail'!$4:$4, '2023 Overview'!H$11, 'Monthly Detail'!12:12)</f>
        <v>0</v>
      </c>
      <c r="I13" s="74">
        <f>SUMIF('Monthly Detail'!$4:$4, '2023 Overview'!I$11, 'Monthly Detail'!12:12)</f>
        <v>0</v>
      </c>
      <c r="J13" s="74">
        <f>SUMIF('Monthly Detail'!$4:$4, '2023 Overview'!J$11, 'Monthly Detail'!12:12)</f>
        <v>0</v>
      </c>
      <c r="K13" s="74">
        <f>SUMIF('Monthly Detail'!$4:$4, '2023 Overview'!K$11, 'Monthly Detail'!12:12)</f>
        <v>0</v>
      </c>
      <c r="L13" s="74">
        <f>SUMIF('Monthly Detail'!$4:$4, '2023 Overview'!L$11, 'Monthly Detail'!12:12)</f>
        <v>0</v>
      </c>
      <c r="M13" s="198">
        <f>SUMIF('Monthly Detail'!$4:$4, '2023 Overview'!M$11, 'Monthly Detail'!12:12)</f>
        <v>0</v>
      </c>
      <c r="N13" s="74">
        <f>SUMIF('Monthly Detail'!$4:$4, '2023 Overview'!N$11, 'Monthly Detail'!12:12)</f>
        <v>0</v>
      </c>
      <c r="O13" s="74"/>
      <c r="P13" s="74"/>
    </row>
    <row r="14" spans="2:16" x14ac:dyDescent="0.25">
      <c r="B14" s="75" t="s">
        <v>2</v>
      </c>
      <c r="C14" s="75">
        <f>SUM(C12:C13)</f>
        <v>0</v>
      </c>
      <c r="D14" s="75">
        <f t="shared" ref="D14:N14" si="0">SUM(D12:D13)</f>
        <v>0</v>
      </c>
      <c r="E14" s="75">
        <f t="shared" si="0"/>
        <v>0</v>
      </c>
      <c r="F14" s="75">
        <f t="shared" si="0"/>
        <v>0</v>
      </c>
      <c r="G14" s="75">
        <f t="shared" si="0"/>
        <v>0</v>
      </c>
      <c r="H14" s="75">
        <f t="shared" si="0"/>
        <v>0</v>
      </c>
      <c r="I14" s="75">
        <f t="shared" si="0"/>
        <v>0</v>
      </c>
      <c r="J14" s="75">
        <f t="shared" si="0"/>
        <v>0</v>
      </c>
      <c r="K14" s="75">
        <f t="shared" si="0"/>
        <v>0</v>
      </c>
      <c r="L14" s="75">
        <f t="shared" si="0"/>
        <v>0</v>
      </c>
      <c r="M14" s="199">
        <f t="shared" si="0"/>
        <v>0</v>
      </c>
      <c r="N14" s="75">
        <f t="shared" si="0"/>
        <v>0</v>
      </c>
      <c r="O14" s="76"/>
      <c r="P14" s="75">
        <f>SUM(P12:P12)</f>
        <v>0</v>
      </c>
    </row>
    <row r="15" spans="2:16" ht="3" customHeight="1" x14ac:dyDescent="0.25">
      <c r="B15" s="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200"/>
      <c r="N15" s="77"/>
      <c r="P15" s="77"/>
    </row>
    <row r="16" spans="2:16" ht="15.75" x14ac:dyDescent="0.25">
      <c r="B16" s="88" t="s">
        <v>147</v>
      </c>
      <c r="C16" s="89">
        <f>C14</f>
        <v>0</v>
      </c>
      <c r="D16" s="89">
        <f t="shared" ref="D16:N16" si="1">D14</f>
        <v>0</v>
      </c>
      <c r="E16" s="89">
        <f t="shared" si="1"/>
        <v>0</v>
      </c>
      <c r="F16" s="89">
        <f t="shared" si="1"/>
        <v>0</v>
      </c>
      <c r="G16" s="89">
        <f t="shared" si="1"/>
        <v>0</v>
      </c>
      <c r="H16" s="89">
        <f t="shared" si="1"/>
        <v>0</v>
      </c>
      <c r="I16" s="89">
        <f t="shared" si="1"/>
        <v>0</v>
      </c>
      <c r="J16" s="89">
        <f t="shared" si="1"/>
        <v>0</v>
      </c>
      <c r="K16" s="89">
        <f t="shared" si="1"/>
        <v>0</v>
      </c>
      <c r="L16" s="89">
        <f t="shared" si="1"/>
        <v>0</v>
      </c>
      <c r="M16" s="201">
        <f t="shared" si="1"/>
        <v>0</v>
      </c>
      <c r="N16" s="89">
        <f t="shared" si="1"/>
        <v>0</v>
      </c>
      <c r="O16" s="78"/>
      <c r="P16" s="89">
        <f>P14</f>
        <v>0</v>
      </c>
    </row>
    <row r="17" spans="2:20" x14ac:dyDescent="0.25">
      <c r="B17" s="90" t="s">
        <v>148</v>
      </c>
      <c r="C17" s="91" t="e">
        <f t="shared" ref="C17:N17" si="2">C16/C14</f>
        <v>#DIV/0!</v>
      </c>
      <c r="D17" s="91" t="e">
        <f t="shared" si="2"/>
        <v>#DIV/0!</v>
      </c>
      <c r="E17" s="91" t="e">
        <f t="shared" si="2"/>
        <v>#DIV/0!</v>
      </c>
      <c r="F17" s="91" t="e">
        <f t="shared" si="2"/>
        <v>#DIV/0!</v>
      </c>
      <c r="G17" s="91" t="e">
        <f t="shared" si="2"/>
        <v>#DIV/0!</v>
      </c>
      <c r="H17" s="91" t="e">
        <f t="shared" si="2"/>
        <v>#DIV/0!</v>
      </c>
      <c r="I17" s="91" t="e">
        <f t="shared" si="2"/>
        <v>#DIV/0!</v>
      </c>
      <c r="J17" s="91" t="e">
        <f t="shared" si="2"/>
        <v>#DIV/0!</v>
      </c>
      <c r="K17" s="91" t="e">
        <f t="shared" si="2"/>
        <v>#DIV/0!</v>
      </c>
      <c r="L17" s="91" t="e">
        <f t="shared" si="2"/>
        <v>#DIV/0!</v>
      </c>
      <c r="M17" s="202" t="e">
        <f t="shared" si="2"/>
        <v>#DIV/0!</v>
      </c>
      <c r="N17" s="91" t="e">
        <f t="shared" si="2"/>
        <v>#DIV/0!</v>
      </c>
      <c r="O17" s="7"/>
      <c r="P17" s="91" t="e">
        <f>P16/P14</f>
        <v>#DIV/0!</v>
      </c>
    </row>
    <row r="18" spans="2:20" ht="3" customHeight="1" x14ac:dyDescent="0.25">
      <c r="B18" s="7"/>
      <c r="M18" s="203"/>
    </row>
    <row r="19" spans="2:20" x14ac:dyDescent="0.25">
      <c r="B19" s="7" t="s">
        <v>185</v>
      </c>
      <c r="C19" s="74">
        <f>SUMIF('Monthly Detail'!$4:$4, '2023 Overview'!C$11, 'Monthly Detail'!$89:$89)</f>
        <v>0</v>
      </c>
      <c r="D19" s="74">
        <f>SUMIF('Monthly Detail'!$4:$4, '2023 Overview'!D$11, 'Monthly Detail'!$89:$89)</f>
        <v>0</v>
      </c>
      <c r="E19" s="74">
        <f>SUMIF('Monthly Detail'!$4:$4, '2023 Overview'!E$11, 'Monthly Detail'!$89:$89)</f>
        <v>0</v>
      </c>
      <c r="F19" s="74">
        <f>SUMIF('Monthly Detail'!$4:$4, '2023 Overview'!F$11, 'Monthly Detail'!$89:$89)</f>
        <v>0</v>
      </c>
      <c r="G19" s="74">
        <f>SUMIF('Monthly Detail'!$4:$4, '2023 Overview'!G$11, 'Monthly Detail'!$89:$89)</f>
        <v>0</v>
      </c>
      <c r="H19" s="74">
        <f>SUMIF('Monthly Detail'!$4:$4, '2023 Overview'!H$11, 'Monthly Detail'!$89:$89)</f>
        <v>0</v>
      </c>
      <c r="I19" s="74">
        <f>SUMIF('Monthly Detail'!$4:$4, '2023 Overview'!I$11, 'Monthly Detail'!$89:$89)</f>
        <v>0</v>
      </c>
      <c r="J19" s="74">
        <f>SUMIF('Monthly Detail'!$4:$4, '2023 Overview'!J$11, 'Monthly Detail'!$89:$89)</f>
        <v>0</v>
      </c>
      <c r="K19" s="74">
        <f>SUMIF('Monthly Detail'!$4:$4, '2023 Overview'!K$11, 'Monthly Detail'!$89:$89)</f>
        <v>0</v>
      </c>
      <c r="L19" s="74">
        <f>SUMIF('Monthly Detail'!$4:$4, '2023 Overview'!L$11, 'Monthly Detail'!$89:$89)</f>
        <v>0</v>
      </c>
      <c r="M19" s="198">
        <f>SUMIF('Monthly Detail'!$4:$4, '2023 Overview'!M$11, 'Monthly Detail'!$89:$89)</f>
        <v>0</v>
      </c>
      <c r="N19" s="74">
        <f>SUMIF('Monthly Detail'!$4:$4, '2023 Overview'!N$11, 'Monthly Detail'!$89:$89)</f>
        <v>0</v>
      </c>
      <c r="P19" s="74">
        <f>SUM(C19:O19)</f>
        <v>0</v>
      </c>
      <c r="T19" s="1"/>
    </row>
    <row r="20" spans="2:20" x14ac:dyDescent="0.25">
      <c r="B20" s="79" t="s">
        <v>149</v>
      </c>
      <c r="C20" s="80">
        <f t="shared" ref="C20:N20" si="3">SUM(C19:C19)</f>
        <v>0</v>
      </c>
      <c r="D20" s="80">
        <f t="shared" si="3"/>
        <v>0</v>
      </c>
      <c r="E20" s="80">
        <f t="shared" si="3"/>
        <v>0</v>
      </c>
      <c r="F20" s="80">
        <f t="shared" si="3"/>
        <v>0</v>
      </c>
      <c r="G20" s="80">
        <f t="shared" si="3"/>
        <v>0</v>
      </c>
      <c r="H20" s="80">
        <f t="shared" si="3"/>
        <v>0</v>
      </c>
      <c r="I20" s="80">
        <f t="shared" si="3"/>
        <v>0</v>
      </c>
      <c r="J20" s="80">
        <f t="shared" si="3"/>
        <v>0</v>
      </c>
      <c r="K20" s="80">
        <f t="shared" si="3"/>
        <v>0</v>
      </c>
      <c r="L20" s="80">
        <f t="shared" si="3"/>
        <v>0</v>
      </c>
      <c r="M20" s="204">
        <f t="shared" si="3"/>
        <v>0</v>
      </c>
      <c r="N20" s="80">
        <f t="shared" si="3"/>
        <v>0</v>
      </c>
      <c r="O20" s="81"/>
      <c r="P20" s="80">
        <f>SUM(P19:P19)</f>
        <v>0</v>
      </c>
    </row>
    <row r="21" spans="2:20" ht="4.1500000000000004" customHeight="1" x14ac:dyDescent="0.25">
      <c r="B21" s="7"/>
      <c r="M21" s="203"/>
    </row>
    <row r="22" spans="2:20" ht="15.75" x14ac:dyDescent="0.25">
      <c r="B22" s="88" t="s">
        <v>150</v>
      </c>
      <c r="C22" s="89">
        <f t="shared" ref="C22:N22" si="4">C16-C20</f>
        <v>0</v>
      </c>
      <c r="D22" s="89">
        <f t="shared" si="4"/>
        <v>0</v>
      </c>
      <c r="E22" s="89">
        <f t="shared" si="4"/>
        <v>0</v>
      </c>
      <c r="F22" s="89">
        <f t="shared" si="4"/>
        <v>0</v>
      </c>
      <c r="G22" s="89">
        <f t="shared" si="4"/>
        <v>0</v>
      </c>
      <c r="H22" s="89">
        <f t="shared" si="4"/>
        <v>0</v>
      </c>
      <c r="I22" s="89">
        <f t="shared" si="4"/>
        <v>0</v>
      </c>
      <c r="J22" s="89">
        <f t="shared" si="4"/>
        <v>0</v>
      </c>
      <c r="K22" s="89">
        <f t="shared" si="4"/>
        <v>0</v>
      </c>
      <c r="L22" s="89">
        <f t="shared" si="4"/>
        <v>0</v>
      </c>
      <c r="M22" s="201">
        <f t="shared" si="4"/>
        <v>0</v>
      </c>
      <c r="N22" s="89">
        <f t="shared" si="4"/>
        <v>0</v>
      </c>
      <c r="O22" s="78"/>
      <c r="P22" s="89">
        <f>P16-P20</f>
        <v>0</v>
      </c>
    </row>
    <row r="23" spans="2:20" x14ac:dyDescent="0.25">
      <c r="B23" s="90" t="s">
        <v>151</v>
      </c>
      <c r="C23" s="91" t="e">
        <f t="shared" ref="C23:N23" si="5">C22/C14</f>
        <v>#DIV/0!</v>
      </c>
      <c r="D23" s="91" t="e">
        <f t="shared" si="5"/>
        <v>#DIV/0!</v>
      </c>
      <c r="E23" s="91" t="e">
        <f t="shared" si="5"/>
        <v>#DIV/0!</v>
      </c>
      <c r="F23" s="91" t="e">
        <f t="shared" si="5"/>
        <v>#DIV/0!</v>
      </c>
      <c r="G23" s="91" t="e">
        <f t="shared" si="5"/>
        <v>#DIV/0!</v>
      </c>
      <c r="H23" s="91" t="e">
        <f t="shared" si="5"/>
        <v>#DIV/0!</v>
      </c>
      <c r="I23" s="91" t="e">
        <f t="shared" si="5"/>
        <v>#DIV/0!</v>
      </c>
      <c r="J23" s="91" t="e">
        <f t="shared" si="5"/>
        <v>#DIV/0!</v>
      </c>
      <c r="K23" s="91" t="e">
        <f t="shared" si="5"/>
        <v>#DIV/0!</v>
      </c>
      <c r="L23" s="91" t="e">
        <f t="shared" si="5"/>
        <v>#DIV/0!</v>
      </c>
      <c r="M23" s="202" t="e">
        <f t="shared" si="5"/>
        <v>#DIV/0!</v>
      </c>
      <c r="N23" s="91" t="e">
        <f t="shared" si="5"/>
        <v>#DIV/0!</v>
      </c>
      <c r="O23" s="7"/>
      <c r="P23" s="91" t="e">
        <f>P22/P14</f>
        <v>#DIV/0!</v>
      </c>
    </row>
    <row r="24" spans="2:20" ht="4.9000000000000004" customHeight="1" x14ac:dyDescent="0.25">
      <c r="B24" s="82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205"/>
      <c r="N24" s="83"/>
      <c r="P24" s="83"/>
    </row>
    <row r="25" spans="2:20" x14ac:dyDescent="0.25">
      <c r="B25" s="7" t="s">
        <v>152</v>
      </c>
      <c r="C25" s="133">
        <f>SUMIF('Monthly Detail'!$4:$4, '2023 Overview'!C$11, 'Monthly Detail'!95:95)</f>
        <v>0</v>
      </c>
      <c r="D25" s="130">
        <f>SUMIF('Monthly Detail'!$4:$4, '2023 Overview'!D$11, 'Monthly Detail'!95:95)</f>
        <v>0</v>
      </c>
      <c r="E25" s="133">
        <f>SUMIF('Monthly Detail'!$4:$4, '2023 Overview'!E$11, 'Monthly Detail'!95:95)</f>
        <v>0</v>
      </c>
      <c r="F25" s="130">
        <f>SUMIF('Monthly Detail'!$4:$4, '2023 Overview'!F$11, 'Monthly Detail'!95:95)</f>
        <v>0</v>
      </c>
      <c r="G25" s="130">
        <f>SUMIF('Monthly Detail'!$4:$4, '2023 Overview'!G$11, 'Monthly Detail'!95:95)</f>
        <v>0</v>
      </c>
      <c r="H25" s="133">
        <f>SUMIF('Monthly Detail'!$4:$4, '2023 Overview'!H$11, 'Monthly Detail'!95:95)</f>
        <v>0</v>
      </c>
      <c r="I25" s="133">
        <f>SUMIF('Monthly Detail'!$4:$4, '2023 Overview'!I$11, 'Monthly Detail'!95:95)</f>
        <v>0</v>
      </c>
      <c r="J25" s="133">
        <f>SUMIF('Monthly Detail'!$4:$4, '2023 Overview'!J$11, 'Monthly Detail'!95:95)</f>
        <v>0</v>
      </c>
      <c r="K25" s="133">
        <f>SUMIF('Monthly Detail'!$4:$4, '2023 Overview'!K$11, 'Monthly Detail'!95:95)</f>
        <v>0</v>
      </c>
      <c r="L25" s="133">
        <f>SUMIF('Monthly Detail'!$4:$4, '2023 Overview'!L$11, 'Monthly Detail'!95:95)</f>
        <v>0</v>
      </c>
      <c r="M25" s="206">
        <f>SUMIF('Monthly Detail'!$4:$4, '2023 Overview'!M$11, 'Monthly Detail'!95:95)</f>
        <v>0</v>
      </c>
      <c r="N25" s="130">
        <f>SUMIF('Monthly Detail'!$4:$4, '2023 Overview'!N$11, 'Monthly Detail'!95:95)</f>
        <v>0</v>
      </c>
      <c r="O25" s="130"/>
      <c r="P25" s="114">
        <f>SUM(C25:O25)</f>
        <v>0</v>
      </c>
    </row>
    <row r="26" spans="2:20" ht="15.75" x14ac:dyDescent="0.25">
      <c r="B26" s="88" t="s">
        <v>11</v>
      </c>
      <c r="C26" s="89">
        <f t="shared" ref="C26:N26" si="6">C22+SUM(C25:C25)</f>
        <v>0</v>
      </c>
      <c r="D26" s="89">
        <f t="shared" si="6"/>
        <v>0</v>
      </c>
      <c r="E26" s="89">
        <f t="shared" si="6"/>
        <v>0</v>
      </c>
      <c r="F26" s="89">
        <f t="shared" si="6"/>
        <v>0</v>
      </c>
      <c r="G26" s="89">
        <f t="shared" si="6"/>
        <v>0</v>
      </c>
      <c r="H26" s="89">
        <f t="shared" si="6"/>
        <v>0</v>
      </c>
      <c r="I26" s="89">
        <f t="shared" si="6"/>
        <v>0</v>
      </c>
      <c r="J26" s="89">
        <f t="shared" si="6"/>
        <v>0</v>
      </c>
      <c r="K26" s="89">
        <f t="shared" si="6"/>
        <v>0</v>
      </c>
      <c r="L26" s="89">
        <f t="shared" si="6"/>
        <v>0</v>
      </c>
      <c r="M26" s="201">
        <f t="shared" si="6"/>
        <v>0</v>
      </c>
      <c r="N26" s="89">
        <f t="shared" si="6"/>
        <v>0</v>
      </c>
      <c r="O26" s="78"/>
      <c r="P26" s="89">
        <f>P22+SUM(P25:P25)</f>
        <v>0</v>
      </c>
    </row>
    <row r="27" spans="2:20" x14ac:dyDescent="0.25">
      <c r="B27" s="90" t="s">
        <v>153</v>
      </c>
      <c r="C27" s="91" t="e">
        <f t="shared" ref="C27:N27" si="7">C26/C14</f>
        <v>#DIV/0!</v>
      </c>
      <c r="D27" s="91" t="e">
        <f t="shared" si="7"/>
        <v>#DIV/0!</v>
      </c>
      <c r="E27" s="91" t="e">
        <f t="shared" si="7"/>
        <v>#DIV/0!</v>
      </c>
      <c r="F27" s="91" t="e">
        <f t="shared" si="7"/>
        <v>#DIV/0!</v>
      </c>
      <c r="G27" s="91" t="e">
        <f t="shared" si="7"/>
        <v>#DIV/0!</v>
      </c>
      <c r="H27" s="91" t="e">
        <f t="shared" si="7"/>
        <v>#DIV/0!</v>
      </c>
      <c r="I27" s="91" t="e">
        <f t="shared" si="7"/>
        <v>#DIV/0!</v>
      </c>
      <c r="J27" s="91" t="e">
        <f t="shared" si="7"/>
        <v>#DIV/0!</v>
      </c>
      <c r="K27" s="91" t="e">
        <f t="shared" si="7"/>
        <v>#DIV/0!</v>
      </c>
      <c r="L27" s="91" t="e">
        <f t="shared" si="7"/>
        <v>#DIV/0!</v>
      </c>
      <c r="M27" s="202" t="e">
        <f t="shared" si="7"/>
        <v>#DIV/0!</v>
      </c>
      <c r="N27" s="91" t="e">
        <f t="shared" si="7"/>
        <v>#DIV/0!</v>
      </c>
      <c r="O27" s="7"/>
      <c r="P27" s="91" t="e">
        <f>P26/P14</f>
        <v>#DIV/0!</v>
      </c>
    </row>
    <row r="28" spans="2:20" ht="4.9000000000000004" customHeight="1" thickBot="1" x14ac:dyDescent="0.3">
      <c r="B28" s="7"/>
      <c r="M28" s="203"/>
    </row>
    <row r="29" spans="2:20" x14ac:dyDescent="0.25">
      <c r="B29" s="84" t="s">
        <v>154</v>
      </c>
      <c r="C29" s="85">
        <f>SUMIF('Monthly Detail'!$4:$4, '2023 Overview'!C$11, 'Monthly Detail'!173:173)</f>
        <v>0</v>
      </c>
      <c r="D29" s="163">
        <f>SUMIF('Monthly Detail'!$4:$4, '2023 Overview'!D$11, 'Monthly Detail'!173:173)</f>
        <v>0</v>
      </c>
      <c r="E29" s="85">
        <f>SUMIF('Monthly Detail'!$4:$4, '2023 Overview'!E$11, 'Monthly Detail'!173:173)</f>
        <v>0</v>
      </c>
      <c r="F29" s="163">
        <f>SUMIF('Monthly Detail'!$4:$4, '2023 Overview'!F$11, 'Monthly Detail'!173:173)</f>
        <v>0</v>
      </c>
      <c r="G29" s="85">
        <f>SUMIF('Monthly Detail'!$4:$4, '2023 Overview'!G$11, 'Monthly Detail'!173:173)</f>
        <v>0</v>
      </c>
      <c r="H29" s="85">
        <f>SUMIF('Monthly Detail'!$4:$4, '2023 Overview'!H$11, 'Monthly Detail'!173:173)</f>
        <v>0</v>
      </c>
      <c r="I29" s="163">
        <f>SUMIF('Monthly Detail'!$4:$4, '2023 Overview'!I$11, 'Monthly Detail'!173:173)</f>
        <v>0</v>
      </c>
      <c r="J29" s="163">
        <f>SUMIF('Monthly Detail'!$4:$4, '2023 Overview'!J$11, 'Monthly Detail'!173:173)</f>
        <v>0</v>
      </c>
      <c r="K29" s="163">
        <f>SUMIF('Monthly Detail'!$4:$4, '2023 Overview'!K$11, 'Monthly Detail'!173:173)</f>
        <v>0</v>
      </c>
      <c r="L29" s="163">
        <f>SUMIF('Monthly Detail'!$4:$4, '2023 Overview'!L$11, 'Monthly Detail'!173:173)</f>
        <v>0</v>
      </c>
      <c r="M29" s="207">
        <f>SUMIF('Monthly Detail'!$4:$4, '2023 Overview'!M$11, 'Monthly Detail'!173:173)</f>
        <v>0</v>
      </c>
      <c r="N29" s="163">
        <f>SUMIF('Monthly Detail'!$4:$4, '2023 Overview'!N$11, 'Monthly Detail'!173:173)</f>
        <v>0</v>
      </c>
    </row>
    <row r="30" spans="2:20" ht="15.75" thickBot="1" x14ac:dyDescent="0.3">
      <c r="B30" s="86" t="s">
        <v>155</v>
      </c>
      <c r="C30" s="87">
        <f>SUMIF('Monthly Detail'!$4:$4, '2023 Overview'!C$11, 'Monthly Detail'!170:170)</f>
        <v>0</v>
      </c>
      <c r="D30" s="164">
        <f>SUMIF('Monthly Detail'!$4:$4, '2023 Overview'!D$11, 'Monthly Detail'!170:170)</f>
        <v>0</v>
      </c>
      <c r="E30" s="87">
        <f>SUMIF('Monthly Detail'!$4:$4, '2023 Overview'!E$11, 'Monthly Detail'!170:170)</f>
        <v>0</v>
      </c>
      <c r="F30" s="164">
        <f>SUMIF('Monthly Detail'!$4:$4, '2023 Overview'!F$11, 'Monthly Detail'!170:170)</f>
        <v>0</v>
      </c>
      <c r="G30" s="87">
        <f>SUMIF('Monthly Detail'!$4:$4, '2023 Overview'!G$11, 'Monthly Detail'!170:170)</f>
        <v>0</v>
      </c>
      <c r="H30" s="87">
        <f>SUMIF('Monthly Detail'!$4:$4, '2023 Overview'!H$11, 'Monthly Detail'!170:170)</f>
        <v>0</v>
      </c>
      <c r="I30" s="164">
        <f>SUMIF('Monthly Detail'!$4:$4, '2023 Overview'!I$11, 'Monthly Detail'!170:170)</f>
        <v>0</v>
      </c>
      <c r="J30" s="164">
        <f>SUMIF('Monthly Detail'!$4:$4, '2023 Overview'!J$11, 'Monthly Detail'!170:170)</f>
        <v>0</v>
      </c>
      <c r="K30" s="164">
        <f>SUMIF('Monthly Detail'!$4:$4, '2023 Overview'!K$11, 'Monthly Detail'!170:170)</f>
        <v>0</v>
      </c>
      <c r="L30" s="164">
        <f>SUMIF('Monthly Detail'!$4:$4, '2023 Overview'!L$11, 'Monthly Detail'!170:170)</f>
        <v>0</v>
      </c>
      <c r="M30" s="208">
        <f>SUMIF('Monthly Detail'!$4:$4, '2023 Overview'!M$11, 'Monthly Detail'!170:170)</f>
        <v>0</v>
      </c>
      <c r="N30" s="164">
        <f>SUMIF('Monthly Detail'!$4:$4, '2023 Overview'!N$11, 'Monthly Detail'!170:170)</f>
        <v>0</v>
      </c>
    </row>
    <row r="31" spans="2:20" x14ac:dyDescent="0.25">
      <c r="E31" s="9"/>
    </row>
  </sheetData>
  <pageMargins left="0.25" right="0.25" top="0.75" bottom="0.75" header="0.3" footer="0.3"/>
  <pageSetup scale="69"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D53EE-9AAF-4BF1-8375-8AE329D3EC25}">
  <sheetPr>
    <tabColor theme="1"/>
    <pageSetUpPr fitToPage="1"/>
  </sheetPr>
  <dimension ref="B14:T73"/>
  <sheetViews>
    <sheetView showGridLines="0" topLeftCell="A22" zoomScale="44" zoomScaleNormal="32" workbookViewId="0">
      <selection activeCell="B4" sqref="B4:P73"/>
    </sheetView>
  </sheetViews>
  <sheetFormatPr defaultColWidth="8.7109375" defaultRowHeight="15" x14ac:dyDescent="0.25"/>
  <cols>
    <col min="2" max="2" width="48.28515625" bestFit="1" customWidth="1"/>
    <col min="3" max="7" width="16.7109375" bestFit="1" customWidth="1"/>
    <col min="8" max="8" width="17.7109375" bestFit="1" customWidth="1"/>
    <col min="9" max="9" width="17.28515625" bestFit="1" customWidth="1"/>
    <col min="10" max="14" width="17.7109375" bestFit="1" customWidth="1"/>
    <col min="15" max="15" width="0.28515625" customWidth="1"/>
    <col min="16" max="16" width="17.28515625" bestFit="1" customWidth="1"/>
  </cols>
  <sheetData>
    <row r="14" spans="2:16" ht="15.75" thickBot="1" x14ac:dyDescent="0.3"/>
    <row r="15" spans="2:16" ht="15" customHeight="1" x14ac:dyDescent="0.25">
      <c r="B15" s="645" t="s">
        <v>380</v>
      </c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6"/>
      <c r="N15" s="646"/>
      <c r="O15" s="646"/>
      <c r="P15" s="647"/>
    </row>
    <row r="16" spans="2:16" ht="15" customHeight="1" x14ac:dyDescent="0.25">
      <c r="B16" s="648"/>
      <c r="C16" s="649"/>
      <c r="D16" s="649"/>
      <c r="E16" s="649"/>
      <c r="F16" s="649"/>
      <c r="G16" s="649"/>
      <c r="H16" s="649"/>
      <c r="I16" s="649"/>
      <c r="J16" s="649"/>
      <c r="K16" s="649"/>
      <c r="L16" s="649"/>
      <c r="M16" s="649"/>
      <c r="N16" s="649"/>
      <c r="O16" s="649"/>
      <c r="P16" s="650"/>
    </row>
    <row r="17" spans="2:17" x14ac:dyDescent="0.25">
      <c r="B17" s="648"/>
      <c r="C17" s="649"/>
      <c r="D17" s="649"/>
      <c r="E17" s="649"/>
      <c r="F17" s="649"/>
      <c r="G17" s="649"/>
      <c r="H17" s="649"/>
      <c r="I17" s="649"/>
      <c r="J17" s="649"/>
      <c r="K17" s="649"/>
      <c r="L17" s="649"/>
      <c r="M17" s="649"/>
      <c r="N17" s="649"/>
      <c r="O17" s="649"/>
      <c r="P17" s="650"/>
    </row>
    <row r="18" spans="2:17" ht="15.75" x14ac:dyDescent="0.25">
      <c r="B18" s="213"/>
      <c r="C18" s="70" t="s">
        <v>246</v>
      </c>
      <c r="D18" s="70" t="s">
        <v>247</v>
      </c>
      <c r="E18" s="70" t="s">
        <v>248</v>
      </c>
      <c r="F18" s="70" t="s">
        <v>249</v>
      </c>
      <c r="G18" s="70" t="s">
        <v>250</v>
      </c>
      <c r="H18" s="70" t="s">
        <v>251</v>
      </c>
      <c r="I18" s="70" t="s">
        <v>252</v>
      </c>
      <c r="J18" s="70" t="s">
        <v>253</v>
      </c>
      <c r="K18" s="70" t="s">
        <v>254</v>
      </c>
      <c r="L18" s="600" t="s">
        <v>255</v>
      </c>
      <c r="M18" s="70" t="s">
        <v>256</v>
      </c>
      <c r="N18" s="473" t="s">
        <v>257</v>
      </c>
      <c r="O18" s="71"/>
      <c r="P18" s="460" t="s">
        <v>0</v>
      </c>
    </row>
    <row r="19" spans="2:17" x14ac:dyDescent="0.25">
      <c r="B19" s="214"/>
      <c r="C19" s="92">
        <v>45688</v>
      </c>
      <c r="D19" s="92">
        <v>45716</v>
      </c>
      <c r="E19" s="92">
        <v>45747</v>
      </c>
      <c r="F19" s="92">
        <v>45777</v>
      </c>
      <c r="G19" s="92">
        <v>45808</v>
      </c>
      <c r="H19" s="92">
        <v>45838</v>
      </c>
      <c r="I19" s="92">
        <v>45869</v>
      </c>
      <c r="J19" s="92">
        <v>45900</v>
      </c>
      <c r="K19" s="92">
        <v>45930</v>
      </c>
      <c r="L19" s="601">
        <v>45961</v>
      </c>
      <c r="M19" s="92">
        <v>45991</v>
      </c>
      <c r="N19" s="398">
        <v>46022</v>
      </c>
      <c r="O19" s="92">
        <v>45322</v>
      </c>
      <c r="P19" s="461"/>
    </row>
    <row r="20" spans="2:17" x14ac:dyDescent="0.25">
      <c r="B20" s="215" t="s">
        <v>47</v>
      </c>
      <c r="C20" s="74">
        <f>SUMIF('Monthly Detail'!$4:$4, '2025 Overview (Budget)'!C$19, 'Monthly Detail'!13:13)</f>
        <v>6721.05</v>
      </c>
      <c r="D20" s="74">
        <f>SUMIF('Monthly Detail'!$4:$4, '2025 Overview (Budget)'!D$19, 'Monthly Detail'!13:13)</f>
        <v>6501.14</v>
      </c>
      <c r="E20" s="74">
        <f>SUMIF('Monthly Detail'!$4:$4, '2025 Overview (Budget)'!E$19, 'Monthly Detail'!13:13)</f>
        <v>7108.5</v>
      </c>
      <c r="F20" s="74">
        <f>SUMIF('Monthly Detail'!$4:$4, '2025 Overview (Budget)'!F$19, 'Monthly Detail'!13:13)</f>
        <v>7861.75</v>
      </c>
      <c r="G20" s="74">
        <f>SUMIF('Monthly Detail'!$4:$4, '2025 Overview (Budget)'!G$19, 'Monthly Detail'!13:13)</f>
        <v>7877.62</v>
      </c>
      <c r="H20" s="74">
        <f>SUMIF('Monthly Detail'!$4:$4, '2025 Overview (Budget)'!H$19, 'Monthly Detail'!13:13)</f>
        <v>6887.45</v>
      </c>
      <c r="I20" s="74">
        <f>SUMIF('Monthly Detail'!$4:$4, '2025 Overview (Budget)'!I$19, 'Monthly Detail'!13:13)</f>
        <v>7418.55</v>
      </c>
      <c r="J20" s="74">
        <f>SUMIF('Monthly Detail'!$4:$4, '2025 Overview (Budget)'!J$19, 'Monthly Detail'!13:13)</f>
        <v>7653.35</v>
      </c>
      <c r="K20" s="74">
        <f>SUMIF('Monthly Detail'!$4:$4, '2025 Overview (Budget)'!K$19, 'Monthly Detail'!13:13)</f>
        <v>6170.45</v>
      </c>
      <c r="L20" s="602">
        <f>SUMIF('Monthly Detail'!$4:$4, '2025 Overview (Budget)'!L$19, 'Monthly Detail'!13:13)</f>
        <v>6998.25</v>
      </c>
      <c r="M20" s="74">
        <f>+'2025 AOP'!M20</f>
        <v>7017.707274880775</v>
      </c>
      <c r="N20" s="474">
        <f>+'2025 AOP'!N20</f>
        <v>8571.1672628560773</v>
      </c>
      <c r="O20" s="74"/>
      <c r="P20" s="462">
        <f>SUM(C20:O20)</f>
        <v>86786.984537736847</v>
      </c>
    </row>
    <row r="21" spans="2:17" x14ac:dyDescent="0.25">
      <c r="B21" s="215" t="s">
        <v>156</v>
      </c>
      <c r="C21" s="74">
        <f>SUMIF('Monthly Detail'!$4:$4, '2025 Overview (Budget)'!C$19, 'Monthly Detail'!12:12)</f>
        <v>0</v>
      </c>
      <c r="D21" s="74">
        <f>SUMIF('Monthly Detail'!$4:$4, '2025 Overview (Budget)'!D$19, 'Monthly Detail'!12:12)</f>
        <v>0</v>
      </c>
      <c r="E21" s="74">
        <f>SUMIF('Monthly Detail'!$4:$4, '2025 Overview (Budget)'!E$19, 'Monthly Detail'!12:12)</f>
        <v>0</v>
      </c>
      <c r="F21" s="74">
        <f>SUMIF('Monthly Detail'!$4:$4, '2025 Overview (Budget)'!F$19, 'Monthly Detail'!12:12)</f>
        <v>0</v>
      </c>
      <c r="G21" s="74">
        <f>SUMIF('Monthly Detail'!$4:$4, '2025 Overview (Budget)'!G$19, 'Monthly Detail'!12:12)</f>
        <v>0</v>
      </c>
      <c r="H21" s="74">
        <f>SUMIF('Monthly Detail'!$4:$4, '2025 Overview (Budget)'!H$19, 'Monthly Detail'!12:12)</f>
        <v>0</v>
      </c>
      <c r="I21" s="74">
        <f>SUMIF('Monthly Detail'!$4:$4, '2025 Overview (Budget)'!I$19, 'Monthly Detail'!12:12)</f>
        <v>0</v>
      </c>
      <c r="J21" s="74">
        <f>SUMIF('Monthly Detail'!$4:$4, '2025 Overview (Budget)'!J$19, 'Monthly Detail'!12:12)</f>
        <v>0</v>
      </c>
      <c r="K21" s="74">
        <f>SUMIF('Monthly Detail'!$4:$4, '2025 Overview (Budget)'!K$19, 'Monthly Detail'!12:12)</f>
        <v>0</v>
      </c>
      <c r="L21" s="602">
        <f>SUMIF('Monthly Detail'!$4:$4, '2025 Overview (Budget)'!L$19, 'Monthly Detail'!12:12)</f>
        <v>0</v>
      </c>
      <c r="M21" s="74">
        <f>+'2025 AOP'!M21</f>
        <v>0</v>
      </c>
      <c r="N21" s="474">
        <f>+'2025 AOP'!N21</f>
        <v>0</v>
      </c>
      <c r="O21" s="74"/>
      <c r="P21" s="462">
        <f>SUM(C21:O21)</f>
        <v>0</v>
      </c>
    </row>
    <row r="22" spans="2:17" x14ac:dyDescent="0.25">
      <c r="B22" s="216" t="s">
        <v>2</v>
      </c>
      <c r="C22" s="75">
        <f t="shared" ref="C22:H22" si="0">SUM(C20:C21)</f>
        <v>6721.05</v>
      </c>
      <c r="D22" s="75">
        <f t="shared" si="0"/>
        <v>6501.14</v>
      </c>
      <c r="E22" s="75">
        <f t="shared" si="0"/>
        <v>7108.5</v>
      </c>
      <c r="F22" s="75">
        <f t="shared" si="0"/>
        <v>7861.75</v>
      </c>
      <c r="G22" s="75">
        <f t="shared" si="0"/>
        <v>7877.62</v>
      </c>
      <c r="H22" s="75">
        <f t="shared" si="0"/>
        <v>6887.45</v>
      </c>
      <c r="I22" s="75">
        <f t="shared" ref="I22:J22" si="1">SUM(I20:I21)</f>
        <v>7418.55</v>
      </c>
      <c r="J22" s="75">
        <f t="shared" si="1"/>
        <v>7653.35</v>
      </c>
      <c r="K22" s="75">
        <f t="shared" ref="K22:L22" si="2">SUM(K20:K21)</f>
        <v>6170.45</v>
      </c>
      <c r="L22" s="603">
        <f t="shared" si="2"/>
        <v>6998.25</v>
      </c>
      <c r="M22" s="75">
        <f>+'2025 AOP'!M22</f>
        <v>7017.707274880775</v>
      </c>
      <c r="N22" s="323">
        <f>+'2025 AOP'!N22</f>
        <v>8571.1672628560773</v>
      </c>
      <c r="O22" s="76"/>
      <c r="P22" s="463">
        <f>SUM(P20:P20)</f>
        <v>86786.984537736847</v>
      </c>
    </row>
    <row r="23" spans="2:17" x14ac:dyDescent="0.25">
      <c r="B23" s="217" t="s">
        <v>277</v>
      </c>
      <c r="C23" s="218">
        <f>SUMIF('Monthly Detail'!$4:$4, '2025 Overview (Budget)'!C$19, 'Monthly Detail'!15:15)</f>
        <v>66</v>
      </c>
      <c r="D23" s="218">
        <f>SUMIF('Monthly Detail'!$4:$4, '2025 Overview (Budget)'!D$19, 'Monthly Detail'!15:15)</f>
        <v>69</v>
      </c>
      <c r="E23" s="218">
        <f>SUMIF('Monthly Detail'!$4:$4, '2025 Overview (Budget)'!E$19, 'Monthly Detail'!15:15)</f>
        <v>68</v>
      </c>
      <c r="F23" s="218">
        <f>SUMIF('Monthly Detail'!$4:$4, '2025 Overview (Budget)'!F$19, 'Monthly Detail'!15:15)</f>
        <v>82</v>
      </c>
      <c r="G23" s="218">
        <f>SUMIF('Monthly Detail'!$4:$4, '2025 Overview (Budget)'!G$19, 'Monthly Detail'!15:15)</f>
        <v>83</v>
      </c>
      <c r="H23" s="218">
        <f>SUMIF('Monthly Detail'!$4:$4, '2025 Overview (Budget)'!H$19, 'Monthly Detail'!15:15)</f>
        <v>72</v>
      </c>
      <c r="I23" s="218">
        <f>SUMIF('Monthly Detail'!$4:$4, '2025 Overview (Budget)'!I$19, 'Monthly Detail'!15:15)</f>
        <v>76</v>
      </c>
      <c r="J23" s="218">
        <f>SUMIF('Monthly Detail'!$4:$4, '2025 Overview (Budget)'!J$19, 'Monthly Detail'!15:15)</f>
        <v>73</v>
      </c>
      <c r="K23" s="218">
        <f>SUMIF('Monthly Detail'!$4:$4, '2025 Overview (Budget)'!K$19, 'Monthly Detail'!15:15)</f>
        <v>62</v>
      </c>
      <c r="L23" s="604">
        <f>SUMIF('Monthly Detail'!$4:$4, '2025 Overview (Budget)'!L$19, 'Monthly Detail'!15:15)</f>
        <v>72</v>
      </c>
      <c r="M23" s="218">
        <f>+'2025 AOP'!M23</f>
        <v>85.852883775497602</v>
      </c>
      <c r="N23" s="433">
        <f>+'2025 AOP'!N23</f>
        <v>94.608294624172601</v>
      </c>
      <c r="O23" s="76"/>
      <c r="P23" s="464">
        <f>+SUM(C23:N23)</f>
        <v>903.46117839967019</v>
      </c>
      <c r="Q23" s="166"/>
    </row>
    <row r="24" spans="2:17" x14ac:dyDescent="0.25">
      <c r="B24" s="219" t="s">
        <v>243</v>
      </c>
      <c r="C24" s="220">
        <f>SUMIF('Monthly Detail'!$4:$4, '2025 Overview (Budget)'!C$19, 'Monthly Detail'!41:41)</f>
        <v>4460.1049985636309</v>
      </c>
      <c r="D24" s="221">
        <f>SUMIF('Monthly Detail'!$4:$4, '2025 Overview (Budget)'!D$19, 'Monthly Detail'!41:41)</f>
        <v>4123.6762769319166</v>
      </c>
      <c r="E24" s="221">
        <f>SUMIF('Monthly Detail'!$4:$4, '2025 Overview (Budget)'!E$19, 'Monthly Detail'!41:41)</f>
        <v>3775.439153439153</v>
      </c>
      <c r="F24" s="221">
        <f>SUMIF('Monthly Detail'!$4:$4, '2025 Overview (Budget)'!F$19, 'Monthly Detail'!41:41)</f>
        <v>4062.1518588531817</v>
      </c>
      <c r="G24" s="221">
        <f>SUMIF('Monthly Detail'!$4:$4, '2025 Overview (Budget)'!G$19, 'Monthly Detail'!41:41)</f>
        <v>4083.8286456278765</v>
      </c>
      <c r="H24" s="221">
        <f>SUMIF('Monthly Detail'!$4:$4, '2025 Overview (Budget)'!H$19, 'Monthly Detail'!41:41)</f>
        <v>4773.196357960458</v>
      </c>
      <c r="I24" s="221">
        <f>SUMIF('Monthly Detail'!$4:$4, '2025 Overview (Budget)'!I$19, 'Monthly Detail'!41:41)</f>
        <v>4270.3348629984403</v>
      </c>
      <c r="J24" s="221">
        <f>SUMIF('Monthly Detail'!$4:$4, '2025 Overview (Budget)'!J$19, 'Monthly Detail'!41:41)</f>
        <v>4966.173777777778</v>
      </c>
      <c r="K24" s="221">
        <f>SUMIF('Monthly Detail'!$4:$4, '2025 Overview (Budget)'!K$19, 'Monthly Detail'!41:41)</f>
        <v>4723.0604938271608</v>
      </c>
      <c r="L24" s="605">
        <f>SUMIF('Monthly Detail'!$4:$4, '2025 Overview (Budget)'!L$19, 'Monthly Detail'!41:41)</f>
        <v>4942.8781212841859</v>
      </c>
      <c r="M24" s="221">
        <f>+'2025 AOP'!M24</f>
        <v>4643.0955504882249</v>
      </c>
      <c r="N24" s="475">
        <f>+'2025 AOP'!N24</f>
        <v>6105.5717917078182</v>
      </c>
      <c r="O24" s="76"/>
      <c r="P24" s="465">
        <f>+AVERAGE(C24:N24)</f>
        <v>4577.4593241216526</v>
      </c>
    </row>
    <row r="25" spans="2:17" x14ac:dyDescent="0.25">
      <c r="B25" s="217" t="s">
        <v>278</v>
      </c>
      <c r="C25" s="218">
        <f>SUMIF('Monthly Detail'!$4:$4, '2025 Overview (Budget)'!C$19, 'Monthly Detail'!17:17)</f>
        <v>35</v>
      </c>
      <c r="D25" s="218">
        <f>SUMIF('Monthly Detail'!$4:$4, '2025 Overview (Budget)'!D$19, 'Monthly Detail'!17:17)</f>
        <v>32</v>
      </c>
      <c r="E25" s="218">
        <f>SUMIF('Monthly Detail'!$4:$4, '2025 Overview (Budget)'!E$19, 'Monthly Detail'!17:17)</f>
        <v>31</v>
      </c>
      <c r="F25" s="218">
        <f>SUMIF('Monthly Detail'!$4:$4, '2025 Overview (Budget)'!F$19, 'Monthly Detail'!17:17)</f>
        <v>30</v>
      </c>
      <c r="G25" s="218">
        <f>SUMIF('Monthly Detail'!$4:$4, '2025 Overview (Budget)'!G$19, 'Monthly Detail'!17:17)</f>
        <v>38</v>
      </c>
      <c r="H25" s="218">
        <f>SUMIF('Monthly Detail'!$4:$4, '2025 Overview (Budget)'!H$19, 'Monthly Detail'!17:17)</f>
        <v>37</v>
      </c>
      <c r="I25" s="218">
        <f>SUMIF('Monthly Detail'!$4:$4, '2025 Overview (Budget)'!I$19, 'Monthly Detail'!17:17)</f>
        <v>34</v>
      </c>
      <c r="J25" s="218">
        <f>SUMIF('Monthly Detail'!$4:$4, '2025 Overview (Budget)'!J$19, 'Monthly Detail'!17:17)</f>
        <v>32</v>
      </c>
      <c r="K25" s="218">
        <f>SUMIF('Monthly Detail'!$4:$4, '2025 Overview (Budget)'!K$19, 'Monthly Detail'!17:17)</f>
        <v>36</v>
      </c>
      <c r="L25" s="604">
        <f>SUMIF('Monthly Detail'!$4:$4, '2025 Overview (Budget)'!L$19, 'Monthly Detail'!17:17)</f>
        <v>33</v>
      </c>
      <c r="M25" s="218">
        <f>+'2025 AOP'!M25</f>
        <v>48.077614914278655</v>
      </c>
      <c r="N25" s="433">
        <f>+'2025 AOP'!N25</f>
        <v>49.208852912261676</v>
      </c>
      <c r="P25" s="466"/>
    </row>
    <row r="26" spans="2:17" hidden="1" x14ac:dyDescent="0.25">
      <c r="B26" s="214"/>
      <c r="C26" s="77"/>
      <c r="D26" s="77"/>
      <c r="E26" s="77"/>
      <c r="F26" s="77"/>
      <c r="G26" s="77"/>
      <c r="H26" s="77"/>
      <c r="I26" s="77"/>
      <c r="J26" s="77"/>
      <c r="K26" s="77"/>
      <c r="L26" s="606"/>
      <c r="M26" s="77"/>
      <c r="N26" s="476"/>
      <c r="O26" s="7"/>
      <c r="P26" s="466"/>
    </row>
    <row r="27" spans="2:17" x14ac:dyDescent="0.25">
      <c r="B27" s="214"/>
      <c r="C27" s="77"/>
      <c r="D27" s="77"/>
      <c r="E27" s="77"/>
      <c r="F27" s="77"/>
      <c r="G27" s="77"/>
      <c r="H27" s="77"/>
      <c r="I27" s="77"/>
      <c r="J27" s="77"/>
      <c r="K27" s="77"/>
      <c r="L27" s="606"/>
      <c r="M27" s="77"/>
      <c r="N27" s="476"/>
      <c r="O27" s="7"/>
      <c r="P27" s="466"/>
    </row>
    <row r="28" spans="2:17" x14ac:dyDescent="0.25">
      <c r="B28" s="214" t="s">
        <v>217</v>
      </c>
      <c r="C28" s="74">
        <f>SUMIF('Monthly Detail'!$4:$4, '2025 Overview (Budget)'!C$19, 'Monthly Detail'!58:58)</f>
        <v>197.3</v>
      </c>
      <c r="D28" s="77">
        <f>SUMIF('Monthly Detail'!$4:$4, '2025 Overview (Budget)'!D$19, 'Monthly Detail'!58:58)</f>
        <v>202.11</v>
      </c>
      <c r="E28" s="77">
        <f>SUMIF('Monthly Detail'!$4:$4, '2025 Overview (Budget)'!E$19, 'Monthly Detail'!58:58)</f>
        <v>214.54</v>
      </c>
      <c r="F28" s="77">
        <f>SUMIF('Monthly Detail'!$4:$4, '2025 Overview (Budget)'!F$19, 'Monthly Detail'!58:58)</f>
        <v>247.79</v>
      </c>
      <c r="G28" s="77">
        <f>SUMIF('Monthly Detail'!$4:$4, '2025 Overview (Budget)'!G$19, 'Monthly Detail'!58:58)</f>
        <v>240.23</v>
      </c>
      <c r="H28" s="77">
        <f>SUMIF('Monthly Detail'!$4:$4, '2025 Overview (Budget)'!H$19, 'Monthly Detail'!58:58)</f>
        <v>182.1</v>
      </c>
      <c r="I28" s="77">
        <f>SUMIF('Monthly Detail'!$4:$4, '2025 Overview (Budget)'!I$19, 'Monthly Detail'!58:58)</f>
        <v>216.6</v>
      </c>
      <c r="J28" s="77">
        <f>SUMIF('Monthly Detail'!$4:$4, '2025 Overview (Budget)'!J$19, 'Monthly Detail'!58:58)</f>
        <v>205.55</v>
      </c>
      <c r="K28" s="77">
        <f>SUMIF('Monthly Detail'!$4:$4, '2025 Overview (Budget)'!K$19, 'Monthly Detail'!58:58)</f>
        <v>222.12</v>
      </c>
      <c r="L28" s="606">
        <f>SUMIF('Monthly Detail'!$4:$4, '2025 Overview (Budget)'!L$19, 'Monthly Detail'!58:58)</f>
        <v>282</v>
      </c>
      <c r="M28" s="77">
        <f>+'2025 AOP'!M28</f>
        <v>207.81438548096992</v>
      </c>
      <c r="N28" s="476">
        <f>+'2025 AOP'!N28</f>
        <v>253.81677915816229</v>
      </c>
      <c r="O28" s="7"/>
      <c r="P28" s="466">
        <f>+SUM(C28:N28)</f>
        <v>2671.971164639132</v>
      </c>
    </row>
    <row r="29" spans="2:17" x14ac:dyDescent="0.25">
      <c r="B29" s="214" t="s">
        <v>216</v>
      </c>
      <c r="C29" s="74">
        <f>SUMIF('Monthly Detail'!$4:$4, '2025 Overview (Budget)'!C$19, 'Monthly Detail'!59:59)</f>
        <v>249.98</v>
      </c>
      <c r="D29" s="77">
        <f>SUMIF('Monthly Detail'!$4:$4, '2025 Overview (Budget)'!D$19, 'Monthly Detail'!59:59)</f>
        <v>497.5</v>
      </c>
      <c r="E29" s="77">
        <f>SUMIF('Monthly Detail'!$4:$4, '2025 Overview (Budget)'!E$19, 'Monthly Detail'!59:59)</f>
        <v>810.15</v>
      </c>
      <c r="F29" s="77">
        <f>SUMIF('Monthly Detail'!$4:$4, '2025 Overview (Budget)'!F$19, 'Monthly Detail'!59:59)</f>
        <v>352.78</v>
      </c>
      <c r="G29" s="77">
        <f>SUMIF('Monthly Detail'!$4:$4, '2025 Overview (Budget)'!G$19, 'Monthly Detail'!59:59)</f>
        <v>754.25</v>
      </c>
      <c r="H29" s="77">
        <f>SUMIF('Monthly Detail'!$4:$4, '2025 Overview (Budget)'!H$19, 'Monthly Detail'!59:59)</f>
        <v>503.73</v>
      </c>
      <c r="I29" s="77">
        <f>SUMIF('Monthly Detail'!$4:$4, '2025 Overview (Budget)'!I$19, 'Monthly Detail'!59:59)</f>
        <v>588.11</v>
      </c>
      <c r="J29" s="77">
        <f>SUMIF('Monthly Detail'!$4:$4, '2025 Overview (Budget)'!J$19, 'Monthly Detail'!59:59)</f>
        <v>768.16</v>
      </c>
      <c r="K29" s="77">
        <f>SUMIF('Monthly Detail'!$4:$4, '2025 Overview (Budget)'!K$19, 'Monthly Detail'!59:59)</f>
        <v>893.43</v>
      </c>
      <c r="L29" s="606">
        <f>SUMIF('Monthly Detail'!$4:$4, '2025 Overview (Budget)'!L$19, 'Monthly Detail'!59:59)</f>
        <v>578.51</v>
      </c>
      <c r="M29" s="77">
        <f>+'2025 AOP'!M29</f>
        <v>236.61421021532556</v>
      </c>
      <c r="N29" s="476">
        <f>+'2025 AOP'!N29</f>
        <v>288.99181642748124</v>
      </c>
      <c r="O29" s="7"/>
      <c r="P29" s="466">
        <f>+SUM(C29:N29)</f>
        <v>6522.206026642807</v>
      </c>
    </row>
    <row r="30" spans="2:17" x14ac:dyDescent="0.25">
      <c r="B30" s="214" t="s">
        <v>303</v>
      </c>
      <c r="C30" s="74">
        <f>SUMIF('Monthly Detail'!$4:$4, '2025 Overview (Budget)'!C$19, 'Monthly Detail'!60:60)</f>
        <v>50</v>
      </c>
      <c r="D30" s="77">
        <f>SUMIF('Monthly Detail'!$4:$4, '2025 Overview (Budget)'!D$19, 'Monthly Detail'!60:60)</f>
        <v>45</v>
      </c>
      <c r="E30" s="77">
        <f>SUMIF('Monthly Detail'!$4:$4, '2025 Overview (Budget)'!E$19, 'Monthly Detail'!60:60)</f>
        <v>0</v>
      </c>
      <c r="F30" s="77">
        <f>SUMIF('Monthly Detail'!$4:$4, '2025 Overview (Budget)'!F$19, 'Monthly Detail'!60:60)</f>
        <v>0</v>
      </c>
      <c r="G30" s="77">
        <f>SUMIF('Monthly Detail'!$4:$4, '2025 Overview (Budget)'!G$19, 'Monthly Detail'!60:60)</f>
        <v>629</v>
      </c>
      <c r="H30" s="77">
        <f>SUMIF('Monthly Detail'!$4:$4, '2025 Overview (Budget)'!H$19, 'Monthly Detail'!60:60)</f>
        <v>0</v>
      </c>
      <c r="I30" s="77">
        <f>SUMIF('Monthly Detail'!$4:$4, '2025 Overview (Budget)'!I$19, 'Monthly Detail'!60:60)</f>
        <v>0</v>
      </c>
      <c r="J30" s="77">
        <f>SUMIF('Monthly Detail'!$4:$4, '2025 Overview (Budget)'!J$19, 'Monthly Detail'!60:60)</f>
        <v>0</v>
      </c>
      <c r="K30" s="77">
        <f>SUMIF('Monthly Detail'!$4:$4, '2025 Overview (Budget)'!K$19, 'Monthly Detail'!60:60)</f>
        <v>30</v>
      </c>
      <c r="L30" s="606">
        <f>SUMIF('Monthly Detail'!$4:$4, '2025 Overview (Budget)'!L$19, 'Monthly Detail'!60:60)</f>
        <v>0</v>
      </c>
      <c r="M30" s="77">
        <f>+'2025 AOP'!M30</f>
        <v>540</v>
      </c>
      <c r="N30" s="476">
        <f>+'2025 AOP'!N30</f>
        <v>680.08064033071855</v>
      </c>
      <c r="O30" s="7"/>
      <c r="P30" s="466">
        <f>+SUM(C30:N30)</f>
        <v>1974.0806403307186</v>
      </c>
    </row>
    <row r="31" spans="2:17" ht="15.75" x14ac:dyDescent="0.25">
      <c r="B31" s="223" t="s">
        <v>232</v>
      </c>
      <c r="C31" s="89">
        <f t="shared" ref="C31:N31" si="3">SUM(C28:C30)</f>
        <v>497.28</v>
      </c>
      <c r="D31" s="89">
        <f t="shared" si="3"/>
        <v>744.61</v>
      </c>
      <c r="E31" s="89">
        <f>SUM(E28:E30)</f>
        <v>1024.69</v>
      </c>
      <c r="F31" s="89">
        <f>SUM(F28:F30)</f>
        <v>600.56999999999994</v>
      </c>
      <c r="G31" s="89">
        <f>SUM(G28:G30)</f>
        <v>1623.48</v>
      </c>
      <c r="H31" s="89">
        <f>SUM(H28:H30)</f>
        <v>685.83</v>
      </c>
      <c r="I31" s="89">
        <f t="shared" ref="I31:J31" si="4">SUM(I28:I30)</f>
        <v>804.71</v>
      </c>
      <c r="J31" s="89">
        <f t="shared" si="4"/>
        <v>973.71</v>
      </c>
      <c r="K31" s="89">
        <f t="shared" ref="K31:L31" si="5">SUM(K28:K30)</f>
        <v>1145.55</v>
      </c>
      <c r="L31" s="607">
        <f t="shared" si="5"/>
        <v>860.51</v>
      </c>
      <c r="M31" s="89">
        <f t="shared" si="3"/>
        <v>984.42859569629547</v>
      </c>
      <c r="N31" s="328">
        <f t="shared" si="3"/>
        <v>1222.8892359163619</v>
      </c>
      <c r="P31" s="467">
        <f>SUM(P28:P30)</f>
        <v>11168.257831612656</v>
      </c>
    </row>
    <row r="32" spans="2:17" ht="5.65" customHeight="1" x14ac:dyDescent="0.25">
      <c r="B32" s="214"/>
      <c r="C32" s="77"/>
      <c r="D32" s="77"/>
      <c r="E32" s="77"/>
      <c r="F32" s="77"/>
      <c r="G32" s="77"/>
      <c r="H32" s="77"/>
      <c r="I32" s="77"/>
      <c r="J32" s="77"/>
      <c r="K32" s="77"/>
      <c r="L32" s="606"/>
      <c r="M32" s="77"/>
      <c r="N32" s="476"/>
      <c r="O32" s="7"/>
      <c r="P32" s="466"/>
    </row>
    <row r="33" spans="2:20" ht="15.75" x14ac:dyDescent="0.25">
      <c r="B33" s="223" t="s">
        <v>147</v>
      </c>
      <c r="C33" s="89">
        <f t="shared" ref="C33:N33" si="6">+C22-C31</f>
        <v>6223.77</v>
      </c>
      <c r="D33" s="89">
        <f t="shared" si="6"/>
        <v>5756.5300000000007</v>
      </c>
      <c r="E33" s="89">
        <f>+E22-E31</f>
        <v>6083.8099999999995</v>
      </c>
      <c r="F33" s="89">
        <f>+F22-F31</f>
        <v>7261.18</v>
      </c>
      <c r="G33" s="89">
        <f>+G22-G31</f>
        <v>6254.1399999999994</v>
      </c>
      <c r="H33" s="89">
        <f>+H22-H31</f>
        <v>6201.62</v>
      </c>
      <c r="I33" s="89">
        <f t="shared" ref="I33:J33" si="7">+I22-I31</f>
        <v>6613.84</v>
      </c>
      <c r="J33" s="89">
        <f t="shared" si="7"/>
        <v>6679.64</v>
      </c>
      <c r="K33" s="89">
        <f t="shared" ref="K33:L33" si="8">+K22-K31</f>
        <v>5024.8999999999996</v>
      </c>
      <c r="L33" s="607">
        <f t="shared" si="8"/>
        <v>6137.74</v>
      </c>
      <c r="M33" s="89">
        <f t="shared" si="6"/>
        <v>6033.2786791844792</v>
      </c>
      <c r="N33" s="328">
        <f t="shared" si="6"/>
        <v>7348.2780269397153</v>
      </c>
      <c r="P33" s="467">
        <f>+SUM(C33:N33)</f>
        <v>75618.726706124202</v>
      </c>
    </row>
    <row r="34" spans="2:20" x14ac:dyDescent="0.25">
      <c r="B34" s="225" t="s">
        <v>148</v>
      </c>
      <c r="C34" s="91">
        <f t="shared" ref="C34:N34" si="9">IFERROR(C33/C22, 0)</f>
        <v>0.92601156069364166</v>
      </c>
      <c r="D34" s="91">
        <f t="shared" si="9"/>
        <v>0.88546470311360781</v>
      </c>
      <c r="E34" s="91">
        <f>IFERROR(E33/E22, 0)</f>
        <v>0.85585003868608001</v>
      </c>
      <c r="F34" s="91">
        <f>IFERROR(F33/F22, 0)</f>
        <v>0.92360861131427485</v>
      </c>
      <c r="G34" s="91">
        <f>IFERROR(G33/G22, 0)</f>
        <v>0.79391237454967356</v>
      </c>
      <c r="H34" s="91">
        <f>IFERROR(H33/H22, 0)</f>
        <v>0.9004232335624941</v>
      </c>
      <c r="I34" s="91">
        <f t="shared" ref="I34:J34" si="10">IFERROR(I33/I22, 0)</f>
        <v>0.8915273200288466</v>
      </c>
      <c r="J34" s="91">
        <f t="shared" si="10"/>
        <v>0.87277336068519018</v>
      </c>
      <c r="K34" s="91">
        <f t="shared" ref="K34:L34" si="11">IFERROR(K33/K22, 0)</f>
        <v>0.81434903451125928</v>
      </c>
      <c r="L34" s="608">
        <f t="shared" si="11"/>
        <v>0.87703925981495368</v>
      </c>
      <c r="M34" s="91">
        <f t="shared" si="9"/>
        <v>0.85972219171637931</v>
      </c>
      <c r="N34" s="330">
        <f t="shared" si="9"/>
        <v>0.85732523956032658</v>
      </c>
      <c r="P34" s="468">
        <f>P33/P22</f>
        <v>0.87131413896796417</v>
      </c>
      <c r="T34" s="1"/>
    </row>
    <row r="35" spans="2:20" ht="3" customHeight="1" x14ac:dyDescent="0.25">
      <c r="B35" s="214"/>
      <c r="L35" s="609"/>
      <c r="N35" s="251"/>
      <c r="O35" s="227"/>
      <c r="P35" s="461"/>
    </row>
    <row r="36" spans="2:20" x14ac:dyDescent="0.25">
      <c r="B36" s="214" t="s">
        <v>185</v>
      </c>
      <c r="C36" s="74">
        <f>SUMIF('Monthly Detail'!$4:$4, '2025 Overview (Budget)'!C$19, 'Monthly Detail'!$89:$89)</f>
        <v>2161.9</v>
      </c>
      <c r="D36" s="74">
        <f>SUMIF('Monthly Detail'!$4:$4, '2025 Overview (Budget)'!D$19, 'Monthly Detail'!$89:$89)</f>
        <v>3618.1099999999997</v>
      </c>
      <c r="E36" s="74">
        <f>SUMIF('Monthly Detail'!$4:$4, '2025 Overview (Budget)'!E$19, 'Monthly Detail'!$89:$89)</f>
        <v>3644.83</v>
      </c>
      <c r="F36" s="74">
        <f>SUMIF('Monthly Detail'!$4:$4, '2025 Overview (Budget)'!F$19, 'Monthly Detail'!$89:$89)</f>
        <v>5164.1999999999989</v>
      </c>
      <c r="G36" s="74">
        <f>SUMIF('Monthly Detail'!$4:$4, '2025 Overview (Budget)'!G$19, 'Monthly Detail'!$89:$89)</f>
        <v>3990.04</v>
      </c>
      <c r="H36" s="74">
        <f>SUMIF('Monthly Detail'!$4:$4, '2025 Overview (Budget)'!H$19, 'Monthly Detail'!$89:$89)</f>
        <v>3355.51</v>
      </c>
      <c r="I36" s="74">
        <f>SUMIF('Monthly Detail'!$4:$4, '2025 Overview (Budget)'!I$19, 'Monthly Detail'!$89:$89)</f>
        <v>3680.41</v>
      </c>
      <c r="J36" s="74">
        <f>SUMIF('Monthly Detail'!$4:$4, '2025 Overview (Budget)'!J$19, 'Monthly Detail'!$89:$89)</f>
        <v>3609.2599999999998</v>
      </c>
      <c r="K36" s="74">
        <f>SUMIF('Monthly Detail'!$4:$4, '2025 Overview (Budget)'!K$19, 'Monthly Detail'!$89:$89)</f>
        <v>3143.7799999999997</v>
      </c>
      <c r="L36" s="602">
        <f>SUMIF('Monthly Detail'!$4:$4, '2025 Overview'!L$19, 'Monthly Detail'!$89:$89)+SUMIF('Monthly Detail'!$4:$4, '2025 Overview'!L$19, 'Monthly Detail'!$90:$90)</f>
        <v>3847.74</v>
      </c>
      <c r="M36" s="74">
        <f>+'2025 AOP'!M36</f>
        <v>6297.7866666666669</v>
      </c>
      <c r="N36" s="474">
        <f>+'2025 AOP'!N36</f>
        <v>6297.7866666666669</v>
      </c>
      <c r="P36" s="462">
        <f>SUM(C36:O36)</f>
        <v>48811.353333333325</v>
      </c>
    </row>
    <row r="37" spans="2:20" ht="15.75" x14ac:dyDescent="0.25">
      <c r="B37" s="228" t="s">
        <v>149</v>
      </c>
      <c r="C37" s="80">
        <f t="shared" ref="C37:N37" si="12">SUM(C36:C36)</f>
        <v>2161.9</v>
      </c>
      <c r="D37" s="80">
        <f t="shared" si="12"/>
        <v>3618.1099999999997</v>
      </c>
      <c r="E37" s="80">
        <f>SUM(E36:E36)</f>
        <v>3644.83</v>
      </c>
      <c r="F37" s="80">
        <f>SUM(F36:F36)</f>
        <v>5164.1999999999989</v>
      </c>
      <c r="G37" s="80">
        <f>SUM(G36:G36)</f>
        <v>3990.04</v>
      </c>
      <c r="H37" s="80">
        <f>SUM(H36:H36)</f>
        <v>3355.51</v>
      </c>
      <c r="I37" s="80">
        <f t="shared" ref="I37:J37" si="13">SUM(I36:I36)</f>
        <v>3680.41</v>
      </c>
      <c r="J37" s="80">
        <f t="shared" si="13"/>
        <v>3609.2599999999998</v>
      </c>
      <c r="K37" s="80">
        <f t="shared" ref="K37:L37" si="14">SUM(K36:K36)</f>
        <v>3143.7799999999997</v>
      </c>
      <c r="L37" s="610">
        <f t="shared" si="14"/>
        <v>3847.74</v>
      </c>
      <c r="M37" s="80">
        <f t="shared" si="12"/>
        <v>6297.7866666666669</v>
      </c>
      <c r="N37" s="334">
        <f t="shared" si="12"/>
        <v>6297.7866666666669</v>
      </c>
      <c r="O37" s="229"/>
      <c r="P37" s="469">
        <f>SUM(P36:P36)</f>
        <v>48811.353333333325</v>
      </c>
    </row>
    <row r="38" spans="2:20" ht="4.9000000000000004" customHeight="1" x14ac:dyDescent="0.25">
      <c r="B38" s="214"/>
      <c r="L38" s="609"/>
      <c r="N38" s="251"/>
      <c r="O38" s="7"/>
      <c r="P38" s="461"/>
    </row>
    <row r="39" spans="2:20" ht="15.75" x14ac:dyDescent="0.25">
      <c r="B39" s="223" t="s">
        <v>150</v>
      </c>
      <c r="C39" s="89">
        <f t="shared" ref="C39:N39" si="15">C33-C37</f>
        <v>4061.8700000000003</v>
      </c>
      <c r="D39" s="89">
        <f t="shared" si="15"/>
        <v>2138.420000000001</v>
      </c>
      <c r="E39" s="89">
        <f>E33-E37</f>
        <v>2438.9799999999996</v>
      </c>
      <c r="F39" s="89">
        <f>F33-F37</f>
        <v>2096.9800000000014</v>
      </c>
      <c r="G39" s="89">
        <f>G33-G37</f>
        <v>2264.0999999999995</v>
      </c>
      <c r="H39" s="89">
        <f>H33-H37</f>
        <v>2846.1099999999997</v>
      </c>
      <c r="I39" s="89">
        <f t="shared" ref="I39:J39" si="16">I33-I37</f>
        <v>2933.4300000000003</v>
      </c>
      <c r="J39" s="89">
        <f t="shared" si="16"/>
        <v>3070.3800000000006</v>
      </c>
      <c r="K39" s="89">
        <f t="shared" ref="K39:L39" si="17">K33-K37</f>
        <v>1881.12</v>
      </c>
      <c r="L39" s="607">
        <f t="shared" si="17"/>
        <v>2290</v>
      </c>
      <c r="M39" s="89">
        <f t="shared" si="15"/>
        <v>-264.50798748218767</v>
      </c>
      <c r="N39" s="328">
        <f t="shared" si="15"/>
        <v>1050.4913602730485</v>
      </c>
      <c r="P39" s="467">
        <f>P33-P37</f>
        <v>26807.373372790877</v>
      </c>
    </row>
    <row r="40" spans="2:20" x14ac:dyDescent="0.25">
      <c r="B40" s="225" t="s">
        <v>151</v>
      </c>
      <c r="C40" s="91">
        <f t="shared" ref="C40:N40" si="18">IFERROR(C39/C22, 0)</f>
        <v>0.60435051070889223</v>
      </c>
      <c r="D40" s="91">
        <f t="shared" si="18"/>
        <v>0.32893000304561981</v>
      </c>
      <c r="E40" s="91">
        <f>IFERROR(E39/E22, 0)</f>
        <v>0.34310754730252507</v>
      </c>
      <c r="F40" s="91">
        <f>IFERROR(F39/F22, 0)</f>
        <v>0.26673196171335917</v>
      </c>
      <c r="G40" s="91">
        <f>IFERROR(G39/G22, 0)</f>
        <v>0.28740914133964313</v>
      </c>
      <c r="H40" s="91">
        <f>IFERROR(H39/H22, 0)</f>
        <v>0.41323131202404367</v>
      </c>
      <c r="I40" s="91">
        <f t="shared" ref="I40:J40" si="19">IFERROR(I39/I22, 0)</f>
        <v>0.39541824210930709</v>
      </c>
      <c r="J40" s="91">
        <f t="shared" si="19"/>
        <v>0.40118118209672893</v>
      </c>
      <c r="K40" s="91">
        <f t="shared" ref="K40:L40" si="20">IFERROR(K39/K22, 0)</f>
        <v>0.30485945109351831</v>
      </c>
      <c r="L40" s="608">
        <f t="shared" si="20"/>
        <v>0.32722466330868433</v>
      </c>
      <c r="M40" s="91">
        <f t="shared" si="18"/>
        <v>-3.7691510506425538E-2</v>
      </c>
      <c r="N40" s="330">
        <f t="shared" si="18"/>
        <v>0.12256106176173309</v>
      </c>
      <c r="O40" s="133"/>
      <c r="P40" s="468">
        <f>P39/P22</f>
        <v>0.30888702396537876</v>
      </c>
    </row>
    <row r="41" spans="2:20" ht="5.65" customHeight="1" x14ac:dyDescent="0.25">
      <c r="B41" s="230"/>
      <c r="C41" s="83"/>
      <c r="D41" s="83"/>
      <c r="E41" s="83"/>
      <c r="F41" s="83"/>
      <c r="G41" s="83"/>
      <c r="H41" s="83"/>
      <c r="I41" s="83"/>
      <c r="J41" s="83"/>
      <c r="K41" s="83"/>
      <c r="L41" s="611"/>
      <c r="M41" s="83"/>
      <c r="N41" s="477"/>
      <c r="O41" s="229"/>
      <c r="P41" s="470"/>
    </row>
    <row r="42" spans="2:20" x14ac:dyDescent="0.25">
      <c r="B42" s="214" t="s">
        <v>152</v>
      </c>
      <c r="C42" s="133">
        <f>SUMIF('Monthly Detail'!$4:$4, '2025 Overview (Budget)'!C$19, 'Monthly Detail'!95:95)</f>
        <v>0</v>
      </c>
      <c r="D42" s="133">
        <f>SUMIF('Monthly Detail'!$4:$4, '2025 Overview (Budget)'!D$19, 'Monthly Detail'!95:95)</f>
        <v>0</v>
      </c>
      <c r="E42" s="133">
        <f>SUMIF('Monthly Detail'!$4:$4, '2025 Overview (Budget)'!E$19, 'Monthly Detail'!95:95)</f>
        <v>2.35</v>
      </c>
      <c r="F42" s="133">
        <f>SUMIF('Monthly Detail'!$4:$4, '2025 Overview (Budget)'!F$19, 'Monthly Detail'!95:95)</f>
        <v>3.21</v>
      </c>
      <c r="G42" s="133">
        <f>SUMIF('Monthly Detail'!$4:$4, '2025 Overview (Budget)'!G$19, 'Monthly Detail'!95:95)</f>
        <v>4.3</v>
      </c>
      <c r="H42" s="133">
        <f>SUMIF('Monthly Detail'!$4:$4, '2025 Overview (Budget)'!H$19, 'Monthly Detail'!95:95)</f>
        <v>3.94</v>
      </c>
      <c r="I42" s="133">
        <f>SUMIF('Monthly Detail'!$4:$4, '2025 Overview (Budget)'!I$19, 'Monthly Detail'!95:95)</f>
        <v>4.21</v>
      </c>
      <c r="J42" s="133">
        <f>SUMIF('Monthly Detail'!$4:$4, '2025 Overview (Budget)'!J$19, 'Monthly Detail'!95:95)</f>
        <v>3.44</v>
      </c>
      <c r="K42" s="133">
        <f>SUMIF('Monthly Detail'!$4:$4, '2025 Overview (Budget)'!K$19, 'Monthly Detail'!95:95)</f>
        <v>2.61</v>
      </c>
      <c r="L42" s="612">
        <f>SUMIF('Monthly Detail'!$4:$4, '2025 Overview (Budget)'!L$19, 'Monthly Detail'!95:95)</f>
        <v>1.78</v>
      </c>
      <c r="M42" s="133">
        <f>SUMIF('Monthly Detail'!$4:$4, '2025 Overview (Budget)'!M$19, 'Monthly Detail'!130:130)</f>
        <v>0</v>
      </c>
      <c r="N42" s="478">
        <f>SUMIF('Monthly Detail'!$4:$4, '2025 Overview (Budget)'!N$19, 'Monthly Detail'!130:130)</f>
        <v>0</v>
      </c>
      <c r="O42" s="7"/>
      <c r="P42" s="471">
        <f>SUM(C42:O42)</f>
        <v>25.84</v>
      </c>
    </row>
    <row r="43" spans="2:20" ht="15.75" x14ac:dyDescent="0.25">
      <c r="B43" s="223" t="s">
        <v>11</v>
      </c>
      <c r="C43" s="89">
        <f t="shared" ref="C43:N43" si="21">C39+SUM(C42:C42)</f>
        <v>4061.8700000000003</v>
      </c>
      <c r="D43" s="89">
        <f t="shared" si="21"/>
        <v>2138.420000000001</v>
      </c>
      <c r="E43" s="89">
        <f>E39+SUM(E42:E42)</f>
        <v>2441.3299999999995</v>
      </c>
      <c r="F43" s="89">
        <f>F39+SUM(F42:F42)</f>
        <v>2100.1900000000014</v>
      </c>
      <c r="G43" s="89">
        <f>G39+SUM(G42:G42)</f>
        <v>2268.3999999999996</v>
      </c>
      <c r="H43" s="89">
        <f>H39+SUM(H42:H42)</f>
        <v>2850.0499999999997</v>
      </c>
      <c r="I43" s="89">
        <f t="shared" ref="I43:J43" si="22">I39+SUM(I42:I42)</f>
        <v>2937.6400000000003</v>
      </c>
      <c r="J43" s="89">
        <f t="shared" si="22"/>
        <v>3073.8200000000006</v>
      </c>
      <c r="K43" s="89">
        <f t="shared" ref="K43:L43" si="23">K39+SUM(K42:K42)</f>
        <v>1883.7299999999998</v>
      </c>
      <c r="L43" s="607">
        <f t="shared" si="23"/>
        <v>2291.7800000000002</v>
      </c>
      <c r="M43" s="89">
        <f t="shared" si="21"/>
        <v>-264.50798748218767</v>
      </c>
      <c r="N43" s="328">
        <f t="shared" si="21"/>
        <v>1050.4913602730485</v>
      </c>
      <c r="P43" s="467">
        <f>P39+SUM(P42:P42)</f>
        <v>26833.213372790877</v>
      </c>
    </row>
    <row r="44" spans="2:20" x14ac:dyDescent="0.25">
      <c r="B44" s="225" t="s">
        <v>153</v>
      </c>
      <c r="C44" s="91">
        <f t="shared" ref="C44:N44" si="24">IFERROR(C43/C22, 0)</f>
        <v>0.60435051070889223</v>
      </c>
      <c r="D44" s="91">
        <f t="shared" si="24"/>
        <v>0.32893000304561981</v>
      </c>
      <c r="E44" s="91">
        <f>IFERROR(E43/E22, 0)</f>
        <v>0.34343813744109158</v>
      </c>
      <c r="F44" s="91">
        <f>IFERROR(F43/F22, 0)</f>
        <v>0.26714026775209099</v>
      </c>
      <c r="G44" s="91">
        <f>IFERROR(G43/G22, 0)</f>
        <v>0.28795499148219889</v>
      </c>
      <c r="H44" s="91">
        <f>IFERROR(H43/H22, 0)</f>
        <v>0.41380336699358977</v>
      </c>
      <c r="I44" s="91">
        <f t="shared" ref="I44:J44" si="25">IFERROR(I43/I22, 0)</f>
        <v>0.39598573845293222</v>
      </c>
      <c r="J44" s="91">
        <f t="shared" si="25"/>
        <v>0.40163065846982049</v>
      </c>
      <c r="K44" s="91">
        <f t="shared" ref="K44:L44" si="26">IFERROR(K43/K22, 0)</f>
        <v>0.30528243483052286</v>
      </c>
      <c r="L44" s="608">
        <f t="shared" si="26"/>
        <v>0.32747901261029544</v>
      </c>
      <c r="M44" s="91">
        <f t="shared" si="24"/>
        <v>-3.7691510506425538E-2</v>
      </c>
      <c r="N44" s="330">
        <f t="shared" si="24"/>
        <v>0.12256106176173309</v>
      </c>
      <c r="P44" s="472">
        <f>P43/P22</f>
        <v>0.30918476446342275</v>
      </c>
    </row>
    <row r="45" spans="2:20" ht="6" customHeight="1" thickBot="1" x14ac:dyDescent="0.3">
      <c r="B45" s="214"/>
      <c r="L45" s="609"/>
      <c r="P45" s="98"/>
    </row>
    <row r="46" spans="2:20" ht="15.75" thickBot="1" x14ac:dyDescent="0.3">
      <c r="B46" s="232" t="s">
        <v>301</v>
      </c>
      <c r="C46" s="597">
        <f>SUMIF('Monthly Detail'!$4:$4, '2025 Overview (Budget)'!C$19, 'Monthly Detail'!112:112)</f>
        <v>1326.2080000000001</v>
      </c>
      <c r="D46" s="597">
        <f>SUMIF('Monthly Detail'!$4:$4, '2025 Overview (Budget)'!D$19, 'Monthly Detail'!112:112)</f>
        <v>1606.7285000000002</v>
      </c>
      <c r="E46" s="597">
        <f>SUMIF('Monthly Detail'!$4:$4, '2025 Overview (Budget)'!E$19, 'Monthly Detail'!112:112)</f>
        <v>2203.0059999999999</v>
      </c>
      <c r="F46" s="597">
        <f>SUMIF('Monthly Detail'!$4:$4, '2025 Overview (Budget)'!F$19, 'Monthly Detail'!112:112)</f>
        <v>2800.3690000000001</v>
      </c>
      <c r="G46" s="597">
        <f>SUMIF('Monthly Detail'!$4:$4, '2025 Overview (Budget)'!G$19, 'Monthly Detail'!112:112)</f>
        <v>4253.5610000000006</v>
      </c>
      <c r="H46" s="597">
        <f>SUMIF('Monthly Detail'!$4:$4, '2025 Overview (Budget)'!H$19, 'Monthly Detail'!112:112)</f>
        <v>4362.1695000000009</v>
      </c>
      <c r="I46" s="597">
        <f>SUMIF('Monthly Detail'!$4:$4, '2025 Overview (Budget)'!I$19, 'Monthly Detail'!112:112)</f>
        <v>4312.2560000000003</v>
      </c>
      <c r="J46" s="597">
        <f>SUMIF('Monthly Detail'!$4:$4, '2025 Overview (Budget)'!J$19, 'Monthly Detail'!112:112)</f>
        <v>4650.8085000000001</v>
      </c>
      <c r="K46" s="597">
        <f>SUMIF('Monthly Detail'!$4:$4, '2025 Overview (Budget)'!K$19, 'Monthly Detail'!112:112)</f>
        <v>4164.9724999999999</v>
      </c>
      <c r="L46" s="613">
        <f>SUMIF('Monthly Detail'!$4:$4, '2025 Overview (Budget)'!L$19, 'Monthly Detail'!112:112)</f>
        <v>3819.1530000000002</v>
      </c>
      <c r="M46" s="233">
        <f>+'2025 AOP'!M46</f>
        <v>2019.7107169290684</v>
      </c>
      <c r="N46" s="235">
        <f>+'2025 AOP'!N46</f>
        <v>1694.3506908550485</v>
      </c>
      <c r="P46" s="98"/>
    </row>
    <row r="47" spans="2:20" ht="15.75" thickBot="1" x14ac:dyDescent="0.3">
      <c r="B47" s="437" t="s">
        <v>302</v>
      </c>
      <c r="C47" s="598">
        <f>SUMIF('Monthly Detail'!$4:$4, '2025 Overview (Budget)'!C$19, 'Monthly Detail'!106:106)</f>
        <v>45.02</v>
      </c>
      <c r="D47" s="598">
        <f>SUMIF('Monthly Detail'!$4:$4, '2025 Overview (Budget)'!D$19, 'Monthly Detail'!106:106)</f>
        <v>68.56</v>
      </c>
      <c r="E47" s="598">
        <f>SUMIF('Monthly Detail'!$4:$4, '2025 Overview (Budget)'!E$19, 'Monthly Detail'!106:106)</f>
        <v>0.03</v>
      </c>
      <c r="F47" s="598">
        <f>SUMIF('Monthly Detail'!$4:$4, '2025 Overview (Budget)'!F$19, 'Monthly Detail'!106:106)</f>
        <v>9.57</v>
      </c>
      <c r="G47" s="598">
        <f>SUMIF('Monthly Detail'!$4:$4, '2025 Overview (Budget)'!G$19, 'Monthly Detail'!106:106)</f>
        <v>150.5</v>
      </c>
      <c r="H47" s="598">
        <f>SUMIF('Monthly Detail'!$4:$4, '2025 Overview (Budget)'!H$19, 'Monthly Detail'!106:106)</f>
        <v>17.12</v>
      </c>
      <c r="I47" s="598">
        <f>SUMIF('Monthly Detail'!$4:$4, '2025 Overview (Budget)'!I$19, 'Monthly Detail'!106:106)</f>
        <v>50.77</v>
      </c>
      <c r="J47" s="598">
        <f>SUMIF('Monthly Detail'!$4:$4, '2025 Overview (Budget)'!J$19, 'Monthly Detail'!106:106)</f>
        <v>0.77</v>
      </c>
      <c r="K47" s="598">
        <f>SUMIF('Monthly Detail'!$4:$4, '2025 Overview (Budget)'!K$19, 'Monthly Detail'!106:106)</f>
        <v>37.46</v>
      </c>
      <c r="L47" s="614">
        <f>SUMIF('Monthly Detail'!$4:$4, '2025 Overview (Budget)'!L$19, 'Monthly Detail'!106:106)</f>
        <v>15.87</v>
      </c>
      <c r="M47" s="439">
        <f>+'2025 AOP'!M47</f>
        <v>28.95</v>
      </c>
      <c r="N47" s="440">
        <f>+'2025 AOP'!N47</f>
        <v>28.95</v>
      </c>
      <c r="P47" s="98"/>
    </row>
    <row r="48" spans="2:20" ht="15.75" thickBot="1" x14ac:dyDescent="0.3">
      <c r="B48" s="236" t="s">
        <v>279</v>
      </c>
      <c r="C48" s="599">
        <f>SUMIF('Monthly Detail'!$4:$4, '2025 Overview (Budget)'!C$19, 'Monthly Detail'!173:173)</f>
        <v>2040.3199999999972</v>
      </c>
      <c r="D48" s="599">
        <f>SUMIF('Monthly Detail'!$4:$4, '2025 Overview (Budget)'!D$19, 'Monthly Detail'!173:173)</f>
        <v>2471.8900000000021</v>
      </c>
      <c r="E48" s="599">
        <f>SUMIF('Monthly Detail'!$4:$4, '2025 Overview (Budget)'!E$19, 'Monthly Detail'!173:173)</f>
        <v>3389.2400000000007</v>
      </c>
      <c r="F48" s="599">
        <f>SUMIF('Monthly Detail'!$4:$4, '2025 Overview (Budget)'!F$19, 'Monthly Detail'!173:173)</f>
        <v>4308.260000000002</v>
      </c>
      <c r="G48" s="599">
        <f>SUMIF('Monthly Detail'!$4:$4, '2025 Overview (Budget)'!G$19, 'Monthly Detail'!173:173)</f>
        <v>6543.9400000000005</v>
      </c>
      <c r="H48" s="599">
        <f>SUMIF('Monthly Detail'!$4:$4, '2025 Overview (Budget)'!H$19, 'Monthly Detail'!173:173)</f>
        <v>6711.0300000000025</v>
      </c>
      <c r="I48" s="599">
        <f>SUMIF('Monthly Detail'!$4:$4, '2025 Overview (Budget)'!I$19, 'Monthly Detail'!173:173)</f>
        <v>6634.2400000000007</v>
      </c>
      <c r="J48" s="599">
        <f>SUMIF('Monthly Detail'!$4:$4, '2025 Overview (Budget)'!J$19, 'Monthly Detail'!173:173)</f>
        <v>7155.09</v>
      </c>
      <c r="K48" s="599">
        <f>SUMIF('Monthly Detail'!$4:$4, '2025 Overview (Budget)'!K$19, 'Monthly Detail'!173:173)</f>
        <v>6407.6500000000042</v>
      </c>
      <c r="L48" s="615">
        <f>SUMIF('Monthly Detail'!$4:$4, '2025 Overview (Budget)'!L$19, 'Monthly Detail'!173:173)</f>
        <v>5875.6200000000063</v>
      </c>
      <c r="M48" s="435">
        <f>+'2025 AOP'!M48</f>
        <v>3107.2472568139519</v>
      </c>
      <c r="N48" s="436">
        <f>+'2025 AOP'!N48</f>
        <v>2606.6933705462288</v>
      </c>
      <c r="P48" s="98"/>
    </row>
    <row r="49" spans="2:16" ht="15.75" thickBot="1" x14ac:dyDescent="0.3">
      <c r="B49" s="86" t="s">
        <v>225</v>
      </c>
      <c r="C49" s="87">
        <f>SUMIF('Monthly Detail'!$4:$4, '2025 Overview (Budget)'!C$19, 'Monthly Detail'!170:170)</f>
        <v>614.3199999999988</v>
      </c>
      <c r="D49" s="164">
        <f>SUMIF('Monthly Detail'!$4:$4, '2025 Overview (Budget)'!D$19, 'Monthly Detail'!170:170)</f>
        <v>431.57000000000471</v>
      </c>
      <c r="E49" s="164">
        <f>SUMIF('Monthly Detail'!$4:$4, '2025 Overview (Budget)'!E$19, 'Monthly Detail'!170:170)</f>
        <v>917.34999999999854</v>
      </c>
      <c r="F49" s="164">
        <f>SUMIF('Monthly Detail'!$4:$4, '2025 Overview (Budget)'!F$19, 'Monthly Detail'!170:170)</f>
        <v>919.02000000000089</v>
      </c>
      <c r="G49" s="164">
        <f>SUMIF('Monthly Detail'!$4:$4, '2025 Overview (Budget)'!G$19, 'Monthly Detail'!170:170)</f>
        <v>2235.6799999999985</v>
      </c>
      <c r="H49" s="164">
        <f>SUMIF('Monthly Detail'!$4:$4, '2025 Overview (Budget)'!H$19, 'Monthly Detail'!170:170)</f>
        <v>167.09000000000196</v>
      </c>
      <c r="I49" s="164">
        <f>SUMIF('Monthly Detail'!$4:$4, '2025 Overview (Budget)'!I$19, 'Monthly Detail'!170:170)</f>
        <v>-76.790000000001783</v>
      </c>
      <c r="J49" s="164">
        <f>SUMIF('Monthly Detail'!$4:$4, '2025 Overview (Budget)'!J$19, 'Monthly Detail'!170:170)</f>
        <v>520.84999999999945</v>
      </c>
      <c r="K49" s="164">
        <f>SUMIF('Monthly Detail'!$4:$4, '2025 Overview (Budget)'!K$19, 'Monthly Detail'!170:170)</f>
        <v>-747.43999999999596</v>
      </c>
      <c r="L49" s="164">
        <f>SUMIF('Monthly Detail'!$4:$4, '2025 Overview (Budget)'!L$19, 'Monthly Detail'!170:170)</f>
        <v>-532.02999999999747</v>
      </c>
      <c r="M49" s="87">
        <f>+'2025 AOP'!M49</f>
        <v>-1736.4419478597249</v>
      </c>
      <c r="N49" s="87">
        <f>+'2025 AOP'!N49</f>
        <v>-500.5538862677231</v>
      </c>
      <c r="P49" s="98"/>
    </row>
    <row r="50" spans="2:16" ht="15.75" thickBot="1" x14ac:dyDescent="0.3">
      <c r="B50" s="237" t="s">
        <v>226</v>
      </c>
      <c r="C50" s="238">
        <f>-SUMIF('Monthly Detail'!$4:$4, '2025 Overview (Budget)'!C$19, 'Monthly Detail'!89:89)</f>
        <v>-2161.9</v>
      </c>
      <c r="D50" s="239">
        <f>-SUMIF('Monthly Detail'!$4:$4, '2025 Overview (Budget)'!D$19, 'Monthly Detail'!89:89)</f>
        <v>-3618.1099999999997</v>
      </c>
      <c r="E50" s="239">
        <f>-SUMIF('Monthly Detail'!$4:$4, '2025 Overview (Budget)'!E$19, 'Monthly Detail'!89:89)</f>
        <v>-3644.83</v>
      </c>
      <c r="F50" s="239">
        <f>-SUMIF('Monthly Detail'!$4:$4, '2025 Overview (Budget)'!F$19, 'Monthly Detail'!89:89)</f>
        <v>-5164.1999999999989</v>
      </c>
      <c r="G50" s="239">
        <f>-SUMIF('Monthly Detail'!$4:$4, '2025 Overview (Budget)'!G$19, 'Monthly Detail'!89:89)</f>
        <v>-3990.04</v>
      </c>
      <c r="H50" s="239">
        <f>-SUMIF('Monthly Detail'!$4:$4, '2025 Overview (Budget)'!H$19, 'Monthly Detail'!89:89)</f>
        <v>-3355.51</v>
      </c>
      <c r="I50" s="239">
        <f>-SUMIF('Monthly Detail'!$4:$4, '2025 Overview (Budget)'!I$19, 'Monthly Detail'!89:89)</f>
        <v>-3680.41</v>
      </c>
      <c r="J50" s="239">
        <f>-SUMIF('Monthly Detail'!$4:$4, '2025 Overview (Budget)'!J$19, 'Monthly Detail'!89:89)</f>
        <v>-3609.2599999999998</v>
      </c>
      <c r="K50" s="239">
        <f>-SUMIF('Monthly Detail'!$4:$4, '2025 Overview (Budget)'!K$19, 'Monthly Detail'!89:89)</f>
        <v>-3143.7799999999997</v>
      </c>
      <c r="L50" s="239">
        <f>-SUMIF('Monthly Detail'!$4:$4, '2025 Overview (Budget)'!L$19, 'Monthly Detail'!89:89)</f>
        <v>-3831.6099999999997</v>
      </c>
      <c r="M50" s="239">
        <f>+'2025 AOP'!M50</f>
        <v>6297.7866666666669</v>
      </c>
      <c r="N50" s="239">
        <f>+'2025 AOP'!N50</f>
        <v>6297.7866666666669</v>
      </c>
      <c r="P50" s="98"/>
    </row>
    <row r="51" spans="2:16" ht="15.75" thickBot="1" x14ac:dyDescent="0.3">
      <c r="B51" s="237" t="s">
        <v>367</v>
      </c>
      <c r="C51" s="238">
        <f>SUMIF('Monthly Detail'!$4:$4, '2025 Overview (Budget)'!C$19, 'Monthly Detail'!154:154)</f>
        <v>-3116.5800000000017</v>
      </c>
      <c r="D51" s="239">
        <f>SUMIF('Monthly Detail'!$4:$4, '2025 Overview (Budget)'!D$19, 'Monthly Detail'!154:154)</f>
        <v>-1624.4799999999959</v>
      </c>
      <c r="E51" s="239">
        <f>SUMIF('Monthly Detail'!$4:$4, '2025 Overview (Budget)'!E$19, 'Monthly Detail'!154:154)</f>
        <v>-1433.7200000000012</v>
      </c>
      <c r="F51" s="239">
        <f>SUMIF('Monthly Detail'!$4:$4, '2025 Overview (Budget)'!F$19, 'Monthly Detail'!154:154)</f>
        <v>-1790.1100000000006</v>
      </c>
      <c r="G51" s="239">
        <f>SUMIF('Monthly Detail'!$4:$4, '2025 Overview (Budget)'!G$19, 'Monthly Detail'!154:154)</f>
        <v>-774.65000000000146</v>
      </c>
      <c r="H51" s="239">
        <f>SUMIF('Monthly Detail'!$4:$4, '2025 Overview (Budget)'!H$19, 'Monthly Detail'!154:154)</f>
        <v>-2413.3099999999977</v>
      </c>
      <c r="I51" s="239">
        <f>SUMIF('Monthly Detail'!$4:$4, '2025 Overview (Budget)'!I$19, 'Monthly Detail'!154:154)</f>
        <v>-3588.010000000002</v>
      </c>
      <c r="J51" s="239">
        <f>SUMIF('Monthly Detail'!$4:$4, '2025 Overview (Budget)'!J$19, 'Monthly Detail'!154:154)</f>
        <v>-2335.2200000000012</v>
      </c>
      <c r="K51" s="239">
        <f>SUMIF('Monthly Detail'!$4:$4, '2025 Overview (Budget)'!K$19, 'Monthly Detail'!154:154)</f>
        <v>-4027.9099999999962</v>
      </c>
      <c r="L51" s="239">
        <f>SUMIF('Monthly Detail'!$4:$4, '2025 Overview (Budget)'!L$19, 'Monthly Detail'!154:154)</f>
        <v>-2593.5599999999977</v>
      </c>
      <c r="M51" s="239">
        <f>+'2025 AOP'!M51</f>
        <v>-1500</v>
      </c>
      <c r="N51" s="239">
        <f>+'2025 AOP'!N51</f>
        <v>-1500</v>
      </c>
      <c r="P51" s="98"/>
    </row>
    <row r="52" spans="2:16" ht="15.75" thickBot="1" x14ac:dyDescent="0.3">
      <c r="B52" s="237" t="s">
        <v>228</v>
      </c>
      <c r="C52" s="87">
        <f>+C46-SUM('Monthly Detail'!AC89:AN89)-SUM('Monthly Detail'!AC61:AN61)</f>
        <v>-32667.032000000007</v>
      </c>
      <c r="D52" s="164">
        <f>+D46-SUM('Monthly Detail'!AD89:AO89)-SUM('Monthly Detail'!AD61:AO61)</f>
        <v>-35245.301500000009</v>
      </c>
      <c r="E52" s="164">
        <f>+E46-SUM('Monthly Detail'!AE89:AP89)-SUM('Monthly Detail'!AE61:AP61)</f>
        <v>-37994.724000000002</v>
      </c>
      <c r="F52" s="164">
        <f>+F46-SUM('Monthly Detail'!AF89:AQ89)-SUM('Monthly Detail'!AF61:AQ61)</f>
        <v>-41616.71100000001</v>
      </c>
      <c r="G52" s="164">
        <f>+G46-SUM('Monthly Detail'!AG89:AR89)-SUM('Monthly Detail'!AG61:AR61)</f>
        <v>-41691.298999999992</v>
      </c>
      <c r="H52" s="164">
        <f>+H46-SUM('Monthly Detail'!AH89:AS89)-SUM('Monthly Detail'!AH61:AS61)</f>
        <v>-42111.730500000005</v>
      </c>
      <c r="I52" s="164">
        <f>+I46-SUM('Monthly Detail'!AI89:AT89)-SUM('Monthly Detail'!AI61:AT61)</f>
        <v>-44079.774000000005</v>
      </c>
      <c r="J52" s="164">
        <f>+J46-SUM('Monthly Detail'!AJ89:AU89)-SUM('Monthly Detail'!AJ61:AU61)</f>
        <v>-44785.641499999998</v>
      </c>
      <c r="K52" s="164">
        <f>+K46-SUM('Monthly Detail'!AK89:AV89)-SUM('Monthly Detail'!AK61:AV61)</f>
        <v>-46961.667499999996</v>
      </c>
      <c r="L52" s="164">
        <f>+L46-SUM('Monthly Detail'!AL89:AW89)-SUM('Monthly Detail'!AL61:AW61)</f>
        <v>-48526.286999999997</v>
      </c>
      <c r="M52" s="87">
        <f>+'2025 AOP'!M52</f>
        <v>-78664.643781315332</v>
      </c>
      <c r="N52" s="87">
        <f>+'2025 AOP'!N52</f>
        <v>-83134.824797219306</v>
      </c>
      <c r="P52" s="98"/>
    </row>
    <row r="53" spans="2:16" ht="15.75" thickBot="1" x14ac:dyDescent="0.3">
      <c r="B53" s="237" t="s">
        <v>229</v>
      </c>
      <c r="C53" s="240">
        <f>+C48-SUM('Monthly Detail'!AC89:AN89)-SUM('Monthly Detail'!AC61:AN61)</f>
        <v>-31952.920000000013</v>
      </c>
      <c r="D53" s="240">
        <f>+D48-SUM('Monthly Detail'!AD89:AO89)-SUM('Monthly Detail'!AD61:AO61)</f>
        <v>-34380.140000000007</v>
      </c>
      <c r="E53" s="240">
        <f>+E48-SUM('Monthly Detail'!AE89:AP89)-SUM('Monthly Detail'!AE61:AP61)</f>
        <v>-36808.490000000005</v>
      </c>
      <c r="F53" s="240">
        <f>+F48-SUM('Monthly Detail'!AF89:AQ89)-SUM('Monthly Detail'!AF61:AQ61)</f>
        <v>-40108.820000000007</v>
      </c>
      <c r="G53" s="240">
        <f>+G48-SUM('Monthly Detail'!AG89:AR89)-SUM('Monthly Detail'!AG61:AR61)</f>
        <v>-39400.919999999991</v>
      </c>
      <c r="H53" s="240">
        <f>+H48-SUM('Monthly Detail'!AH89:AS89)-SUM('Monthly Detail'!AH61:AS61)</f>
        <v>-39762.869999999995</v>
      </c>
      <c r="I53" s="240">
        <f>+I48-SUM('Monthly Detail'!AI89:AT89)-SUM('Monthly Detail'!AI61:AT61)</f>
        <v>-41757.79</v>
      </c>
      <c r="J53" s="240">
        <f>+J48-SUM('Monthly Detail'!AJ89:AU89)-SUM('Monthly Detail'!AJ61:AU61)</f>
        <v>-42281.36</v>
      </c>
      <c r="K53" s="240">
        <f>+K48-SUM('Monthly Detail'!AK89:AV89)-SUM('Monthly Detail'!AK61:AV61)</f>
        <v>-44718.989999999991</v>
      </c>
      <c r="L53" s="240">
        <f>+L48-SUM('Monthly Detail'!AL89:AW89)-SUM('Monthly Detail'!AL61:AW61)</f>
        <v>-46469.819999999992</v>
      </c>
      <c r="M53" s="240">
        <f>+'2025 AOP'!M53</f>
        <v>-77577.107241430465</v>
      </c>
      <c r="N53" s="240">
        <f>+'2025 AOP'!N53</f>
        <v>-82222.482117528125</v>
      </c>
      <c r="P53" s="98"/>
    </row>
    <row r="54" spans="2:16" ht="15.75" thickBot="1" x14ac:dyDescent="0.3">
      <c r="B54" s="237" t="s">
        <v>230</v>
      </c>
      <c r="C54" s="241">
        <f t="shared" ref="C54:H54" si="27">+C46/-C50</f>
        <v>0.61344558027660856</v>
      </c>
      <c r="D54" s="242">
        <f t="shared" si="27"/>
        <v>0.44407950559822679</v>
      </c>
      <c r="E54" s="242">
        <f t="shared" si="27"/>
        <v>0.60441941050748593</v>
      </c>
      <c r="F54" s="242">
        <f t="shared" si="27"/>
        <v>0.54226579141009268</v>
      </c>
      <c r="G54" s="242">
        <f t="shared" si="27"/>
        <v>1.0660447013062528</v>
      </c>
      <c r="H54" s="242">
        <f t="shared" si="27"/>
        <v>1.3000019371123914</v>
      </c>
      <c r="I54" s="242">
        <f t="shared" ref="I54:J54" si="28">+I46/-I50</f>
        <v>1.1716781554229014</v>
      </c>
      <c r="J54" s="242">
        <f t="shared" si="28"/>
        <v>1.2885767442633671</v>
      </c>
      <c r="K54" s="242">
        <f t="shared" ref="K54:L54" si="29">+K46/-K50</f>
        <v>1.3248295046091012</v>
      </c>
      <c r="L54" s="242">
        <f t="shared" si="29"/>
        <v>0.99674888623842217</v>
      </c>
      <c r="M54" s="242">
        <f>-'2025 AOP'!M54</f>
        <v>0.32070167248108356</v>
      </c>
      <c r="N54" s="242">
        <f>-'2025 AOP'!N54</f>
        <v>0.2690390736515445</v>
      </c>
      <c r="P54" s="98"/>
    </row>
    <row r="55" spans="2:16" x14ac:dyDescent="0.25">
      <c r="B55" s="237" t="s">
        <v>231</v>
      </c>
      <c r="C55" s="241">
        <f t="shared" ref="C55:H55" si="30">+IFERROR(C48/-C51, 0)</f>
        <v>0.6546663329675465</v>
      </c>
      <c r="D55" s="242">
        <f t="shared" si="30"/>
        <v>1.521650004924658</v>
      </c>
      <c r="E55" s="242">
        <f t="shared" si="30"/>
        <v>2.3639483302178932</v>
      </c>
      <c r="F55" s="242">
        <f t="shared" si="30"/>
        <v>2.4067012641681242</v>
      </c>
      <c r="G55" s="242">
        <f t="shared" si="30"/>
        <v>8.4476085974310831</v>
      </c>
      <c r="H55" s="242">
        <f t="shared" si="30"/>
        <v>2.7808404224902765</v>
      </c>
      <c r="I55" s="242">
        <f t="shared" ref="I55:J55" si="31">+IFERROR(I48/-I51, 0)</f>
        <v>1.8490026504942843</v>
      </c>
      <c r="J55" s="242">
        <f t="shared" si="31"/>
        <v>3.0639896883377142</v>
      </c>
      <c r="K55" s="242">
        <f t="shared" ref="K55:L55" si="32">+IFERROR(K48/-K51, 0)</f>
        <v>1.5908126050482783</v>
      </c>
      <c r="L55" s="242">
        <f t="shared" si="32"/>
        <v>2.265465229260172</v>
      </c>
      <c r="M55" s="242">
        <f>+'2025 AOP'!M55</f>
        <v>2.0714981712093015</v>
      </c>
      <c r="N55" s="242">
        <f>+'2025 AOP'!N55</f>
        <v>1.7377955803641525</v>
      </c>
      <c r="P55" s="98"/>
    </row>
    <row r="56" spans="2:16" x14ac:dyDescent="0.25">
      <c r="B56" s="97"/>
      <c r="E56" s="9"/>
      <c r="P56" s="98"/>
    </row>
    <row r="57" spans="2:16" x14ac:dyDescent="0.25">
      <c r="B57" s="97"/>
      <c r="P57" s="98"/>
    </row>
    <row r="58" spans="2:16" x14ac:dyDescent="0.25">
      <c r="B58" s="97"/>
      <c r="P58" s="98"/>
    </row>
    <row r="59" spans="2:16" x14ac:dyDescent="0.25">
      <c r="B59" s="97"/>
      <c r="P59" s="98"/>
    </row>
    <row r="60" spans="2:16" x14ac:dyDescent="0.25">
      <c r="B60" s="97"/>
      <c r="P60" s="98"/>
    </row>
    <row r="61" spans="2:16" x14ac:dyDescent="0.25">
      <c r="B61" s="97"/>
      <c r="P61" s="98"/>
    </row>
    <row r="62" spans="2:16" x14ac:dyDescent="0.25">
      <c r="B62" s="97"/>
      <c r="P62" s="98"/>
    </row>
    <row r="63" spans="2:16" x14ac:dyDescent="0.25">
      <c r="B63" s="97"/>
      <c r="P63" s="98"/>
    </row>
    <row r="64" spans="2:16" x14ac:dyDescent="0.25">
      <c r="B64" s="97"/>
      <c r="P64" s="98"/>
    </row>
    <row r="65" spans="2:16" x14ac:dyDescent="0.25">
      <c r="B65" s="97"/>
      <c r="P65" s="98"/>
    </row>
    <row r="66" spans="2:16" x14ac:dyDescent="0.25">
      <c r="B66" s="97"/>
      <c r="P66" s="98"/>
    </row>
    <row r="67" spans="2:16" x14ac:dyDescent="0.25">
      <c r="B67" s="97"/>
      <c r="P67" s="98"/>
    </row>
    <row r="68" spans="2:16" x14ac:dyDescent="0.25">
      <c r="B68" s="97"/>
      <c r="P68" s="98"/>
    </row>
    <row r="69" spans="2:16" x14ac:dyDescent="0.25">
      <c r="B69" s="97"/>
      <c r="P69" s="98"/>
    </row>
    <row r="70" spans="2:16" x14ac:dyDescent="0.25">
      <c r="B70" s="97"/>
      <c r="P70" s="98"/>
    </row>
    <row r="71" spans="2:16" ht="15.75" thickBot="1" x14ac:dyDescent="0.3">
      <c r="B71" s="97"/>
      <c r="O71" s="110"/>
      <c r="P71" s="98"/>
    </row>
    <row r="72" spans="2:16" x14ac:dyDescent="0.25">
      <c r="B72" s="97"/>
      <c r="P72" s="98"/>
    </row>
    <row r="73" spans="2:16" ht="198.4" customHeight="1" thickBot="1" x14ac:dyDescent="0.3">
      <c r="B73" s="108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1"/>
    </row>
  </sheetData>
  <mergeCells count="1">
    <mergeCell ref="B15:P17"/>
  </mergeCells>
  <conditionalFormatting sqref="C51:N51">
    <cfRule type="cellIs" dxfId="4" priority="1" operator="greaterThan">
      <formula>0</formula>
    </cfRule>
  </conditionalFormatting>
  <pageMargins left="0.25" right="0.25" top="0.75" bottom="0.75" header="0.3" footer="0.3"/>
  <pageSetup scale="42" orientation="landscape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B12DB-FF10-4047-A7B7-CEF2C2CF3E32}">
  <sheetPr>
    <tabColor theme="1"/>
    <pageSetUpPr fitToPage="1"/>
  </sheetPr>
  <dimension ref="B14:T73"/>
  <sheetViews>
    <sheetView showGridLines="0" topLeftCell="A40" zoomScale="60" zoomScaleNormal="70" workbookViewId="0">
      <selection activeCell="B4" sqref="B4:P73"/>
    </sheetView>
  </sheetViews>
  <sheetFormatPr defaultColWidth="8.7109375" defaultRowHeight="15" x14ac:dyDescent="0.25"/>
  <cols>
    <col min="2" max="2" width="48.28515625" bestFit="1" customWidth="1"/>
    <col min="3" max="13" width="16.7109375" bestFit="1" customWidth="1"/>
    <col min="14" max="14" width="18.42578125" bestFit="1" customWidth="1"/>
    <col min="15" max="15" width="0.28515625" customWidth="1"/>
    <col min="16" max="16" width="17.28515625" bestFit="1" customWidth="1"/>
  </cols>
  <sheetData>
    <row r="14" spans="2:16" ht="15.75" thickBot="1" x14ac:dyDescent="0.3"/>
    <row r="15" spans="2:16" ht="15" customHeight="1" x14ac:dyDescent="0.25">
      <c r="B15" s="645" t="s">
        <v>355</v>
      </c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6"/>
      <c r="N15" s="646"/>
      <c r="O15" s="646"/>
      <c r="P15" s="647"/>
    </row>
    <row r="16" spans="2:16" ht="15" customHeight="1" x14ac:dyDescent="0.25">
      <c r="B16" s="648"/>
      <c r="C16" s="649"/>
      <c r="D16" s="649"/>
      <c r="E16" s="649"/>
      <c r="F16" s="649"/>
      <c r="G16" s="649"/>
      <c r="H16" s="649"/>
      <c r="I16" s="649"/>
      <c r="J16" s="649"/>
      <c r="K16" s="649"/>
      <c r="L16" s="649"/>
      <c r="M16" s="649"/>
      <c r="N16" s="649"/>
      <c r="O16" s="649"/>
      <c r="P16" s="650"/>
    </row>
    <row r="17" spans="2:17" x14ac:dyDescent="0.25">
      <c r="B17" s="648"/>
      <c r="C17" s="649"/>
      <c r="D17" s="649"/>
      <c r="E17" s="649"/>
      <c r="F17" s="649"/>
      <c r="G17" s="649"/>
      <c r="H17" s="649"/>
      <c r="I17" s="649"/>
      <c r="J17" s="649"/>
      <c r="K17" s="649"/>
      <c r="L17" s="649"/>
      <c r="M17" s="649"/>
      <c r="N17" s="649"/>
      <c r="O17" s="649"/>
      <c r="P17" s="650"/>
    </row>
    <row r="18" spans="2:17" ht="15.75" x14ac:dyDescent="0.25">
      <c r="B18" s="213"/>
      <c r="C18" s="70" t="s">
        <v>246</v>
      </c>
      <c r="D18" s="70" t="s">
        <v>247</v>
      </c>
      <c r="E18" s="70" t="s">
        <v>248</v>
      </c>
      <c r="F18" s="70" t="s">
        <v>249</v>
      </c>
      <c r="G18" s="70" t="s">
        <v>250</v>
      </c>
      <c r="H18" s="70" t="s">
        <v>251</v>
      </c>
      <c r="I18" s="70" t="s">
        <v>252</v>
      </c>
      <c r="J18" s="70" t="s">
        <v>253</v>
      </c>
      <c r="K18" s="70" t="s">
        <v>254</v>
      </c>
      <c r="L18" s="600" t="s">
        <v>255</v>
      </c>
      <c r="M18" s="70" t="s">
        <v>256</v>
      </c>
      <c r="N18" s="473" t="s">
        <v>257</v>
      </c>
      <c r="O18" s="71"/>
      <c r="P18" s="460" t="s">
        <v>0</v>
      </c>
    </row>
    <row r="19" spans="2:17" x14ac:dyDescent="0.25">
      <c r="B19" s="214"/>
      <c r="C19" s="92">
        <v>45688</v>
      </c>
      <c r="D19" s="92">
        <v>45716</v>
      </c>
      <c r="E19" s="92">
        <v>45747</v>
      </c>
      <c r="F19" s="92">
        <v>45777</v>
      </c>
      <c r="G19" s="92">
        <v>45808</v>
      </c>
      <c r="H19" s="92">
        <v>45838</v>
      </c>
      <c r="I19" s="92">
        <v>45869</v>
      </c>
      <c r="J19" s="92">
        <v>45900</v>
      </c>
      <c r="K19" s="92">
        <v>45930</v>
      </c>
      <c r="L19" s="601">
        <v>45961</v>
      </c>
      <c r="M19" s="92">
        <v>45991</v>
      </c>
      <c r="N19" s="398">
        <v>46022</v>
      </c>
      <c r="O19" s="92">
        <v>45322</v>
      </c>
      <c r="P19" s="461"/>
    </row>
    <row r="20" spans="2:17" x14ac:dyDescent="0.25">
      <c r="B20" s="215" t="s">
        <v>47</v>
      </c>
      <c r="C20" s="74">
        <f>SUMIF('Monthly Detail'!$4:$4, '2025 Overview'!C$19, 'Monthly Detail'!13:13)</f>
        <v>6721.05</v>
      </c>
      <c r="D20" s="74">
        <f>SUMIF('Monthly Detail'!$4:$4, '2025 Overview'!D$19, 'Monthly Detail'!13:13)</f>
        <v>6501.14</v>
      </c>
      <c r="E20" s="74">
        <f>SUMIF('Monthly Detail'!$4:$4, '2025 Overview'!E$19, 'Monthly Detail'!13:13)</f>
        <v>7108.5</v>
      </c>
      <c r="F20" s="74">
        <f>SUMIF('Monthly Detail'!$4:$4, '2025 Overview'!F$19, 'Monthly Detail'!13:13)</f>
        <v>7861.75</v>
      </c>
      <c r="G20" s="74">
        <f>SUMIF('Monthly Detail'!$4:$4, '2025 Overview'!G$19, 'Monthly Detail'!13:13)</f>
        <v>7877.62</v>
      </c>
      <c r="H20" s="74">
        <f>SUMIF('Monthly Detail'!$4:$4, '2025 Overview'!H$19, 'Monthly Detail'!13:13)</f>
        <v>6887.45</v>
      </c>
      <c r="I20" s="74">
        <f>SUMIF('Monthly Detail'!$4:$4, '2025 Overview'!I$19, 'Monthly Detail'!13:13)</f>
        <v>7418.55</v>
      </c>
      <c r="J20" s="74">
        <f>SUMIF('Monthly Detail'!$4:$4, '2025 Overview'!J$19, 'Monthly Detail'!13:13)</f>
        <v>7653.35</v>
      </c>
      <c r="K20" s="74">
        <f>SUMIF('Monthly Detail'!$4:$4, '2025 Overview'!K$19, 'Monthly Detail'!13:13)</f>
        <v>6170.45</v>
      </c>
      <c r="L20" s="602">
        <f>SUMIF('Monthly Detail'!$4:$4, '2025 Overview'!L$19, 'Monthly Detail'!13:13)</f>
        <v>6998.25</v>
      </c>
      <c r="M20" s="74">
        <f>SUMIF('Monthly Detail'!$4:$4, '2025 Overview'!M$19, 'Monthly Detail'!13:13)</f>
        <v>5277.0751849216276</v>
      </c>
      <c r="N20" s="474">
        <f>SUMIF('Monthly Detail'!$4:$4, '2025 Overview'!N$19, 'Monthly Detail'!13:13)</f>
        <v>7465.3407812799524</v>
      </c>
      <c r="O20" s="74"/>
      <c r="P20" s="462">
        <f>SUM(C20:O20)</f>
        <v>83940.525966201589</v>
      </c>
    </row>
    <row r="21" spans="2:17" x14ac:dyDescent="0.25">
      <c r="B21" s="215" t="s">
        <v>156</v>
      </c>
      <c r="C21" s="74">
        <f>SUMIF('Monthly Detail'!$4:$4, '2025 Overview'!C$19, 'Monthly Detail'!12:12)</f>
        <v>0</v>
      </c>
      <c r="D21" s="74">
        <f>SUMIF('Monthly Detail'!$4:$4, '2025 Overview'!D$19, 'Monthly Detail'!12:12)</f>
        <v>0</v>
      </c>
      <c r="E21" s="74">
        <f>SUMIF('Monthly Detail'!$4:$4, '2025 Overview'!E$19, 'Monthly Detail'!12:12)</f>
        <v>0</v>
      </c>
      <c r="F21" s="74">
        <f>SUMIF('Monthly Detail'!$4:$4, '2025 Overview'!F$19, 'Monthly Detail'!12:12)</f>
        <v>0</v>
      </c>
      <c r="G21" s="74">
        <f>SUMIF('Monthly Detail'!$4:$4, '2025 Overview'!G$19, 'Monthly Detail'!12:12)</f>
        <v>0</v>
      </c>
      <c r="H21" s="74">
        <f>SUMIF('Monthly Detail'!$4:$4, '2025 Overview'!H$19, 'Monthly Detail'!12:12)</f>
        <v>0</v>
      </c>
      <c r="I21" s="74">
        <f>SUMIF('Monthly Detail'!$4:$4, '2025 Overview'!I$19, 'Monthly Detail'!12:12)</f>
        <v>0</v>
      </c>
      <c r="J21" s="74">
        <f>SUMIF('Monthly Detail'!$4:$4, '2025 Overview'!J$19, 'Monthly Detail'!12:12)</f>
        <v>0</v>
      </c>
      <c r="K21" s="74">
        <f>SUMIF('Monthly Detail'!$4:$4, '2025 Overview'!K$19, 'Monthly Detail'!12:12)</f>
        <v>0</v>
      </c>
      <c r="L21" s="602">
        <f>SUMIF('Monthly Detail'!$4:$4, '2025 Overview'!L$19, 'Monthly Detail'!12:12)</f>
        <v>0</v>
      </c>
      <c r="M21" s="74">
        <f>SUMIF('Monthly Detail'!$4:$4, '2025 Overview'!M$19, 'Monthly Detail'!12:12)</f>
        <v>0</v>
      </c>
      <c r="N21" s="474">
        <f>SUMIF('Monthly Detail'!$4:$4, '2025 Overview'!N$19, 'Monthly Detail'!12:12)</f>
        <v>0</v>
      </c>
      <c r="O21" s="74"/>
      <c r="P21" s="462">
        <f>SUM(C21:O21)</f>
        <v>0</v>
      </c>
    </row>
    <row r="22" spans="2:17" x14ac:dyDescent="0.25">
      <c r="B22" s="216" t="s">
        <v>2</v>
      </c>
      <c r="C22" s="75">
        <f>SUM(C20:C21)</f>
        <v>6721.05</v>
      </c>
      <c r="D22" s="75">
        <f t="shared" ref="D22:N22" si="0">SUM(D20:D21)</f>
        <v>6501.14</v>
      </c>
      <c r="E22" s="75">
        <f t="shared" si="0"/>
        <v>7108.5</v>
      </c>
      <c r="F22" s="75">
        <f t="shared" si="0"/>
        <v>7861.75</v>
      </c>
      <c r="G22" s="75">
        <f t="shared" si="0"/>
        <v>7877.62</v>
      </c>
      <c r="H22" s="75">
        <f t="shared" si="0"/>
        <v>6887.45</v>
      </c>
      <c r="I22" s="75">
        <f t="shared" si="0"/>
        <v>7418.55</v>
      </c>
      <c r="J22" s="75">
        <f t="shared" si="0"/>
        <v>7653.35</v>
      </c>
      <c r="K22" s="75">
        <f t="shared" si="0"/>
        <v>6170.45</v>
      </c>
      <c r="L22" s="603">
        <f t="shared" si="0"/>
        <v>6998.25</v>
      </c>
      <c r="M22" s="75">
        <f t="shared" si="0"/>
        <v>5277.0751849216276</v>
      </c>
      <c r="N22" s="323">
        <f t="shared" si="0"/>
        <v>7465.3407812799524</v>
      </c>
      <c r="O22" s="76"/>
      <c r="P22" s="463">
        <f>SUM(P20:P20)</f>
        <v>83940.525966201589</v>
      </c>
    </row>
    <row r="23" spans="2:17" x14ac:dyDescent="0.25">
      <c r="B23" s="217" t="s">
        <v>277</v>
      </c>
      <c r="C23" s="218">
        <f>SUMIF('Monthly Detail'!$4:$4, '2025 Overview'!C$19, 'Monthly Detail'!15:15)</f>
        <v>66</v>
      </c>
      <c r="D23" s="218">
        <f>SUMIF('Monthly Detail'!$4:$4, '2025 Overview'!D$19, 'Monthly Detail'!15:15)</f>
        <v>69</v>
      </c>
      <c r="E23" s="218">
        <f>SUMIF('Monthly Detail'!$4:$4, '2025 Overview'!E$19, 'Monthly Detail'!15:15)</f>
        <v>68</v>
      </c>
      <c r="F23" s="218">
        <f>SUMIF('Monthly Detail'!$4:$4, '2025 Overview'!F$19, 'Monthly Detail'!15:15)</f>
        <v>82</v>
      </c>
      <c r="G23" s="218">
        <f>SUMIF('Monthly Detail'!$4:$4, '2025 Overview'!G$19, 'Monthly Detail'!15:15)</f>
        <v>83</v>
      </c>
      <c r="H23" s="218">
        <f>SUMIF('Monthly Detail'!$4:$4, '2025 Overview'!H$19, 'Monthly Detail'!15:15)</f>
        <v>72</v>
      </c>
      <c r="I23" s="218">
        <f>SUMIF('Monthly Detail'!$4:$4, '2025 Overview'!I$19, 'Monthly Detail'!15:15)</f>
        <v>76</v>
      </c>
      <c r="J23" s="218">
        <f>SUMIF('Monthly Detail'!$4:$4, '2025 Overview'!J$19, 'Monthly Detail'!15:15)</f>
        <v>73</v>
      </c>
      <c r="K23" s="218">
        <f>SUMIF('Monthly Detail'!$4:$4, '2025 Overview'!K$19, 'Monthly Detail'!15:15)</f>
        <v>62</v>
      </c>
      <c r="L23" s="604">
        <f>SUMIF('Monthly Detail'!$4:$4, '2025 Overview'!L$19, 'Monthly Detail'!15:15)</f>
        <v>72</v>
      </c>
      <c r="M23" s="218">
        <f>SUMIF('Monthly Detail'!$4:$4, '2025 Overview'!M$19, 'Monthly Detail'!15:15)</f>
        <v>48.305711946181027</v>
      </c>
      <c r="N23" s="433">
        <f>SUMIF('Monthly Detail'!$4:$4, '2025 Overview'!N$19, 'Monthly Detail'!15:15)</f>
        <v>59.815337686171013</v>
      </c>
      <c r="O23" s="76"/>
      <c r="P23" s="464">
        <f>+SUM(C23:N23)</f>
        <v>831.12104963235208</v>
      </c>
      <c r="Q23" s="166"/>
    </row>
    <row r="24" spans="2:17" x14ac:dyDescent="0.25">
      <c r="B24" s="219" t="s">
        <v>243</v>
      </c>
      <c r="C24" s="220">
        <f>SUMIF('Monthly Detail'!$4:$4, '2025 Overview'!C$19, 'Monthly Detail'!41:41)</f>
        <v>4460.1049985636309</v>
      </c>
      <c r="D24" s="221">
        <f>SUMIF('Monthly Detail'!$4:$4, '2025 Overview'!D$19, 'Monthly Detail'!41:41)</f>
        <v>4123.6762769319166</v>
      </c>
      <c r="E24" s="221">
        <f>SUMIF('Monthly Detail'!$4:$4, '2025 Overview'!E$19, 'Monthly Detail'!41:41)</f>
        <v>3775.439153439153</v>
      </c>
      <c r="F24" s="221">
        <f>SUMIF('Monthly Detail'!$4:$4, '2025 Overview'!F$19, 'Monthly Detail'!41:41)</f>
        <v>4062.1518588531817</v>
      </c>
      <c r="G24" s="221">
        <f>SUMIF('Monthly Detail'!$4:$4, '2025 Overview'!G$19, 'Monthly Detail'!41:41)</f>
        <v>4083.8286456278765</v>
      </c>
      <c r="H24" s="221">
        <f>SUMIF('Monthly Detail'!$4:$4, '2025 Overview'!H$19, 'Monthly Detail'!41:41)</f>
        <v>4773.196357960458</v>
      </c>
      <c r="I24" s="221">
        <f>SUMIF('Monthly Detail'!$4:$4, '2025 Overview'!I$19, 'Monthly Detail'!41:41)</f>
        <v>4270.3348629984403</v>
      </c>
      <c r="J24" s="221">
        <f>SUMIF('Monthly Detail'!$4:$4, '2025 Overview'!J$19, 'Monthly Detail'!41:41)</f>
        <v>4966.173777777778</v>
      </c>
      <c r="K24" s="221">
        <f>SUMIF('Monthly Detail'!$4:$4, '2025 Overview'!K$19, 'Monthly Detail'!41:41)</f>
        <v>4723.0604938271608</v>
      </c>
      <c r="L24" s="605">
        <f>SUMIF('Monthly Detail'!$4:$4, '2025 Overview'!L$19, 'Monthly Detail'!41:41)</f>
        <v>4942.8781212841859</v>
      </c>
      <c r="M24" s="221">
        <f>SUMIF('Monthly Detail'!$4:$4, '2025 Overview'!M$19, 'Monthly Detail'!41:41)</f>
        <v>3263.5584914245451</v>
      </c>
      <c r="N24" s="475">
        <f>SUMIF('Monthly Detail'!$4:$4, '2025 Overview'!N$19, 'Monthly Detail'!41:41)</f>
        <v>4798.1261151713097</v>
      </c>
      <c r="O24" s="76"/>
      <c r="P24" s="465">
        <f>+AVERAGE(C24:N24)</f>
        <v>4353.5440961549702</v>
      </c>
    </row>
    <row r="25" spans="2:17" x14ac:dyDescent="0.25">
      <c r="B25" s="217" t="s">
        <v>278</v>
      </c>
      <c r="C25" s="218">
        <f>SUMIF('Monthly Detail'!$4:$4, '2025 Overview'!C$19, 'Monthly Detail'!17:17)</f>
        <v>35</v>
      </c>
      <c r="D25" s="218">
        <f>SUMIF('Monthly Detail'!$4:$4, '2025 Overview'!D$19, 'Monthly Detail'!17:17)</f>
        <v>32</v>
      </c>
      <c r="E25" s="218">
        <f>SUMIF('Monthly Detail'!$4:$4, '2025 Overview'!E$19, 'Monthly Detail'!17:17)</f>
        <v>31</v>
      </c>
      <c r="F25" s="218">
        <f>SUMIF('Monthly Detail'!$4:$4, '2025 Overview'!F$19, 'Monthly Detail'!17:17)</f>
        <v>30</v>
      </c>
      <c r="G25" s="218">
        <f>SUMIF('Monthly Detail'!$4:$4, '2025 Overview'!G$19, 'Monthly Detail'!17:17)</f>
        <v>38</v>
      </c>
      <c r="H25" s="218">
        <f>SUMIF('Monthly Detail'!$4:$4, '2025 Overview'!H$19, 'Monthly Detail'!17:17)</f>
        <v>37</v>
      </c>
      <c r="I25" s="218">
        <f>SUMIF('Monthly Detail'!$4:$4, '2025 Overview'!I$19, 'Monthly Detail'!17:17)</f>
        <v>34</v>
      </c>
      <c r="J25" s="218">
        <f>SUMIF('Monthly Detail'!$4:$4, '2025 Overview'!J$19, 'Monthly Detail'!17:17)</f>
        <v>32</v>
      </c>
      <c r="K25" s="218">
        <f>SUMIF('Monthly Detail'!$4:$4, '2025 Overview'!K$19, 'Monthly Detail'!17:17)</f>
        <v>36</v>
      </c>
      <c r="L25" s="604">
        <f>SUMIF('Monthly Detail'!$4:$4, '2025 Overview'!L$19, 'Monthly Detail'!17:17)</f>
        <v>33</v>
      </c>
      <c r="M25" s="218">
        <f>SUMIF('Monthly Detail'!$4:$4, '2025 Overview'!M$19, 'Monthly Detail'!17:17)</f>
        <v>25.285541632518211</v>
      </c>
      <c r="N25" s="433">
        <f>SUMIF('Monthly Detail'!$4:$4, '2025 Overview'!N$19, 'Monthly Detail'!17:17)</f>
        <v>30.127453860021696</v>
      </c>
      <c r="P25" s="466"/>
    </row>
    <row r="26" spans="2:17" hidden="1" x14ac:dyDescent="0.25">
      <c r="B26" s="214"/>
      <c r="C26" s="77"/>
      <c r="D26" s="77"/>
      <c r="E26" s="77"/>
      <c r="F26" s="77"/>
      <c r="G26" s="77"/>
      <c r="H26" s="77"/>
      <c r="I26" s="77"/>
      <c r="J26" s="77"/>
      <c r="K26" s="77"/>
      <c r="L26" s="606"/>
      <c r="M26" s="77"/>
      <c r="N26" s="476"/>
      <c r="O26" s="7"/>
      <c r="P26" s="466"/>
    </row>
    <row r="27" spans="2:17" x14ac:dyDescent="0.25">
      <c r="B27" s="214"/>
      <c r="C27" s="77"/>
      <c r="D27" s="77"/>
      <c r="E27" s="77"/>
      <c r="F27" s="77"/>
      <c r="G27" s="77"/>
      <c r="H27" s="77"/>
      <c r="I27" s="77"/>
      <c r="J27" s="77"/>
      <c r="K27" s="77"/>
      <c r="L27" s="606"/>
      <c r="M27" s="77"/>
      <c r="N27" s="476"/>
      <c r="O27" s="7"/>
      <c r="P27" s="466"/>
    </row>
    <row r="28" spans="2:17" x14ac:dyDescent="0.25">
      <c r="B28" s="214" t="s">
        <v>217</v>
      </c>
      <c r="C28" s="74">
        <f>SUMIF('Monthly Detail'!$4:$4, '2025 Overview'!C$19, 'Monthly Detail'!58:58)</f>
        <v>197.3</v>
      </c>
      <c r="D28" s="77">
        <f>SUMIF('Monthly Detail'!$4:$4, '2025 Overview'!D$19, 'Monthly Detail'!58:58)</f>
        <v>202.11</v>
      </c>
      <c r="E28" s="77">
        <f>SUMIF('Monthly Detail'!$4:$4, '2025 Overview'!E$19, 'Monthly Detail'!58:58)</f>
        <v>214.54</v>
      </c>
      <c r="F28" s="77">
        <f>SUMIF('Monthly Detail'!$4:$4, '2025 Overview'!F$19, 'Monthly Detail'!58:58)</f>
        <v>247.79</v>
      </c>
      <c r="G28" s="77">
        <f>SUMIF('Monthly Detail'!$4:$4, '2025 Overview'!G$19, 'Monthly Detail'!58:58)</f>
        <v>240.23</v>
      </c>
      <c r="H28" s="77">
        <f>SUMIF('Monthly Detail'!$4:$4, '2025 Overview'!H$19, 'Monthly Detail'!58:58)</f>
        <v>182.1</v>
      </c>
      <c r="I28" s="77">
        <f>SUMIF('Monthly Detail'!$4:$4, '2025 Overview'!I$19, 'Monthly Detail'!58:58)</f>
        <v>216.6</v>
      </c>
      <c r="J28" s="77">
        <f>SUMIF('Monthly Detail'!$4:$4, '2025 Overview'!J$19, 'Monthly Detail'!58:58)</f>
        <v>205.55</v>
      </c>
      <c r="K28" s="77">
        <f>SUMIF('Monthly Detail'!$4:$4, '2025 Overview'!K$19, 'Monthly Detail'!58:58)</f>
        <v>222.12</v>
      </c>
      <c r="L28" s="606">
        <f>SUMIF('Monthly Detail'!$4:$4, '2025 Overview'!L$19, 'Monthly Detail'!58:58)</f>
        <v>282</v>
      </c>
      <c r="M28" s="77">
        <f>SUMIF('Monthly Detail'!$4:$4, '2025 Overview'!M$19, 'Monthly Detail'!58:58)</f>
        <v>166.47624926994015</v>
      </c>
      <c r="N28" s="476">
        <f>SUMIF('Monthly Detail'!$4:$4, '2025 Overview'!N$19, 'Monthly Detail'!58:58)</f>
        <v>235.5096126620505</v>
      </c>
      <c r="O28" s="7"/>
      <c r="P28" s="466">
        <f>+SUM(C28:N28)</f>
        <v>2612.3258619319904</v>
      </c>
    </row>
    <row r="29" spans="2:17" x14ac:dyDescent="0.25">
      <c r="B29" s="214" t="s">
        <v>216</v>
      </c>
      <c r="C29" s="74">
        <f>SUMIF('Monthly Detail'!$4:$4, '2025 Overview'!C$19, 'Monthly Detail'!59:59)</f>
        <v>249.98</v>
      </c>
      <c r="D29" s="77">
        <f>SUMIF('Monthly Detail'!$4:$4, '2025 Overview'!D$19, 'Monthly Detail'!59:59)</f>
        <v>497.5</v>
      </c>
      <c r="E29" s="77">
        <f>SUMIF('Monthly Detail'!$4:$4, '2025 Overview'!E$19, 'Monthly Detail'!59:59)</f>
        <v>810.15</v>
      </c>
      <c r="F29" s="77">
        <f>SUMIF('Monthly Detail'!$4:$4, '2025 Overview'!F$19, 'Monthly Detail'!59:59)</f>
        <v>352.78</v>
      </c>
      <c r="G29" s="77">
        <f>SUMIF('Monthly Detail'!$4:$4, '2025 Overview'!G$19, 'Monthly Detail'!59:59)</f>
        <v>754.25</v>
      </c>
      <c r="H29" s="77">
        <f>SUMIF('Monthly Detail'!$4:$4, '2025 Overview'!H$19, 'Monthly Detail'!59:59)</f>
        <v>503.73</v>
      </c>
      <c r="I29" s="77">
        <f>SUMIF('Monthly Detail'!$4:$4, '2025 Overview'!I$19, 'Monthly Detail'!59:59)</f>
        <v>588.11</v>
      </c>
      <c r="J29" s="77">
        <f>SUMIF('Monthly Detail'!$4:$4, '2025 Overview'!J$19, 'Monthly Detail'!59:59)</f>
        <v>768.16</v>
      </c>
      <c r="K29" s="77">
        <f>SUMIF('Monthly Detail'!$4:$4, '2025 Overview'!K$19, 'Monthly Detail'!59:59)</f>
        <v>893.43</v>
      </c>
      <c r="L29" s="606">
        <f>SUMIF('Monthly Detail'!$4:$4, '2025 Overview'!L$19, 'Monthly Detail'!59:59)</f>
        <v>578.51</v>
      </c>
      <c r="M29" s="77">
        <f>SUMIF('Monthly Detail'!$4:$4, '2025 Overview'!M$19, 'Monthly Detail'!59:59)</f>
        <v>506.58574029274047</v>
      </c>
      <c r="N29" s="476">
        <f>SUMIF('Monthly Detail'!$4:$4, '2025 Overview'!N$19, 'Monthly Detail'!59:59)</f>
        <v>716.65364879171341</v>
      </c>
      <c r="O29" s="7"/>
      <c r="P29" s="466">
        <f>+SUM(C29:N29)</f>
        <v>7219.8393890844545</v>
      </c>
    </row>
    <row r="30" spans="2:17" x14ac:dyDescent="0.25">
      <c r="B30" s="214" t="s">
        <v>303</v>
      </c>
      <c r="C30" s="74">
        <f>SUMIF('Monthly Detail'!$4:$4, '2025 Overview'!C$19, 'Monthly Detail'!60:60)</f>
        <v>50</v>
      </c>
      <c r="D30" s="77">
        <f>SUMIF('Monthly Detail'!$4:$4, '2025 Overview'!D$19, 'Monthly Detail'!60:60)</f>
        <v>45</v>
      </c>
      <c r="E30" s="77">
        <f>SUMIF('Monthly Detail'!$4:$4, '2025 Overview'!E$19, 'Monthly Detail'!60:60)</f>
        <v>0</v>
      </c>
      <c r="F30" s="77">
        <f>SUMIF('Monthly Detail'!$4:$4, '2025 Overview'!F$19, 'Monthly Detail'!60:60)</f>
        <v>0</v>
      </c>
      <c r="G30" s="77">
        <f>SUMIF('Monthly Detail'!$4:$4, '2025 Overview'!G$19, 'Monthly Detail'!60:60)</f>
        <v>629</v>
      </c>
      <c r="H30" s="77">
        <f>SUMIF('Monthly Detail'!$4:$4, '2025 Overview'!H$19, 'Monthly Detail'!60:60)</f>
        <v>0</v>
      </c>
      <c r="I30" s="77">
        <f>SUMIF('Monthly Detail'!$4:$4, '2025 Overview'!I$19, 'Monthly Detail'!60:60)</f>
        <v>0</v>
      </c>
      <c r="J30" s="77">
        <f>SUMIF('Monthly Detail'!$4:$4, '2025 Overview'!J$19, 'Monthly Detail'!60:60)</f>
        <v>0</v>
      </c>
      <c r="K30" s="77">
        <f>SUMIF('Monthly Detail'!$4:$4, '2025 Overview'!K$19, 'Monthly Detail'!60:60)</f>
        <v>30</v>
      </c>
      <c r="L30" s="606">
        <f>SUMIF('Monthly Detail'!$4:$4, '2025 Overview'!L$19, 'Monthly Detail'!60:60)</f>
        <v>0</v>
      </c>
      <c r="M30" s="77">
        <f>SUMIF('Monthly Detail'!$4:$4, '2025 Overview'!M$19, 'Monthly Detail'!60:60)</f>
        <v>276.37607523998236</v>
      </c>
      <c r="N30" s="476">
        <f>SUMIF('Monthly Detail'!$4:$4, '2025 Overview'!N$19, 'Monthly Detail'!60:60)</f>
        <v>979.69131587957099</v>
      </c>
      <c r="O30" s="7"/>
      <c r="P30" s="466">
        <f>+SUM(C30:N30)</f>
        <v>2010.0673911195533</v>
      </c>
    </row>
    <row r="31" spans="2:17" ht="15.75" x14ac:dyDescent="0.25">
      <c r="B31" s="223" t="s">
        <v>232</v>
      </c>
      <c r="C31" s="89">
        <f t="shared" ref="C31:N31" si="1">SUM(C28:C30)</f>
        <v>497.28</v>
      </c>
      <c r="D31" s="89">
        <f t="shared" si="1"/>
        <v>744.61</v>
      </c>
      <c r="E31" s="89">
        <f t="shared" si="1"/>
        <v>1024.69</v>
      </c>
      <c r="F31" s="89">
        <f t="shared" si="1"/>
        <v>600.56999999999994</v>
      </c>
      <c r="G31" s="89">
        <f t="shared" si="1"/>
        <v>1623.48</v>
      </c>
      <c r="H31" s="89">
        <f t="shared" si="1"/>
        <v>685.83</v>
      </c>
      <c r="I31" s="89">
        <f t="shared" si="1"/>
        <v>804.71</v>
      </c>
      <c r="J31" s="89">
        <f t="shared" si="1"/>
        <v>973.71</v>
      </c>
      <c r="K31" s="89">
        <f t="shared" si="1"/>
        <v>1145.55</v>
      </c>
      <c r="L31" s="607">
        <f t="shared" si="1"/>
        <v>860.51</v>
      </c>
      <c r="M31" s="89">
        <f t="shared" si="1"/>
        <v>949.43806480266301</v>
      </c>
      <c r="N31" s="328">
        <f t="shared" si="1"/>
        <v>1931.8545773333349</v>
      </c>
      <c r="P31" s="467">
        <f>SUM(P28:P30)</f>
        <v>11842.232642135999</v>
      </c>
    </row>
    <row r="32" spans="2:17" ht="5.65" customHeight="1" x14ac:dyDescent="0.25">
      <c r="B32" s="214"/>
      <c r="C32" s="77"/>
      <c r="D32" s="77"/>
      <c r="E32" s="77"/>
      <c r="F32" s="77"/>
      <c r="G32" s="77"/>
      <c r="H32" s="77"/>
      <c r="I32" s="77"/>
      <c r="J32" s="77"/>
      <c r="K32" s="77"/>
      <c r="L32" s="606"/>
      <c r="M32" s="77"/>
      <c r="N32" s="476"/>
      <c r="O32" s="7"/>
      <c r="P32" s="466"/>
    </row>
    <row r="33" spans="2:20" ht="15.75" x14ac:dyDescent="0.25">
      <c r="B33" s="223" t="s">
        <v>147</v>
      </c>
      <c r="C33" s="89">
        <f t="shared" ref="C33:N33" si="2">+C22-C31</f>
        <v>6223.77</v>
      </c>
      <c r="D33" s="89">
        <f t="shared" si="2"/>
        <v>5756.5300000000007</v>
      </c>
      <c r="E33" s="89">
        <f t="shared" si="2"/>
        <v>6083.8099999999995</v>
      </c>
      <c r="F33" s="89">
        <f t="shared" si="2"/>
        <v>7261.18</v>
      </c>
      <c r="G33" s="89">
        <f t="shared" si="2"/>
        <v>6254.1399999999994</v>
      </c>
      <c r="H33" s="89">
        <f t="shared" si="2"/>
        <v>6201.62</v>
      </c>
      <c r="I33" s="89">
        <f t="shared" si="2"/>
        <v>6613.84</v>
      </c>
      <c r="J33" s="89">
        <f t="shared" si="2"/>
        <v>6679.64</v>
      </c>
      <c r="K33" s="89">
        <f t="shared" si="2"/>
        <v>5024.8999999999996</v>
      </c>
      <c r="L33" s="607">
        <f t="shared" si="2"/>
        <v>6137.74</v>
      </c>
      <c r="M33" s="89">
        <f t="shared" si="2"/>
        <v>4327.637120118965</v>
      </c>
      <c r="N33" s="328">
        <f t="shared" si="2"/>
        <v>5533.486203946617</v>
      </c>
      <c r="P33" s="467">
        <f>+SUM(C33:N33)</f>
        <v>72098.293324065569</v>
      </c>
    </row>
    <row r="34" spans="2:20" x14ac:dyDescent="0.25">
      <c r="B34" s="225" t="s">
        <v>148</v>
      </c>
      <c r="C34" s="91">
        <f t="shared" ref="C34:N34" si="3">IFERROR(C33/C22, 0)</f>
        <v>0.92601156069364166</v>
      </c>
      <c r="D34" s="91">
        <f t="shared" si="3"/>
        <v>0.88546470311360781</v>
      </c>
      <c r="E34" s="91">
        <f t="shared" si="3"/>
        <v>0.85585003868608001</v>
      </c>
      <c r="F34" s="91">
        <f t="shared" si="3"/>
        <v>0.92360861131427485</v>
      </c>
      <c r="G34" s="91">
        <f t="shared" si="3"/>
        <v>0.79391237454967356</v>
      </c>
      <c r="H34" s="91">
        <f t="shared" si="3"/>
        <v>0.9004232335624941</v>
      </c>
      <c r="I34" s="91">
        <f t="shared" si="3"/>
        <v>0.8915273200288466</v>
      </c>
      <c r="J34" s="91">
        <f t="shared" si="3"/>
        <v>0.87277336068519018</v>
      </c>
      <c r="K34" s="91">
        <f t="shared" si="3"/>
        <v>0.81434903451125928</v>
      </c>
      <c r="L34" s="608">
        <f t="shared" si="3"/>
        <v>0.87703925981495368</v>
      </c>
      <c r="M34" s="91">
        <f t="shared" si="3"/>
        <v>0.82008252080328026</v>
      </c>
      <c r="N34" s="330">
        <f t="shared" si="3"/>
        <v>0.74122352429273652</v>
      </c>
      <c r="P34" s="468">
        <f>P33/P22</f>
        <v>0.85892115273492253</v>
      </c>
      <c r="T34" s="1"/>
    </row>
    <row r="35" spans="2:20" ht="3" customHeight="1" x14ac:dyDescent="0.25">
      <c r="B35" s="214"/>
      <c r="L35" s="609"/>
      <c r="N35" s="251"/>
      <c r="O35" s="227"/>
      <c r="P35" s="461"/>
    </row>
    <row r="36" spans="2:20" x14ac:dyDescent="0.25">
      <c r="B36" s="214" t="s">
        <v>185</v>
      </c>
      <c r="C36" s="74">
        <f>SUMIF('Monthly Detail'!$4:$4, '2025 Overview'!C$19, 'Monthly Detail'!$89:$89)+SUMIF('Monthly Detail'!$4:$4, '2025 Overview'!C$19, 'Monthly Detail'!$90:$90)</f>
        <v>2161.9</v>
      </c>
      <c r="D36" s="74">
        <f>SUMIF('Monthly Detail'!$4:$4, '2025 Overview'!D$19, 'Monthly Detail'!$89:$89)+SUMIF('Monthly Detail'!$4:$4, '2025 Overview'!D$19, 'Monthly Detail'!$90:$90)</f>
        <v>3618.1099999999997</v>
      </c>
      <c r="E36" s="74">
        <f>SUMIF('Monthly Detail'!$4:$4, '2025 Overview'!E$19, 'Monthly Detail'!$89:$89)+SUMIF('Monthly Detail'!$4:$4, '2025 Overview'!E$19, 'Monthly Detail'!$90:$90)</f>
        <v>3644.83</v>
      </c>
      <c r="F36" s="74">
        <f>SUMIF('Monthly Detail'!$4:$4, '2025 Overview'!F$19, 'Monthly Detail'!$89:$89)+SUMIF('Monthly Detail'!$4:$4, '2025 Overview'!F$19, 'Monthly Detail'!$90:$90)</f>
        <v>5164.1999999999989</v>
      </c>
      <c r="G36" s="74">
        <f>SUMIF('Monthly Detail'!$4:$4, '2025 Overview'!G$19, 'Monthly Detail'!$89:$89)+SUMIF('Monthly Detail'!$4:$4, '2025 Overview'!G$19, 'Monthly Detail'!$90:$90)</f>
        <v>3990.04</v>
      </c>
      <c r="H36" s="74">
        <f>SUMIF('Monthly Detail'!$4:$4, '2025 Overview'!H$19, 'Monthly Detail'!$89:$89)+SUMIF('Monthly Detail'!$4:$4, '2025 Overview'!H$19, 'Monthly Detail'!$90:$90)</f>
        <v>3355.51</v>
      </c>
      <c r="I36" s="74">
        <f>SUMIF('Monthly Detail'!$4:$4, '2025 Overview'!I$19, 'Monthly Detail'!$89:$89)+SUMIF('Monthly Detail'!$4:$4, '2025 Overview'!I$19, 'Monthly Detail'!$90:$90)</f>
        <v>3680.41</v>
      </c>
      <c r="J36" s="74">
        <f>SUMIF('Monthly Detail'!$4:$4, '2025 Overview'!J$19, 'Monthly Detail'!$89:$89)+SUMIF('Monthly Detail'!$4:$4, '2025 Overview'!J$19, 'Monthly Detail'!$90:$90)</f>
        <v>3609.2599999999998</v>
      </c>
      <c r="K36" s="74">
        <f>SUMIF('Monthly Detail'!$4:$4, '2025 Overview'!K$19, 'Monthly Detail'!$89:$89)+SUMIF('Monthly Detail'!$4:$4, '2025 Overview'!K$19, 'Monthly Detail'!$90:$90)</f>
        <v>3143.7799999999997</v>
      </c>
      <c r="L36" s="602">
        <f>SUMIF('Monthly Detail'!$4:$4, '2025 Overview'!L$19, 'Monthly Detail'!$89:$89)+SUMIF('Monthly Detail'!$4:$4, '2025 Overview'!L$19, 'Monthly Detail'!$90:$90)</f>
        <v>3847.74</v>
      </c>
      <c r="M36" s="74">
        <f>SUMIF('Monthly Detail'!$4:$4, '2025 Overview'!M$19, 'Monthly Detail'!$89:$89)+SUMIF('Monthly Detail'!$4:$4, '2025 Overview'!M$19, 'Monthly Detail'!$90:$90)</f>
        <v>5037.9024242424248</v>
      </c>
      <c r="N36" s="474">
        <f>SUMIF('Monthly Detail'!$4:$4, '2025 Overview'!N$19, 'Monthly Detail'!$89:$89)+SUMIF('Monthly Detail'!$4:$4, '2025 Overview'!N$19, 'Monthly Detail'!$90:$90)</f>
        <v>5037.9024242424248</v>
      </c>
      <c r="P36" s="462">
        <f>SUM(C36:O36)</f>
        <v>46291.584848484847</v>
      </c>
    </row>
    <row r="37" spans="2:20" ht="15.75" x14ac:dyDescent="0.25">
      <c r="B37" s="228" t="s">
        <v>149</v>
      </c>
      <c r="C37" s="80">
        <f t="shared" ref="C37:N37" si="4">SUM(C36:C36)</f>
        <v>2161.9</v>
      </c>
      <c r="D37" s="80">
        <f t="shared" si="4"/>
        <v>3618.1099999999997</v>
      </c>
      <c r="E37" s="80">
        <f t="shared" si="4"/>
        <v>3644.83</v>
      </c>
      <c r="F37" s="80">
        <f t="shared" si="4"/>
        <v>5164.1999999999989</v>
      </c>
      <c r="G37" s="80">
        <f t="shared" si="4"/>
        <v>3990.04</v>
      </c>
      <c r="H37" s="80">
        <f t="shared" si="4"/>
        <v>3355.51</v>
      </c>
      <c r="I37" s="80">
        <f t="shared" si="4"/>
        <v>3680.41</v>
      </c>
      <c r="J37" s="80">
        <f t="shared" si="4"/>
        <v>3609.2599999999998</v>
      </c>
      <c r="K37" s="80">
        <f t="shared" si="4"/>
        <v>3143.7799999999997</v>
      </c>
      <c r="L37" s="610">
        <f t="shared" si="4"/>
        <v>3847.74</v>
      </c>
      <c r="M37" s="80">
        <f t="shared" si="4"/>
        <v>5037.9024242424248</v>
      </c>
      <c r="N37" s="334">
        <f t="shared" si="4"/>
        <v>5037.9024242424248</v>
      </c>
      <c r="O37" s="229"/>
      <c r="P37" s="469">
        <f>SUM(P36:P36)</f>
        <v>46291.584848484847</v>
      </c>
    </row>
    <row r="38" spans="2:20" ht="4.9000000000000004" customHeight="1" x14ac:dyDescent="0.25">
      <c r="B38" s="214"/>
      <c r="L38" s="609"/>
      <c r="N38" s="251"/>
      <c r="O38" s="7"/>
      <c r="P38" s="461"/>
    </row>
    <row r="39" spans="2:20" ht="15.75" x14ac:dyDescent="0.25">
      <c r="B39" s="223" t="s">
        <v>150</v>
      </c>
      <c r="C39" s="89">
        <f t="shared" ref="C39:N39" si="5">C33-C37</f>
        <v>4061.8700000000003</v>
      </c>
      <c r="D39" s="89">
        <f t="shared" si="5"/>
        <v>2138.420000000001</v>
      </c>
      <c r="E39" s="89">
        <f t="shared" si="5"/>
        <v>2438.9799999999996</v>
      </c>
      <c r="F39" s="89">
        <f t="shared" si="5"/>
        <v>2096.9800000000014</v>
      </c>
      <c r="G39" s="89">
        <f t="shared" si="5"/>
        <v>2264.0999999999995</v>
      </c>
      <c r="H39" s="89">
        <f t="shared" si="5"/>
        <v>2846.1099999999997</v>
      </c>
      <c r="I39" s="89">
        <f t="shared" si="5"/>
        <v>2933.4300000000003</v>
      </c>
      <c r="J39" s="89">
        <f t="shared" si="5"/>
        <v>3070.3800000000006</v>
      </c>
      <c r="K39" s="89">
        <f t="shared" si="5"/>
        <v>1881.12</v>
      </c>
      <c r="L39" s="607">
        <f t="shared" si="5"/>
        <v>2290</v>
      </c>
      <c r="M39" s="89">
        <f t="shared" si="5"/>
        <v>-710.26530412345983</v>
      </c>
      <c r="N39" s="328">
        <f t="shared" si="5"/>
        <v>495.58377970419224</v>
      </c>
      <c r="P39" s="467">
        <f>P33-P37</f>
        <v>25806.708475580723</v>
      </c>
    </row>
    <row r="40" spans="2:20" x14ac:dyDescent="0.25">
      <c r="B40" s="225" t="s">
        <v>151</v>
      </c>
      <c r="C40" s="91">
        <f t="shared" ref="C40:N40" si="6">IFERROR(C39/C22, 0)</f>
        <v>0.60435051070889223</v>
      </c>
      <c r="D40" s="91">
        <f t="shared" si="6"/>
        <v>0.32893000304561981</v>
      </c>
      <c r="E40" s="91">
        <f t="shared" si="6"/>
        <v>0.34310754730252507</v>
      </c>
      <c r="F40" s="91">
        <f t="shared" si="6"/>
        <v>0.26673196171335917</v>
      </c>
      <c r="G40" s="91">
        <f t="shared" si="6"/>
        <v>0.28740914133964313</v>
      </c>
      <c r="H40" s="91">
        <f t="shared" si="6"/>
        <v>0.41323131202404367</v>
      </c>
      <c r="I40" s="91">
        <f t="shared" si="6"/>
        <v>0.39541824210930709</v>
      </c>
      <c r="J40" s="91">
        <f t="shared" si="6"/>
        <v>0.40118118209672893</v>
      </c>
      <c r="K40" s="91">
        <f t="shared" si="6"/>
        <v>0.30485945109351831</v>
      </c>
      <c r="L40" s="608">
        <f t="shared" si="6"/>
        <v>0.32722466330868433</v>
      </c>
      <c r="M40" s="91">
        <f t="shared" si="6"/>
        <v>-0.13459450154375777</v>
      </c>
      <c r="N40" s="330">
        <f t="shared" si="6"/>
        <v>6.6384615816456147E-2</v>
      </c>
      <c r="O40" s="133"/>
      <c r="P40" s="468">
        <f>P39/P22</f>
        <v>0.30744039519089644</v>
      </c>
    </row>
    <row r="41" spans="2:20" ht="5.65" customHeight="1" x14ac:dyDescent="0.25">
      <c r="B41" s="230"/>
      <c r="C41" s="83"/>
      <c r="D41" s="83"/>
      <c r="E41" s="83"/>
      <c r="F41" s="83"/>
      <c r="G41" s="83"/>
      <c r="H41" s="83"/>
      <c r="I41" s="83"/>
      <c r="J41" s="83"/>
      <c r="K41" s="83"/>
      <c r="L41" s="611"/>
      <c r="M41" s="83"/>
      <c r="N41" s="477"/>
      <c r="O41" s="229"/>
      <c r="P41" s="470"/>
    </row>
    <row r="42" spans="2:20" x14ac:dyDescent="0.25">
      <c r="B42" s="214" t="s">
        <v>152</v>
      </c>
      <c r="C42" s="133">
        <f>SUMIF('Monthly Detail'!$4:$4, '2025 Overview'!C$19, 'Monthly Detail'!95:95)</f>
        <v>0</v>
      </c>
      <c r="D42" s="133">
        <f>SUMIF('Monthly Detail'!$4:$4, '2025 Overview'!D$19, 'Monthly Detail'!95:95)</f>
        <v>0</v>
      </c>
      <c r="E42" s="133">
        <f>SUMIF('Monthly Detail'!$4:$4, '2025 Overview'!E$19, 'Monthly Detail'!95:95)</f>
        <v>2.35</v>
      </c>
      <c r="F42" s="133">
        <f>SUMIF('Monthly Detail'!$4:$4, '2025 Overview'!F$19, 'Monthly Detail'!95:95)</f>
        <v>3.21</v>
      </c>
      <c r="G42" s="133">
        <f>SUMIF('Monthly Detail'!$4:$4, '2025 Overview'!G$19, 'Monthly Detail'!95:95)</f>
        <v>4.3</v>
      </c>
      <c r="H42" s="133">
        <f>SUMIF('Monthly Detail'!$4:$4, '2025 Overview'!H$19, 'Monthly Detail'!95:95)</f>
        <v>3.94</v>
      </c>
      <c r="I42" s="133">
        <f>SUMIF('Monthly Detail'!$4:$4, '2025 Overview'!I$19, 'Monthly Detail'!95:95)</f>
        <v>4.21</v>
      </c>
      <c r="J42" s="133">
        <f>SUMIF('Monthly Detail'!$4:$4, '2025 Overview'!J$19, 'Monthly Detail'!95:95)</f>
        <v>3.44</v>
      </c>
      <c r="K42" s="133">
        <f>SUMIF('Monthly Detail'!$4:$4, '2025 Overview'!K$19, 'Monthly Detail'!95:95)</f>
        <v>2.61</v>
      </c>
      <c r="L42" s="612">
        <f>SUMIF('Monthly Detail'!$4:$4, '2025 Overview'!L$19, 'Monthly Detail'!95:95)</f>
        <v>1.78</v>
      </c>
      <c r="M42" s="133">
        <f>SUMIF('Monthly Detail'!$4:$4, '2025 Overview'!M$19, 'Monthly Detail'!95:95)</f>
        <v>1.78</v>
      </c>
      <c r="N42" s="478">
        <f>SUMIF('Monthly Detail'!$4:$4, '2025 Overview'!N$19, 'Monthly Detail'!95:95)</f>
        <v>1.78</v>
      </c>
      <c r="O42" s="7"/>
      <c r="P42" s="471">
        <f>SUM(C42:O42)</f>
        <v>29.400000000000002</v>
      </c>
    </row>
    <row r="43" spans="2:20" ht="15.75" x14ac:dyDescent="0.25">
      <c r="B43" s="223" t="s">
        <v>11</v>
      </c>
      <c r="C43" s="89">
        <f t="shared" ref="C43:N43" si="7">C39+SUM(C42:C42)</f>
        <v>4061.8700000000003</v>
      </c>
      <c r="D43" s="89">
        <f t="shared" si="7"/>
        <v>2138.420000000001</v>
      </c>
      <c r="E43" s="89">
        <f t="shared" si="7"/>
        <v>2441.3299999999995</v>
      </c>
      <c r="F43" s="89">
        <f t="shared" si="7"/>
        <v>2100.1900000000014</v>
      </c>
      <c r="G43" s="89">
        <f t="shared" si="7"/>
        <v>2268.3999999999996</v>
      </c>
      <c r="H43" s="89">
        <f t="shared" si="7"/>
        <v>2850.0499999999997</v>
      </c>
      <c r="I43" s="89">
        <f t="shared" si="7"/>
        <v>2937.6400000000003</v>
      </c>
      <c r="J43" s="89">
        <f t="shared" si="7"/>
        <v>3073.8200000000006</v>
      </c>
      <c r="K43" s="89">
        <f t="shared" si="7"/>
        <v>1883.7299999999998</v>
      </c>
      <c r="L43" s="607">
        <f t="shared" si="7"/>
        <v>2291.7800000000002</v>
      </c>
      <c r="M43" s="89">
        <f t="shared" si="7"/>
        <v>-708.48530412345985</v>
      </c>
      <c r="N43" s="328">
        <f t="shared" si="7"/>
        <v>497.36377970419221</v>
      </c>
      <c r="P43" s="467">
        <f>P39+SUM(P42:P42)</f>
        <v>25836.108475580724</v>
      </c>
    </row>
    <row r="44" spans="2:20" x14ac:dyDescent="0.25">
      <c r="B44" s="225" t="s">
        <v>153</v>
      </c>
      <c r="C44" s="91">
        <f t="shared" ref="C44:N44" si="8">IFERROR(C43/C22, 0)</f>
        <v>0.60435051070889223</v>
      </c>
      <c r="D44" s="91">
        <f t="shared" si="8"/>
        <v>0.32893000304561981</v>
      </c>
      <c r="E44" s="91">
        <f t="shared" si="8"/>
        <v>0.34343813744109158</v>
      </c>
      <c r="F44" s="91">
        <f t="shared" si="8"/>
        <v>0.26714026775209099</v>
      </c>
      <c r="G44" s="91">
        <f t="shared" si="8"/>
        <v>0.28795499148219889</v>
      </c>
      <c r="H44" s="91">
        <f t="shared" si="8"/>
        <v>0.41380336699358977</v>
      </c>
      <c r="I44" s="91">
        <f t="shared" si="8"/>
        <v>0.39598573845293222</v>
      </c>
      <c r="J44" s="91">
        <f t="shared" si="8"/>
        <v>0.40163065846982049</v>
      </c>
      <c r="K44" s="91">
        <f t="shared" si="8"/>
        <v>0.30528243483052286</v>
      </c>
      <c r="L44" s="608">
        <f t="shared" si="8"/>
        <v>0.32747901261029544</v>
      </c>
      <c r="M44" s="91">
        <f t="shared" si="8"/>
        <v>-0.13425719348245024</v>
      </c>
      <c r="N44" s="330">
        <f t="shared" si="8"/>
        <v>6.6623051013475348E-2</v>
      </c>
      <c r="P44" s="472">
        <f>P43/P22</f>
        <v>0.30779064317494936</v>
      </c>
    </row>
    <row r="45" spans="2:20" ht="6" customHeight="1" thickBot="1" x14ac:dyDescent="0.3">
      <c r="B45" s="214"/>
      <c r="D45" s="549"/>
      <c r="E45" s="110"/>
      <c r="P45" s="98"/>
    </row>
    <row r="46" spans="2:20" ht="15.75" thickBot="1" x14ac:dyDescent="0.3">
      <c r="B46" s="232" t="s">
        <v>301</v>
      </c>
      <c r="C46" s="234">
        <f>SUMIF('Monthly Detail'!$4:$4, '2025 Overview'!C$19, 'Monthly Detail'!112:112)</f>
        <v>1326.2080000000001</v>
      </c>
      <c r="D46" s="235">
        <f>SUMIF('Monthly Detail'!$4:$4, '2025 Overview'!D$19, 'Monthly Detail'!112:112)</f>
        <v>1606.7285000000002</v>
      </c>
      <c r="E46" s="233">
        <f>SUMIF('Monthly Detail'!$4:$4, '2025 Overview'!E$19, 'Monthly Detail'!112:112)</f>
        <v>2203.0059999999999</v>
      </c>
      <c r="F46" s="233">
        <f>SUMIF('Monthly Detail'!$4:$4, '2025 Overview'!F$19, 'Monthly Detail'!112:112)</f>
        <v>2800.3690000000001</v>
      </c>
      <c r="G46" s="235">
        <f>SUMIF('Monthly Detail'!$4:$4, '2025 Overview'!G$19, 'Monthly Detail'!112:112)</f>
        <v>4253.5610000000006</v>
      </c>
      <c r="H46" s="235">
        <f>SUMIF('Monthly Detail'!$4:$4, '2025 Overview'!H$19, 'Monthly Detail'!112:112)</f>
        <v>4362.1695000000009</v>
      </c>
      <c r="I46" s="235">
        <f>SUMIF('Monthly Detail'!$4:$4, '2025 Overview'!I$19, 'Monthly Detail'!112:112)</f>
        <v>4312.2560000000003</v>
      </c>
      <c r="J46" s="235">
        <f>SUMIF('Monthly Detail'!$4:$4, '2025 Overview'!J$19, 'Monthly Detail'!112:112)</f>
        <v>4650.8085000000001</v>
      </c>
      <c r="K46" s="235">
        <f>SUMIF('Monthly Detail'!$4:$4, '2025 Overview'!K$19, 'Monthly Detail'!112:112)</f>
        <v>4164.9724999999999</v>
      </c>
      <c r="L46" s="235">
        <f>SUMIF('Monthly Detail'!$4:$4, '2025 Overview'!L$19, 'Monthly Detail'!112:112)</f>
        <v>3819.1530000000002</v>
      </c>
      <c r="M46" s="233">
        <f>SUMIF('Monthly Detail'!$4:$4, '2025 Overview'!M$19, 'Monthly Detail'!112:112)</f>
        <v>4361.1002021505583</v>
      </c>
      <c r="N46" s="235">
        <f>SUMIF('Monthly Detail'!$4:$4, '2025 Overview'!N$19, 'Monthly Detail'!112:112)</f>
        <v>4540.1488205055202</v>
      </c>
      <c r="P46" s="98"/>
    </row>
    <row r="47" spans="2:20" ht="15.75" thickBot="1" x14ac:dyDescent="0.3">
      <c r="B47" s="437" t="s">
        <v>302</v>
      </c>
      <c r="C47" s="438">
        <f>SUMIF('Monthly Detail'!$4:$4, '2025 Overview'!C$19, 'Monthly Detail'!106:106)</f>
        <v>45.02</v>
      </c>
      <c r="D47" s="440">
        <f>SUMIF('Monthly Detail'!$4:$4, '2025 Overview'!D$19, 'Monthly Detail'!106:106)</f>
        <v>68.56</v>
      </c>
      <c r="E47" s="439">
        <f>SUMIF('Monthly Detail'!$4:$4, '2025 Overview'!E$19, 'Monthly Detail'!106:106)</f>
        <v>0.03</v>
      </c>
      <c r="F47" s="439">
        <f>SUMIF('Monthly Detail'!$4:$4, '2025 Overview'!F$19, 'Monthly Detail'!106:106)</f>
        <v>9.57</v>
      </c>
      <c r="G47" s="440">
        <f>SUMIF('Monthly Detail'!$4:$4, '2025 Overview'!G$19, 'Monthly Detail'!106:106)</f>
        <v>150.5</v>
      </c>
      <c r="H47" s="440">
        <f>SUMIF('Monthly Detail'!$4:$4, '2025 Overview'!H$19, 'Monthly Detail'!106:106)</f>
        <v>17.12</v>
      </c>
      <c r="I47" s="440">
        <f>SUMIF('Monthly Detail'!$4:$4, '2025 Overview'!I$19, 'Monthly Detail'!106:106)</f>
        <v>50.77</v>
      </c>
      <c r="J47" s="440">
        <f>SUMIF('Monthly Detail'!$4:$4, '2025 Overview'!J$19, 'Monthly Detail'!106:106)</f>
        <v>0.77</v>
      </c>
      <c r="K47" s="440">
        <f>SUMIF('Monthly Detail'!$4:$4, '2025 Overview'!K$19, 'Monthly Detail'!106:106)</f>
        <v>37.46</v>
      </c>
      <c r="L47" s="440">
        <f>SUMIF('Monthly Detail'!$4:$4, '2025 Overview'!L$19, 'Monthly Detail'!106:106)</f>
        <v>15.87</v>
      </c>
      <c r="M47" s="439">
        <f>SUMIF('Monthly Detail'!$4:$4, '2025 Overview'!M$19, 'Monthly Detail'!106:106)</f>
        <v>15.87</v>
      </c>
      <c r="N47" s="440">
        <f>SUMIF('Monthly Detail'!$4:$4, '2025 Overview'!N$19, 'Monthly Detail'!106:106)</f>
        <v>15.87</v>
      </c>
      <c r="P47" s="98"/>
    </row>
    <row r="48" spans="2:20" ht="15.75" thickBot="1" x14ac:dyDescent="0.3">
      <c r="B48" s="236" t="s">
        <v>279</v>
      </c>
      <c r="C48" s="434">
        <f>SUMIF('Monthly Detail'!$4:$4, '2025 Overview'!C$19, 'Monthly Detail'!173:173)</f>
        <v>2040.3199999999972</v>
      </c>
      <c r="D48" s="436">
        <f>SUMIF('Monthly Detail'!$4:$4, '2025 Overview'!D$19, 'Monthly Detail'!173:173)</f>
        <v>2471.8900000000021</v>
      </c>
      <c r="E48" s="435">
        <f>SUMIF('Monthly Detail'!$4:$4, '2025 Overview'!E$19, 'Monthly Detail'!173:173)</f>
        <v>3389.2400000000007</v>
      </c>
      <c r="F48" s="435">
        <f>SUMIF('Monthly Detail'!$4:$4, '2025 Overview'!F$19, 'Monthly Detail'!173:173)</f>
        <v>4308.260000000002</v>
      </c>
      <c r="G48" s="436">
        <f>SUMIF('Monthly Detail'!$4:$4, '2025 Overview'!G$19, 'Monthly Detail'!173:173)</f>
        <v>6543.9400000000005</v>
      </c>
      <c r="H48" s="436">
        <f>SUMIF('Monthly Detail'!$4:$4, '2025 Overview'!H$19, 'Monthly Detail'!173:173)</f>
        <v>6711.0300000000025</v>
      </c>
      <c r="I48" s="436">
        <f>SUMIF('Monthly Detail'!$4:$4, '2025 Overview'!I$19, 'Monthly Detail'!173:173)</f>
        <v>6634.2400000000007</v>
      </c>
      <c r="J48" s="436">
        <f>SUMIF('Monthly Detail'!$4:$4, '2025 Overview'!J$19, 'Monthly Detail'!173:173)</f>
        <v>7155.09</v>
      </c>
      <c r="K48" s="436">
        <f>SUMIF('Monthly Detail'!$4:$4, '2025 Overview'!K$19, 'Monthly Detail'!173:173)</f>
        <v>6407.6500000000042</v>
      </c>
      <c r="L48" s="436">
        <f>SUMIF('Monthly Detail'!$4:$4, '2025 Overview'!L$19, 'Monthly Detail'!173:173)</f>
        <v>5875.6200000000063</v>
      </c>
      <c r="M48" s="435">
        <f>SUMIF('Monthly Detail'!$4:$4, '2025 Overview'!M$19, 'Monthly Detail'!173:173)</f>
        <v>6709.384926385479</v>
      </c>
      <c r="N48" s="436">
        <f>SUMIF('Monthly Detail'!$4:$4, '2025 Overview'!N$19, 'Monthly Detail'!173:173)</f>
        <v>6984.8443392392683</v>
      </c>
      <c r="P48" s="551">
        <f>+(SUM(C43:E43)*0.153)-SUM('Monthly Detail'!AO69:AP69)</f>
        <v>1114.2778600000001</v>
      </c>
    </row>
    <row r="49" spans="2:16" ht="15.75" thickBot="1" x14ac:dyDescent="0.3">
      <c r="B49" s="86" t="s">
        <v>225</v>
      </c>
      <c r="C49" s="87">
        <f>SUMIF('Monthly Detail'!$4:$4, '2025 Overview'!C$19, 'Monthly Detail'!170:170)</f>
        <v>614.3199999999988</v>
      </c>
      <c r="D49" s="164">
        <f>SUMIF('Monthly Detail'!$4:$4, '2025 Overview'!D$19, 'Monthly Detail'!170:170)</f>
        <v>431.57000000000471</v>
      </c>
      <c r="E49" s="164">
        <f>SUMIF('Monthly Detail'!$4:$4, '2025 Overview'!E$19, 'Monthly Detail'!170:170)</f>
        <v>917.34999999999854</v>
      </c>
      <c r="F49" s="164">
        <f>SUMIF('Monthly Detail'!$4:$4, '2025 Overview'!F$19, 'Monthly Detail'!170:170)</f>
        <v>919.02000000000089</v>
      </c>
      <c r="G49" s="164">
        <f>SUMIF('Monthly Detail'!$4:$4, '2025 Overview'!G$19, 'Monthly Detail'!170:170)</f>
        <v>2235.6799999999985</v>
      </c>
      <c r="H49" s="164">
        <f>SUMIF('Monthly Detail'!$4:$4, '2025 Overview'!H$19, 'Monthly Detail'!170:170)</f>
        <v>167.09000000000196</v>
      </c>
      <c r="I49" s="164">
        <f>SUMIF('Monthly Detail'!$4:$4, '2025 Overview'!I$19, 'Monthly Detail'!170:170)</f>
        <v>-76.790000000001783</v>
      </c>
      <c r="J49" s="164">
        <f>SUMIF('Monthly Detail'!$4:$4, '2025 Overview'!J$19, 'Monthly Detail'!170:170)</f>
        <v>520.84999999999945</v>
      </c>
      <c r="K49" s="164">
        <f>SUMIF('Monthly Detail'!$4:$4, '2025 Overview'!K$19, 'Monthly Detail'!170:170)</f>
        <v>-747.43999999999596</v>
      </c>
      <c r="L49" s="164">
        <f>SUMIF('Monthly Detail'!$4:$4, '2025 Overview'!L$19, 'Monthly Detail'!170:170)</f>
        <v>-532.02999999999747</v>
      </c>
      <c r="M49" s="87">
        <f>SUMIF('Monthly Detail'!$4:$4, '2025 Overview'!M$19, 'Monthly Detail'!170:170)</f>
        <v>833.76492638547325</v>
      </c>
      <c r="N49" s="87">
        <f>SUMIF('Monthly Detail'!$4:$4, '2025 Overview'!N$19, 'Monthly Detail'!170:170)</f>
        <v>275.45941285378888</v>
      </c>
      <c r="P49" s="616">
        <f>+SUM(C43:H43)*0.15</f>
        <v>2379.0389999999998</v>
      </c>
    </row>
    <row r="50" spans="2:16" ht="15.75" thickBot="1" x14ac:dyDescent="0.3">
      <c r="B50" s="237" t="s">
        <v>226</v>
      </c>
      <c r="C50" s="238">
        <f>-SUMIF('Monthly Detail'!$4:$4, '2025 Overview'!C$19, 'Monthly Detail'!89:89)</f>
        <v>-2161.9</v>
      </c>
      <c r="D50" s="239">
        <f>-SUMIF('Monthly Detail'!$4:$4, '2025 Overview'!D$19, 'Monthly Detail'!89:89)</f>
        <v>-3618.1099999999997</v>
      </c>
      <c r="E50" s="239">
        <f>-SUMIF('Monthly Detail'!$4:$4, '2025 Overview'!E$19, 'Monthly Detail'!89:89)</f>
        <v>-3644.83</v>
      </c>
      <c r="F50" s="239">
        <f>-SUMIF('Monthly Detail'!$4:$4, '2025 Overview'!F$19, 'Monthly Detail'!89:89)</f>
        <v>-5164.1999999999989</v>
      </c>
      <c r="G50" s="239">
        <f>-SUMIF('Monthly Detail'!$4:$4, '2025 Overview'!G$19, 'Monthly Detail'!89:89)</f>
        <v>-3990.04</v>
      </c>
      <c r="H50" s="239">
        <f>-SUMIF('Monthly Detail'!$4:$4, '2025 Overview'!H$19, 'Monthly Detail'!89:89)</f>
        <v>-3355.51</v>
      </c>
      <c r="I50" s="239">
        <f>-SUMIF('Monthly Detail'!$4:$4, '2025 Overview'!I$19, 'Monthly Detail'!89:89)</f>
        <v>-3680.41</v>
      </c>
      <c r="J50" s="239">
        <f>-SUMIF('Monthly Detail'!$4:$4, '2025 Overview'!J$19, 'Monthly Detail'!89:89)</f>
        <v>-3609.2599999999998</v>
      </c>
      <c r="K50" s="239">
        <f>-SUMIF('Monthly Detail'!$4:$4, '2025 Overview'!K$19, 'Monthly Detail'!89:89)</f>
        <v>-3143.7799999999997</v>
      </c>
      <c r="L50" s="239">
        <f>-SUMIF('Monthly Detail'!$4:$4, '2025 Overview'!L$19, 'Monthly Detail'!89:89)</f>
        <v>-3831.6099999999997</v>
      </c>
      <c r="M50" s="239">
        <f>-SUMIF('Monthly Detail'!$4:$4, '2025 Overview'!M$19, 'Monthly Detail'!89:89)</f>
        <v>-5037.9024242424248</v>
      </c>
      <c r="N50" s="239">
        <f>-SUMIF('Monthly Detail'!$4:$4, '2025 Overview'!N$19, 'Monthly Detail'!89:89)</f>
        <v>-5037.9024242424248</v>
      </c>
      <c r="P50" s="551">
        <f>+SUM('Monthly Detail'!AO69:AS69)</f>
        <v>455.51</v>
      </c>
    </row>
    <row r="51" spans="2:16" ht="15.75" thickBot="1" x14ac:dyDescent="0.3">
      <c r="B51" s="237" t="s">
        <v>367</v>
      </c>
      <c r="C51" s="238">
        <f>SUMIF('Monthly Detail'!$4:$4, '2025 Overview'!C$19, 'Monthly Detail'!154:154)</f>
        <v>-3116.5800000000017</v>
      </c>
      <c r="D51" s="239">
        <f>SUMIF('Monthly Detail'!$4:$4, '2025 Overview'!D$19, 'Monthly Detail'!154:154)</f>
        <v>-1624.4799999999959</v>
      </c>
      <c r="E51" s="239">
        <f>SUMIF('Monthly Detail'!$4:$4, '2025 Overview'!E$19, 'Monthly Detail'!154:154)</f>
        <v>-1433.7200000000012</v>
      </c>
      <c r="F51" s="239">
        <f>SUMIF('Monthly Detail'!$4:$4, '2025 Overview'!F$19, 'Monthly Detail'!154:154)</f>
        <v>-1790.1100000000006</v>
      </c>
      <c r="G51" s="239">
        <f>SUMIF('Monthly Detail'!$4:$4, '2025 Overview'!G$19, 'Monthly Detail'!154:154)</f>
        <v>-774.65000000000146</v>
      </c>
      <c r="H51" s="239">
        <f>SUMIF('Monthly Detail'!$4:$4,'2025 Overview'!H$19,'Monthly Detail'!154:154)-SUMIF('Monthly Detail'!$4:$4,H19,'Monthly Detail'!68:68)</f>
        <v>-3063.3099999999977</v>
      </c>
      <c r="I51" s="239">
        <f>SUMIF('Monthly Detail'!$4:$4,'2025 Overview'!I$19,'Monthly Detail'!154:154)-SUMIF('Monthly Detail'!$4:$4,I19,'Monthly Detail'!68:68)</f>
        <v>-4238.010000000002</v>
      </c>
      <c r="J51" s="239">
        <f>SUMIF('Monthly Detail'!$4:$4,'2025 Overview'!J$19,'Monthly Detail'!154:154)-SUMIF('Monthly Detail'!$4:$4,J19,'Monthly Detail'!68:68)</f>
        <v>-3050.2200000000012</v>
      </c>
      <c r="K51" s="239">
        <f>SUMIF('Monthly Detail'!$4:$4,'2025 Overview'!K$19,'Monthly Detail'!154:154)-SUMIF('Monthly Detail'!$4:$4,K19,'Monthly Detail'!68:68)</f>
        <v>-4466.6599999999962</v>
      </c>
      <c r="L51" s="239">
        <f>SUMIF('Monthly Detail'!$4:$4,'2025 Overview'!L$19,'Monthly Detail'!154:154)-SUMIF('Monthly Detail'!$4:$4,L19,'Monthly Detail'!68:68)</f>
        <v>-3243.5599999999977</v>
      </c>
      <c r="M51" s="239">
        <f>SUMIF('Monthly Detail'!$4:$4,'2025 Overview'!M$19,'Monthly Detail'!154:154)-SUMIF('Monthly Detail'!$4:$4,M19,'Monthly Detail'!68:68)</f>
        <v>-2100</v>
      </c>
      <c r="N51" s="239">
        <f>SUMIF('Monthly Detail'!$4:$4,'2025 Overview'!N$19,'Monthly Detail'!154:154)-SUMIF('Monthly Detail'!$4:$4,N19,'Monthly Detail'!68:68)</f>
        <v>-2100</v>
      </c>
      <c r="P51" s="551">
        <f>+P49-P50</f>
        <v>1923.5289999999998</v>
      </c>
    </row>
    <row r="52" spans="2:16" ht="15.75" thickBot="1" x14ac:dyDescent="0.3">
      <c r="B52" s="237" t="s">
        <v>228</v>
      </c>
      <c r="C52" s="87">
        <f>+C46-SUM('Monthly Detail'!AC89:AN89)-SUM('Monthly Detail'!AC61:AN61)</f>
        <v>-32667.032000000007</v>
      </c>
      <c r="D52" s="164">
        <f>+D46-SUM('Monthly Detail'!AD89:AO89)-SUM('Monthly Detail'!AD61:AO61)</f>
        <v>-35245.301500000009</v>
      </c>
      <c r="E52" s="87">
        <f>+E46-SUM('Monthly Detail'!AE89:AP89)-SUM('Monthly Detail'!AE61:AP61)</f>
        <v>-37994.724000000002</v>
      </c>
      <c r="F52" s="87">
        <f>+F46-SUM('Monthly Detail'!AF89:AQ89)-SUM('Monthly Detail'!AF61:AQ61)</f>
        <v>-41616.71100000001</v>
      </c>
      <c r="G52" s="240">
        <f>+G46-SUM('Monthly Detail'!AG89:AR89)-SUM('Monthly Detail'!AG61:AR61)</f>
        <v>-41691.298999999992</v>
      </c>
      <c r="H52" s="164">
        <f>+H46-SUM('Monthly Detail'!AH89:AS89)-SUM('Monthly Detail'!AH61:AS61)</f>
        <v>-42111.730500000005</v>
      </c>
      <c r="I52" s="164">
        <f>+I46-SUM('Monthly Detail'!AI89:AT89)-SUM('Monthly Detail'!AI61:AT61)</f>
        <v>-44079.774000000005</v>
      </c>
      <c r="J52" s="164">
        <f>+J46-SUM('Monthly Detail'!AJ89:AU89)-SUM('Monthly Detail'!AJ61:AU61)</f>
        <v>-44785.641499999998</v>
      </c>
      <c r="K52" s="164">
        <f>+K46-SUM('Monthly Detail'!AK89:AV89)-SUM('Monthly Detail'!AK61:AV61)</f>
        <v>-46961.667499999996</v>
      </c>
      <c r="L52" s="164">
        <f>+L46-SUM('Monthly Detail'!AL89:AW89)-SUM('Monthly Detail'!AL61:AW61)</f>
        <v>-48526.286999999997</v>
      </c>
      <c r="M52" s="87">
        <f>+M46-SUM('Monthly Detail'!AM89:AX89)-SUM('Monthly Detail'!AM61:AX61)</f>
        <v>-50310.89028689453</v>
      </c>
      <c r="N52" s="87">
        <f>+N46-SUM('Monthly Detail'!AN89:AY89)-SUM('Monthly Detail'!AN61:AY61)</f>
        <v>-53577.538670115326</v>
      </c>
      <c r="P52" s="616"/>
    </row>
    <row r="53" spans="2:16" ht="15.75" thickBot="1" x14ac:dyDescent="0.3">
      <c r="B53" s="237" t="s">
        <v>229</v>
      </c>
      <c r="C53" s="240">
        <f>+C48-SUM('Monthly Detail'!AC89:AN89)-SUM('Monthly Detail'!AC61:AN61)</f>
        <v>-31952.920000000013</v>
      </c>
      <c r="D53" s="240">
        <f>+D48-SUM('Monthly Detail'!AD89:AO89)-SUM('Monthly Detail'!AD61:AO61)</f>
        <v>-34380.140000000007</v>
      </c>
      <c r="E53" s="240">
        <f>+E48-SUM('Monthly Detail'!AE89:AP89)-SUM('Monthly Detail'!AE61:AP61)</f>
        <v>-36808.490000000005</v>
      </c>
      <c r="F53" s="240">
        <f>+F48-SUM('Monthly Detail'!AF89:AQ89)-SUM('Monthly Detail'!AF61:AQ61)</f>
        <v>-40108.820000000007</v>
      </c>
      <c r="G53" s="240">
        <f>+G48-SUM('Monthly Detail'!AG89:AR89)-SUM('Monthly Detail'!AG61:AR61)</f>
        <v>-39400.919999999991</v>
      </c>
      <c r="H53" s="240">
        <f>+H48-SUM('Monthly Detail'!AH89:AS89)-SUM('Monthly Detail'!AH61:AS61)</f>
        <v>-39762.869999999995</v>
      </c>
      <c r="I53" s="240">
        <f>+I48-SUM('Monthly Detail'!AI89:AT89)-SUM('Monthly Detail'!AI61:AT61)</f>
        <v>-41757.79</v>
      </c>
      <c r="J53" s="240">
        <f>+J48-SUM('Monthly Detail'!AJ89:AU89)-SUM('Monthly Detail'!AJ61:AU61)</f>
        <v>-42281.36</v>
      </c>
      <c r="K53" s="240">
        <f>+K48-SUM('Monthly Detail'!AK89:AV89)-SUM('Monthly Detail'!AK61:AV61)</f>
        <v>-44718.989999999991</v>
      </c>
      <c r="L53" s="240">
        <f>+L48-SUM('Monthly Detail'!AL89:AW89)-SUM('Monthly Detail'!AL61:AW61)</f>
        <v>-46469.819999999992</v>
      </c>
      <c r="M53" s="240">
        <f>+M48-SUM('Monthly Detail'!AM89:AX89)-SUM('Monthly Detail'!AM61:AX61)</f>
        <v>-47962.605562659606</v>
      </c>
      <c r="N53" s="240">
        <f>+N48-SUM('Monthly Detail'!AN89:AY89)-SUM('Monthly Detail'!AN61:AY61)</f>
        <v>-51132.843151381581</v>
      </c>
      <c r="P53" s="616"/>
    </row>
    <row r="54" spans="2:16" ht="15.75" thickBot="1" x14ac:dyDescent="0.3">
      <c r="B54" s="237" t="s">
        <v>230</v>
      </c>
      <c r="C54" s="241">
        <f>+C46/-C50</f>
        <v>0.61344558027660856</v>
      </c>
      <c r="D54" s="242">
        <f t="shared" ref="D54:M54" si="9">+D46/-D50</f>
        <v>0.44407950559822679</v>
      </c>
      <c r="E54" s="242">
        <f t="shared" si="9"/>
        <v>0.60441941050748593</v>
      </c>
      <c r="F54" s="242">
        <f t="shared" si="9"/>
        <v>0.54226579141009268</v>
      </c>
      <c r="G54" s="242">
        <f t="shared" si="9"/>
        <v>1.0660447013062528</v>
      </c>
      <c r="H54" s="242">
        <f t="shared" si="9"/>
        <v>1.3000019371123914</v>
      </c>
      <c r="I54" s="242">
        <f t="shared" si="9"/>
        <v>1.1716781554229014</v>
      </c>
      <c r="J54" s="242">
        <f t="shared" si="9"/>
        <v>1.2885767442633671</v>
      </c>
      <c r="K54" s="242">
        <f t="shared" si="9"/>
        <v>1.3248295046091012</v>
      </c>
      <c r="L54" s="242">
        <f t="shared" si="9"/>
        <v>0.99674888623842217</v>
      </c>
      <c r="M54" s="242">
        <f t="shared" si="9"/>
        <v>0.86565793358063292</v>
      </c>
      <c r="N54" s="242">
        <f>+N46/-N50</f>
        <v>0.90119824446346752</v>
      </c>
      <c r="P54" s="98"/>
    </row>
    <row r="55" spans="2:16" x14ac:dyDescent="0.25">
      <c r="B55" s="237" t="s">
        <v>231</v>
      </c>
      <c r="C55" s="241">
        <f t="shared" ref="C55:N55" si="10">+IFERROR(C48/-C51, 0)</f>
        <v>0.6546663329675465</v>
      </c>
      <c r="D55" s="242">
        <f t="shared" si="10"/>
        <v>1.521650004924658</v>
      </c>
      <c r="E55" s="242">
        <f t="shared" si="10"/>
        <v>2.3639483302178932</v>
      </c>
      <c r="F55" s="242">
        <f t="shared" si="10"/>
        <v>2.4067012641681242</v>
      </c>
      <c r="G55" s="242">
        <f t="shared" si="10"/>
        <v>8.4476085974310831</v>
      </c>
      <c r="H55" s="242">
        <f>+IFERROR(H48/-H51, 0)</f>
        <v>2.1907772964538386</v>
      </c>
      <c r="I55" s="242">
        <f t="shared" si="10"/>
        <v>1.5654139560784419</v>
      </c>
      <c r="J55" s="242">
        <f t="shared" si="10"/>
        <v>2.3457619450400289</v>
      </c>
      <c r="K55" s="242">
        <f t="shared" si="10"/>
        <v>1.4345506485830597</v>
      </c>
      <c r="L55" s="242">
        <f t="shared" si="10"/>
        <v>1.8114725795114044</v>
      </c>
      <c r="M55" s="242">
        <f t="shared" si="10"/>
        <v>3.1949452030407044</v>
      </c>
      <c r="N55" s="242">
        <f t="shared" si="10"/>
        <v>3.3261163520186994</v>
      </c>
      <c r="P55" s="98"/>
    </row>
    <row r="56" spans="2:16" x14ac:dyDescent="0.25">
      <c r="B56" s="97"/>
      <c r="E56" s="9"/>
      <c r="P56" s="98"/>
    </row>
    <row r="57" spans="2:16" x14ac:dyDescent="0.25">
      <c r="B57" s="97"/>
      <c r="P57" s="98"/>
    </row>
    <row r="58" spans="2:16" x14ac:dyDescent="0.25">
      <c r="B58" s="97"/>
      <c r="P58" s="98"/>
    </row>
    <row r="59" spans="2:16" x14ac:dyDescent="0.25">
      <c r="B59" s="97"/>
      <c r="P59" s="98"/>
    </row>
    <row r="60" spans="2:16" x14ac:dyDescent="0.25">
      <c r="B60" s="97"/>
      <c r="P60" s="98"/>
    </row>
    <row r="61" spans="2:16" x14ac:dyDescent="0.25">
      <c r="B61" s="97"/>
      <c r="P61" s="98"/>
    </row>
    <row r="62" spans="2:16" x14ac:dyDescent="0.25">
      <c r="B62" s="97"/>
      <c r="P62" s="98"/>
    </row>
    <row r="63" spans="2:16" x14ac:dyDescent="0.25">
      <c r="B63" s="97"/>
      <c r="P63" s="98"/>
    </row>
    <row r="64" spans="2:16" x14ac:dyDescent="0.25">
      <c r="B64" s="97"/>
      <c r="P64" s="98"/>
    </row>
    <row r="65" spans="2:16" x14ac:dyDescent="0.25">
      <c r="B65" s="97"/>
      <c r="P65" s="98"/>
    </row>
    <row r="66" spans="2:16" x14ac:dyDescent="0.25">
      <c r="B66" s="97"/>
      <c r="P66" s="98"/>
    </row>
    <row r="67" spans="2:16" x14ac:dyDescent="0.25">
      <c r="B67" s="97"/>
      <c r="P67" s="98"/>
    </row>
    <row r="68" spans="2:16" x14ac:dyDescent="0.25">
      <c r="B68" s="97"/>
      <c r="P68" s="98"/>
    </row>
    <row r="69" spans="2:16" x14ac:dyDescent="0.25">
      <c r="B69" s="97"/>
      <c r="P69" s="98"/>
    </row>
    <row r="70" spans="2:16" x14ac:dyDescent="0.25">
      <c r="B70" s="97"/>
      <c r="P70" s="98"/>
    </row>
    <row r="71" spans="2:16" ht="15.75" thickBot="1" x14ac:dyDescent="0.3">
      <c r="B71" s="97"/>
      <c r="O71" s="110"/>
      <c r="P71" s="98"/>
    </row>
    <row r="72" spans="2:16" x14ac:dyDescent="0.25">
      <c r="B72" s="97"/>
      <c r="P72" s="98"/>
    </row>
    <row r="73" spans="2:16" ht="198.4" customHeight="1" thickBot="1" x14ac:dyDescent="0.3">
      <c r="B73" s="108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1"/>
    </row>
  </sheetData>
  <mergeCells count="1">
    <mergeCell ref="B15:P17"/>
  </mergeCells>
  <conditionalFormatting sqref="C51:N51">
    <cfRule type="cellIs" dxfId="3" priority="1" operator="greaterThan">
      <formula>0</formula>
    </cfRule>
  </conditionalFormatting>
  <pageMargins left="0.25" right="0.25" top="0.75" bottom="0.75" header="0.3" footer="0.3"/>
  <pageSetup scale="42" orientation="landscape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7A97-72F1-4DE3-8AE9-0D8EAA85C393}">
  <sheetPr>
    <tabColor theme="1"/>
    <pageSetUpPr fitToPage="1"/>
  </sheetPr>
  <dimension ref="B14:T73"/>
  <sheetViews>
    <sheetView showGridLines="0" topLeftCell="C7" zoomScaleNormal="70" workbookViewId="0">
      <selection activeCell="K24" sqref="K24"/>
    </sheetView>
  </sheetViews>
  <sheetFormatPr defaultColWidth="8.7109375" defaultRowHeight="15" x14ac:dyDescent="0.25"/>
  <cols>
    <col min="2" max="2" width="48.28515625" bestFit="1" customWidth="1"/>
    <col min="3" max="14" width="16.7109375" bestFit="1" customWidth="1"/>
    <col min="15" max="15" width="0.28515625" customWidth="1"/>
    <col min="16" max="16" width="17.28515625" bestFit="1" customWidth="1"/>
  </cols>
  <sheetData>
    <row r="14" spans="2:16" ht="15.75" thickBot="1" x14ac:dyDescent="0.3"/>
    <row r="15" spans="2:16" ht="15" customHeight="1" x14ac:dyDescent="0.25">
      <c r="B15" s="645" t="s">
        <v>355</v>
      </c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6"/>
      <c r="N15" s="646"/>
      <c r="O15" s="646"/>
      <c r="P15" s="647"/>
    </row>
    <row r="16" spans="2:16" ht="15" customHeight="1" x14ac:dyDescent="0.25">
      <c r="B16" s="648"/>
      <c r="C16" s="649"/>
      <c r="D16" s="649"/>
      <c r="E16" s="649"/>
      <c r="F16" s="649"/>
      <c r="G16" s="649"/>
      <c r="H16" s="649"/>
      <c r="I16" s="649"/>
      <c r="J16" s="649"/>
      <c r="K16" s="649"/>
      <c r="L16" s="649"/>
      <c r="M16" s="649"/>
      <c r="N16" s="649"/>
      <c r="O16" s="649"/>
      <c r="P16" s="650"/>
    </row>
    <row r="17" spans="2:17" x14ac:dyDescent="0.25">
      <c r="B17" s="648"/>
      <c r="C17" s="649"/>
      <c r="D17" s="649"/>
      <c r="E17" s="649"/>
      <c r="F17" s="649"/>
      <c r="G17" s="649"/>
      <c r="H17" s="649"/>
      <c r="I17" s="649"/>
      <c r="J17" s="649"/>
      <c r="K17" s="649"/>
      <c r="L17" s="649"/>
      <c r="M17" s="649"/>
      <c r="N17" s="649"/>
      <c r="O17" s="649"/>
      <c r="P17" s="650"/>
    </row>
    <row r="18" spans="2:17" ht="15.75" x14ac:dyDescent="0.25">
      <c r="B18" s="213"/>
      <c r="C18" s="70" t="s">
        <v>246</v>
      </c>
      <c r="D18" s="70" t="s">
        <v>247</v>
      </c>
      <c r="E18" s="70" t="s">
        <v>248</v>
      </c>
      <c r="F18" s="70" t="s">
        <v>249</v>
      </c>
      <c r="G18" s="70" t="s">
        <v>250</v>
      </c>
      <c r="H18" s="70" t="s">
        <v>251</v>
      </c>
      <c r="I18" s="70" t="s">
        <v>252</v>
      </c>
      <c r="J18" s="70" t="s">
        <v>253</v>
      </c>
      <c r="K18" s="70" t="s">
        <v>254</v>
      </c>
      <c r="L18" s="70" t="s">
        <v>255</v>
      </c>
      <c r="M18" s="70" t="s">
        <v>256</v>
      </c>
      <c r="N18" s="473" t="s">
        <v>257</v>
      </c>
      <c r="O18" s="71"/>
      <c r="P18" s="460" t="s">
        <v>0</v>
      </c>
    </row>
    <row r="19" spans="2:17" x14ac:dyDescent="0.25">
      <c r="B19" s="214"/>
      <c r="C19" s="92">
        <v>45688</v>
      </c>
      <c r="D19" s="92">
        <v>45716</v>
      </c>
      <c r="E19" s="92">
        <v>45747</v>
      </c>
      <c r="F19" s="92">
        <v>45777</v>
      </c>
      <c r="G19" s="92">
        <v>45808</v>
      </c>
      <c r="H19" s="92">
        <v>45838</v>
      </c>
      <c r="I19" s="92">
        <v>45869</v>
      </c>
      <c r="J19" s="92">
        <v>45900</v>
      </c>
      <c r="K19" s="92">
        <v>45930</v>
      </c>
      <c r="L19" s="92">
        <v>45961</v>
      </c>
      <c r="M19" s="92">
        <v>45991</v>
      </c>
      <c r="N19" s="398">
        <v>46022</v>
      </c>
      <c r="O19" s="92">
        <v>45322</v>
      </c>
      <c r="P19" s="461"/>
    </row>
    <row r="20" spans="2:17" x14ac:dyDescent="0.25">
      <c r="B20" s="215" t="s">
        <v>47</v>
      </c>
      <c r="C20" s="74">
        <v>7249.7138221771829</v>
      </c>
      <c r="D20" s="74">
        <v>4913.4871726024867</v>
      </c>
      <c r="E20" s="74">
        <v>6536.715075223894</v>
      </c>
      <c r="F20" s="74">
        <v>9380.6105949641606</v>
      </c>
      <c r="G20" s="74">
        <v>10754.416700710424</v>
      </c>
      <c r="H20" s="74">
        <v>10296.469025833441</v>
      </c>
      <c r="I20" s="74">
        <v>8231.4189836152764</v>
      </c>
      <c r="J20" s="74">
        <v>7580.1792553820114</v>
      </c>
      <c r="K20" s="74">
        <v>6911.5121495078683</v>
      </c>
      <c r="L20" s="74">
        <v>7871.841058711183</v>
      </c>
      <c r="M20" s="74">
        <v>7017.707274880775</v>
      </c>
      <c r="N20" s="474">
        <v>8571.1672628560773</v>
      </c>
      <c r="O20" s="74"/>
      <c r="P20" s="462">
        <v>95315.238376464782</v>
      </c>
    </row>
    <row r="21" spans="2:17" x14ac:dyDescent="0.25">
      <c r="B21" s="215" t="s">
        <v>156</v>
      </c>
      <c r="C21" s="74">
        <v>0</v>
      </c>
      <c r="D21" s="74">
        <v>0</v>
      </c>
      <c r="E21" s="74">
        <v>0</v>
      </c>
      <c r="F21" s="74">
        <v>0</v>
      </c>
      <c r="G21" s="74">
        <v>0</v>
      </c>
      <c r="H21" s="74">
        <v>0</v>
      </c>
      <c r="I21" s="74">
        <v>0</v>
      </c>
      <c r="J21" s="74">
        <v>0</v>
      </c>
      <c r="K21" s="74">
        <v>0</v>
      </c>
      <c r="L21" s="74">
        <v>0</v>
      </c>
      <c r="M21" s="74">
        <v>0</v>
      </c>
      <c r="N21" s="474">
        <v>0</v>
      </c>
      <c r="O21" s="74"/>
      <c r="P21" s="462">
        <v>0</v>
      </c>
    </row>
    <row r="22" spans="2:17" x14ac:dyDescent="0.25">
      <c r="B22" s="216" t="s">
        <v>2</v>
      </c>
      <c r="C22" s="75">
        <v>7249.7138221771829</v>
      </c>
      <c r="D22" s="75">
        <v>4913.4871726024867</v>
      </c>
      <c r="E22" s="75">
        <v>6536.715075223894</v>
      </c>
      <c r="F22" s="75">
        <v>9380.6105949641606</v>
      </c>
      <c r="G22" s="75">
        <v>10754.416700710424</v>
      </c>
      <c r="H22" s="75">
        <v>10296.469025833441</v>
      </c>
      <c r="I22" s="75">
        <v>8231.4189836152764</v>
      </c>
      <c r="J22" s="75">
        <v>7580.1792553820114</v>
      </c>
      <c r="K22" s="75">
        <v>6911.5121495078683</v>
      </c>
      <c r="L22" s="75">
        <v>7871.841058711183</v>
      </c>
      <c r="M22" s="75">
        <v>7017.707274880775</v>
      </c>
      <c r="N22" s="323">
        <v>8571.1672628560773</v>
      </c>
      <c r="O22" s="76"/>
      <c r="P22" s="463">
        <v>95315.238376464782</v>
      </c>
    </row>
    <row r="23" spans="2:17" x14ac:dyDescent="0.25">
      <c r="B23" s="217" t="s">
        <v>277</v>
      </c>
      <c r="C23" s="218">
        <v>80.370052335922722</v>
      </c>
      <c r="D23" s="218">
        <v>59.794008464817153</v>
      </c>
      <c r="E23" s="218">
        <v>75.75967415903979</v>
      </c>
      <c r="F23" s="218">
        <v>108.72005187758309</v>
      </c>
      <c r="G23" s="218">
        <v>130.30784367242583</v>
      </c>
      <c r="H23" s="218">
        <v>113.65212523692115</v>
      </c>
      <c r="I23" s="218">
        <v>95.401071163235301</v>
      </c>
      <c r="J23" s="218">
        <v>92.036777644691625</v>
      </c>
      <c r="K23" s="218">
        <v>76.462454067750741</v>
      </c>
      <c r="L23" s="218">
        <v>91.233609967202582</v>
      </c>
      <c r="M23" s="218">
        <v>85.852883775497602</v>
      </c>
      <c r="N23" s="433">
        <v>94.608294624172601</v>
      </c>
      <c r="O23" s="76"/>
      <c r="P23" s="464">
        <v>1104.1988469892603</v>
      </c>
      <c r="Q23" s="166"/>
    </row>
    <row r="24" spans="2:17" x14ac:dyDescent="0.25">
      <c r="B24" s="219" t="s">
        <v>243</v>
      </c>
      <c r="C24" s="220">
        <v>5375.6771266420528</v>
      </c>
      <c r="D24" s="221">
        <v>3207.5442412200227</v>
      </c>
      <c r="E24" s="221">
        <v>4505.4851989075178</v>
      </c>
      <c r="F24" s="221">
        <v>6748.107226416907</v>
      </c>
      <c r="G24" s="221">
        <v>7779.5024400854227</v>
      </c>
      <c r="H24" s="221">
        <v>7231.6337639632848</v>
      </c>
      <c r="I24" s="221">
        <v>6123.8576013369675</v>
      </c>
      <c r="J24" s="221">
        <v>5252.8867615891395</v>
      </c>
      <c r="K24" s="221">
        <v>4808.0084518315589</v>
      </c>
      <c r="L24" s="221">
        <v>5880.5452968237687</v>
      </c>
      <c r="M24" s="221">
        <v>4643.0955504882249</v>
      </c>
      <c r="N24" s="475">
        <v>6105.5717917078182</v>
      </c>
      <c r="O24" s="76"/>
      <c r="P24" s="465">
        <v>5638.4929542510572</v>
      </c>
    </row>
    <row r="25" spans="2:17" x14ac:dyDescent="0.25">
      <c r="B25" s="217" t="s">
        <v>278</v>
      </c>
      <c r="C25" s="218">
        <v>40.158948928397464</v>
      </c>
      <c r="D25" s="218">
        <v>33.937139939490812</v>
      </c>
      <c r="E25" s="218">
        <v>40.724567927388982</v>
      </c>
      <c r="F25" s="218">
        <v>55.996280900159853</v>
      </c>
      <c r="G25" s="218">
        <v>66.743041880998604</v>
      </c>
      <c r="H25" s="218">
        <v>59.955613893100434</v>
      </c>
      <c r="I25" s="218">
        <v>47.51199591528713</v>
      </c>
      <c r="J25" s="218">
        <v>49.208852912261676</v>
      </c>
      <c r="K25" s="218">
        <v>40.724567927388975</v>
      </c>
      <c r="L25" s="218">
        <v>45.249519919321088</v>
      </c>
      <c r="M25" s="218">
        <v>48.077614914278655</v>
      </c>
      <c r="N25" s="433">
        <v>49.208852912261676</v>
      </c>
      <c r="P25" s="466"/>
    </row>
    <row r="26" spans="2:17" hidden="1" x14ac:dyDescent="0.25">
      <c r="B26" s="214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476"/>
      <c r="O26" s="7"/>
      <c r="P26" s="466"/>
    </row>
    <row r="27" spans="2:17" x14ac:dyDescent="0.25">
      <c r="B27" s="214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476"/>
      <c r="O27" s="7"/>
      <c r="P27" s="466"/>
    </row>
    <row r="28" spans="2:17" x14ac:dyDescent="0.25">
      <c r="B28" s="214" t="s">
        <v>217</v>
      </c>
      <c r="C28" s="74">
        <v>214.6847629654431</v>
      </c>
      <c r="D28" s="77">
        <v>145.50240945471205</v>
      </c>
      <c r="E28" s="77">
        <v>193.57083064495933</v>
      </c>
      <c r="F28" s="77">
        <v>277.78671150997411</v>
      </c>
      <c r="G28" s="77">
        <v>318.46903986208031</v>
      </c>
      <c r="H28" s="77">
        <v>304.9078993201195</v>
      </c>
      <c r="I28" s="77">
        <v>243.75586081217108</v>
      </c>
      <c r="J28" s="77">
        <v>224.47078968815657</v>
      </c>
      <c r="K28" s="77">
        <v>204.6696440638637</v>
      </c>
      <c r="L28" s="77">
        <v>233.1077299384398</v>
      </c>
      <c r="M28" s="77">
        <v>207.81438548096992</v>
      </c>
      <c r="N28" s="476">
        <v>253.81677915816229</v>
      </c>
      <c r="O28" s="7"/>
      <c r="P28" s="466">
        <v>2822.5568428990518</v>
      </c>
    </row>
    <row r="29" spans="2:17" x14ac:dyDescent="0.25">
      <c r="B29" s="214" t="s">
        <v>216</v>
      </c>
      <c r="C29" s="74">
        <v>244.43671460359198</v>
      </c>
      <c r="D29" s="77">
        <v>165.66676853420364</v>
      </c>
      <c r="E29" s="77">
        <v>220.3967213712246</v>
      </c>
      <c r="F29" s="77">
        <v>316.28360664312106</v>
      </c>
      <c r="G29" s="77">
        <v>362.60386965318895</v>
      </c>
      <c r="H29" s="77">
        <v>347.16336705502334</v>
      </c>
      <c r="I29" s="77">
        <v>277.5366120970977</v>
      </c>
      <c r="J29" s="77">
        <v>255.57893162953005</v>
      </c>
      <c r="K29" s="77">
        <v>233.03365680456011</v>
      </c>
      <c r="L29" s="77">
        <v>265.41281676345818</v>
      </c>
      <c r="M29" s="77">
        <v>236.61421021532556</v>
      </c>
      <c r="N29" s="476">
        <v>288.99181642748124</v>
      </c>
      <c r="O29" s="7"/>
      <c r="P29" s="466">
        <v>3213.7190917978069</v>
      </c>
    </row>
    <row r="30" spans="2:17" x14ac:dyDescent="0.25">
      <c r="B30" s="214" t="s">
        <v>303</v>
      </c>
      <c r="C30" s="74">
        <v>0</v>
      </c>
      <c r="D30" s="77">
        <v>300</v>
      </c>
      <c r="E30" s="77">
        <v>540</v>
      </c>
      <c r="F30" s="77">
        <v>940.80077816374637</v>
      </c>
      <c r="G30" s="77">
        <v>1179.6342787782837</v>
      </c>
      <c r="H30" s="77">
        <v>980.02097248150812</v>
      </c>
      <c r="I30" s="77">
        <v>381.0160674485295</v>
      </c>
      <c r="J30" s="77">
        <v>540</v>
      </c>
      <c r="K30" s="77">
        <v>300</v>
      </c>
      <c r="L30" s="77">
        <v>558.50414950803872</v>
      </c>
      <c r="M30" s="77">
        <v>540</v>
      </c>
      <c r="N30" s="476">
        <v>680.08064033071855</v>
      </c>
      <c r="O30" s="7"/>
      <c r="P30" s="466">
        <v>6940.056886710825</v>
      </c>
    </row>
    <row r="31" spans="2:17" ht="15.75" x14ac:dyDescent="0.25">
      <c r="B31" s="223" t="s">
        <v>232</v>
      </c>
      <c r="C31" s="89">
        <v>459.12147756903505</v>
      </c>
      <c r="D31" s="89">
        <v>611.16917798891564</v>
      </c>
      <c r="E31" s="89">
        <v>953.96755201618396</v>
      </c>
      <c r="F31" s="89">
        <v>1534.8710963168414</v>
      </c>
      <c r="G31" s="89">
        <v>1860.7071882935529</v>
      </c>
      <c r="H31" s="89">
        <v>1632.092238856651</v>
      </c>
      <c r="I31" s="89">
        <v>902.30854035779828</v>
      </c>
      <c r="J31" s="89">
        <v>1020.0497213176866</v>
      </c>
      <c r="K31" s="89">
        <v>737.70330086842387</v>
      </c>
      <c r="L31" s="89">
        <v>1057.0246962099368</v>
      </c>
      <c r="M31" s="89">
        <v>984.42859569629547</v>
      </c>
      <c r="N31" s="328">
        <v>1222.8892359163619</v>
      </c>
      <c r="P31" s="467">
        <v>12976.332821407683</v>
      </c>
    </row>
    <row r="32" spans="2:17" ht="5.65" customHeight="1" x14ac:dyDescent="0.25">
      <c r="B32" s="214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476"/>
      <c r="O32" s="7"/>
      <c r="P32" s="466"/>
    </row>
    <row r="33" spans="2:20" ht="15.75" x14ac:dyDescent="0.25">
      <c r="B33" s="223" t="s">
        <v>147</v>
      </c>
      <c r="C33" s="89">
        <v>6790.5923446081479</v>
      </c>
      <c r="D33" s="89">
        <v>4302.3179946135715</v>
      </c>
      <c r="E33" s="89">
        <v>5582.7475232077104</v>
      </c>
      <c r="F33" s="89">
        <v>7845.7394986473191</v>
      </c>
      <c r="G33" s="89">
        <v>8893.7095124168718</v>
      </c>
      <c r="H33" s="89">
        <v>8664.3767869767908</v>
      </c>
      <c r="I33" s="89">
        <v>7329.1104432574784</v>
      </c>
      <c r="J33" s="89">
        <v>6560.1295340643246</v>
      </c>
      <c r="K33" s="89">
        <v>6173.8088486394445</v>
      </c>
      <c r="L33" s="89">
        <v>6814.8163625012457</v>
      </c>
      <c r="M33" s="89">
        <v>6033.2786791844792</v>
      </c>
      <c r="N33" s="328">
        <v>7348.2780269397153</v>
      </c>
      <c r="P33" s="467">
        <v>82338.905555057121</v>
      </c>
    </row>
    <row r="34" spans="2:20" x14ac:dyDescent="0.25">
      <c r="B34" s="225" t="s">
        <v>148</v>
      </c>
      <c r="C34" s="91">
        <v>0.93667039984881018</v>
      </c>
      <c r="D34" s="91">
        <v>0.87561396692011673</v>
      </c>
      <c r="E34" s="91">
        <v>0.85406009883588074</v>
      </c>
      <c r="F34" s="91">
        <v>0.83637833797931938</v>
      </c>
      <c r="G34" s="91">
        <v>0.82698204467280534</v>
      </c>
      <c r="H34" s="91">
        <v>0.8414901035722252</v>
      </c>
      <c r="I34" s="91">
        <v>0.89038238216839016</v>
      </c>
      <c r="J34" s="91">
        <v>0.86543197898737811</v>
      </c>
      <c r="K34" s="91">
        <v>0.89326455847712694</v>
      </c>
      <c r="L34" s="91">
        <v>0.86572077760129484</v>
      </c>
      <c r="M34" s="91">
        <v>0.85972219171637931</v>
      </c>
      <c r="N34" s="330">
        <v>0.85732523956032658</v>
      </c>
      <c r="P34" s="468">
        <v>0.86385878016529438</v>
      </c>
      <c r="T34" s="1"/>
    </row>
    <row r="35" spans="2:20" ht="3" customHeight="1" x14ac:dyDescent="0.25">
      <c r="B35" s="214"/>
      <c r="N35" s="251"/>
      <c r="O35" s="227"/>
      <c r="P35" s="461"/>
    </row>
    <row r="36" spans="2:20" x14ac:dyDescent="0.25">
      <c r="B36" s="214" t="s">
        <v>185</v>
      </c>
      <c r="C36" s="74">
        <v>2422.1893333333337</v>
      </c>
      <c r="D36" s="74">
        <v>6297.7866666666669</v>
      </c>
      <c r="E36" s="74">
        <v>6297.7866666666669</v>
      </c>
      <c r="F36" s="74">
        <v>6297.7866666666669</v>
      </c>
      <c r="G36" s="74">
        <v>6297.7866666666669</v>
      </c>
      <c r="H36" s="74">
        <v>6347.7866666666669</v>
      </c>
      <c r="I36" s="74">
        <v>6297.7866666666669</v>
      </c>
      <c r="J36" s="74">
        <v>6297.7866666666669</v>
      </c>
      <c r="K36" s="74">
        <v>6297.7866666666669</v>
      </c>
      <c r="L36" s="74">
        <v>6402.7866666666669</v>
      </c>
      <c r="M36" s="74">
        <v>6297.7866666666669</v>
      </c>
      <c r="N36" s="474">
        <v>6297.7866666666669</v>
      </c>
      <c r="P36" s="462">
        <v>71852.842666666678</v>
      </c>
    </row>
    <row r="37" spans="2:20" ht="15.75" x14ac:dyDescent="0.25">
      <c r="B37" s="228" t="s">
        <v>149</v>
      </c>
      <c r="C37" s="80">
        <v>2422.1893333333337</v>
      </c>
      <c r="D37" s="80">
        <v>6297.7866666666669</v>
      </c>
      <c r="E37" s="80">
        <v>6297.7866666666669</v>
      </c>
      <c r="F37" s="80">
        <v>6297.7866666666669</v>
      </c>
      <c r="G37" s="80">
        <v>6297.7866666666669</v>
      </c>
      <c r="H37" s="80">
        <v>6347.7866666666669</v>
      </c>
      <c r="I37" s="80">
        <v>6297.7866666666669</v>
      </c>
      <c r="J37" s="80">
        <v>6297.7866666666669</v>
      </c>
      <c r="K37" s="80">
        <v>6297.7866666666669</v>
      </c>
      <c r="L37" s="80">
        <v>6402.7866666666669</v>
      </c>
      <c r="M37" s="80">
        <v>6297.7866666666669</v>
      </c>
      <c r="N37" s="334">
        <v>6297.7866666666669</v>
      </c>
      <c r="O37" s="229"/>
      <c r="P37" s="469">
        <v>71852.842666666678</v>
      </c>
    </row>
    <row r="38" spans="2:20" ht="4.9000000000000004" customHeight="1" x14ac:dyDescent="0.25">
      <c r="B38" s="214"/>
      <c r="N38" s="251"/>
      <c r="O38" s="7"/>
      <c r="P38" s="461"/>
    </row>
    <row r="39" spans="2:20" ht="15.75" x14ac:dyDescent="0.25">
      <c r="B39" s="223" t="s">
        <v>150</v>
      </c>
      <c r="C39" s="89">
        <v>4368.4030112748142</v>
      </c>
      <c r="D39" s="89">
        <v>-1995.4686720530954</v>
      </c>
      <c r="E39" s="89">
        <v>-715.03914345895646</v>
      </c>
      <c r="F39" s="89">
        <v>1547.9528319806523</v>
      </c>
      <c r="G39" s="89">
        <v>2595.9228457502049</v>
      </c>
      <c r="H39" s="89">
        <v>2316.5901203101239</v>
      </c>
      <c r="I39" s="89">
        <v>1031.3237765908116</v>
      </c>
      <c r="J39" s="89">
        <v>262.34286739765776</v>
      </c>
      <c r="K39" s="89">
        <v>-123.97781802722238</v>
      </c>
      <c r="L39" s="89">
        <v>412.02969583457889</v>
      </c>
      <c r="M39" s="89">
        <v>-264.50798748218767</v>
      </c>
      <c r="N39" s="328">
        <v>1050.4913602730485</v>
      </c>
      <c r="P39" s="467">
        <v>10486.062888390443</v>
      </c>
    </row>
    <row r="40" spans="2:20" x14ac:dyDescent="0.25">
      <c r="B40" s="225" t="s">
        <v>151</v>
      </c>
      <c r="C40" s="91">
        <v>0.60256213119912172</v>
      </c>
      <c r="D40" s="91">
        <v>-0.4061206637883969</v>
      </c>
      <c r="E40" s="91">
        <v>-0.10938814606883643</v>
      </c>
      <c r="F40" s="91">
        <v>0.16501621257060253</v>
      </c>
      <c r="G40" s="91">
        <v>0.24138202173054363</v>
      </c>
      <c r="H40" s="91">
        <v>0.22498879125435031</v>
      </c>
      <c r="I40" s="91">
        <v>0.12529112886170321</v>
      </c>
      <c r="J40" s="91">
        <v>3.4609058514202207E-2</v>
      </c>
      <c r="K40" s="91">
        <v>-1.7937871676323418E-2</v>
      </c>
      <c r="L40" s="91">
        <v>5.2342227537561389E-2</v>
      </c>
      <c r="M40" s="91">
        <v>-3.7691510506425538E-2</v>
      </c>
      <c r="N40" s="330">
        <v>0.12256106176173309</v>
      </c>
      <c r="O40" s="133"/>
      <c r="P40" s="468">
        <v>0.11001454821918233</v>
      </c>
    </row>
    <row r="41" spans="2:20" ht="5.65" customHeight="1" x14ac:dyDescent="0.25">
      <c r="B41" s="230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477"/>
      <c r="O41" s="229"/>
      <c r="P41" s="470"/>
    </row>
    <row r="42" spans="2:20" x14ac:dyDescent="0.25">
      <c r="B42" s="214" t="s">
        <v>152</v>
      </c>
      <c r="C42" s="133">
        <v>0</v>
      </c>
      <c r="D42" s="133">
        <v>0</v>
      </c>
      <c r="E42" s="133">
        <v>0</v>
      </c>
      <c r="F42" s="133">
        <v>0</v>
      </c>
      <c r="G42" s="133">
        <v>0</v>
      </c>
      <c r="H42" s="133">
        <v>0</v>
      </c>
      <c r="I42" s="133">
        <v>0</v>
      </c>
      <c r="J42" s="133">
        <v>0</v>
      </c>
      <c r="K42" s="133">
        <v>0</v>
      </c>
      <c r="L42" s="133">
        <v>0</v>
      </c>
      <c r="M42" s="133">
        <v>0</v>
      </c>
      <c r="N42" s="478">
        <v>0</v>
      </c>
      <c r="O42" s="7"/>
      <c r="P42" s="471">
        <v>0</v>
      </c>
    </row>
    <row r="43" spans="2:20" ht="15.75" x14ac:dyDescent="0.25">
      <c r="B43" s="223" t="s">
        <v>11</v>
      </c>
      <c r="C43" s="89">
        <v>4368.4030112748142</v>
      </c>
      <c r="D43" s="89">
        <v>-1995.4686720530954</v>
      </c>
      <c r="E43" s="89">
        <v>-715.03914345895646</v>
      </c>
      <c r="F43" s="89">
        <v>1547.9528319806523</v>
      </c>
      <c r="G43" s="89">
        <v>2595.9228457502049</v>
      </c>
      <c r="H43" s="89">
        <v>2316.5901203101239</v>
      </c>
      <c r="I43" s="89">
        <v>1031.3237765908116</v>
      </c>
      <c r="J43" s="89">
        <v>262.34286739765776</v>
      </c>
      <c r="K43" s="89">
        <v>-123.97781802722238</v>
      </c>
      <c r="L43" s="89">
        <v>412.02969583457889</v>
      </c>
      <c r="M43" s="89">
        <v>-264.50798748218767</v>
      </c>
      <c r="N43" s="328">
        <v>1050.4913602730485</v>
      </c>
      <c r="P43" s="467">
        <v>10486.062888390443</v>
      </c>
    </row>
    <row r="44" spans="2:20" x14ac:dyDescent="0.25">
      <c r="B44" s="225" t="s">
        <v>153</v>
      </c>
      <c r="C44" s="91">
        <v>0.60256213119912172</v>
      </c>
      <c r="D44" s="91">
        <v>-0.4061206637883969</v>
      </c>
      <c r="E44" s="91">
        <v>-0.10938814606883643</v>
      </c>
      <c r="F44" s="91">
        <v>0.16501621257060253</v>
      </c>
      <c r="G44" s="91">
        <v>0.24138202173054363</v>
      </c>
      <c r="H44" s="91">
        <v>0.22498879125435031</v>
      </c>
      <c r="I44" s="91">
        <v>0.12529112886170321</v>
      </c>
      <c r="J44" s="91">
        <v>3.4609058514202207E-2</v>
      </c>
      <c r="K44" s="91">
        <v>-1.7937871676323418E-2</v>
      </c>
      <c r="L44" s="91">
        <v>5.2342227537561389E-2</v>
      </c>
      <c r="M44" s="91">
        <v>-3.7691510506425538E-2</v>
      </c>
      <c r="N44" s="330">
        <v>0.12256106176173309</v>
      </c>
      <c r="P44" s="472">
        <v>0.11001454821918233</v>
      </c>
    </row>
    <row r="45" spans="2:20" ht="6" customHeight="1" thickBot="1" x14ac:dyDescent="0.3">
      <c r="B45" s="214"/>
      <c r="E45" s="110"/>
      <c r="P45" s="98"/>
    </row>
    <row r="46" spans="2:20" ht="15.75" thickBot="1" x14ac:dyDescent="0.3">
      <c r="B46" s="232" t="s">
        <v>301</v>
      </c>
      <c r="C46" s="234">
        <v>1971.0958937687467</v>
      </c>
      <c r="D46" s="233">
        <v>1048.9393058358728</v>
      </c>
      <c r="E46" s="233">
        <v>874.49432173702985</v>
      </c>
      <c r="F46" s="233">
        <v>2144.9226219490529</v>
      </c>
      <c r="G46" s="235">
        <v>4127.9301798082952</v>
      </c>
      <c r="H46" s="235">
        <v>5968.4947848120328</v>
      </c>
      <c r="I46" s="235">
        <v>5707.961391715201</v>
      </c>
      <c r="J46" s="235">
        <v>4917.3936901292591</v>
      </c>
      <c r="K46" s="235">
        <v>3876.0897638125498</v>
      </c>
      <c r="L46" s="234">
        <v>3148.3979830378898</v>
      </c>
      <c r="M46" s="233">
        <v>2019.7107169290684</v>
      </c>
      <c r="N46" s="235">
        <v>1694.3506908550485</v>
      </c>
      <c r="P46" s="98"/>
    </row>
    <row r="47" spans="2:20" ht="15.75" thickBot="1" x14ac:dyDescent="0.3">
      <c r="B47" s="437" t="s">
        <v>302</v>
      </c>
      <c r="C47" s="438">
        <v>28.95</v>
      </c>
      <c r="D47" s="439">
        <v>28.95</v>
      </c>
      <c r="E47" s="439">
        <v>28.95</v>
      </c>
      <c r="F47" s="439">
        <v>28.95</v>
      </c>
      <c r="G47" s="440">
        <v>28.95</v>
      </c>
      <c r="H47" s="440">
        <v>28.95</v>
      </c>
      <c r="I47" s="440">
        <v>28.95</v>
      </c>
      <c r="J47" s="440">
        <v>28.95</v>
      </c>
      <c r="K47" s="440">
        <v>28.95</v>
      </c>
      <c r="L47" s="438">
        <v>28.95</v>
      </c>
      <c r="M47" s="439">
        <v>28.95</v>
      </c>
      <c r="N47" s="440">
        <v>28.95</v>
      </c>
      <c r="P47" s="98"/>
    </row>
    <row r="48" spans="2:20" ht="15.75" thickBot="1" x14ac:dyDescent="0.3">
      <c r="B48" s="236" t="s">
        <v>279</v>
      </c>
      <c r="C48" s="434">
        <v>3032.4552211826872</v>
      </c>
      <c r="D48" s="435">
        <v>1613.7527782090351</v>
      </c>
      <c r="E48" s="435">
        <v>1345.3758795954304</v>
      </c>
      <c r="F48" s="435">
        <v>3299.8809568446968</v>
      </c>
      <c r="G48" s="436">
        <v>6350.6618150896848</v>
      </c>
      <c r="H48" s="436">
        <v>9182.2996689415886</v>
      </c>
      <c r="I48" s="436">
        <v>8781.4790641772324</v>
      </c>
      <c r="J48" s="436">
        <v>7565.2210617373212</v>
      </c>
      <c r="K48" s="436">
        <v>5963.2150212500765</v>
      </c>
      <c r="L48" s="434">
        <v>4843.6892046736766</v>
      </c>
      <c r="M48" s="435">
        <v>3107.2472568139519</v>
      </c>
      <c r="N48" s="436">
        <v>2606.6933705462288</v>
      </c>
      <c r="P48" s="98"/>
    </row>
    <row r="49" spans="2:16" ht="15.75" thickBot="1" x14ac:dyDescent="0.3">
      <c r="B49" s="86" t="s">
        <v>225</v>
      </c>
      <c r="C49" s="87">
        <v>2311.7783648722234</v>
      </c>
      <c r="D49" s="164">
        <v>-1418.7024429736521</v>
      </c>
      <c r="E49" s="164">
        <v>-268.37689861360468</v>
      </c>
      <c r="F49" s="164">
        <v>1954.5050772492664</v>
      </c>
      <c r="G49" s="164">
        <v>3050.7808582449879</v>
      </c>
      <c r="H49" s="164">
        <v>2831.6378538519039</v>
      </c>
      <c r="I49" s="164">
        <v>-400.82060476435663</v>
      </c>
      <c r="J49" s="164">
        <v>-1216.2580024399113</v>
      </c>
      <c r="K49" s="164">
        <v>-1602.0060404872447</v>
      </c>
      <c r="L49" s="164">
        <v>-1119.5258165763998</v>
      </c>
      <c r="M49" s="87">
        <v>-1736.4419478597249</v>
      </c>
      <c r="N49" s="87">
        <v>-500.5538862677231</v>
      </c>
      <c r="P49" s="98"/>
    </row>
    <row r="50" spans="2:16" ht="15.75" thickBot="1" x14ac:dyDescent="0.3">
      <c r="B50" s="237" t="s">
        <v>226</v>
      </c>
      <c r="C50" s="238">
        <v>2422.1893333333337</v>
      </c>
      <c r="D50" s="239">
        <v>6297.7866666666669</v>
      </c>
      <c r="E50" s="239">
        <v>6297.7866666666669</v>
      </c>
      <c r="F50" s="239">
        <v>6297.7866666666669</v>
      </c>
      <c r="G50" s="239">
        <v>6297.7866666666669</v>
      </c>
      <c r="H50" s="239">
        <v>6347.7866666666669</v>
      </c>
      <c r="I50" s="239">
        <v>6297.7866666666669</v>
      </c>
      <c r="J50" s="239">
        <v>6297.7866666666669</v>
      </c>
      <c r="K50" s="239">
        <v>6297.7866666666669</v>
      </c>
      <c r="L50" s="239">
        <v>6402.7866666666669</v>
      </c>
      <c r="M50" s="239">
        <v>6297.7866666666669</v>
      </c>
      <c r="N50" s="239">
        <v>6297.7866666666669</v>
      </c>
      <c r="P50" s="98"/>
    </row>
    <row r="51" spans="2:16" ht="15.75" thickBot="1" x14ac:dyDescent="0.3">
      <c r="B51" s="237" t="s">
        <v>367</v>
      </c>
      <c r="C51" s="238">
        <v>-2000</v>
      </c>
      <c r="D51" s="239">
        <v>-1500</v>
      </c>
      <c r="E51" s="239">
        <v>-1500</v>
      </c>
      <c r="F51" s="239">
        <v>-1500</v>
      </c>
      <c r="G51" s="239">
        <v>-1500</v>
      </c>
      <c r="H51" s="239">
        <v>-1500</v>
      </c>
      <c r="I51" s="239">
        <v>-1500</v>
      </c>
      <c r="J51" s="239">
        <v>-1500</v>
      </c>
      <c r="K51" s="239">
        <v>-1500</v>
      </c>
      <c r="L51" s="239">
        <v>-1500</v>
      </c>
      <c r="M51" s="239">
        <v>-1500</v>
      </c>
      <c r="N51" s="239">
        <v>-1500</v>
      </c>
      <c r="P51" s="98"/>
    </row>
    <row r="52" spans="2:16" ht="15.75" thickBot="1" x14ac:dyDescent="0.3">
      <c r="B52" s="237" t="s">
        <v>228</v>
      </c>
      <c r="C52" s="87">
        <v>-32096.069829886706</v>
      </c>
      <c r="D52" s="87">
        <v>-38423.252262475165</v>
      </c>
      <c r="E52" s="87">
        <v>-44525.631465256862</v>
      </c>
      <c r="F52" s="87">
        <v>-49542.440928028343</v>
      </c>
      <c r="G52" s="240">
        <v>-51632.187225129317</v>
      </c>
      <c r="H52" s="164">
        <v>-54259.201525648896</v>
      </c>
      <c r="I52" s="164">
        <v>-59152.840125770192</v>
      </c>
      <c r="J52" s="164">
        <v>-63722.694215340489</v>
      </c>
      <c r="K52" s="164">
        <v>-69200.348109192302</v>
      </c>
      <c r="L52" s="164">
        <v>-73914.531252843561</v>
      </c>
      <c r="M52" s="87">
        <v>-78664.643781315332</v>
      </c>
      <c r="N52" s="87">
        <v>-83134.824797219306</v>
      </c>
      <c r="P52" s="98"/>
    </row>
    <row r="53" spans="2:16" ht="15.75" thickBot="1" x14ac:dyDescent="0.3">
      <c r="B53" s="237" t="s">
        <v>229</v>
      </c>
      <c r="C53" s="240">
        <v>-31034.710502472764</v>
      </c>
      <c r="D53" s="240">
        <v>-37858.438790102002</v>
      </c>
      <c r="E53" s="240">
        <v>-44054.749907398465</v>
      </c>
      <c r="F53" s="240">
        <v>-48387.4825931327</v>
      </c>
      <c r="G53" s="240">
        <v>-49409.45558984793</v>
      </c>
      <c r="H53" s="240">
        <v>-51045.396641519343</v>
      </c>
      <c r="I53" s="240">
        <v>-56079.322453308159</v>
      </c>
      <c r="J53" s="240">
        <v>-61074.86684373243</v>
      </c>
      <c r="K53" s="240">
        <v>-67113.222851754763</v>
      </c>
      <c r="L53" s="240">
        <v>-72219.240031207766</v>
      </c>
      <c r="M53" s="240">
        <v>-77577.107241430465</v>
      </c>
      <c r="N53" s="240">
        <v>-82222.482117528125</v>
      </c>
      <c r="P53" s="98"/>
    </row>
    <row r="54" spans="2:16" ht="15.75" thickBot="1" x14ac:dyDescent="0.3">
      <c r="B54" s="237" t="s">
        <v>230</v>
      </c>
      <c r="C54" s="241">
        <v>-0.81376623480386323</v>
      </c>
      <c r="D54" s="242">
        <v>-0.16655681771308112</v>
      </c>
      <c r="E54" s="242">
        <v>-0.13885740626395143</v>
      </c>
      <c r="F54" s="242">
        <v>-0.34058356300028997</v>
      </c>
      <c r="G54" s="242">
        <v>-0.65545728972638462</v>
      </c>
      <c r="H54" s="242">
        <v>-0.94024816809828193</v>
      </c>
      <c r="I54" s="242">
        <v>-0.90634403701330002</v>
      </c>
      <c r="J54" s="242">
        <v>-0.78081299834374496</v>
      </c>
      <c r="K54" s="242">
        <v>-0.61546857157422763</v>
      </c>
      <c r="L54" s="242">
        <v>-0.49172308042506851</v>
      </c>
      <c r="M54" s="242">
        <v>-0.32070167248108356</v>
      </c>
      <c r="N54" s="242">
        <v>-0.2690390736515445</v>
      </c>
      <c r="P54" s="98"/>
    </row>
    <row r="55" spans="2:16" x14ac:dyDescent="0.25">
      <c r="B55" s="237" t="s">
        <v>231</v>
      </c>
      <c r="C55" s="241">
        <v>1.5162276105913437</v>
      </c>
      <c r="D55" s="242">
        <v>1.07583518547269</v>
      </c>
      <c r="E55" s="242">
        <v>0.89691725306362025</v>
      </c>
      <c r="F55" s="242">
        <v>2.1999206378964646</v>
      </c>
      <c r="G55" s="242">
        <v>4.2337745433931229</v>
      </c>
      <c r="H55" s="242">
        <v>6.1215331126277261</v>
      </c>
      <c r="I55" s="242">
        <v>5.8543193761181547</v>
      </c>
      <c r="J55" s="242">
        <v>5.0434807078248811</v>
      </c>
      <c r="K55" s="242">
        <v>3.9754766808333843</v>
      </c>
      <c r="L55" s="242">
        <v>3.2291261364491177</v>
      </c>
      <c r="M55" s="242">
        <v>2.0714981712093015</v>
      </c>
      <c r="N55" s="242">
        <v>1.7377955803641525</v>
      </c>
      <c r="P55" s="98"/>
    </row>
    <row r="56" spans="2:16" x14ac:dyDescent="0.25">
      <c r="B56" s="97"/>
      <c r="E56" s="9"/>
      <c r="P56" s="98"/>
    </row>
    <row r="57" spans="2:16" x14ac:dyDescent="0.25">
      <c r="B57" s="97"/>
      <c r="P57" s="98"/>
    </row>
    <row r="58" spans="2:16" x14ac:dyDescent="0.25">
      <c r="B58" s="97"/>
      <c r="P58" s="98"/>
    </row>
    <row r="59" spans="2:16" x14ac:dyDescent="0.25">
      <c r="B59" s="97"/>
      <c r="P59" s="98"/>
    </row>
    <row r="60" spans="2:16" x14ac:dyDescent="0.25">
      <c r="B60" s="97"/>
      <c r="P60" s="98"/>
    </row>
    <row r="61" spans="2:16" x14ac:dyDescent="0.25">
      <c r="B61" s="97"/>
      <c r="P61" s="98"/>
    </row>
    <row r="62" spans="2:16" x14ac:dyDescent="0.25">
      <c r="B62" s="97"/>
      <c r="P62" s="98"/>
    </row>
    <row r="63" spans="2:16" x14ac:dyDescent="0.25">
      <c r="B63" s="97"/>
      <c r="P63" s="98"/>
    </row>
    <row r="64" spans="2:16" x14ac:dyDescent="0.25">
      <c r="B64" s="97"/>
      <c r="P64" s="98"/>
    </row>
    <row r="65" spans="2:16" x14ac:dyDescent="0.25">
      <c r="B65" s="97"/>
      <c r="P65" s="98"/>
    </row>
    <row r="66" spans="2:16" x14ac:dyDescent="0.25">
      <c r="B66" s="97"/>
      <c r="P66" s="98"/>
    </row>
    <row r="67" spans="2:16" x14ac:dyDescent="0.25">
      <c r="B67" s="97"/>
      <c r="P67" s="98"/>
    </row>
    <row r="68" spans="2:16" x14ac:dyDescent="0.25">
      <c r="B68" s="97"/>
      <c r="P68" s="98"/>
    </row>
    <row r="69" spans="2:16" x14ac:dyDescent="0.25">
      <c r="B69" s="97"/>
      <c r="P69" s="98"/>
    </row>
    <row r="70" spans="2:16" x14ac:dyDescent="0.25">
      <c r="B70" s="97"/>
      <c r="P70" s="98"/>
    </row>
    <row r="71" spans="2:16" ht="15.75" thickBot="1" x14ac:dyDescent="0.3">
      <c r="B71" s="97"/>
      <c r="O71" s="110"/>
      <c r="P71" s="98"/>
    </row>
    <row r="72" spans="2:16" x14ac:dyDescent="0.25">
      <c r="B72" s="97"/>
      <c r="P72" s="98"/>
    </row>
    <row r="73" spans="2:16" ht="198.4" customHeight="1" thickBot="1" x14ac:dyDescent="0.3">
      <c r="B73" s="108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1"/>
    </row>
  </sheetData>
  <mergeCells count="1">
    <mergeCell ref="B15:P17"/>
  </mergeCells>
  <conditionalFormatting sqref="C51:N51">
    <cfRule type="cellIs" dxfId="2" priority="1" operator="greaterThan">
      <formula>0</formula>
    </cfRule>
  </conditionalFormatting>
  <pageMargins left="0.25" right="0.25" top="0.75" bottom="0.75" header="0.3" footer="0.3"/>
  <pageSetup scale="42"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D6358-B51B-4869-8D00-AAF172558B2C}">
  <sheetPr>
    <tabColor theme="1"/>
    <pageSetUpPr fitToPage="1"/>
  </sheetPr>
  <dimension ref="B14:T73"/>
  <sheetViews>
    <sheetView showGridLines="0" topLeftCell="A22" zoomScale="70" zoomScaleNormal="70" workbookViewId="0">
      <selection activeCell="B6" sqref="B6:P73"/>
    </sheetView>
  </sheetViews>
  <sheetFormatPr defaultColWidth="8.7109375" defaultRowHeight="15" x14ac:dyDescent="0.25"/>
  <cols>
    <col min="2" max="2" width="48.28515625" bestFit="1" customWidth="1"/>
    <col min="3" max="14" width="16.7109375" bestFit="1" customWidth="1"/>
    <col min="15" max="15" width="0.28515625" customWidth="1"/>
    <col min="16" max="16" width="17.28515625" bestFit="1" customWidth="1"/>
  </cols>
  <sheetData>
    <row r="14" spans="2:16" ht="15.75" thickBot="1" x14ac:dyDescent="0.3"/>
    <row r="15" spans="2:16" ht="15" customHeight="1" x14ac:dyDescent="0.25">
      <c r="B15" s="645" t="s">
        <v>223</v>
      </c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6"/>
      <c r="N15" s="646"/>
      <c r="O15" s="646"/>
      <c r="P15" s="647"/>
    </row>
    <row r="16" spans="2:16" ht="15" customHeight="1" x14ac:dyDescent="0.25">
      <c r="B16" s="648"/>
      <c r="C16" s="649"/>
      <c r="D16" s="649"/>
      <c r="E16" s="649"/>
      <c r="F16" s="649"/>
      <c r="G16" s="649"/>
      <c r="H16" s="649"/>
      <c r="I16" s="649"/>
      <c r="J16" s="649"/>
      <c r="K16" s="649"/>
      <c r="L16" s="649"/>
      <c r="M16" s="649"/>
      <c r="N16" s="649"/>
      <c r="O16" s="649"/>
      <c r="P16" s="650"/>
    </row>
    <row r="17" spans="2:17" x14ac:dyDescent="0.25">
      <c r="B17" s="648"/>
      <c r="C17" s="649"/>
      <c r="D17" s="649"/>
      <c r="E17" s="649"/>
      <c r="F17" s="649"/>
      <c r="G17" s="649"/>
      <c r="H17" s="649"/>
      <c r="I17" s="649"/>
      <c r="J17" s="649"/>
      <c r="K17" s="649"/>
      <c r="L17" s="649"/>
      <c r="M17" s="649"/>
      <c r="N17" s="649"/>
      <c r="O17" s="649"/>
      <c r="P17" s="650"/>
    </row>
    <row r="18" spans="2:17" ht="15.75" x14ac:dyDescent="0.25">
      <c r="B18" s="213"/>
      <c r="C18" s="70" t="s">
        <v>246</v>
      </c>
      <c r="D18" s="70" t="s">
        <v>247</v>
      </c>
      <c r="E18" s="70" t="s">
        <v>248</v>
      </c>
      <c r="F18" s="70" t="s">
        <v>249</v>
      </c>
      <c r="G18" s="70" t="s">
        <v>250</v>
      </c>
      <c r="H18" s="70" t="s">
        <v>251</v>
      </c>
      <c r="I18" s="70" t="s">
        <v>252</v>
      </c>
      <c r="J18" s="70" t="s">
        <v>253</v>
      </c>
      <c r="K18" s="70" t="s">
        <v>254</v>
      </c>
      <c r="L18" s="70" t="s">
        <v>255</v>
      </c>
      <c r="M18" s="70" t="s">
        <v>256</v>
      </c>
      <c r="N18" s="473" t="s">
        <v>257</v>
      </c>
      <c r="O18" s="71"/>
      <c r="P18" s="460" t="s">
        <v>0</v>
      </c>
    </row>
    <row r="19" spans="2:17" x14ac:dyDescent="0.25">
      <c r="B19" s="214"/>
      <c r="C19" s="92">
        <v>45322</v>
      </c>
      <c r="D19" s="92">
        <v>45351</v>
      </c>
      <c r="E19" s="92">
        <v>45382</v>
      </c>
      <c r="F19" s="92">
        <v>45412</v>
      </c>
      <c r="G19" s="92">
        <v>45443</v>
      </c>
      <c r="H19" s="92">
        <v>45473</v>
      </c>
      <c r="I19" s="92">
        <v>45504</v>
      </c>
      <c r="J19" s="92">
        <v>45535</v>
      </c>
      <c r="K19" s="92">
        <v>45565</v>
      </c>
      <c r="L19" s="92">
        <v>45596</v>
      </c>
      <c r="M19" s="92">
        <v>45626</v>
      </c>
      <c r="N19" s="398">
        <v>45657</v>
      </c>
      <c r="O19" s="92">
        <v>45322</v>
      </c>
      <c r="P19" s="461"/>
    </row>
    <row r="20" spans="2:17" x14ac:dyDescent="0.25">
      <c r="B20" s="215" t="s">
        <v>47</v>
      </c>
      <c r="C20" s="74">
        <f>SUMIF('Monthly Detail'!$4:$4, '2024 Overview'!C$19, 'Monthly Detail'!13:13)</f>
        <v>5728.5</v>
      </c>
      <c r="D20" s="74">
        <f>SUMIF('Monthly Detail'!$4:$4, '2024 Overview'!D$19, 'Monthly Detail'!13:13)</f>
        <v>6746.25</v>
      </c>
      <c r="E20" s="74">
        <f>SUMIF('Monthly Detail'!$4:$4, '2024 Overview'!E$19, 'Monthly Detail'!13:13)</f>
        <v>7639.25</v>
      </c>
      <c r="F20" s="74">
        <f>SUMIF('Monthly Detail'!$4:$4, '2024 Overview'!F$19, 'Monthly Detail'!13:13)</f>
        <v>7817</v>
      </c>
      <c r="G20" s="74">
        <f>SUMIF('Monthly Detail'!$4:$4, '2024 Overview'!G$19, 'Monthly Detail'!13:13)</f>
        <v>8048</v>
      </c>
      <c r="H20" s="74">
        <f>SUMIF('Monthly Detail'!$4:$4, '2024 Overview'!H$19, 'Monthly Detail'!13:13)</f>
        <v>7154</v>
      </c>
      <c r="I20" s="74">
        <f>SUMIF('Monthly Detail'!$4:$4, '2024 Overview'!I$19, 'Monthly Detail'!13:13)</f>
        <v>6015.5</v>
      </c>
      <c r="J20" s="74">
        <f>SUMIF('Monthly Detail'!$4:$4, '2024 Overview'!J$19, 'Monthly Detail'!13:13)</f>
        <v>7295</v>
      </c>
      <c r="K20" s="74">
        <f>SUMIF('Monthly Detail'!$4:$4, '2024 Overview'!K$19, 'Monthly Detail'!13:13)</f>
        <v>4538</v>
      </c>
      <c r="L20" s="74">
        <f>SUMIF('Monthly Detail'!$4:$4, '2024 Overview'!L$19, 'Monthly Detail'!13:13)</f>
        <v>7697</v>
      </c>
      <c r="M20" s="74">
        <f>SUMIF('Monthly Detail'!$4:$4, '2024 Overview'!M$19, 'Monthly Detail'!13:13)</f>
        <v>4938.75</v>
      </c>
      <c r="N20" s="474">
        <f>SUMIF('Monthly Detail'!$4:$4, '2024 Overview'!N$19, 'Monthly Detail'!13:13)</f>
        <v>6152</v>
      </c>
      <c r="O20" s="74"/>
      <c r="P20" s="462">
        <f>SUM(C20:O20)</f>
        <v>79769.25</v>
      </c>
    </row>
    <row r="21" spans="2:17" x14ac:dyDescent="0.25">
      <c r="B21" s="215" t="s">
        <v>156</v>
      </c>
      <c r="C21" s="74">
        <f>SUMIF('Monthly Detail'!$4:$4, '2024 Overview'!C$19, 'Monthly Detail'!12:12)</f>
        <v>0</v>
      </c>
      <c r="D21" s="74">
        <f>SUMIF('Monthly Detail'!$4:$4, '2024 Overview'!D$19, 'Monthly Detail'!12:12)</f>
        <v>0</v>
      </c>
      <c r="E21" s="74">
        <f>SUMIF('Monthly Detail'!$4:$4, '2024 Overview'!E$19, 'Monthly Detail'!12:12)</f>
        <v>0</v>
      </c>
      <c r="F21" s="74">
        <f>SUMIF('Monthly Detail'!$4:$4, '2024 Overview'!F$19, 'Monthly Detail'!12:12)</f>
        <v>0</v>
      </c>
      <c r="G21" s="74">
        <f>SUMIF('Monthly Detail'!$4:$4, '2024 Overview'!G$19, 'Monthly Detail'!12:12)</f>
        <v>0</v>
      </c>
      <c r="H21" s="74">
        <f>SUMIF('Monthly Detail'!$4:$4, '2024 Overview'!H$19, 'Monthly Detail'!12:12)</f>
        <v>0</v>
      </c>
      <c r="I21" s="74">
        <f>SUMIF('Monthly Detail'!$4:$4, '2024 Overview'!I$19, 'Monthly Detail'!12:12)</f>
        <v>0</v>
      </c>
      <c r="J21" s="74">
        <f>SUMIF('Monthly Detail'!$4:$4, '2024 Overview'!J$19, 'Monthly Detail'!12:12)</f>
        <v>0</v>
      </c>
      <c r="K21" s="74">
        <f>SUMIF('Monthly Detail'!$4:$4, '2024 Overview'!K$19, 'Monthly Detail'!12:12)</f>
        <v>0</v>
      </c>
      <c r="L21" s="74">
        <f>SUMIF('Monthly Detail'!$4:$4, '2024 Overview'!L$19, 'Monthly Detail'!12:12)</f>
        <v>0</v>
      </c>
      <c r="M21" s="74">
        <f>SUMIF('Monthly Detail'!$4:$4, '2024 Overview'!M$19, 'Monthly Detail'!12:12)</f>
        <v>0</v>
      </c>
      <c r="N21" s="474">
        <f>SUMIF('Monthly Detail'!$4:$4, '2024 Overview'!N$19, 'Monthly Detail'!12:12)</f>
        <v>0</v>
      </c>
      <c r="O21" s="74"/>
      <c r="P21" s="462">
        <f>SUM(C21:O21)</f>
        <v>0</v>
      </c>
    </row>
    <row r="22" spans="2:17" x14ac:dyDescent="0.25">
      <c r="B22" s="216" t="s">
        <v>2</v>
      </c>
      <c r="C22" s="75">
        <f>SUM(C20:C21)</f>
        <v>5728.5</v>
      </c>
      <c r="D22" s="75">
        <f t="shared" ref="D22:N22" si="0">SUM(D20:D21)</f>
        <v>6746.25</v>
      </c>
      <c r="E22" s="75">
        <f t="shared" si="0"/>
        <v>7639.25</v>
      </c>
      <c r="F22" s="75">
        <f t="shared" si="0"/>
        <v>7817</v>
      </c>
      <c r="G22" s="75">
        <f t="shared" si="0"/>
        <v>8048</v>
      </c>
      <c r="H22" s="75">
        <f t="shared" si="0"/>
        <v>7154</v>
      </c>
      <c r="I22" s="75">
        <f t="shared" si="0"/>
        <v>6015.5</v>
      </c>
      <c r="J22" s="75">
        <f t="shared" si="0"/>
        <v>7295</v>
      </c>
      <c r="K22" s="75">
        <f t="shared" si="0"/>
        <v>4538</v>
      </c>
      <c r="L22" s="75">
        <f t="shared" si="0"/>
        <v>7697</v>
      </c>
      <c r="M22" s="75">
        <f t="shared" si="0"/>
        <v>4938.75</v>
      </c>
      <c r="N22" s="323">
        <f t="shared" si="0"/>
        <v>6152</v>
      </c>
      <c r="O22" s="76"/>
      <c r="P22" s="463">
        <f>SUM(P20:P20)</f>
        <v>79769.25</v>
      </c>
    </row>
    <row r="23" spans="2:17" x14ac:dyDescent="0.25">
      <c r="B23" s="217" t="s">
        <v>277</v>
      </c>
      <c r="C23" s="218">
        <f>+'Monthly Detail'!AB15</f>
        <v>67</v>
      </c>
      <c r="D23" s="218">
        <f>+'Monthly Detail'!AC15</f>
        <v>74</v>
      </c>
      <c r="E23" s="218">
        <f>+'Monthly Detail'!AD15</f>
        <v>77</v>
      </c>
      <c r="F23" s="218">
        <f>+'Monthly Detail'!AE15</f>
        <v>78</v>
      </c>
      <c r="G23" s="218">
        <f>+'Monthly Detail'!AF15</f>
        <v>82</v>
      </c>
      <c r="H23" s="218">
        <f>+'Monthly Detail'!AG15</f>
        <v>75</v>
      </c>
      <c r="I23" s="218">
        <f>+'Monthly Detail'!AH15</f>
        <v>66</v>
      </c>
      <c r="J23" s="218">
        <f>+'Monthly Detail'!AI15</f>
        <v>74</v>
      </c>
      <c r="K23" s="218">
        <f>+'Monthly Detail'!AJ15</f>
        <v>48</v>
      </c>
      <c r="L23" s="218">
        <f>+'Monthly Detail'!AK15</f>
        <v>81</v>
      </c>
      <c r="M23" s="218">
        <f>+'Monthly Detail'!AL15</f>
        <v>50</v>
      </c>
      <c r="N23" s="433">
        <f>+'Monthly Detail'!AM15</f>
        <v>61</v>
      </c>
      <c r="O23" s="76"/>
      <c r="P23" s="464">
        <f>+SUM(C23:N23)</f>
        <v>833</v>
      </c>
      <c r="Q23" s="114"/>
    </row>
    <row r="24" spans="2:17" x14ac:dyDescent="0.25">
      <c r="B24" s="219" t="s">
        <v>243</v>
      </c>
      <c r="C24" s="220">
        <f>+'Monthly Detail'!AB41</f>
        <v>3806.3752066115703</v>
      </c>
      <c r="D24" s="221">
        <f>+'Monthly Detail'!AC41</f>
        <v>3565.1260239445496</v>
      </c>
      <c r="E24" s="221">
        <f>+'Monthly Detail'!AD41</f>
        <v>3434.6887435121107</v>
      </c>
      <c r="F24" s="221">
        <f>+'Monthly Detail'!AE41</f>
        <v>2659.5027548209364</v>
      </c>
      <c r="G24" s="221">
        <f>+'Monthly Detail'!AF41</f>
        <v>4158.3868935097671</v>
      </c>
      <c r="H24" s="221">
        <f>+'Monthly Detail'!AG41</f>
        <v>3809.8224852071003</v>
      </c>
      <c r="I24" s="221">
        <f>+'Monthly Detail'!AH41</f>
        <v>3948.4454732510294</v>
      </c>
      <c r="J24" s="221">
        <f>+'Monthly Detail'!AI41</f>
        <v>4344.1940828402367</v>
      </c>
      <c r="K24" s="221">
        <f>+'Monthly Detail'!AJ41</f>
        <v>4568.8707482993195</v>
      </c>
      <c r="L24" s="221">
        <f>+'Monthly Detail'!AK41</f>
        <v>4150.6549586776864</v>
      </c>
      <c r="M24" s="221">
        <f>+'Monthly Detail'!AL41</f>
        <v>3267.6039697542533</v>
      </c>
      <c r="N24" s="475">
        <f>+'Monthly Detail'!AM41</f>
        <v>3217.3525377229075</v>
      </c>
      <c r="O24" s="76"/>
      <c r="P24" s="465">
        <f>+AVERAGE(C24:N24)</f>
        <v>3744.2519898459559</v>
      </c>
    </row>
    <row r="25" spans="2:17" x14ac:dyDescent="0.25">
      <c r="B25" s="217" t="s">
        <v>278</v>
      </c>
      <c r="C25" s="218">
        <f>+'Monthly Detail'!AB17</f>
        <v>30</v>
      </c>
      <c r="D25" s="218">
        <f>+'Monthly Detail'!AC17</f>
        <v>34</v>
      </c>
      <c r="E25" s="218">
        <f>+'Monthly Detail'!AD17</f>
        <v>27</v>
      </c>
      <c r="F25" s="218">
        <f>+'Monthly Detail'!AE17</f>
        <v>19</v>
      </c>
      <c r="G25" s="218">
        <f>+'Monthly Detail'!AF17</f>
        <v>30</v>
      </c>
      <c r="H25" s="218">
        <f>+'Monthly Detail'!AG17</f>
        <v>30</v>
      </c>
      <c r="I25" s="218">
        <f>+'Monthly Detail'!AH17</f>
        <v>29</v>
      </c>
      <c r="J25" s="218">
        <f>+'Monthly Detail'!AI17</f>
        <v>34</v>
      </c>
      <c r="K25" s="218">
        <f>+'Monthly Detail'!AJ17</f>
        <v>37</v>
      </c>
      <c r="L25" s="218">
        <f>+'Monthly Detail'!AK17</f>
        <v>29</v>
      </c>
      <c r="M25" s="218">
        <f>+'Monthly Detail'!AL17</f>
        <v>28</v>
      </c>
      <c r="N25" s="433">
        <f>+'Monthly Detail'!AM17</f>
        <v>25</v>
      </c>
      <c r="P25" s="466"/>
    </row>
    <row r="26" spans="2:17" hidden="1" x14ac:dyDescent="0.25">
      <c r="B26" s="214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476"/>
      <c r="O26" s="7"/>
      <c r="P26" s="466"/>
    </row>
    <row r="27" spans="2:17" x14ac:dyDescent="0.25">
      <c r="B27" s="214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476"/>
      <c r="O27" s="7"/>
      <c r="P27" s="466"/>
    </row>
    <row r="28" spans="2:17" x14ac:dyDescent="0.25">
      <c r="B28" s="214" t="s">
        <v>217</v>
      </c>
      <c r="C28" s="74">
        <f>SUMIF('Monthly Detail'!$4:$4, '2024 Overview'!C$19, 'Monthly Detail'!58:58)</f>
        <v>144.34</v>
      </c>
      <c r="D28" s="77">
        <f>SUMIF('Monthly Detail'!$4:$4, '2024 Overview'!D$19, 'Monthly Detail'!58:58)</f>
        <v>195.79</v>
      </c>
      <c r="E28" s="77">
        <f>SUMIF('Monthly Detail'!$4:$4, '2024 Overview'!E$19, 'Monthly Detail'!58:58)</f>
        <v>210.1</v>
      </c>
      <c r="F28" s="77">
        <f>SUMIF('Monthly Detail'!$4:$4, '2024 Overview'!F$19, 'Monthly Detail'!58:58)</f>
        <v>193.92</v>
      </c>
      <c r="G28" s="77">
        <f>SUMIF('Monthly Detail'!$4:$4, '2024 Overview'!G$19, 'Monthly Detail'!58:58)</f>
        <v>192.8</v>
      </c>
      <c r="H28" s="77">
        <f>SUMIF('Monthly Detail'!$4:$4, '2024 Overview'!H$19, 'Monthly Detail'!58:58)</f>
        <v>204.71</v>
      </c>
      <c r="I28" s="77">
        <f>SUMIF('Monthly Detail'!$4:$4, '2024 Overview'!I$19, 'Monthly Detail'!58:58)</f>
        <v>174.91</v>
      </c>
      <c r="J28" s="77">
        <f>SUMIF('Monthly Detail'!$4:$4, '2024 Overview'!J$19, 'Monthly Detail'!58:58)</f>
        <v>191.38</v>
      </c>
      <c r="K28" s="77">
        <f>SUMIF('Monthly Detail'!$4:$4, '2024 Overview'!K$19, 'Monthly Detail'!58:58)</f>
        <v>128.31</v>
      </c>
      <c r="L28" s="77">
        <f>SUMIF('Monthly Detail'!$4:$4, '2024 Overview'!L$19, 'Monthly Detail'!58:58)</f>
        <v>231.31</v>
      </c>
      <c r="M28" s="77">
        <f>SUMIF('Monthly Detail'!$4:$4, '2024 Overview'!M$19, 'Monthly Detail'!58:58)</f>
        <v>160.15</v>
      </c>
      <c r="N28" s="476">
        <f>SUMIF('Monthly Detail'!$4:$4, '2024 Overview'!N$19, 'Monthly Detail'!58:58)</f>
        <v>171.4</v>
      </c>
      <c r="O28" s="7"/>
      <c r="P28" s="466">
        <f>+SUM(C28:N28)</f>
        <v>2199.1200000000003</v>
      </c>
    </row>
    <row r="29" spans="2:17" x14ac:dyDescent="0.25">
      <c r="B29" s="214" t="s">
        <v>216</v>
      </c>
      <c r="C29" s="74">
        <f>SUMIF('Monthly Detail'!$4:$4, '2024 Overview'!C$19, 'Monthly Detail'!59:59)</f>
        <v>359.46</v>
      </c>
      <c r="D29" s="77">
        <f>SUMIF('Monthly Detail'!$4:$4, '2024 Overview'!D$19, 'Monthly Detail'!59:59)</f>
        <v>458.1</v>
      </c>
      <c r="E29" s="77">
        <f>SUMIF('Monthly Detail'!$4:$4, '2024 Overview'!E$19, 'Monthly Detail'!59:59)</f>
        <v>321.74</v>
      </c>
      <c r="F29" s="77">
        <f>SUMIF('Monthly Detail'!$4:$4, '2024 Overview'!F$19, 'Monthly Detail'!59:59)</f>
        <v>142.87</v>
      </c>
      <c r="G29" s="77">
        <f>SUMIF('Monthly Detail'!$4:$4, '2024 Overview'!G$19, 'Monthly Detail'!59:59)</f>
        <v>753.32</v>
      </c>
      <c r="H29" s="77">
        <f>SUMIF('Monthly Detail'!$4:$4, '2024 Overview'!H$19, 'Monthly Detail'!59:59)</f>
        <v>314.89999999999998</v>
      </c>
      <c r="I29" s="77">
        <f>SUMIF('Monthly Detail'!$4:$4, '2024 Overview'!I$19, 'Monthly Detail'!59:59)</f>
        <v>165.74</v>
      </c>
      <c r="J29" s="77">
        <f>SUMIF('Monthly Detail'!$4:$4, '2024 Overview'!J$19, 'Monthly Detail'!59:59)</f>
        <v>38.46</v>
      </c>
      <c r="K29" s="77">
        <f>SUMIF('Monthly Detail'!$4:$4, '2024 Overview'!K$19, 'Monthly Detail'!59:59)</f>
        <v>28.36</v>
      </c>
      <c r="L29" s="77">
        <f>SUMIF('Monthly Detail'!$4:$4, '2024 Overview'!L$19, 'Monthly Detail'!59:59)</f>
        <v>357.18</v>
      </c>
      <c r="M29" s="77">
        <f>SUMIF('Monthly Detail'!$4:$4, '2024 Overview'!M$19, 'Monthly Detail'!59:59)</f>
        <v>356.29</v>
      </c>
      <c r="N29" s="476">
        <f>SUMIF('Monthly Detail'!$4:$4, '2024 Overview'!N$19, 'Monthly Detail'!59:59)</f>
        <v>589.19000000000005</v>
      </c>
      <c r="O29" s="7"/>
      <c r="P29" s="466">
        <f>+SUM(C29:N29)</f>
        <v>3885.61</v>
      </c>
    </row>
    <row r="30" spans="2:17" x14ac:dyDescent="0.25">
      <c r="B30" s="214" t="s">
        <v>303</v>
      </c>
      <c r="C30" s="74">
        <f>SUMIF('Monthly Detail'!$4:$4, '2024 Overview'!C$19, 'Monthly Detail'!60:60)</f>
        <v>0</v>
      </c>
      <c r="D30" s="77">
        <f>SUMIF('Monthly Detail'!$4:$4, '2024 Overview'!D$19, 'Monthly Detail'!60:60)</f>
        <v>0</v>
      </c>
      <c r="E30" s="77">
        <f>SUMIF('Monthly Detail'!$4:$4, '2024 Overview'!E$19, 'Monthly Detail'!60:60)</f>
        <v>0</v>
      </c>
      <c r="F30" s="77">
        <f>SUMIF('Monthly Detail'!$4:$4, '2024 Overview'!F$19, 'Monthly Detail'!60:60)</f>
        <v>0</v>
      </c>
      <c r="G30" s="77">
        <f>SUMIF('Monthly Detail'!$4:$4, '2024 Overview'!G$19, 'Monthly Detail'!60:60)</f>
        <v>475</v>
      </c>
      <c r="H30" s="77">
        <f>SUMIF('Monthly Detail'!$4:$4, '2024 Overview'!H$19, 'Monthly Detail'!60:60)</f>
        <v>765</v>
      </c>
      <c r="I30" s="77">
        <f>SUMIF('Monthly Detail'!$4:$4, '2024 Overview'!I$19, 'Monthly Detail'!60:60)</f>
        <v>394</v>
      </c>
      <c r="J30" s="77">
        <f>SUMIF('Monthly Detail'!$4:$4, '2024 Overview'!J$19, 'Monthly Detail'!60:60)</f>
        <v>610</v>
      </c>
      <c r="K30" s="77">
        <f>SUMIF('Monthly Detail'!$4:$4, '2024 Overview'!K$19, 'Monthly Detail'!60:60)</f>
        <v>210</v>
      </c>
      <c r="L30" s="77">
        <f>SUMIF('Monthly Detail'!$4:$4, '2024 Overview'!L$19, 'Monthly Detail'!60:60)</f>
        <v>770</v>
      </c>
      <c r="M30" s="77">
        <f>SUMIF('Monthly Detail'!$4:$4, '2024 Overview'!M$19, 'Monthly Detail'!60:60)</f>
        <v>432</v>
      </c>
      <c r="N30" s="476">
        <f>SUMIF('Monthly Detail'!$4:$4, '2024 Overview'!N$19, 'Monthly Detail'!60:60)</f>
        <v>470</v>
      </c>
      <c r="O30" s="7"/>
      <c r="P30" s="466">
        <f>+SUM(C30:N30)</f>
        <v>4126</v>
      </c>
    </row>
    <row r="31" spans="2:17" ht="15.75" x14ac:dyDescent="0.25">
      <c r="B31" s="223" t="s">
        <v>232</v>
      </c>
      <c r="C31" s="89">
        <f t="shared" ref="C31:N31" si="1">SUM(C28:C30)</f>
        <v>503.79999999999995</v>
      </c>
      <c r="D31" s="89">
        <f t="shared" si="1"/>
        <v>653.89</v>
      </c>
      <c r="E31" s="89">
        <f t="shared" si="1"/>
        <v>531.84</v>
      </c>
      <c r="F31" s="89">
        <f t="shared" si="1"/>
        <v>336.78999999999996</v>
      </c>
      <c r="G31" s="89">
        <f t="shared" si="1"/>
        <v>1421.1200000000001</v>
      </c>
      <c r="H31" s="89">
        <f t="shared" si="1"/>
        <v>1284.6100000000001</v>
      </c>
      <c r="I31" s="89">
        <f t="shared" si="1"/>
        <v>734.65</v>
      </c>
      <c r="J31" s="89">
        <f t="shared" si="1"/>
        <v>839.84</v>
      </c>
      <c r="K31" s="89">
        <f t="shared" si="1"/>
        <v>366.67</v>
      </c>
      <c r="L31" s="89">
        <f t="shared" si="1"/>
        <v>1358.49</v>
      </c>
      <c r="M31" s="89">
        <f t="shared" si="1"/>
        <v>948.44</v>
      </c>
      <c r="N31" s="328">
        <f t="shared" si="1"/>
        <v>1230.5900000000001</v>
      </c>
      <c r="P31" s="467">
        <f>SUM(P28:P30)</f>
        <v>10210.73</v>
      </c>
    </row>
    <row r="32" spans="2:17" ht="5.65" customHeight="1" x14ac:dyDescent="0.25">
      <c r="B32" s="214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476"/>
      <c r="O32" s="7"/>
      <c r="P32" s="466"/>
    </row>
    <row r="33" spans="2:20" ht="15.75" x14ac:dyDescent="0.25">
      <c r="B33" s="223" t="s">
        <v>147</v>
      </c>
      <c r="C33" s="89">
        <f t="shared" ref="C33:N33" si="2">+C22-C31</f>
        <v>5224.7</v>
      </c>
      <c r="D33" s="89">
        <f t="shared" si="2"/>
        <v>6092.36</v>
      </c>
      <c r="E33" s="89">
        <f t="shared" si="2"/>
        <v>7107.41</v>
      </c>
      <c r="F33" s="89">
        <f t="shared" si="2"/>
        <v>7480.21</v>
      </c>
      <c r="G33" s="89">
        <f t="shared" si="2"/>
        <v>6626.88</v>
      </c>
      <c r="H33" s="89">
        <f t="shared" si="2"/>
        <v>5869.3899999999994</v>
      </c>
      <c r="I33" s="89">
        <f t="shared" si="2"/>
        <v>5280.85</v>
      </c>
      <c r="J33" s="89">
        <f t="shared" si="2"/>
        <v>6455.16</v>
      </c>
      <c r="K33" s="89">
        <f t="shared" si="2"/>
        <v>4171.33</v>
      </c>
      <c r="L33" s="89">
        <f t="shared" si="2"/>
        <v>6338.51</v>
      </c>
      <c r="M33" s="89">
        <f t="shared" si="2"/>
        <v>3990.31</v>
      </c>
      <c r="N33" s="328">
        <f t="shared" si="2"/>
        <v>4921.41</v>
      </c>
      <c r="P33" s="467">
        <f>+SUM(C33:N33)</f>
        <v>69558.51999999999</v>
      </c>
    </row>
    <row r="34" spans="2:20" x14ac:dyDescent="0.25">
      <c r="B34" s="225" t="s">
        <v>148</v>
      </c>
      <c r="C34" s="91">
        <f t="shared" ref="C34:N34" si="3">IFERROR(C33/C22, 0)</f>
        <v>0.91205376625643708</v>
      </c>
      <c r="D34" s="91">
        <f t="shared" si="3"/>
        <v>0.90307355938484335</v>
      </c>
      <c r="E34" s="91">
        <f t="shared" si="3"/>
        <v>0.93038060018980917</v>
      </c>
      <c r="F34" s="91">
        <f t="shared" si="3"/>
        <v>0.95691569655878217</v>
      </c>
      <c r="G34" s="91">
        <f t="shared" si="3"/>
        <v>0.82341948310139168</v>
      </c>
      <c r="H34" s="91">
        <f t="shared" si="3"/>
        <v>0.82043472183393895</v>
      </c>
      <c r="I34" s="91">
        <f t="shared" si="3"/>
        <v>0.87787382594963015</v>
      </c>
      <c r="J34" s="91">
        <f t="shared" si="3"/>
        <v>0.88487457162440031</v>
      </c>
      <c r="K34" s="91">
        <f t="shared" si="3"/>
        <v>0.919200088144557</v>
      </c>
      <c r="L34" s="91">
        <f t="shared" si="3"/>
        <v>0.82350396258282454</v>
      </c>
      <c r="M34" s="91">
        <f t="shared" si="3"/>
        <v>0.80795950392305749</v>
      </c>
      <c r="N34" s="330">
        <f t="shared" si="3"/>
        <v>0.7999691157347204</v>
      </c>
      <c r="P34" s="468">
        <f>P33/P22</f>
        <v>0.87199666538171028</v>
      </c>
      <c r="T34" s="1"/>
    </row>
    <row r="35" spans="2:20" ht="3" customHeight="1" x14ac:dyDescent="0.25">
      <c r="B35" s="214"/>
      <c r="N35" s="251"/>
      <c r="O35" s="227"/>
      <c r="P35" s="461"/>
    </row>
    <row r="36" spans="2:20" x14ac:dyDescent="0.25">
      <c r="B36" s="214" t="s">
        <v>185</v>
      </c>
      <c r="C36" s="74">
        <f>SUMIF('Monthly Detail'!$4:$4, '2024 Overview'!C$19, 'Monthly Detail'!$89:$89)</f>
        <v>959.96</v>
      </c>
      <c r="D36" s="74">
        <f>SUMIF('Monthly Detail'!$4:$4, '2024 Overview'!D$19, 'Monthly Detail'!$89:$89)</f>
        <v>850.04</v>
      </c>
      <c r="E36" s="74">
        <f>SUMIF('Monthly Detail'!$4:$4, '2024 Overview'!E$19, 'Monthly Detail'!$89:$89)</f>
        <v>791.98</v>
      </c>
      <c r="F36" s="74">
        <f>SUMIF('Monthly Detail'!$4:$4, '2024 Overview'!F$19, 'Monthly Detail'!$89:$89)</f>
        <v>1208.6299999999999</v>
      </c>
      <c r="G36" s="74">
        <f>SUMIF('Monthly Detail'!$4:$4, '2024 Overview'!G$19, 'Monthly Detail'!$89:$89)</f>
        <v>2664.6200000000003</v>
      </c>
      <c r="H36" s="74">
        <f>SUMIF('Monthly Detail'!$4:$4, '2024 Overview'!H$19, 'Monthly Detail'!$89:$89)</f>
        <v>2227.69</v>
      </c>
      <c r="I36" s="74">
        <f>SUMIF('Monthly Detail'!$4:$4, '2024 Overview'!I$19, 'Monthly Detail'!$89:$89)</f>
        <v>1832.3400000000001</v>
      </c>
      <c r="J36" s="74">
        <f>SUMIF('Monthly Detail'!$4:$4, '2024 Overview'!J$19, 'Monthly Detail'!$89:$89)</f>
        <v>2698.71</v>
      </c>
      <c r="K36" s="74">
        <f>SUMIF('Monthly Detail'!$4:$4, '2024 Overview'!K$19, 'Monthly Detail'!$89:$89)</f>
        <v>2232.4700000000003</v>
      </c>
      <c r="L36" s="74">
        <f>SUMIF('Monthly Detail'!$4:$4, '2024 Overview'!L$19, 'Monthly Detail'!$89:$89)</f>
        <v>2114.83</v>
      </c>
      <c r="M36" s="74">
        <f>SUMIF('Monthly Detail'!$4:$4, '2024 Overview'!M$19, 'Monthly Detail'!$89:$89)</f>
        <v>2712.35</v>
      </c>
      <c r="N36" s="474">
        <f>SUMIF('Monthly Detail'!$4:$4, '2024 Overview'!N$19, 'Monthly Detail'!$89:$89)</f>
        <v>2293.4699999999998</v>
      </c>
      <c r="P36" s="462">
        <f>SUM(C36:O36)</f>
        <v>22587.090000000004</v>
      </c>
    </row>
    <row r="37" spans="2:20" ht="15.75" x14ac:dyDescent="0.25">
      <c r="B37" s="228" t="s">
        <v>149</v>
      </c>
      <c r="C37" s="80">
        <f t="shared" ref="C37:N37" si="4">SUM(C36:C36)</f>
        <v>959.96</v>
      </c>
      <c r="D37" s="80">
        <f t="shared" si="4"/>
        <v>850.04</v>
      </c>
      <c r="E37" s="80">
        <f t="shared" si="4"/>
        <v>791.98</v>
      </c>
      <c r="F37" s="80">
        <f t="shared" si="4"/>
        <v>1208.6299999999999</v>
      </c>
      <c r="G37" s="80">
        <f t="shared" si="4"/>
        <v>2664.6200000000003</v>
      </c>
      <c r="H37" s="80">
        <f t="shared" si="4"/>
        <v>2227.69</v>
      </c>
      <c r="I37" s="80">
        <f t="shared" si="4"/>
        <v>1832.3400000000001</v>
      </c>
      <c r="J37" s="80">
        <f t="shared" si="4"/>
        <v>2698.71</v>
      </c>
      <c r="K37" s="80">
        <f t="shared" si="4"/>
        <v>2232.4700000000003</v>
      </c>
      <c r="L37" s="80">
        <f t="shared" si="4"/>
        <v>2114.83</v>
      </c>
      <c r="M37" s="80">
        <f t="shared" si="4"/>
        <v>2712.35</v>
      </c>
      <c r="N37" s="334">
        <f t="shared" si="4"/>
        <v>2293.4699999999998</v>
      </c>
      <c r="O37" s="229"/>
      <c r="P37" s="469">
        <f>SUM(P36:P36)</f>
        <v>22587.090000000004</v>
      </c>
    </row>
    <row r="38" spans="2:20" ht="4.9000000000000004" customHeight="1" x14ac:dyDescent="0.25">
      <c r="B38" s="214"/>
      <c r="N38" s="251"/>
      <c r="O38" s="7"/>
      <c r="P38" s="461"/>
    </row>
    <row r="39" spans="2:20" ht="15.75" x14ac:dyDescent="0.25">
      <c r="B39" s="223" t="s">
        <v>150</v>
      </c>
      <c r="C39" s="89">
        <f t="shared" ref="C39:N39" si="5">C33-C37</f>
        <v>4264.74</v>
      </c>
      <c r="D39" s="89">
        <f t="shared" si="5"/>
        <v>5242.32</v>
      </c>
      <c r="E39" s="89">
        <f t="shared" si="5"/>
        <v>6315.43</v>
      </c>
      <c r="F39" s="89">
        <f t="shared" si="5"/>
        <v>6271.58</v>
      </c>
      <c r="G39" s="89">
        <f t="shared" si="5"/>
        <v>3962.2599999999998</v>
      </c>
      <c r="H39" s="89">
        <f t="shared" si="5"/>
        <v>3641.6999999999994</v>
      </c>
      <c r="I39" s="89">
        <f t="shared" si="5"/>
        <v>3448.51</v>
      </c>
      <c r="J39" s="89">
        <f t="shared" si="5"/>
        <v>3756.45</v>
      </c>
      <c r="K39" s="89">
        <f t="shared" si="5"/>
        <v>1938.8599999999997</v>
      </c>
      <c r="L39" s="89">
        <f t="shared" si="5"/>
        <v>4223.68</v>
      </c>
      <c r="M39" s="89">
        <f t="shared" si="5"/>
        <v>1277.96</v>
      </c>
      <c r="N39" s="328">
        <f t="shared" si="5"/>
        <v>2627.94</v>
      </c>
      <c r="P39" s="467">
        <f>P33-P37</f>
        <v>46971.429999999986</v>
      </c>
    </row>
    <row r="40" spans="2:20" x14ac:dyDescent="0.25">
      <c r="B40" s="225" t="s">
        <v>151</v>
      </c>
      <c r="C40" s="91">
        <f t="shared" ref="C40:N40" si="6">IFERROR(C39/C22, 0)</f>
        <v>0.74447761194029849</v>
      </c>
      <c r="D40" s="91">
        <f t="shared" si="6"/>
        <v>0.77707170650361312</v>
      </c>
      <c r="E40" s="91">
        <f t="shared" si="6"/>
        <v>0.8267081192525445</v>
      </c>
      <c r="F40" s="91">
        <f t="shared" si="6"/>
        <v>0.80230011513368293</v>
      </c>
      <c r="G40" s="91">
        <f t="shared" si="6"/>
        <v>0.49232852882703776</v>
      </c>
      <c r="H40" s="91">
        <f t="shared" si="6"/>
        <v>0.50904389152921437</v>
      </c>
      <c r="I40" s="91">
        <f t="shared" si="6"/>
        <v>0.57327071731360657</v>
      </c>
      <c r="J40" s="91">
        <f t="shared" si="6"/>
        <v>0.51493488690884159</v>
      </c>
      <c r="K40" s="91">
        <f t="shared" si="6"/>
        <v>0.42724988981930356</v>
      </c>
      <c r="L40" s="91">
        <f t="shared" si="6"/>
        <v>0.54874366636351835</v>
      </c>
      <c r="M40" s="91">
        <f t="shared" si="6"/>
        <v>0.25876183244748163</v>
      </c>
      <c r="N40" s="330">
        <f t="shared" si="6"/>
        <v>0.42716840052015603</v>
      </c>
      <c r="O40" s="133"/>
      <c r="P40" s="468">
        <f>P39/P22</f>
        <v>0.58884131416554608</v>
      </c>
    </row>
    <row r="41" spans="2:20" ht="5.65" customHeight="1" x14ac:dyDescent="0.25">
      <c r="B41" s="230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477"/>
      <c r="O41" s="229"/>
      <c r="P41" s="470"/>
    </row>
    <row r="42" spans="2:20" x14ac:dyDescent="0.25">
      <c r="B42" s="214" t="s">
        <v>152</v>
      </c>
      <c r="C42" s="133">
        <f>SUMIF('Monthly Detail'!$4:$4, '2024 Overview'!C$19, 'Monthly Detail'!130:130)</f>
        <v>0</v>
      </c>
      <c r="D42" s="133">
        <f>SUMIF('Monthly Detail'!$4:$4, '2024 Overview'!D$19, 'Monthly Detail'!130:130)</f>
        <v>0</v>
      </c>
      <c r="E42" s="133">
        <f>SUMIF('Monthly Detail'!$4:$4, '2024 Overview'!E$19, 'Monthly Detail'!130:130)</f>
        <v>0</v>
      </c>
      <c r="F42" s="133">
        <f>SUMIF('Monthly Detail'!$4:$4, '2024 Overview'!F$19, 'Monthly Detail'!130:130)</f>
        <v>0</v>
      </c>
      <c r="G42" s="133">
        <f>SUMIF('Monthly Detail'!$4:$4, '2024 Overview'!G$19, 'Monthly Detail'!130:130)</f>
        <v>0</v>
      </c>
      <c r="H42" s="133">
        <f>SUMIF('Monthly Detail'!$4:$4, '2024 Overview'!H$19, 'Monthly Detail'!130:130)</f>
        <v>0</v>
      </c>
      <c r="I42" s="133">
        <f>SUMIF('Monthly Detail'!$4:$4, '2024 Overview'!I$19, 'Monthly Detail'!130:130)</f>
        <v>0</v>
      </c>
      <c r="J42" s="133">
        <f>SUMIF('Monthly Detail'!$4:$4, '2024 Overview'!J$19, 'Monthly Detail'!130:130)</f>
        <v>0</v>
      </c>
      <c r="K42" s="133">
        <f>SUMIF('Monthly Detail'!$4:$4, '2024 Overview'!K$19, 'Monthly Detail'!130:130)</f>
        <v>0</v>
      </c>
      <c r="L42" s="133">
        <f>SUMIF('Monthly Detail'!$4:$4, '2024 Overview'!L$19, 'Monthly Detail'!130:130)</f>
        <v>0</v>
      </c>
      <c r="M42" s="133">
        <f>SUMIF('Monthly Detail'!$4:$4, '2024 Overview'!M$19, 'Monthly Detail'!130:130)</f>
        <v>0</v>
      </c>
      <c r="N42" s="478">
        <f>SUMIF('Monthly Detail'!$4:$4, '2024 Overview'!N$19, 'Monthly Detail'!130:130)</f>
        <v>0</v>
      </c>
      <c r="O42" s="7"/>
      <c r="P42" s="471">
        <f>SUM(C42:O42)</f>
        <v>0</v>
      </c>
    </row>
    <row r="43" spans="2:20" ht="15.75" x14ac:dyDescent="0.25">
      <c r="B43" s="223" t="s">
        <v>11</v>
      </c>
      <c r="C43" s="89">
        <f t="shared" ref="C43:N43" si="7">C39+SUM(C42:C42)</f>
        <v>4264.74</v>
      </c>
      <c r="D43" s="89">
        <f t="shared" si="7"/>
        <v>5242.32</v>
      </c>
      <c r="E43" s="89">
        <f t="shared" si="7"/>
        <v>6315.43</v>
      </c>
      <c r="F43" s="89">
        <f t="shared" si="7"/>
        <v>6271.58</v>
      </c>
      <c r="G43" s="89">
        <f t="shared" si="7"/>
        <v>3962.2599999999998</v>
      </c>
      <c r="H43" s="89">
        <f t="shared" si="7"/>
        <v>3641.6999999999994</v>
      </c>
      <c r="I43" s="89">
        <f t="shared" si="7"/>
        <v>3448.51</v>
      </c>
      <c r="J43" s="89">
        <f t="shared" si="7"/>
        <v>3756.45</v>
      </c>
      <c r="K43" s="89">
        <f t="shared" si="7"/>
        <v>1938.8599999999997</v>
      </c>
      <c r="L43" s="89">
        <f t="shared" si="7"/>
        <v>4223.68</v>
      </c>
      <c r="M43" s="89">
        <f t="shared" si="7"/>
        <v>1277.96</v>
      </c>
      <c r="N43" s="328">
        <f t="shared" si="7"/>
        <v>2627.94</v>
      </c>
      <c r="P43" s="467">
        <f>P39+SUM(P42:P42)</f>
        <v>46971.429999999986</v>
      </c>
    </row>
    <row r="44" spans="2:20" x14ac:dyDescent="0.25">
      <c r="B44" s="225" t="s">
        <v>153</v>
      </c>
      <c r="C44" s="91">
        <f t="shared" ref="C44:N44" si="8">IFERROR(C43/C22, 0)</f>
        <v>0.74447761194029849</v>
      </c>
      <c r="D44" s="91">
        <f t="shared" si="8"/>
        <v>0.77707170650361312</v>
      </c>
      <c r="E44" s="91">
        <f t="shared" si="8"/>
        <v>0.8267081192525445</v>
      </c>
      <c r="F44" s="91">
        <f t="shared" si="8"/>
        <v>0.80230011513368293</v>
      </c>
      <c r="G44" s="91">
        <f t="shared" si="8"/>
        <v>0.49232852882703776</v>
      </c>
      <c r="H44" s="91">
        <f t="shared" si="8"/>
        <v>0.50904389152921437</v>
      </c>
      <c r="I44" s="91">
        <f t="shared" si="8"/>
        <v>0.57327071731360657</v>
      </c>
      <c r="J44" s="91">
        <f t="shared" si="8"/>
        <v>0.51493488690884159</v>
      </c>
      <c r="K44" s="91">
        <f t="shared" si="8"/>
        <v>0.42724988981930356</v>
      </c>
      <c r="L44" s="91">
        <f t="shared" si="8"/>
        <v>0.54874366636351835</v>
      </c>
      <c r="M44" s="91">
        <f t="shared" si="8"/>
        <v>0.25876183244748163</v>
      </c>
      <c r="N44" s="330">
        <f t="shared" si="8"/>
        <v>0.42716840052015603</v>
      </c>
      <c r="P44" s="472">
        <f>P43/P22</f>
        <v>0.58884131416554608</v>
      </c>
    </row>
    <row r="45" spans="2:20" ht="6" customHeight="1" thickBot="1" x14ac:dyDescent="0.3">
      <c r="B45" s="214"/>
      <c r="E45" s="110"/>
      <c r="P45" s="98"/>
    </row>
    <row r="46" spans="2:20" ht="15.75" thickBot="1" x14ac:dyDescent="0.3">
      <c r="B46" s="232" t="s">
        <v>301</v>
      </c>
      <c r="C46" s="234">
        <f>+'Monthly Detail'!AB112</f>
        <v>606.71</v>
      </c>
      <c r="D46" s="233">
        <f>+'Monthly Detail'!AC112</f>
        <v>679.75049999999999</v>
      </c>
      <c r="E46" s="233">
        <f>+'Monthly Detail'!AD112</f>
        <v>1825.2845000000002</v>
      </c>
      <c r="F46" s="233">
        <f>+'Monthly Detail'!AE112</f>
        <v>1156.9480000000001</v>
      </c>
      <c r="G46" s="235">
        <f>+'Monthly Detail'!AF112</f>
        <v>1696.8445000000002</v>
      </c>
      <c r="H46" s="235">
        <f>+'Monthly Detail'!AG112</f>
        <v>1703.2404999999999</v>
      </c>
      <c r="I46" s="235">
        <f>+'Monthly Detail'!AH112</f>
        <v>1893.2809999999999</v>
      </c>
      <c r="J46" s="235">
        <f>+'Monthly Detail'!AI112</f>
        <v>689.98800000000006</v>
      </c>
      <c r="K46" s="235">
        <f>+'Monthly Detail'!AJ112</f>
        <v>80.255500000000012</v>
      </c>
      <c r="L46" s="234">
        <f>+'Monthly Detail'!AK112</f>
        <v>1476.6829999999998</v>
      </c>
      <c r="M46" s="233">
        <f>+'Monthly Detail'!AL112</f>
        <v>1193.8355000000001</v>
      </c>
      <c r="N46" s="235">
        <f>+'Monthly Detail'!AM112</f>
        <v>926.9</v>
      </c>
      <c r="P46" s="98"/>
    </row>
    <row r="47" spans="2:20" ht="15.75" thickBot="1" x14ac:dyDescent="0.3">
      <c r="B47" s="437" t="s">
        <v>302</v>
      </c>
      <c r="C47" s="438">
        <f>+'Monthly Detail'!AB106</f>
        <v>130.91</v>
      </c>
      <c r="D47" s="439">
        <f>+'Monthly Detail'!AC106</f>
        <v>33.950000000000003</v>
      </c>
      <c r="E47" s="439">
        <f>+'Monthly Detail'!AD106</f>
        <v>770.48</v>
      </c>
      <c r="F47" s="439">
        <f>+'Monthly Detail'!AE106</f>
        <v>79.36</v>
      </c>
      <c r="G47" s="440">
        <f>+'Monthly Detail'!AF106</f>
        <v>107.93</v>
      </c>
      <c r="H47" s="440">
        <f>+'Monthly Detail'!AG106</f>
        <v>496.7</v>
      </c>
      <c r="I47" s="440">
        <f>+'Monthly Detail'!AH106</f>
        <v>27.5</v>
      </c>
      <c r="J47" s="440">
        <f>+'Monthly Detail'!AI106</f>
        <v>53.18</v>
      </c>
      <c r="K47" s="440">
        <f>+'Monthly Detail'!AJ106</f>
        <v>110.31</v>
      </c>
      <c r="L47" s="438">
        <f>+'Monthly Detail'!AK106</f>
        <v>540.47</v>
      </c>
      <c r="M47" s="439">
        <f>+'Monthly Detail'!AL106</f>
        <v>28.95</v>
      </c>
      <c r="N47" s="440">
        <f>+'Monthly Detail'!AM106</f>
        <v>92.91</v>
      </c>
      <c r="P47" s="98"/>
    </row>
    <row r="48" spans="2:20" ht="15.75" thickBot="1" x14ac:dyDescent="0.3">
      <c r="B48" s="236" t="s">
        <v>279</v>
      </c>
      <c r="C48" s="434">
        <f>+'Monthly Detail'!AB173</f>
        <v>933.39999999999964</v>
      </c>
      <c r="D48" s="435">
        <f>+'Monthly Detail'!AC173</f>
        <v>1045.7699999999986</v>
      </c>
      <c r="E48" s="435">
        <f>+'Monthly Detail'!AD173</f>
        <v>2808.1299999999983</v>
      </c>
      <c r="F48" s="435">
        <f>+'Monthly Detail'!AE173</f>
        <v>1779.92</v>
      </c>
      <c r="G48" s="436">
        <f>+'Monthly Detail'!AF173</f>
        <v>2610.5300000000007</v>
      </c>
      <c r="H48" s="436">
        <f>+'Monthly Detail'!AG173</f>
        <v>2620.3699999999967</v>
      </c>
      <c r="I48" s="436">
        <f>+'Monthly Detail'!AH173</f>
        <v>2912.74</v>
      </c>
      <c r="J48" s="436">
        <f>+'Monthly Detail'!AI173</f>
        <v>1061.5200000000009</v>
      </c>
      <c r="K48" s="436">
        <f>+'Monthly Detail'!AJ173</f>
        <v>123.46999999999639</v>
      </c>
      <c r="L48" s="434">
        <f>+'Monthly Detail'!AK173</f>
        <v>2271.8199999999979</v>
      </c>
      <c r="M48" s="435">
        <f>+'Monthly Detail'!AL173</f>
        <v>1836.6700000000003</v>
      </c>
      <c r="N48" s="436">
        <f>+'Monthly Detail'!AM173</f>
        <v>1425.9999999999984</v>
      </c>
      <c r="P48" s="98"/>
    </row>
    <row r="49" spans="2:16" ht="15.75" thickBot="1" x14ac:dyDescent="0.3">
      <c r="B49" s="86" t="s">
        <v>225</v>
      </c>
      <c r="C49" s="87">
        <f>SUMIF('Monthly Detail'!$4:$4, '2024 Overview'!C$19, 'Monthly Detail'!170:170)</f>
        <v>933.39999999999964</v>
      </c>
      <c r="D49" s="164">
        <f>SUMIF('Monthly Detail'!$4:$4, '2024 Overview'!D$19, 'Monthly Detail'!170:170)</f>
        <v>112.36999999999898</v>
      </c>
      <c r="E49" s="164">
        <f>SUMIF('Monthly Detail'!$4:$4, '2024 Overview'!E$19, 'Monthly Detail'!170:170)</f>
        <v>1762.3599999999997</v>
      </c>
      <c r="F49" s="164">
        <f>SUMIF('Monthly Detail'!$4:$4, '2024 Overview'!F$19, 'Monthly Detail'!170:170)</f>
        <v>-1028.2099999999982</v>
      </c>
      <c r="G49" s="164">
        <f>SUMIF('Monthly Detail'!$4:$4, '2024 Overview'!G$19, 'Monthly Detail'!170:170)</f>
        <v>830.61000000000058</v>
      </c>
      <c r="H49" s="164">
        <f>SUMIF('Monthly Detail'!$4:$4, '2024 Overview'!H$19, 'Monthly Detail'!170:170)</f>
        <v>9.8399999999960528</v>
      </c>
      <c r="I49" s="164">
        <f>SUMIF('Monthly Detail'!$4:$4, '2024 Overview'!I$19, 'Monthly Detail'!170:170)</f>
        <v>292.37000000000307</v>
      </c>
      <c r="J49" s="164">
        <f>SUMIF('Monthly Detail'!$4:$4, '2024 Overview'!J$19, 'Monthly Detail'!170:170)</f>
        <v>-1851.2199999999989</v>
      </c>
      <c r="K49" s="164">
        <f>SUMIF('Monthly Detail'!$4:$4, '2024 Overview'!K$19, 'Monthly Detail'!170:170)</f>
        <v>-938.0500000000045</v>
      </c>
      <c r="L49" s="164">
        <f>SUMIF('Monthly Detail'!$4:$4, '2024 Overview'!L$19, 'Monthly Detail'!170:170)</f>
        <v>2148.3500000000013</v>
      </c>
      <c r="M49" s="87">
        <f>SUMIF('Monthly Detail'!$4:$4, '2024 Overview'!M$19, 'Monthly Detail'!170:170)</f>
        <v>-435.14999999999759</v>
      </c>
      <c r="N49" s="87">
        <f>SUMIF('Monthly Detail'!$4:$4, '2024 Overview'!N$19, 'Monthly Detail'!170:170)</f>
        <v>-410.67000000000189</v>
      </c>
      <c r="P49" s="98"/>
    </row>
    <row r="50" spans="2:16" ht="15.75" thickBot="1" x14ac:dyDescent="0.3">
      <c r="B50" s="237" t="s">
        <v>226</v>
      </c>
      <c r="C50" s="238">
        <f>-'Monthly Detail'!AB89</f>
        <v>-959.96</v>
      </c>
      <c r="D50" s="239">
        <f>-'Monthly Detail'!AC89</f>
        <v>-850.04</v>
      </c>
      <c r="E50" s="239">
        <f>-'Monthly Detail'!AD89</f>
        <v>-791.98</v>
      </c>
      <c r="F50" s="239">
        <f>-'Monthly Detail'!AE89</f>
        <v>-1208.6299999999999</v>
      </c>
      <c r="G50" s="239">
        <f>-'Monthly Detail'!AF89</f>
        <v>-2664.6200000000003</v>
      </c>
      <c r="H50" s="239">
        <f>-'Monthly Detail'!AG89</f>
        <v>-2227.69</v>
      </c>
      <c r="I50" s="239">
        <f>-'Monthly Detail'!AH89</f>
        <v>-1832.3400000000001</v>
      </c>
      <c r="J50" s="239">
        <f>-'Monthly Detail'!AI89</f>
        <v>-2698.71</v>
      </c>
      <c r="K50" s="239">
        <f>-'Monthly Detail'!AJ89</f>
        <v>-2232.4700000000003</v>
      </c>
      <c r="L50" s="239">
        <f>-'Monthly Detail'!AK89</f>
        <v>-2114.83</v>
      </c>
      <c r="M50" s="239">
        <f>-'Monthly Detail'!AL89</f>
        <v>-2712.35</v>
      </c>
      <c r="N50" s="239">
        <f>-'Monthly Detail'!AM89</f>
        <v>-2293.4699999999998</v>
      </c>
      <c r="P50" s="98"/>
    </row>
    <row r="51" spans="2:16" ht="15.75" thickBot="1" x14ac:dyDescent="0.3">
      <c r="B51" s="237" t="s">
        <v>227</v>
      </c>
      <c r="C51" s="238">
        <f>+'Monthly Detail'!AB154</f>
        <v>-4414.2</v>
      </c>
      <c r="D51" s="239">
        <f>+'Monthly Detail'!AC154</f>
        <v>-5131.4900000000007</v>
      </c>
      <c r="E51" s="239">
        <f>+'Monthly Detail'!AD154</f>
        <v>-4430.43</v>
      </c>
      <c r="F51" s="239">
        <f>+'Monthly Detail'!AE154</f>
        <v>-7086.409999999998</v>
      </c>
      <c r="G51" s="239">
        <f>+'Monthly Detail'!AF154</f>
        <v>-3432.2299999999996</v>
      </c>
      <c r="H51" s="239">
        <f>+'Monthly Detail'!AG154</f>
        <v>-3463.0700000000033</v>
      </c>
      <c r="I51" s="239">
        <f>+'Monthly Detail'!AH154</f>
        <v>-2858.9499999999971</v>
      </c>
      <c r="J51" s="239">
        <f>+'Monthly Detail'!AI154</f>
        <v>-5679.5299999999988</v>
      </c>
      <c r="K51" s="239">
        <f>+'Monthly Detail'!AJ154</f>
        <v>-2487.7700000000041</v>
      </c>
      <c r="L51" s="239">
        <f>+'Monthly Detail'!AK154</f>
        <v>-2394.3899999999994</v>
      </c>
      <c r="M51" s="239">
        <f>+'Monthly Detail'!AL154</f>
        <v>-2307.5599999999977</v>
      </c>
      <c r="N51" s="239">
        <f>+'Monthly Detail'!AM154</f>
        <v>-3648.260000000002</v>
      </c>
      <c r="P51" s="98"/>
    </row>
    <row r="52" spans="2:16" ht="15.75" thickBot="1" x14ac:dyDescent="0.3">
      <c r="B52" s="237" t="s">
        <v>228</v>
      </c>
      <c r="C52" s="87">
        <f>+C46-SUM('Monthly Detail'!AC89:AN89)-SUM('Monthly Detail'!AC61:AN61)</f>
        <v>-33386.530000000006</v>
      </c>
      <c r="D52" s="87">
        <f>+D46-SUM('Monthly Detail'!AD89:AO89)-SUM('Monthly Detail'!AD61:AO61)</f>
        <v>-36172.279500000011</v>
      </c>
      <c r="E52" s="87">
        <f>+E46-SUM('Monthly Detail'!AE89:AP89)-SUM('Monthly Detail'!AE61:AP61)</f>
        <v>-38372.445500000002</v>
      </c>
      <c r="F52" s="87">
        <f>+F46-SUM('Monthly Detail'!AF89:AQ89)-SUM('Monthly Detail'!AF61:AQ61)</f>
        <v>-43260.132000000005</v>
      </c>
      <c r="G52" s="240">
        <f>+G46-SUM('Monthly Detail'!AG89:AR89)-SUM('Monthly Detail'!AG61:AR61)</f>
        <v>-44248.015499999994</v>
      </c>
      <c r="H52" s="164">
        <f>+H46-SUM('Monthly Detail'!AH89:AS89)-SUM('Monthly Detail'!AH61:AS61)</f>
        <v>-44770.659500000002</v>
      </c>
      <c r="I52" s="164">
        <f>+I46-SUM('Monthly Detail'!AI89:AT89)-SUM('Monthly Detail'!AI61:AT61)</f>
        <v>-46498.748999999996</v>
      </c>
      <c r="J52" s="164">
        <f>+J46-SUM('Monthly Detail'!AJ89:AU89)-SUM('Monthly Detail'!AJ61:AU61)</f>
        <v>-48746.462</v>
      </c>
      <c r="K52" s="164">
        <f>+K46-SUM('Monthly Detail'!AK89:AV89)-SUM('Monthly Detail'!AK61:AV61)</f>
        <v>-51046.384499999993</v>
      </c>
      <c r="L52" s="164">
        <f>+L46-SUM('Monthly Detail'!AL89:AW89)-SUM('Monthly Detail'!AL61:AW61)</f>
        <v>-50868.756999999998</v>
      </c>
      <c r="M52" s="87">
        <f>+M46-SUM('Monthly Detail'!AM89:AX89)-SUM('Monthly Detail'!AM61:AX61)</f>
        <v>-53478.154989045084</v>
      </c>
      <c r="N52" s="87">
        <f>+N46-SUM('Monthly Detail'!AN89:AY89)-SUM('Monthly Detail'!AN61:AY61)</f>
        <v>-57190.787490620845</v>
      </c>
      <c r="P52" s="98"/>
    </row>
    <row r="53" spans="2:16" ht="15.75" thickBot="1" x14ac:dyDescent="0.3">
      <c r="B53" s="237" t="s">
        <v>229</v>
      </c>
      <c r="C53" s="240">
        <f>+C48-SUM('Monthly Detail'!AC89:AN89)-SUM('Monthly Detail'!AC61:AN61)</f>
        <v>-33059.840000000004</v>
      </c>
      <c r="D53" s="240">
        <f>+D48-SUM('Monthly Detail'!AD89:AO89)-SUM('Monthly Detail'!AD61:AO61)</f>
        <v>-35806.260000000009</v>
      </c>
      <c r="E53" s="240">
        <f>+E48-SUM('Monthly Detail'!AE89:AP89)-SUM('Monthly Detail'!AE61:AP61)</f>
        <v>-37389.600000000006</v>
      </c>
      <c r="F53" s="240">
        <f>+F48-SUM('Monthly Detail'!AF89:AQ89)-SUM('Monthly Detail'!AF61:AQ61)</f>
        <v>-42637.16</v>
      </c>
      <c r="G53" s="240">
        <f>+G48-SUM('Monthly Detail'!AG89:AR89)-SUM('Monthly Detail'!AG61:AR61)</f>
        <v>-43334.329999999994</v>
      </c>
      <c r="H53" s="240">
        <f>+H48-SUM('Monthly Detail'!AH89:AS89)-SUM('Monthly Detail'!AH61:AS61)</f>
        <v>-43853.530000000006</v>
      </c>
      <c r="I53" s="240">
        <f>+I48-SUM('Monthly Detail'!AI89:AT89)-SUM('Monthly Detail'!AI61:AT61)</f>
        <v>-45479.290000000008</v>
      </c>
      <c r="J53" s="240">
        <f>+J48-SUM('Monthly Detail'!AJ89:AU89)-SUM('Monthly Detail'!AJ61:AU61)</f>
        <v>-48374.929999999993</v>
      </c>
      <c r="K53" s="240">
        <f>+K48-SUM('Monthly Detail'!AK89:AV89)-SUM('Monthly Detail'!AK61:AV61)</f>
        <v>-51003.17</v>
      </c>
      <c r="L53" s="240">
        <f>+L48-SUM('Monthly Detail'!AL89:AW89)-SUM('Monthly Detail'!AL61:AW61)</f>
        <v>-50073.619999999995</v>
      </c>
      <c r="M53" s="240">
        <f>+M48-SUM('Monthly Detail'!AM89:AX89)-SUM('Monthly Detail'!AM61:AX61)</f>
        <v>-52835.320489045087</v>
      </c>
      <c r="N53" s="240">
        <f>+N48-SUM('Monthly Detail'!AN89:AY89)-SUM('Monthly Detail'!AN61:AY61)</f>
        <v>-56691.687490620847</v>
      </c>
      <c r="P53" s="98"/>
    </row>
    <row r="54" spans="2:16" ht="15.75" thickBot="1" x14ac:dyDescent="0.3">
      <c r="B54" s="237" t="s">
        <v>230</v>
      </c>
      <c r="C54" s="241">
        <f>+C46/-C50</f>
        <v>0.63201591732988871</v>
      </c>
      <c r="D54" s="242">
        <f t="shared" ref="D54:M54" si="9">+D46/-D50</f>
        <v>0.79966883911345354</v>
      </c>
      <c r="E54" s="242">
        <f t="shared" si="9"/>
        <v>2.3047103462208645</v>
      </c>
      <c r="F54" s="242">
        <f t="shared" si="9"/>
        <v>0.95723918817173181</v>
      </c>
      <c r="G54" s="242">
        <f t="shared" si="9"/>
        <v>0.63680543567187819</v>
      </c>
      <c r="H54" s="242">
        <f t="shared" si="9"/>
        <v>0.76457698333251034</v>
      </c>
      <c r="I54" s="242">
        <f t="shared" si="9"/>
        <v>1.0332585655500615</v>
      </c>
      <c r="J54" s="242">
        <f t="shared" si="9"/>
        <v>0.25567326611603325</v>
      </c>
      <c r="K54" s="242">
        <f t="shared" si="9"/>
        <v>3.5949195285938894E-2</v>
      </c>
      <c r="L54" s="242">
        <f t="shared" si="9"/>
        <v>0.69825139609330289</v>
      </c>
      <c r="M54" s="242">
        <f t="shared" si="9"/>
        <v>0.44014802661898361</v>
      </c>
      <c r="N54" s="242">
        <f>+N46/-N50</f>
        <v>0.40414742726087549</v>
      </c>
      <c r="P54" s="98"/>
    </row>
    <row r="55" spans="2:16" x14ac:dyDescent="0.25">
      <c r="B55" s="237" t="s">
        <v>231</v>
      </c>
      <c r="C55" s="241">
        <f t="shared" ref="C55:N55" si="10">+IFERROR(C48/-C51, 0)</f>
        <v>0.21145394408952917</v>
      </c>
      <c r="D55" s="242">
        <f t="shared" si="10"/>
        <v>0.20379460936297225</v>
      </c>
      <c r="E55" s="242">
        <f t="shared" si="10"/>
        <v>0.63382786772389998</v>
      </c>
      <c r="F55" s="242">
        <f t="shared" si="10"/>
        <v>0.25117372548300204</v>
      </c>
      <c r="G55" s="242">
        <f t="shared" si="10"/>
        <v>0.76059296725452574</v>
      </c>
      <c r="H55" s="242">
        <f t="shared" si="10"/>
        <v>0.7566609973231827</v>
      </c>
      <c r="I55" s="242">
        <f t="shared" si="10"/>
        <v>1.0188145997656493</v>
      </c>
      <c r="J55" s="242">
        <f t="shared" si="10"/>
        <v>0.18690278949138417</v>
      </c>
      <c r="K55" s="242">
        <f t="shared" si="10"/>
        <v>4.9630793843480785E-2</v>
      </c>
      <c r="L55" s="242">
        <f t="shared" si="10"/>
        <v>0.94880950889370508</v>
      </c>
      <c r="M55" s="242">
        <f t="shared" si="10"/>
        <v>0.795935966995442</v>
      </c>
      <c r="N55" s="242">
        <f t="shared" si="10"/>
        <v>0.39087126465767175</v>
      </c>
      <c r="P55" s="98"/>
    </row>
    <row r="56" spans="2:16" x14ac:dyDescent="0.25">
      <c r="B56" s="97"/>
      <c r="E56" s="9"/>
      <c r="P56" s="98"/>
    </row>
    <row r="57" spans="2:16" x14ac:dyDescent="0.25">
      <c r="B57" s="97"/>
      <c r="P57" s="98"/>
    </row>
    <row r="58" spans="2:16" x14ac:dyDescent="0.25">
      <c r="B58" s="97"/>
      <c r="P58" s="98"/>
    </row>
    <row r="59" spans="2:16" x14ac:dyDescent="0.25">
      <c r="B59" s="97"/>
      <c r="P59" s="98"/>
    </row>
    <row r="60" spans="2:16" x14ac:dyDescent="0.25">
      <c r="B60" s="97"/>
      <c r="P60" s="98"/>
    </row>
    <row r="61" spans="2:16" x14ac:dyDescent="0.25">
      <c r="B61" s="97"/>
      <c r="P61" s="98"/>
    </row>
    <row r="62" spans="2:16" x14ac:dyDescent="0.25">
      <c r="B62" s="97"/>
      <c r="P62" s="98"/>
    </row>
    <row r="63" spans="2:16" x14ac:dyDescent="0.25">
      <c r="B63" s="97"/>
      <c r="P63" s="98"/>
    </row>
    <row r="64" spans="2:16" x14ac:dyDescent="0.25">
      <c r="B64" s="97"/>
      <c r="P64" s="98"/>
    </row>
    <row r="65" spans="2:16" x14ac:dyDescent="0.25">
      <c r="B65" s="97"/>
      <c r="P65" s="98"/>
    </row>
    <row r="66" spans="2:16" x14ac:dyDescent="0.25">
      <c r="B66" s="97"/>
      <c r="P66" s="98"/>
    </row>
    <row r="67" spans="2:16" x14ac:dyDescent="0.25">
      <c r="B67" s="97"/>
      <c r="P67" s="98"/>
    </row>
    <row r="68" spans="2:16" x14ac:dyDescent="0.25">
      <c r="B68" s="97"/>
      <c r="P68" s="98"/>
    </row>
    <row r="69" spans="2:16" x14ac:dyDescent="0.25">
      <c r="B69" s="97"/>
      <c r="P69" s="98"/>
    </row>
    <row r="70" spans="2:16" x14ac:dyDescent="0.25">
      <c r="B70" s="97"/>
      <c r="P70" s="98"/>
    </row>
    <row r="71" spans="2:16" ht="15.75" thickBot="1" x14ac:dyDescent="0.3">
      <c r="B71" s="97"/>
      <c r="O71" s="110"/>
      <c r="P71" s="98"/>
    </row>
    <row r="72" spans="2:16" x14ac:dyDescent="0.25">
      <c r="B72" s="97"/>
      <c r="P72" s="98"/>
    </row>
    <row r="73" spans="2:16" ht="198.4" customHeight="1" thickBot="1" x14ac:dyDescent="0.3">
      <c r="B73" s="108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1"/>
    </row>
  </sheetData>
  <mergeCells count="1">
    <mergeCell ref="B15:P17"/>
  </mergeCells>
  <conditionalFormatting sqref="C51:N51">
    <cfRule type="cellIs" dxfId="1" priority="1" operator="greaterThan">
      <formula>0</formula>
    </cfRule>
  </conditionalFormatting>
  <pageMargins left="0.25" right="0.25" top="0.75" bottom="0.75" header="0.3" footer="0.3"/>
  <pageSetup scale="42" orientation="landscape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A691E-3F63-4C69-9719-9B3845E3F8A6}">
  <sheetPr>
    <tabColor theme="1"/>
    <pageSetUpPr fitToPage="1"/>
  </sheetPr>
  <dimension ref="B10:T31"/>
  <sheetViews>
    <sheetView showGridLines="0" topLeftCell="A5" workbookViewId="0">
      <selection activeCell="N28" sqref="L28:N28"/>
    </sheetView>
  </sheetViews>
  <sheetFormatPr defaultColWidth="8.7109375" defaultRowHeight="15" outlineLevelCol="1" x14ac:dyDescent="0.25"/>
  <cols>
    <col min="2" max="2" width="32.140625" bestFit="1" customWidth="1"/>
    <col min="3" max="9" width="12.28515625" hidden="1" customWidth="1" outlineLevel="1"/>
    <col min="10" max="10" width="9.42578125" bestFit="1" customWidth="1" collapsed="1"/>
    <col min="11" max="12" width="11.140625" bestFit="1" customWidth="1"/>
    <col min="13" max="13" width="10.7109375" bestFit="1" customWidth="1"/>
    <col min="14" max="14" width="10.42578125" bestFit="1" customWidth="1"/>
    <col min="15" max="15" width="0.7109375" customWidth="1"/>
    <col min="16" max="16" width="8.7109375" bestFit="1" customWidth="1"/>
  </cols>
  <sheetData>
    <row r="10" spans="2:16" ht="15.75" x14ac:dyDescent="0.25">
      <c r="B10" s="69"/>
      <c r="C10" s="70" t="str">
        <f>TEXT('Monthly Detail'!D4,"mmmm")</f>
        <v>January</v>
      </c>
      <c r="D10" s="70" t="str">
        <f>TEXT('Monthly Detail'!E4,"mmmm")</f>
        <v>February</v>
      </c>
      <c r="E10" s="70" t="str">
        <f>TEXT('Monthly Detail'!F4,"mmmm")</f>
        <v>March</v>
      </c>
      <c r="F10" s="70" t="str">
        <f>TEXT('Monthly Detail'!G4,"mmmm")</f>
        <v>April</v>
      </c>
      <c r="G10" s="70" t="str">
        <f>TEXT('Monthly Detail'!H4,"mmmm")</f>
        <v>May</v>
      </c>
      <c r="H10" s="70" t="str">
        <f>TEXT('Monthly Detail'!I4,"mmmm")</f>
        <v>June</v>
      </c>
      <c r="I10" s="70" t="str">
        <f>TEXT('Monthly Detail'!J4,"mmmm")</f>
        <v>July</v>
      </c>
      <c r="J10" s="70" t="str">
        <f>TEXT('Monthly Detail'!K4,"mmmm")</f>
        <v>August</v>
      </c>
      <c r="K10" s="70" t="str">
        <f>TEXT('Monthly Detail'!L4,"mmmm")</f>
        <v>September</v>
      </c>
      <c r="L10" s="70" t="str">
        <f>TEXT('Monthly Detail'!M4,"mmmm")</f>
        <v>October</v>
      </c>
      <c r="M10" s="70" t="str">
        <f>TEXT('Monthly Detail'!N4,"mmmm")</f>
        <v>November</v>
      </c>
      <c r="N10" s="151" t="str">
        <f>TEXT('Monthly Detail'!O4,"mmmm")</f>
        <v>December</v>
      </c>
      <c r="O10" s="71"/>
      <c r="P10" s="72" t="s">
        <v>0</v>
      </c>
    </row>
    <row r="11" spans="2:16" ht="1.5" customHeight="1" x14ac:dyDescent="0.25">
      <c r="B11" s="7"/>
      <c r="C11" s="92">
        <v>44592</v>
      </c>
      <c r="D11" s="92">
        <v>44620</v>
      </c>
      <c r="E11" s="92">
        <v>44651</v>
      </c>
      <c r="F11" s="92">
        <v>44681</v>
      </c>
      <c r="G11" s="92">
        <v>44712</v>
      </c>
      <c r="H11" s="92">
        <v>44742</v>
      </c>
      <c r="I11" s="92">
        <v>44773</v>
      </c>
      <c r="J11" s="92">
        <v>44804</v>
      </c>
      <c r="K11" s="92">
        <v>44834</v>
      </c>
      <c r="L11" s="92">
        <v>44865</v>
      </c>
      <c r="M11" s="92">
        <v>44895</v>
      </c>
      <c r="N11" s="152">
        <v>44926</v>
      </c>
    </row>
    <row r="12" spans="2:16" x14ac:dyDescent="0.25">
      <c r="B12" s="73" t="s">
        <v>47</v>
      </c>
      <c r="C12" s="74">
        <f>SUMIF('Monthly Detail'!$4:$4, '2022 Overview'!C$11, 'Monthly Detail'!9:9)</f>
        <v>0</v>
      </c>
      <c r="D12" s="74">
        <f>SUMIF('Monthly Detail'!$4:$4, '2022 Overview'!D$11, 'Monthly Detail'!9:9)</f>
        <v>0</v>
      </c>
      <c r="E12" s="74">
        <f>SUMIF('Monthly Detail'!$4:$4, '2022 Overview'!E$11, 'Monthly Detail'!9:9)</f>
        <v>0</v>
      </c>
      <c r="F12" s="74">
        <f>SUMIF('Monthly Detail'!$4:$4, '2022 Overview'!F$11, 'Monthly Detail'!9:9)</f>
        <v>0</v>
      </c>
      <c r="G12" s="74">
        <f>SUMIF('Monthly Detail'!$4:$4, '2022 Overview'!G$11, 'Monthly Detail'!9:9)</f>
        <v>0</v>
      </c>
      <c r="H12" s="74">
        <f>SUMIF('Monthly Detail'!$4:$4, '2022 Overview'!H$11, 'Monthly Detail'!9:9)</f>
        <v>0</v>
      </c>
      <c r="I12" s="74">
        <f>SUMIF('Monthly Detail'!$4:$4, '2022 Overview'!I$11, 'Monthly Detail'!9:9)</f>
        <v>0</v>
      </c>
      <c r="J12" s="74">
        <f>SUMIF('Monthly Detail'!$4:$4, '2022 Overview'!J$11, 'Monthly Detail'!9:9)</f>
        <v>0</v>
      </c>
      <c r="K12" s="74">
        <f>SUMIF('Monthly Detail'!$4:$4, '2022 Overview'!K$11, 'Monthly Detail'!9:9)</f>
        <v>0</v>
      </c>
      <c r="L12" s="74">
        <f>SUMIF('Monthly Detail'!$4:$4, '2022 Overview'!L$11, 'Monthly Detail'!9:9)</f>
        <v>0</v>
      </c>
      <c r="M12" s="74">
        <f>SUMIF('Monthly Detail'!$4:$4, '2022 Overview'!M$11, 'Monthly Detail'!9:9)</f>
        <v>0</v>
      </c>
      <c r="N12" s="153">
        <f>SUMIF('Monthly Detail'!$4:$4, '2022 Overview'!N$11, 'Monthly Detail'!9:9)</f>
        <v>0</v>
      </c>
      <c r="O12" s="74"/>
      <c r="P12" s="74">
        <f>SUM(C12:O12)</f>
        <v>0</v>
      </c>
    </row>
    <row r="13" spans="2:16" x14ac:dyDescent="0.25">
      <c r="B13" s="73" t="s">
        <v>156</v>
      </c>
      <c r="C13" s="74">
        <f>SUMIF('Monthly Detail'!$4:$4, '2022 Overview'!C$11, 'Monthly Detail'!12:12)</f>
        <v>0</v>
      </c>
      <c r="D13" s="74">
        <f>SUMIF('Monthly Detail'!$4:$4, '2022 Overview'!D$11, 'Monthly Detail'!12:12)</f>
        <v>0</v>
      </c>
      <c r="E13" s="74">
        <f>SUMIF('Monthly Detail'!$4:$4, '2022 Overview'!E$11, 'Monthly Detail'!12:12)</f>
        <v>0</v>
      </c>
      <c r="F13" s="74">
        <f>SUMIF('Monthly Detail'!$4:$4, '2022 Overview'!F$11, 'Monthly Detail'!12:12)</f>
        <v>0</v>
      </c>
      <c r="G13" s="74">
        <f>SUMIF('Monthly Detail'!$4:$4, '2022 Overview'!G$11, 'Monthly Detail'!12:12)</f>
        <v>0</v>
      </c>
      <c r="H13" s="74">
        <f>SUMIF('Monthly Detail'!$4:$4, '2022 Overview'!H$11, 'Monthly Detail'!12:12)</f>
        <v>0</v>
      </c>
      <c r="I13" s="74">
        <f>SUMIF('Monthly Detail'!$4:$4, '2022 Overview'!I$11, 'Monthly Detail'!12:12)</f>
        <v>0</v>
      </c>
      <c r="J13" s="74">
        <f>SUMIF('Monthly Detail'!$4:$4, '2022 Overview'!J$11, 'Monthly Detail'!12:12)</f>
        <v>0</v>
      </c>
      <c r="K13" s="74">
        <f>SUMIF('Monthly Detail'!$4:$4, '2022 Overview'!K$11, 'Monthly Detail'!12:12)</f>
        <v>0</v>
      </c>
      <c r="L13" s="74">
        <f>SUMIF('Monthly Detail'!$4:$4, '2022 Overview'!L$11, 'Monthly Detail'!12:12)</f>
        <v>0</v>
      </c>
      <c r="M13" s="134">
        <f>SUMIF('Monthly Detail'!$4:$4, '2022 Overview'!M$11, 'Monthly Detail'!12:12)</f>
        <v>0</v>
      </c>
      <c r="N13" s="153">
        <f>SUMIF('Monthly Detail'!$4:$4, '2022 Overview'!N$11, 'Monthly Detail'!12:12)</f>
        <v>0</v>
      </c>
      <c r="O13" s="74"/>
      <c r="P13" s="74"/>
    </row>
    <row r="14" spans="2:16" x14ac:dyDescent="0.25">
      <c r="B14" s="75" t="s">
        <v>2</v>
      </c>
      <c r="C14" s="75">
        <v>0.1</v>
      </c>
      <c r="D14" s="75">
        <v>0.1</v>
      </c>
      <c r="E14" s="75">
        <v>0.1</v>
      </c>
      <c r="F14" s="75">
        <v>0.1</v>
      </c>
      <c r="G14" s="75">
        <v>0.1</v>
      </c>
      <c r="H14" s="75">
        <v>0.1</v>
      </c>
      <c r="I14" s="75">
        <v>0.1</v>
      </c>
      <c r="J14" s="75">
        <f>SUM(J12:J13)</f>
        <v>0</v>
      </c>
      <c r="K14" s="75">
        <f>SUM(K12:K13)</f>
        <v>0</v>
      </c>
      <c r="L14" s="75">
        <f>SUM(L12:L13)</f>
        <v>0</v>
      </c>
      <c r="M14" s="75">
        <f>SUM(M12:M13)</f>
        <v>0</v>
      </c>
      <c r="N14" s="154">
        <f>SUM(N12:N13)</f>
        <v>0</v>
      </c>
      <c r="O14" s="76"/>
      <c r="P14" s="75">
        <f>SUM(P12:P12)</f>
        <v>0</v>
      </c>
    </row>
    <row r="15" spans="2:16" x14ac:dyDescent="0.25">
      <c r="B15" s="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155"/>
      <c r="P15" s="77"/>
    </row>
    <row r="16" spans="2:16" ht="15.75" x14ac:dyDescent="0.25">
      <c r="B16" s="88" t="s">
        <v>147</v>
      </c>
      <c r="C16" s="89">
        <f>C14</f>
        <v>0.1</v>
      </c>
      <c r="D16" s="89">
        <f t="shared" ref="D16:N16" si="0">D14</f>
        <v>0.1</v>
      </c>
      <c r="E16" s="89">
        <f t="shared" si="0"/>
        <v>0.1</v>
      </c>
      <c r="F16" s="89">
        <f t="shared" si="0"/>
        <v>0.1</v>
      </c>
      <c r="G16" s="89">
        <f t="shared" si="0"/>
        <v>0.1</v>
      </c>
      <c r="H16" s="89">
        <f t="shared" si="0"/>
        <v>0.1</v>
      </c>
      <c r="I16" s="89">
        <f t="shared" si="0"/>
        <v>0.1</v>
      </c>
      <c r="J16" s="89">
        <f t="shared" si="0"/>
        <v>0</v>
      </c>
      <c r="K16" s="89">
        <f t="shared" si="0"/>
        <v>0</v>
      </c>
      <c r="L16" s="89">
        <f t="shared" si="0"/>
        <v>0</v>
      </c>
      <c r="M16" s="89">
        <f t="shared" si="0"/>
        <v>0</v>
      </c>
      <c r="N16" s="156">
        <f t="shared" si="0"/>
        <v>0</v>
      </c>
      <c r="O16" s="78"/>
      <c r="P16" s="89">
        <f>P14</f>
        <v>0</v>
      </c>
    </row>
    <row r="17" spans="2:20" x14ac:dyDescent="0.25">
      <c r="B17" s="90" t="s">
        <v>148</v>
      </c>
      <c r="C17" s="91">
        <f t="shared" ref="C17:N17" si="1">C16/C14</f>
        <v>1</v>
      </c>
      <c r="D17" s="91">
        <f t="shared" si="1"/>
        <v>1</v>
      </c>
      <c r="E17" s="91">
        <f t="shared" si="1"/>
        <v>1</v>
      </c>
      <c r="F17" s="91">
        <f t="shared" si="1"/>
        <v>1</v>
      </c>
      <c r="G17" s="91">
        <f t="shared" si="1"/>
        <v>1</v>
      </c>
      <c r="H17" s="91">
        <f t="shared" si="1"/>
        <v>1</v>
      </c>
      <c r="I17" s="91">
        <f t="shared" si="1"/>
        <v>1</v>
      </c>
      <c r="J17" s="91" t="e">
        <f t="shared" si="1"/>
        <v>#DIV/0!</v>
      </c>
      <c r="K17" s="91" t="e">
        <f t="shared" si="1"/>
        <v>#DIV/0!</v>
      </c>
      <c r="L17" s="91" t="e">
        <f t="shared" si="1"/>
        <v>#DIV/0!</v>
      </c>
      <c r="M17" s="91" t="e">
        <f t="shared" si="1"/>
        <v>#DIV/0!</v>
      </c>
      <c r="N17" s="157" t="e">
        <f t="shared" si="1"/>
        <v>#DIV/0!</v>
      </c>
      <c r="O17" s="7"/>
      <c r="P17" s="91" t="e">
        <f>P16/P14</f>
        <v>#DIV/0!</v>
      </c>
    </row>
    <row r="18" spans="2:20" x14ac:dyDescent="0.25">
      <c r="B18" s="7"/>
      <c r="N18" s="117"/>
    </row>
    <row r="19" spans="2:20" x14ac:dyDescent="0.25">
      <c r="B19" s="7" t="s">
        <v>185</v>
      </c>
      <c r="C19" s="74">
        <f>SUMIF('Monthly Detail'!$4:$4, '2023 Overview'!C$11, 'Monthly Detail'!$89:$89)</f>
        <v>0</v>
      </c>
      <c r="D19" s="74">
        <f>SUMIF('Monthly Detail'!$4:$4, '2023 Overview'!D$11, 'Monthly Detail'!$89:$89)</f>
        <v>0</v>
      </c>
      <c r="E19" s="74">
        <f>SUMIF('Monthly Detail'!$4:$4, '2023 Overview'!E$11, 'Monthly Detail'!$89:$89)</f>
        <v>0</v>
      </c>
      <c r="F19" s="74">
        <f>SUMIF('Monthly Detail'!$4:$4, '2023 Overview'!F$11, 'Monthly Detail'!$89:$89)</f>
        <v>0</v>
      </c>
      <c r="G19" s="74">
        <f>SUMIF('Monthly Detail'!$4:$4, '2023 Overview'!G$11, 'Monthly Detail'!$89:$89)</f>
        <v>0</v>
      </c>
      <c r="H19" s="74">
        <f>SUMIF('Monthly Detail'!$4:$4, '2023 Overview'!H$11, 'Monthly Detail'!$89:$89)</f>
        <v>0</v>
      </c>
      <c r="I19" s="74">
        <f>SUMIF('Monthly Detail'!$4:$4, '2023 Overview'!I$11, 'Monthly Detail'!$89:$89)</f>
        <v>0</v>
      </c>
      <c r="J19" s="74">
        <f>SUMIF('Monthly Detail'!$4:$4, '2023 Overview'!J$11, 'Monthly Detail'!$89:$89)</f>
        <v>0</v>
      </c>
      <c r="K19" s="74">
        <f>SUMIF('Monthly Detail'!$4:$4, '2023 Overview'!K$11, 'Monthly Detail'!$89:$89)</f>
        <v>0</v>
      </c>
      <c r="L19" s="74">
        <f>SUMIF('Monthly Detail'!$4:$4, '2023 Overview'!L$11, 'Monthly Detail'!$89:$89)</f>
        <v>0</v>
      </c>
      <c r="M19" s="74">
        <f>SUMIF('Monthly Detail'!$4:$4, '2023 Overview'!M$11, 'Monthly Detail'!$89:$89)</f>
        <v>0</v>
      </c>
      <c r="N19" s="153">
        <f>SUMIF('Monthly Detail'!$4:$4, '2023 Overview'!N$11, 'Monthly Detail'!$89:$89)</f>
        <v>0</v>
      </c>
      <c r="P19" s="74">
        <f>SUM(C19:O19)</f>
        <v>0</v>
      </c>
      <c r="T19" s="1"/>
    </row>
    <row r="20" spans="2:20" x14ac:dyDescent="0.25">
      <c r="B20" s="7" t="s">
        <v>184</v>
      </c>
      <c r="C20" s="74">
        <f>SUMIF('Monthly Detail'!$4:$4, '2022 Overview'!C$11, 'Monthly Detail'!47:47)</f>
        <v>0</v>
      </c>
      <c r="D20" s="74">
        <f>SUMIF('Monthly Detail'!$4:$4, '2022 Overview'!D$11, 'Monthly Detail'!47:47)</f>
        <v>0</v>
      </c>
      <c r="E20" s="74">
        <f>SUMIF('Monthly Detail'!$4:$4, '2022 Overview'!E$11, 'Monthly Detail'!47:47)</f>
        <v>0</v>
      </c>
      <c r="F20" s="74">
        <f>SUMIF('Monthly Detail'!$4:$4, '2022 Overview'!F$11, 'Monthly Detail'!47:47)</f>
        <v>0</v>
      </c>
      <c r="G20" s="74">
        <f>SUMIF('Monthly Detail'!$4:$4, '2022 Overview'!G$11, 'Monthly Detail'!47:47)</f>
        <v>0</v>
      </c>
      <c r="H20" s="74">
        <f>SUMIF('Monthly Detail'!$4:$4, '2022 Overview'!H$11, 'Monthly Detail'!47:47)</f>
        <v>0</v>
      </c>
      <c r="I20" s="74">
        <f>SUMIF('Monthly Detail'!$4:$4, '2022 Overview'!I$11, 'Monthly Detail'!47:47)</f>
        <v>0</v>
      </c>
      <c r="J20" s="74">
        <f>SUMIF('Monthly Detail'!$4:$4, '2022 Overview'!J$11, 'Monthly Detail'!47:47)</f>
        <v>0</v>
      </c>
      <c r="K20" s="74">
        <f>SUMIF('Monthly Detail'!$4:$4, '2022 Overview'!K$11, 'Monthly Detail'!47:47)</f>
        <v>0</v>
      </c>
      <c r="L20" s="74">
        <f>SUMIF('Monthly Detail'!$4:$4, '2022 Overview'!L$11, 'Monthly Detail'!47:47)</f>
        <v>0</v>
      </c>
      <c r="M20" s="74">
        <f>SUMIF('Monthly Detail'!$4:$4, '2022 Overview'!M$11, 'Monthly Detail'!47:47)</f>
        <v>0</v>
      </c>
      <c r="N20" s="153">
        <f>SUMIF('Monthly Detail'!$4:$4, '2022 Overview'!N$11, 'Monthly Detail'!47:47)</f>
        <v>0</v>
      </c>
      <c r="P20" s="74">
        <f>SUM(C20:O20)</f>
        <v>0</v>
      </c>
      <c r="T20" s="1"/>
    </row>
    <row r="21" spans="2:20" x14ac:dyDescent="0.25">
      <c r="B21" s="79" t="s">
        <v>149</v>
      </c>
      <c r="C21" s="80">
        <f>SUM(C19:C20)</f>
        <v>0</v>
      </c>
      <c r="D21" s="80">
        <f t="shared" ref="D21:N21" si="2">SUM(D19:D20)</f>
        <v>0</v>
      </c>
      <c r="E21" s="80">
        <f t="shared" si="2"/>
        <v>0</v>
      </c>
      <c r="F21" s="80">
        <f t="shared" si="2"/>
        <v>0</v>
      </c>
      <c r="G21" s="80">
        <f t="shared" si="2"/>
        <v>0</v>
      </c>
      <c r="H21" s="80">
        <f t="shared" si="2"/>
        <v>0</v>
      </c>
      <c r="I21" s="80">
        <f t="shared" si="2"/>
        <v>0</v>
      </c>
      <c r="J21" s="80">
        <f t="shared" si="2"/>
        <v>0</v>
      </c>
      <c r="K21" s="80">
        <f t="shared" si="2"/>
        <v>0</v>
      </c>
      <c r="L21" s="80">
        <f t="shared" si="2"/>
        <v>0</v>
      </c>
      <c r="M21" s="80">
        <f t="shared" si="2"/>
        <v>0</v>
      </c>
      <c r="N21" s="158">
        <f t="shared" si="2"/>
        <v>0</v>
      </c>
      <c r="O21" s="81"/>
      <c r="P21" s="80">
        <f>SUM(P19:P20)</f>
        <v>0</v>
      </c>
    </row>
    <row r="22" spans="2:20" ht="3" customHeight="1" x14ac:dyDescent="0.25">
      <c r="B22" s="7"/>
      <c r="N22" s="117"/>
    </row>
    <row r="23" spans="2:20" ht="15.75" x14ac:dyDescent="0.25">
      <c r="B23" s="88" t="s">
        <v>150</v>
      </c>
      <c r="C23" s="89">
        <f t="shared" ref="C23:N23" si="3">C16-C21</f>
        <v>0.1</v>
      </c>
      <c r="D23" s="89">
        <f t="shared" si="3"/>
        <v>0.1</v>
      </c>
      <c r="E23" s="89">
        <f t="shared" si="3"/>
        <v>0.1</v>
      </c>
      <c r="F23" s="89">
        <f t="shared" si="3"/>
        <v>0.1</v>
      </c>
      <c r="G23" s="89">
        <f t="shared" si="3"/>
        <v>0.1</v>
      </c>
      <c r="H23" s="89">
        <f t="shared" si="3"/>
        <v>0.1</v>
      </c>
      <c r="I23" s="89">
        <f t="shared" si="3"/>
        <v>0.1</v>
      </c>
      <c r="J23" s="89">
        <f t="shared" si="3"/>
        <v>0</v>
      </c>
      <c r="K23" s="89">
        <f t="shared" si="3"/>
        <v>0</v>
      </c>
      <c r="L23" s="89">
        <f t="shared" si="3"/>
        <v>0</v>
      </c>
      <c r="M23" s="89">
        <f t="shared" si="3"/>
        <v>0</v>
      </c>
      <c r="N23" s="156">
        <f t="shared" si="3"/>
        <v>0</v>
      </c>
      <c r="O23" s="78"/>
      <c r="P23" s="89">
        <f>P16-P21</f>
        <v>0</v>
      </c>
    </row>
    <row r="24" spans="2:20" x14ac:dyDescent="0.25">
      <c r="B24" s="90" t="s">
        <v>151</v>
      </c>
      <c r="C24" s="91">
        <f>C23/C14</f>
        <v>1</v>
      </c>
      <c r="D24" s="91">
        <f t="shared" ref="D24:N24" si="4">D23/D14</f>
        <v>1</v>
      </c>
      <c r="E24" s="91">
        <f t="shared" si="4"/>
        <v>1</v>
      </c>
      <c r="F24" s="91">
        <f t="shared" si="4"/>
        <v>1</v>
      </c>
      <c r="G24" s="91">
        <f t="shared" si="4"/>
        <v>1</v>
      </c>
      <c r="H24" s="91">
        <f t="shared" si="4"/>
        <v>1</v>
      </c>
      <c r="I24" s="91">
        <f t="shared" si="4"/>
        <v>1</v>
      </c>
      <c r="J24" s="91" t="e">
        <f t="shared" si="4"/>
        <v>#DIV/0!</v>
      </c>
      <c r="K24" s="91" t="e">
        <f t="shared" si="4"/>
        <v>#DIV/0!</v>
      </c>
      <c r="L24" s="91" t="e">
        <f t="shared" si="4"/>
        <v>#DIV/0!</v>
      </c>
      <c r="M24" s="91" t="e">
        <f t="shared" si="4"/>
        <v>#DIV/0!</v>
      </c>
      <c r="N24" s="157" t="e">
        <f t="shared" si="4"/>
        <v>#DIV/0!</v>
      </c>
      <c r="O24" s="7"/>
      <c r="P24" s="91" t="e">
        <f>P23/P14</f>
        <v>#DIV/0!</v>
      </c>
    </row>
    <row r="25" spans="2:20" ht="8.25" customHeight="1" x14ac:dyDescent="0.25">
      <c r="B25" s="82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159"/>
      <c r="P25" s="83"/>
    </row>
    <row r="26" spans="2:20" x14ac:dyDescent="0.25">
      <c r="B26" s="7" t="s">
        <v>152</v>
      </c>
      <c r="C26" s="74">
        <f>SUMIF('Monthly Detail'!$4:$4, '2022 Overview'!C$11, 'Monthly Detail'!77:77)</f>
        <v>0</v>
      </c>
      <c r="D26" s="74">
        <f>SUMIF('Monthly Detail'!$4:$4, '2022 Overview'!D$11, 'Monthly Detail'!77:77)</f>
        <v>0</v>
      </c>
      <c r="E26" s="74">
        <f>SUMIF('Monthly Detail'!$4:$4, '2022 Overview'!E$11, 'Monthly Detail'!77:77)</f>
        <v>0</v>
      </c>
      <c r="F26" s="74">
        <f>SUMIF('Monthly Detail'!$4:$4, '2022 Overview'!F$11, 'Monthly Detail'!77:77)</f>
        <v>0</v>
      </c>
      <c r="G26" s="74">
        <f>SUMIF('Monthly Detail'!$4:$4, '2022 Overview'!G$11, 'Monthly Detail'!77:77)</f>
        <v>0</v>
      </c>
      <c r="H26" s="74">
        <f>SUMIF('Monthly Detail'!$4:$4, '2022 Overview'!H$11, 'Monthly Detail'!77:77)</f>
        <v>0</v>
      </c>
      <c r="I26" s="74">
        <f>SUMIF('Monthly Detail'!$4:$4, '2022 Overview'!I$11, 'Monthly Detail'!77:77)</f>
        <v>0</v>
      </c>
      <c r="J26" s="74">
        <f>SUMIF('Monthly Detail'!$4:$4, '2022 Overview'!J$11, 'Monthly Detail'!77:77)</f>
        <v>0</v>
      </c>
      <c r="K26" s="74">
        <f>SUMIF('Monthly Detail'!$4:$4, '2022 Overview'!K$11, 'Monthly Detail'!77:77)</f>
        <v>0</v>
      </c>
      <c r="L26" s="130">
        <f>SUMIF('Monthly Detail'!$4:$4, '2022 Overview'!L$11, 'Monthly Detail'!77:77)</f>
        <v>0</v>
      </c>
      <c r="M26" s="133">
        <f>SUMIF('Monthly Detail'!$4:$4, '2022 Overview'!M$11, 'Monthly Detail'!77:77)</f>
        <v>0</v>
      </c>
      <c r="N26" s="160">
        <f>SUMIF('Monthly Detail'!$4:$4, '2022 Overview'!N$11, 'Monthly Detail'!77:77)</f>
        <v>0</v>
      </c>
      <c r="O26" s="74"/>
      <c r="P26" s="130">
        <f>SUM(C26:O26)</f>
        <v>0</v>
      </c>
    </row>
    <row r="27" spans="2:20" ht="15.75" x14ac:dyDescent="0.25">
      <c r="B27" s="88" t="s">
        <v>11</v>
      </c>
      <c r="C27" s="89">
        <f t="shared" ref="C27:N27" si="5">C23+SUM(C26:C26)</f>
        <v>0.1</v>
      </c>
      <c r="D27" s="89">
        <f t="shared" si="5"/>
        <v>0.1</v>
      </c>
      <c r="E27" s="89">
        <f t="shared" si="5"/>
        <v>0.1</v>
      </c>
      <c r="F27" s="89">
        <f t="shared" si="5"/>
        <v>0.1</v>
      </c>
      <c r="G27" s="89">
        <f t="shared" si="5"/>
        <v>0.1</v>
      </c>
      <c r="H27" s="89">
        <f t="shared" si="5"/>
        <v>0.1</v>
      </c>
      <c r="I27" s="89">
        <f t="shared" si="5"/>
        <v>0.1</v>
      </c>
      <c r="J27" s="89">
        <f t="shared" si="5"/>
        <v>0</v>
      </c>
      <c r="K27" s="89">
        <f t="shared" si="5"/>
        <v>0</v>
      </c>
      <c r="L27" s="89">
        <f t="shared" si="5"/>
        <v>0</v>
      </c>
      <c r="M27" s="89">
        <f t="shared" si="5"/>
        <v>0</v>
      </c>
      <c r="N27" s="156">
        <f t="shared" si="5"/>
        <v>0</v>
      </c>
      <c r="O27" s="78"/>
      <c r="P27" s="89">
        <f>P23+SUM(P26:P26)</f>
        <v>0</v>
      </c>
    </row>
    <row r="28" spans="2:20" x14ac:dyDescent="0.25">
      <c r="B28" s="90" t="s">
        <v>153</v>
      </c>
      <c r="C28" s="91">
        <f t="shared" ref="C28:N28" si="6">C27/C14</f>
        <v>1</v>
      </c>
      <c r="D28" s="91">
        <f t="shared" si="6"/>
        <v>1</v>
      </c>
      <c r="E28" s="91">
        <f t="shared" si="6"/>
        <v>1</v>
      </c>
      <c r="F28" s="91">
        <f t="shared" si="6"/>
        <v>1</v>
      </c>
      <c r="G28" s="91">
        <f t="shared" si="6"/>
        <v>1</v>
      </c>
      <c r="H28" s="91">
        <f t="shared" si="6"/>
        <v>1</v>
      </c>
      <c r="I28" s="91">
        <f t="shared" si="6"/>
        <v>1</v>
      </c>
      <c r="J28" s="91" t="e">
        <f t="shared" si="6"/>
        <v>#DIV/0!</v>
      </c>
      <c r="K28" s="91" t="e">
        <f t="shared" si="6"/>
        <v>#DIV/0!</v>
      </c>
      <c r="L28" s="91" t="e">
        <f t="shared" si="6"/>
        <v>#DIV/0!</v>
      </c>
      <c r="M28" s="91" t="e">
        <f t="shared" si="6"/>
        <v>#DIV/0!</v>
      </c>
      <c r="N28" s="157" t="e">
        <f t="shared" si="6"/>
        <v>#DIV/0!</v>
      </c>
      <c r="O28" s="7"/>
      <c r="P28" s="91" t="e">
        <f>P27/P14</f>
        <v>#DIV/0!</v>
      </c>
    </row>
    <row r="29" spans="2:20" ht="15.75" thickBot="1" x14ac:dyDescent="0.3">
      <c r="B29" s="7"/>
      <c r="M29" s="110"/>
      <c r="N29" s="117"/>
    </row>
    <row r="30" spans="2:20" x14ac:dyDescent="0.25">
      <c r="B30" s="84" t="s">
        <v>154</v>
      </c>
      <c r="C30" s="85">
        <f>SUMIF('Monthly Detail'!$4:$4, '2022 Overview'!C$11, 'Monthly Detail'!173:173)</f>
        <v>0</v>
      </c>
      <c r="D30" s="85">
        <f>SUMIF('Monthly Detail'!$4:$4, '2022 Overview'!D$11, 'Monthly Detail'!173:173)</f>
        <v>0</v>
      </c>
      <c r="E30" s="85">
        <f>SUMIF('Monthly Detail'!$4:$4, '2022 Overview'!E$11, 'Monthly Detail'!173:173)</f>
        <v>0</v>
      </c>
      <c r="F30" s="85">
        <f>SUMIF('Monthly Detail'!$4:$4, '2022 Overview'!F$11, 'Monthly Detail'!173:173)</f>
        <v>0</v>
      </c>
      <c r="G30" s="85">
        <f>SUMIF('Monthly Detail'!$4:$4, '2022 Overview'!G$11, 'Monthly Detail'!173:173)</f>
        <v>0</v>
      </c>
      <c r="H30" s="85">
        <f>SUMIF('Monthly Detail'!$4:$4, '2022 Overview'!H$11, 'Monthly Detail'!173:173)</f>
        <v>0</v>
      </c>
      <c r="I30" s="85">
        <f>SUMIF('Monthly Detail'!$4:$4, '2022 Overview'!I$11, 'Monthly Detail'!173:173)</f>
        <v>0</v>
      </c>
      <c r="J30" s="85">
        <f>SUMIF('Monthly Detail'!$4:$4, '2022 Overview'!J$11, 'Monthly Detail'!173:173)</f>
        <v>0</v>
      </c>
      <c r="K30" s="85">
        <f>SUMIF('Monthly Detail'!$4:$4, '2022 Overview'!K$11, 'Monthly Detail'!173:173)</f>
        <v>0</v>
      </c>
      <c r="L30" s="85">
        <f>SUMIF('Monthly Detail'!$4:$4, '2022 Overview'!L$11, 'Monthly Detail'!173:173)</f>
        <v>0</v>
      </c>
      <c r="M30" s="85">
        <f>SUMIF('Monthly Detail'!$4:$4, '2022 Overview'!M$11, 'Monthly Detail'!173:173)</f>
        <v>0</v>
      </c>
      <c r="N30" s="161">
        <f>SUMIF('Monthly Detail'!$4:$4, '2022 Overview'!N$11, 'Monthly Detail'!173:173)</f>
        <v>0</v>
      </c>
    </row>
    <row r="31" spans="2:20" ht="15.75" thickBot="1" x14ac:dyDescent="0.3">
      <c r="B31" s="86" t="s">
        <v>155</v>
      </c>
      <c r="C31" s="87">
        <f>SUMIF('Monthly Detail'!$4:$4, '2022 Overview'!C$11, 'Monthly Detail'!158:158)</f>
        <v>0</v>
      </c>
      <c r="D31" s="87">
        <f>D30-C30</f>
        <v>0</v>
      </c>
      <c r="E31" s="87">
        <f t="shared" ref="E31:N31" si="7">E30-D30</f>
        <v>0</v>
      </c>
      <c r="F31" s="87">
        <f t="shared" si="7"/>
        <v>0</v>
      </c>
      <c r="G31" s="87">
        <f t="shared" si="7"/>
        <v>0</v>
      </c>
      <c r="H31" s="87">
        <f t="shared" si="7"/>
        <v>0</v>
      </c>
      <c r="I31" s="87">
        <f t="shared" si="7"/>
        <v>0</v>
      </c>
      <c r="J31" s="87">
        <f t="shared" si="7"/>
        <v>0</v>
      </c>
      <c r="K31" s="87">
        <f t="shared" si="7"/>
        <v>0</v>
      </c>
      <c r="L31" s="87">
        <f t="shared" si="7"/>
        <v>0</v>
      </c>
      <c r="M31" s="87">
        <f t="shared" si="7"/>
        <v>0</v>
      </c>
      <c r="N31" s="162">
        <f t="shared" si="7"/>
        <v>0</v>
      </c>
    </row>
  </sheetData>
  <pageMargins left="0.7" right="0.7" top="0.75" bottom="0.75" header="0.3" footer="0.3"/>
  <pageSetup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E2E8E-0D21-4C88-BF88-A80AA9D0FB30}">
  <sheetPr>
    <tabColor theme="1"/>
    <pageSetUpPr fitToPage="1"/>
  </sheetPr>
  <dimension ref="B3:V60"/>
  <sheetViews>
    <sheetView showGridLines="0" topLeftCell="A9" zoomScale="70" zoomScaleNormal="70" workbookViewId="0">
      <selection activeCell="K65" sqref="K65"/>
    </sheetView>
  </sheetViews>
  <sheetFormatPr defaultColWidth="8.7109375" defaultRowHeight="15" outlineLevelCol="1" x14ac:dyDescent="0.25"/>
  <cols>
    <col min="2" max="2" width="47.42578125" bestFit="1" customWidth="1"/>
    <col min="3" max="3" width="14.7109375" bestFit="1" customWidth="1"/>
    <col min="4" max="4" width="15.140625" bestFit="1" customWidth="1"/>
    <col min="5" max="5" width="14.7109375" bestFit="1" customWidth="1" outlineLevel="1"/>
    <col min="6" max="6" width="15.140625" bestFit="1" customWidth="1"/>
    <col min="7" max="7" width="15" bestFit="1" customWidth="1" outlineLevel="1"/>
    <col min="8" max="8" width="15.140625" bestFit="1" customWidth="1"/>
    <col min="9" max="9" width="14.7109375" hidden="1" customWidth="1" outlineLevel="1"/>
    <col min="10" max="10" width="0.28515625" customWidth="1" collapsed="1"/>
    <col min="11" max="11" width="13.28515625" bestFit="1" customWidth="1"/>
  </cols>
  <sheetData>
    <row r="3" spans="2:22" ht="15.75" thickBot="1" x14ac:dyDescent="0.3"/>
    <row r="4" spans="2:22" ht="15.75" thickTop="1" x14ac:dyDescent="0.25">
      <c r="B4" s="500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  <c r="P4" s="501"/>
      <c r="Q4" s="501"/>
      <c r="R4" s="501"/>
      <c r="S4" s="501"/>
      <c r="T4" s="501"/>
      <c r="U4" s="501"/>
      <c r="V4" s="502"/>
    </row>
    <row r="5" spans="2:22" x14ac:dyDescent="0.25">
      <c r="B5" s="503"/>
      <c r="V5" s="504"/>
    </row>
    <row r="6" spans="2:22" x14ac:dyDescent="0.25">
      <c r="B6" s="503"/>
      <c r="V6" s="504"/>
    </row>
    <row r="7" spans="2:22" ht="103.15" customHeight="1" x14ac:dyDescent="0.25">
      <c r="B7" s="503"/>
      <c r="V7" s="504"/>
    </row>
    <row r="8" spans="2:22" x14ac:dyDescent="0.25">
      <c r="B8" s="503"/>
      <c r="V8" s="504"/>
    </row>
    <row r="9" spans="2:22" x14ac:dyDescent="0.25">
      <c r="B9" s="503"/>
      <c r="C9" s="92">
        <v>45382</v>
      </c>
      <c r="D9" s="92">
        <v>45473</v>
      </c>
      <c r="E9" s="505"/>
      <c r="F9" s="92">
        <v>45565</v>
      </c>
      <c r="G9" s="505"/>
      <c r="H9" s="92">
        <v>45657</v>
      </c>
      <c r="I9" s="505"/>
      <c r="V9" s="504"/>
    </row>
    <row r="10" spans="2:22" ht="15.75" x14ac:dyDescent="0.25">
      <c r="B10" s="506"/>
      <c r="C10" s="316" t="s">
        <v>382</v>
      </c>
      <c r="D10" s="316" t="s">
        <v>383</v>
      </c>
      <c r="E10" s="317" t="s">
        <v>207</v>
      </c>
      <c r="F10" s="316" t="s">
        <v>384</v>
      </c>
      <c r="G10" s="317" t="s">
        <v>207</v>
      </c>
      <c r="H10" s="397" t="s">
        <v>385</v>
      </c>
      <c r="I10" s="318" t="s">
        <v>207</v>
      </c>
      <c r="J10" s="319"/>
      <c r="K10" s="406" t="s">
        <v>0</v>
      </c>
      <c r="V10" s="504"/>
    </row>
    <row r="11" spans="2:22" ht="3.4" customHeight="1" x14ac:dyDescent="0.25">
      <c r="B11" s="507"/>
      <c r="C11" s="92" t="str">
        <f>+C10</f>
        <v>Q1 2025</v>
      </c>
      <c r="D11" s="92" t="str">
        <f>+D10</f>
        <v>Q2 2025</v>
      </c>
      <c r="E11" s="320"/>
      <c r="F11" s="92" t="str">
        <f>+F10</f>
        <v>Q3 2025</v>
      </c>
      <c r="G11" s="320"/>
      <c r="H11" s="398" t="str">
        <f>+H10</f>
        <v>Q4 2025</v>
      </c>
      <c r="I11" s="197"/>
      <c r="J11" s="92">
        <v>45322</v>
      </c>
      <c r="K11" s="407"/>
      <c r="V11" s="504"/>
    </row>
    <row r="12" spans="2:22" x14ac:dyDescent="0.25">
      <c r="B12" s="508" t="s">
        <v>354</v>
      </c>
      <c r="C12" s="509">
        <f>SUMIF('Monthly Detail'!$3:$3, 'Quarterly Overview'!C$11, 'Monthly Detail'!13:13)</f>
        <v>20330.690000000002</v>
      </c>
      <c r="D12" s="509">
        <f>SUMIF('Monthly Detail'!$3:$3, 'Quarterly Overview'!D$11, 'Monthly Detail'!13:13)</f>
        <v>22626.82</v>
      </c>
      <c r="E12" s="321">
        <f>+D12-C12</f>
        <v>2296.1299999999974</v>
      </c>
      <c r="F12" s="509">
        <f>SUMIF('Monthly Detail'!$3:$3, 'Quarterly Overview'!F$11, 'Monthly Detail'!13:13)</f>
        <v>21242.350000000002</v>
      </c>
      <c r="G12" s="321">
        <f>+F12-D12</f>
        <v>-1384.4699999999975</v>
      </c>
      <c r="H12" s="399">
        <f>SUMIF('Monthly Detail'!$3:$3, 'Quarterly Overview'!H$11, 'Monthly Detail'!13:13)</f>
        <v>19740.665966201581</v>
      </c>
      <c r="I12" s="321">
        <f>+H12-F12</f>
        <v>-1501.6840337984213</v>
      </c>
      <c r="J12" s="74"/>
      <c r="K12" s="408">
        <f>SUM(C12,D12,F12,H12)</f>
        <v>83940.525966201589</v>
      </c>
      <c r="V12" s="504"/>
    </row>
    <row r="13" spans="2:22" x14ac:dyDescent="0.25">
      <c r="B13" s="510" t="s">
        <v>2</v>
      </c>
      <c r="C13" s="75">
        <f>SUM(C12:C12)</f>
        <v>20330.690000000002</v>
      </c>
      <c r="D13" s="75">
        <f>SUM(D12:D12)</f>
        <v>22626.82</v>
      </c>
      <c r="E13" s="322">
        <f>+D13-C13</f>
        <v>2296.1299999999974</v>
      </c>
      <c r="F13" s="75">
        <f>SUM(F12:F12)</f>
        <v>21242.350000000002</v>
      </c>
      <c r="G13" s="322">
        <f t="shared" ref="G13:I16" si="0">+F13-D13</f>
        <v>-1384.4699999999975</v>
      </c>
      <c r="H13" s="323">
        <f>SUM(H12:H12)</f>
        <v>19740.665966201581</v>
      </c>
      <c r="I13" s="322">
        <f t="shared" si="0"/>
        <v>-1501.6840337984213</v>
      </c>
      <c r="J13" s="76"/>
      <c r="K13" s="409">
        <f>SUM(K12:K12)</f>
        <v>83940.525966201589</v>
      </c>
      <c r="V13" s="504"/>
    </row>
    <row r="14" spans="2:22" x14ac:dyDescent="0.25">
      <c r="B14" s="511" t="s">
        <v>277</v>
      </c>
      <c r="C14" s="324">
        <f>+SUMIFS('Monthly Detail'!15:15,'Monthly Detail'!$3:$3,'Quarterly Overview'!C$10)</f>
        <v>203</v>
      </c>
      <c r="D14" s="324">
        <f>+SUMIFS('Monthly Detail'!15:15,'Monthly Detail'!$3:$3,'Quarterly Overview'!D$10)</f>
        <v>237</v>
      </c>
      <c r="E14" s="325">
        <f>+D14-C14</f>
        <v>34</v>
      </c>
      <c r="F14" s="324">
        <f>+SUMIFS('Monthly Detail'!15:15,'Monthly Detail'!$3:$3,'Quarterly Overview'!F$10)</f>
        <v>211</v>
      </c>
      <c r="G14" s="325">
        <f t="shared" si="0"/>
        <v>-26</v>
      </c>
      <c r="H14" s="400">
        <f>+SUMIFS('Monthly Detail'!15:15,'Monthly Detail'!$3:$3,'Quarterly Overview'!H$10)</f>
        <v>180.12104963235203</v>
      </c>
      <c r="I14" s="325">
        <f t="shared" si="0"/>
        <v>-30.878950367647974</v>
      </c>
      <c r="J14" s="76"/>
      <c r="K14" s="419">
        <f>+SUM(C14,D14,F14,H14)</f>
        <v>831.12104963235197</v>
      </c>
      <c r="V14" s="504"/>
    </row>
    <row r="15" spans="2:22" x14ac:dyDescent="0.25">
      <c r="B15" s="511" t="s">
        <v>243</v>
      </c>
      <c r="C15" s="324">
        <f>+AVERAGEIFS('Monthly Detail'!41:41,'Monthly Detail'!$3:$3,'Quarterly Overview'!C$10)</f>
        <v>4119.740142978234</v>
      </c>
      <c r="D15" s="324">
        <f>+AVERAGEIFS('Monthly Detail'!41:41,'Monthly Detail'!$3:$3,'Quarterly Overview'!D$10)</f>
        <v>4306.3922874805057</v>
      </c>
      <c r="E15" s="325">
        <f>+D15-C15</f>
        <v>186.65214450227177</v>
      </c>
      <c r="F15" s="324">
        <f>+AVERAGEIFS('Monthly Detail'!41:41,'Monthly Detail'!$3:$3,'Quarterly Overview'!F$10)</f>
        <v>4653.1897115344591</v>
      </c>
      <c r="G15" s="325">
        <f t="shared" si="0"/>
        <v>346.79742405395336</v>
      </c>
      <c r="H15" s="400">
        <f>+AVERAGEIFS('Monthly Detail'!41:41,'Monthly Detail'!$3:$3,'Quarterly Overview'!H$10)</f>
        <v>4334.8542426266804</v>
      </c>
      <c r="I15" s="325">
        <f t="shared" si="0"/>
        <v>-318.3354689077787</v>
      </c>
      <c r="J15" s="76"/>
      <c r="K15" s="418">
        <f>+AVERAGE(C15,D15,F15,H15)</f>
        <v>4353.5440961549693</v>
      </c>
      <c r="V15" s="504"/>
    </row>
    <row r="16" spans="2:22" x14ac:dyDescent="0.25">
      <c r="B16" s="512" t="s">
        <v>278</v>
      </c>
      <c r="C16" s="496">
        <f>+AVERAGEIFS('Monthly Detail'!17:17,'Monthly Detail'!$3:$3,'Quarterly Overview'!C$10)</f>
        <v>32.666666666666664</v>
      </c>
      <c r="D16" s="496">
        <f>+AVERAGEIFS('Monthly Detail'!17:17,'Monthly Detail'!$3:$3,'Quarterly Overview'!D$10)</f>
        <v>35</v>
      </c>
      <c r="E16" s="497">
        <f>+D16-C16</f>
        <v>2.3333333333333357</v>
      </c>
      <c r="F16" s="496">
        <f>+AVERAGEIFS('Monthly Detail'!17:17,'Monthly Detail'!$3:$3,'Quarterly Overview'!F$10)</f>
        <v>34</v>
      </c>
      <c r="G16" s="497">
        <f t="shared" si="0"/>
        <v>-1</v>
      </c>
      <c r="H16" s="498">
        <f>+AVERAGEIFS('Monthly Detail'!17:17,'Monthly Detail'!$3:$3,'Quarterly Overview'!H$10)</f>
        <v>29.470998497513303</v>
      </c>
      <c r="I16" s="497">
        <f t="shared" si="0"/>
        <v>-4.5290015024866968</v>
      </c>
      <c r="J16" s="76"/>
      <c r="K16" s="419">
        <f>+AVERAGE(C16,D16,F16,H16)</f>
        <v>32.784416291044991</v>
      </c>
      <c r="V16" s="504"/>
    </row>
    <row r="17" spans="2:22" ht="4.9000000000000004" customHeight="1" x14ac:dyDescent="0.25">
      <c r="B17" s="507"/>
      <c r="C17" s="513"/>
      <c r="D17" s="513"/>
      <c r="E17" s="326"/>
      <c r="F17" s="513"/>
      <c r="G17" s="326"/>
      <c r="H17" s="401"/>
      <c r="I17" s="326"/>
      <c r="K17" s="410"/>
      <c r="V17" s="504"/>
    </row>
    <row r="18" spans="2:22" ht="16.899999999999999" customHeight="1" x14ac:dyDescent="0.25">
      <c r="B18" s="507" t="s">
        <v>217</v>
      </c>
      <c r="C18" s="509">
        <f>SUMIF('Monthly Detail'!$3:$3, 'Quarterly Overview'!C$11, 'Monthly Detail'!58:58)</f>
        <v>613.95000000000005</v>
      </c>
      <c r="D18" s="509">
        <f>SUMIF('Monthly Detail'!$3:$3, 'Quarterly Overview'!D$11, 'Monthly Detail'!58:58)</f>
        <v>670.12</v>
      </c>
      <c r="E18" s="325">
        <f>+D18-C18</f>
        <v>56.169999999999959</v>
      </c>
      <c r="F18" s="509">
        <f>SUMIF('Monthly Detail'!$3:$3, 'Quarterly Overview'!F$11, 'Monthly Detail'!58:58)</f>
        <v>644.27</v>
      </c>
      <c r="G18" s="325">
        <f t="shared" ref="G18:I21" si="1">+F18-D18</f>
        <v>-25.850000000000023</v>
      </c>
      <c r="H18" s="399">
        <f>SUMIF('Monthly Detail'!$3:$3, 'Quarterly Overview'!H$11, 'Monthly Detail'!58:58)</f>
        <v>683.9858619319906</v>
      </c>
      <c r="I18" s="325">
        <f t="shared" si="1"/>
        <v>39.715861931990617</v>
      </c>
      <c r="K18" s="408">
        <f>SUM(C18,D18,F18,H18)</f>
        <v>2612.3258619319909</v>
      </c>
      <c r="V18" s="504"/>
    </row>
    <row r="19" spans="2:22" ht="16.899999999999999" customHeight="1" x14ac:dyDescent="0.25">
      <c r="B19" s="507" t="s">
        <v>216</v>
      </c>
      <c r="C19" s="509">
        <f>SUMIF('Monthly Detail'!$3:$3, 'Quarterly Overview'!C$11, 'Monthly Detail'!59:59)</f>
        <v>1557.63</v>
      </c>
      <c r="D19" s="509">
        <f>SUMIF('Monthly Detail'!$3:$3, 'Quarterly Overview'!D$11, 'Monthly Detail'!59:59)</f>
        <v>1610.76</v>
      </c>
      <c r="E19" s="325">
        <f>+D19-C19</f>
        <v>53.129999999999882</v>
      </c>
      <c r="F19" s="509">
        <f>SUMIF('Monthly Detail'!$3:$3, 'Quarterly Overview'!F$11, 'Monthly Detail'!59:59)</f>
        <v>2249.6999999999998</v>
      </c>
      <c r="G19" s="325">
        <f t="shared" si="1"/>
        <v>638.93999999999983</v>
      </c>
      <c r="H19" s="399">
        <f>SUMIF('Monthly Detail'!$3:$3, 'Quarterly Overview'!H$11, 'Monthly Detail'!59:59)</f>
        <v>1801.7493890844539</v>
      </c>
      <c r="I19" s="325">
        <f t="shared" si="1"/>
        <v>-447.95061091554589</v>
      </c>
      <c r="K19" s="408">
        <f>SUM(C19,D19,F19,H19)</f>
        <v>7219.8393890844545</v>
      </c>
      <c r="V19" s="504"/>
    </row>
    <row r="20" spans="2:22" ht="16.899999999999999" customHeight="1" x14ac:dyDescent="0.25">
      <c r="B20" s="507" t="s">
        <v>352</v>
      </c>
      <c r="C20" s="509">
        <f>SUMIF('Monthly Detail'!$3:$3, 'Quarterly Overview'!C$11, 'Monthly Detail'!60:60)</f>
        <v>95</v>
      </c>
      <c r="D20" s="509">
        <f>SUMIF('Monthly Detail'!$3:$3, 'Quarterly Overview'!D$11, 'Monthly Detail'!60:60)</f>
        <v>629</v>
      </c>
      <c r="E20" s="325">
        <f>+D20-C20</f>
        <v>534</v>
      </c>
      <c r="F20" s="509">
        <f>SUMIF('Monthly Detail'!$3:$3, 'Quarterly Overview'!F$11, 'Monthly Detail'!60:60)</f>
        <v>30</v>
      </c>
      <c r="G20" s="325">
        <f t="shared" si="1"/>
        <v>-599</v>
      </c>
      <c r="H20" s="399">
        <f>SUMIF('Monthly Detail'!$3:$3, 'Quarterly Overview'!H$11, 'Monthly Detail'!60:60)</f>
        <v>1256.0673911195533</v>
      </c>
      <c r="I20" s="325">
        <f t="shared" si="1"/>
        <v>1226.0673911195533</v>
      </c>
      <c r="K20" s="408">
        <f>SUM(C20,D20,F20,H20)</f>
        <v>2010.0673911195533</v>
      </c>
      <c r="V20" s="504"/>
    </row>
    <row r="21" spans="2:22" ht="15.75" x14ac:dyDescent="0.25">
      <c r="B21" s="514" t="s">
        <v>232</v>
      </c>
      <c r="C21" s="89">
        <f>SUM(C18:C20)</f>
        <v>2266.58</v>
      </c>
      <c r="D21" s="89">
        <f>SUM(D18:D20)</f>
        <v>2909.88</v>
      </c>
      <c r="E21" s="333">
        <f>SUM(E18:E19)</f>
        <v>109.29999999999984</v>
      </c>
      <c r="F21" s="89">
        <f>SUM(F18:F20)</f>
        <v>2923.97</v>
      </c>
      <c r="G21" s="333">
        <f t="shared" si="1"/>
        <v>14.089999999999691</v>
      </c>
      <c r="H21" s="328">
        <f>SUM(H18:H20)</f>
        <v>3741.8026421359982</v>
      </c>
      <c r="I21" s="333">
        <f t="shared" si="1"/>
        <v>817.83264213599841</v>
      </c>
      <c r="J21" s="229"/>
      <c r="K21" s="411">
        <f>SUM(K18:K20)</f>
        <v>11842.232642135999</v>
      </c>
      <c r="V21" s="504"/>
    </row>
    <row r="22" spans="2:22" ht="4.9000000000000004" customHeight="1" x14ac:dyDescent="0.25">
      <c r="B22" s="515"/>
      <c r="C22" s="513"/>
      <c r="D22" s="513"/>
      <c r="E22" s="396"/>
      <c r="F22" s="513"/>
      <c r="G22" s="396"/>
      <c r="H22" s="401"/>
      <c r="I22" s="396"/>
      <c r="K22" s="410"/>
      <c r="V22" s="504"/>
    </row>
    <row r="23" spans="2:22" ht="15.75" x14ac:dyDescent="0.25">
      <c r="B23" s="514" t="s">
        <v>147</v>
      </c>
      <c r="C23" s="89">
        <f>C13-C21</f>
        <v>18064.11</v>
      </c>
      <c r="D23" s="89">
        <f>D13-D21</f>
        <v>19716.939999999999</v>
      </c>
      <c r="E23" s="327">
        <f>+D23-C23</f>
        <v>1652.8299999999981</v>
      </c>
      <c r="F23" s="89">
        <f>F13-F21</f>
        <v>18318.38</v>
      </c>
      <c r="G23" s="327">
        <f t="shared" ref="G23:I24" si="2">+F23-D23</f>
        <v>-1398.5599999999977</v>
      </c>
      <c r="H23" s="89">
        <f>H13-H21</f>
        <v>15998.863324065584</v>
      </c>
      <c r="I23" s="327">
        <f t="shared" si="2"/>
        <v>-2319.5166759344174</v>
      </c>
      <c r="J23" s="229"/>
      <c r="K23" s="412">
        <f>K13-K21</f>
        <v>72098.293324065584</v>
      </c>
      <c r="V23" s="504"/>
    </row>
    <row r="24" spans="2:22" x14ac:dyDescent="0.25">
      <c r="B24" s="516" t="s">
        <v>148</v>
      </c>
      <c r="C24" s="517">
        <f>C23/C13</f>
        <v>0.88851435932572864</v>
      </c>
      <c r="D24" s="517">
        <f>D23/D13</f>
        <v>0.87139686442902708</v>
      </c>
      <c r="E24" s="329">
        <f>+D24-C24</f>
        <v>-1.7117494896701557E-2</v>
      </c>
      <c r="F24" s="517">
        <f>F23/F13</f>
        <v>0.86235185843374196</v>
      </c>
      <c r="G24" s="329">
        <f t="shared" si="2"/>
        <v>-9.0450059952851269E-3</v>
      </c>
      <c r="H24" s="402">
        <f>H23/H13</f>
        <v>0.81045205625066463</v>
      </c>
      <c r="I24" s="329">
        <f t="shared" si="2"/>
        <v>-5.1899802183077326E-2</v>
      </c>
      <c r="J24" s="7"/>
      <c r="K24" s="413">
        <f>K23/K13</f>
        <v>0.85892115273492275</v>
      </c>
      <c r="V24" s="504"/>
    </row>
    <row r="25" spans="2:22" ht="5.65" customHeight="1" x14ac:dyDescent="0.25">
      <c r="B25" s="507"/>
      <c r="C25" s="518"/>
      <c r="D25" s="518"/>
      <c r="E25" s="331"/>
      <c r="F25" s="518"/>
      <c r="G25" s="331"/>
      <c r="H25" s="403"/>
      <c r="I25" s="331"/>
      <c r="K25" s="407"/>
      <c r="V25" s="504"/>
    </row>
    <row r="26" spans="2:22" x14ac:dyDescent="0.25">
      <c r="B26" s="507" t="s">
        <v>185</v>
      </c>
      <c r="C26" s="509">
        <f>SUMIF('Monthly Detail'!$3:$3, 'Quarterly Overview'!C$11, 'Monthly Detail'!$89:$89)</f>
        <v>9424.84</v>
      </c>
      <c r="D26" s="509">
        <f>SUMIF('Monthly Detail'!$3:$3, 'Quarterly Overview'!D$11, 'Monthly Detail'!$89:$89)</f>
        <v>12509.749999999998</v>
      </c>
      <c r="E26" s="332">
        <f>+D26-C26</f>
        <v>3084.909999999998</v>
      </c>
      <c r="F26" s="509">
        <f>SUMIF('Monthly Detail'!$3:$3, 'Quarterly Overview'!F$11, 'Monthly Detail'!$89:$89)</f>
        <v>10433.450000000001</v>
      </c>
      <c r="G26" s="332">
        <f t="shared" ref="G26:I27" si="3">+F26-D26</f>
        <v>-2076.2999999999975</v>
      </c>
      <c r="H26" s="399">
        <f>SUMIF('Monthly Detail'!$3:$3, 'Quarterly Overview'!H$11, 'Monthly Detail'!$89:$89)</f>
        <v>13907.414848484848</v>
      </c>
      <c r="I26" s="332">
        <f t="shared" si="3"/>
        <v>3473.9648484848476</v>
      </c>
      <c r="K26" s="408">
        <f>SUM(C26,D26,F26,H26)</f>
        <v>46275.454848484849</v>
      </c>
      <c r="O26" s="1"/>
      <c r="V26" s="504"/>
    </row>
    <row r="27" spans="2:22" x14ac:dyDescent="0.25">
      <c r="B27" s="519" t="s">
        <v>149</v>
      </c>
      <c r="C27" s="80">
        <f t="shared" ref="C27:H27" si="4">SUM(C26:C26)</f>
        <v>9424.84</v>
      </c>
      <c r="D27" s="80">
        <f t="shared" si="4"/>
        <v>12509.749999999998</v>
      </c>
      <c r="E27" s="333">
        <f t="shared" si="4"/>
        <v>3084.909999999998</v>
      </c>
      <c r="F27" s="80">
        <f t="shared" si="4"/>
        <v>10433.450000000001</v>
      </c>
      <c r="G27" s="333">
        <f t="shared" si="3"/>
        <v>-2076.2999999999975</v>
      </c>
      <c r="H27" s="334">
        <f t="shared" si="4"/>
        <v>13907.414848484848</v>
      </c>
      <c r="I27" s="333">
        <f t="shared" si="3"/>
        <v>3473.9648484848476</v>
      </c>
      <c r="J27" s="227"/>
      <c r="K27" s="414">
        <f>SUM(K26:K26)</f>
        <v>46275.454848484849</v>
      </c>
      <c r="V27" s="504"/>
    </row>
    <row r="28" spans="2:22" ht="1.9" customHeight="1" x14ac:dyDescent="0.25">
      <c r="B28" s="507"/>
      <c r="C28" s="518"/>
      <c r="D28" s="518"/>
      <c r="E28" s="331"/>
      <c r="F28" s="518"/>
      <c r="G28" s="331"/>
      <c r="H28" s="403"/>
      <c r="I28" s="331"/>
      <c r="K28" s="407"/>
      <c r="V28" s="504"/>
    </row>
    <row r="29" spans="2:22" ht="15.75" x14ac:dyDescent="0.25">
      <c r="B29" s="514" t="s">
        <v>150</v>
      </c>
      <c r="C29" s="89">
        <f>C23-C27</f>
        <v>8639.27</v>
      </c>
      <c r="D29" s="89">
        <f>D23-D27</f>
        <v>7207.1900000000005</v>
      </c>
      <c r="E29" s="327">
        <f>+D29-C29</f>
        <v>-1432.08</v>
      </c>
      <c r="F29" s="89">
        <f>F23-F27</f>
        <v>7884.93</v>
      </c>
      <c r="G29" s="327">
        <f t="shared" ref="G29:I30" si="5">+F29-D29</f>
        <v>677.73999999999978</v>
      </c>
      <c r="H29" s="328">
        <f>H23-H27</f>
        <v>2091.4484755807352</v>
      </c>
      <c r="I29" s="327">
        <f t="shared" si="5"/>
        <v>-5793.481524419265</v>
      </c>
      <c r="J29" s="229"/>
      <c r="K29" s="412">
        <f>K23-K27</f>
        <v>25822.838475580735</v>
      </c>
      <c r="V29" s="504"/>
    </row>
    <row r="30" spans="2:22" x14ac:dyDescent="0.25">
      <c r="B30" s="516" t="s">
        <v>151</v>
      </c>
      <c r="C30" s="517">
        <f>C29/C13</f>
        <v>0.42493737300603174</v>
      </c>
      <c r="D30" s="517">
        <f>D29/D13</f>
        <v>0.31852421153303911</v>
      </c>
      <c r="E30" s="329">
        <f>+D30-C30</f>
        <v>-0.10641316147299262</v>
      </c>
      <c r="F30" s="517">
        <f>F29/F13</f>
        <v>0.3711891575084677</v>
      </c>
      <c r="G30" s="329">
        <f t="shared" si="5"/>
        <v>5.266494597542859E-2</v>
      </c>
      <c r="H30" s="402">
        <f>H29/H13</f>
        <v>0.10594619650428963</v>
      </c>
      <c r="I30" s="329">
        <f t="shared" si="5"/>
        <v>-0.2652429610041781</v>
      </c>
      <c r="J30" s="7"/>
      <c r="K30" s="413">
        <f>K29/K13</f>
        <v>0.30763255505425624</v>
      </c>
      <c r="V30" s="504"/>
    </row>
    <row r="31" spans="2:22" ht="4.1500000000000004" customHeight="1" x14ac:dyDescent="0.25">
      <c r="B31" s="520"/>
      <c r="C31" s="521"/>
      <c r="D31" s="521"/>
      <c r="E31" s="335"/>
      <c r="F31" s="521"/>
      <c r="G31" s="335"/>
      <c r="H31" s="404"/>
      <c r="I31" s="335"/>
      <c r="K31" s="415"/>
      <c r="V31" s="504"/>
    </row>
    <row r="32" spans="2:22" x14ac:dyDescent="0.25">
      <c r="B32" s="507" t="s">
        <v>152</v>
      </c>
      <c r="C32" s="168">
        <f>SUMIF('Monthly Detail'!$3:$3, 'Quarterly Overview'!C$11, 'Monthly Detail'!96:96)</f>
        <v>2.35</v>
      </c>
      <c r="D32" s="168">
        <f>SUMIF('Monthly Detail'!$3:$3, 'Quarterly Overview'!D$11, 'Monthly Detail'!96:96)</f>
        <v>11.45</v>
      </c>
      <c r="E32" s="336">
        <f>+D32-C32</f>
        <v>9.1</v>
      </c>
      <c r="F32" s="168">
        <f>SUMIF('Monthly Detail'!$3:$3, 'Quarterly Overview'!F$11, 'Monthly Detail'!96:96)</f>
        <v>10.26</v>
      </c>
      <c r="G32" s="336">
        <f t="shared" ref="G32:I34" si="6">+F32-D32</f>
        <v>-1.1899999999999995</v>
      </c>
      <c r="H32" s="405">
        <f>SUMIF('Monthly Detail'!$3:$3, 'Quarterly Overview'!H$11, 'Monthly Detail'!96:96)</f>
        <v>5.34</v>
      </c>
      <c r="I32" s="336">
        <f t="shared" si="6"/>
        <v>-4.92</v>
      </c>
      <c r="J32" s="133"/>
      <c r="K32" s="416">
        <f>SUM(C32,D32,F32,H32)</f>
        <v>29.4</v>
      </c>
      <c r="V32" s="504"/>
    </row>
    <row r="33" spans="2:22" ht="15.75" x14ac:dyDescent="0.25">
      <c r="B33" s="514" t="s">
        <v>11</v>
      </c>
      <c r="C33" s="89">
        <f>C29+SUM(C32:C32)</f>
        <v>8641.6200000000008</v>
      </c>
      <c r="D33" s="89">
        <f>D29+SUM(D32:D32)</f>
        <v>7218.64</v>
      </c>
      <c r="E33" s="327">
        <f>+D33-C33</f>
        <v>-1422.9800000000005</v>
      </c>
      <c r="F33" s="89">
        <f>F29+SUM(F32:F32)</f>
        <v>7895.1900000000005</v>
      </c>
      <c r="G33" s="327">
        <f t="shared" si="6"/>
        <v>676.55000000000018</v>
      </c>
      <c r="H33" s="328">
        <f>H29+SUM(H32:H32)</f>
        <v>2096.7884755807354</v>
      </c>
      <c r="I33" s="327">
        <f t="shared" si="6"/>
        <v>-5798.4015244192651</v>
      </c>
      <c r="J33" s="229"/>
      <c r="K33" s="412">
        <f>K29+SUM(K32:K32)</f>
        <v>25852.238475580736</v>
      </c>
      <c r="L33" s="522"/>
      <c r="V33" s="504"/>
    </row>
    <row r="34" spans="2:22" x14ac:dyDescent="0.25">
      <c r="B34" s="516" t="s">
        <v>153</v>
      </c>
      <c r="C34" s="91">
        <f>C33/C13</f>
        <v>0.42505296180306718</v>
      </c>
      <c r="D34" s="91">
        <f>D33/D13</f>
        <v>0.31903024817451153</v>
      </c>
      <c r="E34" s="337">
        <f>+D34-C34</f>
        <v>-0.10602271362855564</v>
      </c>
      <c r="F34" s="91">
        <f>F33/F13</f>
        <v>0.37167215491694655</v>
      </c>
      <c r="G34" s="337">
        <f t="shared" si="6"/>
        <v>5.2641906742435018E-2</v>
      </c>
      <c r="H34" s="330">
        <f>H33/H13</f>
        <v>0.10621670409553012</v>
      </c>
      <c r="I34" s="337">
        <f t="shared" si="6"/>
        <v>-0.26545545082141642</v>
      </c>
      <c r="J34" s="7"/>
      <c r="K34" s="413">
        <f>K33/K13</f>
        <v>0.30798280303830911</v>
      </c>
      <c r="L34" s="522"/>
      <c r="V34" s="504"/>
    </row>
    <row r="35" spans="2:22" ht="2.25" customHeight="1" thickBot="1" x14ac:dyDescent="0.3">
      <c r="B35" s="507"/>
      <c r="E35" s="338"/>
      <c r="G35" s="338"/>
      <c r="H35" s="251"/>
      <c r="I35" s="212"/>
      <c r="K35" s="407"/>
      <c r="V35" s="504"/>
    </row>
    <row r="36" spans="2:22" x14ac:dyDescent="0.25">
      <c r="B36" s="523" t="s">
        <v>154</v>
      </c>
      <c r="C36" s="85">
        <f>SUMIF('Monthly Detail'!$4:$4, 'Quarterly Overview'!C$9, 'Monthly Detail'!173:173)</f>
        <v>2808.1299999999983</v>
      </c>
      <c r="D36" s="85">
        <f>SUMIF('Monthly Detail'!$4:$4, 'Quarterly Overview'!D$9, 'Monthly Detail'!173:173)</f>
        <v>2620.3699999999967</v>
      </c>
      <c r="E36" s="339"/>
      <c r="F36" s="163">
        <f>SUMIF('Monthly Detail'!$4:$4, 'Quarterly Overview'!F$9, 'Monthly Detail'!173:173)</f>
        <v>123.46999999999639</v>
      </c>
      <c r="G36" s="339"/>
      <c r="H36" s="85">
        <f>SUMIF('Monthly Detail'!$4:$4, 'Quarterly Overview'!H$9, 'Monthly Detail'!173:173)</f>
        <v>1425.9999999999984</v>
      </c>
      <c r="I36" s="207"/>
      <c r="K36" s="407"/>
      <c r="V36" s="504"/>
    </row>
    <row r="37" spans="2:22" x14ac:dyDescent="0.25">
      <c r="B37" s="524" t="s">
        <v>155</v>
      </c>
      <c r="C37" s="340">
        <f>SUMIF('Monthly Detail'!$3:$3, 'Quarterly Overview'!C$10, 'Monthly Detail'!170:170)</f>
        <v>1963.2400000000021</v>
      </c>
      <c r="D37" s="340">
        <f>SUMIF('Monthly Detail'!$3:$3, 'Quarterly Overview'!D$10, 'Monthly Detail'!170:170)</f>
        <v>3321.7900000000013</v>
      </c>
      <c r="E37" s="499">
        <f>+D37-C37</f>
        <v>1358.5499999999993</v>
      </c>
      <c r="F37" s="341">
        <f>SUMIF('Monthly Detail'!$3:$3, 'Quarterly Overview'!F$10, 'Monthly Detail'!170:170)</f>
        <v>-303.37999999999829</v>
      </c>
      <c r="G37" s="499">
        <f>+F37-D37</f>
        <v>-3625.1699999999996</v>
      </c>
      <c r="H37" s="340">
        <f>SUMIF('Monthly Detail'!$3:$3, 'Quarterly Overview'!H$10, 'Monthly Detail'!170:170)</f>
        <v>577.19433923926465</v>
      </c>
      <c r="I37" s="342">
        <f>+H37-F37</f>
        <v>880.57433923926294</v>
      </c>
      <c r="J37" s="343"/>
      <c r="K37" s="417"/>
      <c r="V37" s="504"/>
    </row>
    <row r="38" spans="2:22" x14ac:dyDescent="0.25">
      <c r="B38" s="503"/>
      <c r="V38" s="504"/>
    </row>
    <row r="39" spans="2:22" x14ac:dyDescent="0.25">
      <c r="B39" s="503"/>
      <c r="V39" s="504"/>
    </row>
    <row r="40" spans="2:22" x14ac:dyDescent="0.25">
      <c r="B40" s="503"/>
      <c r="V40" s="504"/>
    </row>
    <row r="41" spans="2:22" x14ac:dyDescent="0.25">
      <c r="B41" s="503"/>
      <c r="C41" t="s">
        <v>281</v>
      </c>
      <c r="D41" t="s">
        <v>282</v>
      </c>
      <c r="F41" t="s">
        <v>283</v>
      </c>
      <c r="H41" t="s">
        <v>284</v>
      </c>
      <c r="V41" s="504"/>
    </row>
    <row r="42" spans="2:22" x14ac:dyDescent="0.25">
      <c r="B42" s="503" t="s">
        <v>285</v>
      </c>
      <c r="C42" s="171" t="e">
        <f>+SUM(#REF!)</f>
        <v>#REF!</v>
      </c>
      <c r="D42" s="171" t="e">
        <f>+SUM(#REF!)</f>
        <v>#REF!</v>
      </c>
      <c r="E42" s="171"/>
      <c r="F42" s="171" t="e">
        <f>+SUM(#REF!)</f>
        <v>#REF!</v>
      </c>
      <c r="G42" s="171"/>
      <c r="H42" s="171" t="e">
        <f>+SUM(#REF!)</f>
        <v>#REF!</v>
      </c>
      <c r="V42" s="504"/>
    </row>
    <row r="43" spans="2:22" x14ac:dyDescent="0.25">
      <c r="B43" s="503" t="s">
        <v>286</v>
      </c>
      <c r="C43" s="171" t="e">
        <f>+SUM(#REF!)</f>
        <v>#REF!</v>
      </c>
      <c r="D43" s="171" t="e">
        <f>+SUM(#REF!)</f>
        <v>#REF!</v>
      </c>
      <c r="E43" s="171"/>
      <c r="F43" s="171" t="e">
        <f>+SUM(#REF!)</f>
        <v>#REF!</v>
      </c>
      <c r="G43" s="171"/>
      <c r="H43" s="171" t="e">
        <f>+SUM(#REF!)</f>
        <v>#REF!</v>
      </c>
      <c r="V43" s="504"/>
    </row>
    <row r="44" spans="2:22" x14ac:dyDescent="0.25">
      <c r="B44" s="503" t="s">
        <v>296</v>
      </c>
      <c r="C44" s="102" t="e">
        <f>+AVERAGE(#REF!)</f>
        <v>#REF!</v>
      </c>
      <c r="D44" s="102" t="e">
        <f>+AVERAGE(#REF!)</f>
        <v>#REF!</v>
      </c>
      <c r="E44" s="102"/>
      <c r="F44" s="102" t="e">
        <f>+AVERAGE(#REF!)</f>
        <v>#REF!</v>
      </c>
      <c r="G44" s="102"/>
      <c r="H44" s="102" t="e">
        <f>+AVERAGE(#REF!)</f>
        <v>#REF!</v>
      </c>
      <c r="V44" s="504"/>
    </row>
    <row r="45" spans="2:22" x14ac:dyDescent="0.25">
      <c r="B45" s="503" t="s">
        <v>298</v>
      </c>
      <c r="C45" s="102" t="e">
        <f>+AVERAGE(#REF!)</f>
        <v>#REF!</v>
      </c>
      <c r="D45" s="102" t="e">
        <f>+AVERAGE(#REF!)</f>
        <v>#REF!</v>
      </c>
      <c r="E45" s="102"/>
      <c r="F45" s="102" t="e">
        <f>+AVERAGE(#REF!)</f>
        <v>#REF!</v>
      </c>
      <c r="G45" s="102"/>
      <c r="H45" s="102" t="e">
        <f>+AVERAGE(#REF!)</f>
        <v>#REF!</v>
      </c>
      <c r="V45" s="504"/>
    </row>
    <row r="46" spans="2:22" x14ac:dyDescent="0.25">
      <c r="B46" s="503" t="s">
        <v>297</v>
      </c>
      <c r="C46" s="102" t="e">
        <f>+AVERAGE(#REF!)</f>
        <v>#REF!</v>
      </c>
      <c r="D46" s="102" t="e">
        <f>+AVERAGE(#REF!)</f>
        <v>#REF!</v>
      </c>
      <c r="E46" s="102"/>
      <c r="F46" s="102" t="e">
        <f>+AVERAGE(#REF!)</f>
        <v>#REF!</v>
      </c>
      <c r="G46" s="102"/>
      <c r="H46" s="102" t="e">
        <f>+AVERAGE(#REF!)</f>
        <v>#REF!</v>
      </c>
      <c r="V46" s="504"/>
    </row>
    <row r="47" spans="2:22" x14ac:dyDescent="0.25">
      <c r="B47" s="503"/>
      <c r="V47" s="504"/>
    </row>
    <row r="48" spans="2:22" x14ac:dyDescent="0.25">
      <c r="B48" s="503"/>
      <c r="V48" s="504"/>
    </row>
    <row r="49" spans="2:22" x14ac:dyDescent="0.25">
      <c r="B49" s="503"/>
      <c r="V49" s="504"/>
    </row>
    <row r="50" spans="2:22" x14ac:dyDescent="0.25">
      <c r="B50" s="503"/>
      <c r="V50" s="504"/>
    </row>
    <row r="51" spans="2:22" x14ac:dyDescent="0.25">
      <c r="B51" s="503"/>
      <c r="V51" s="504"/>
    </row>
    <row r="52" spans="2:22" x14ac:dyDescent="0.25">
      <c r="B52" s="503"/>
      <c r="V52" s="504"/>
    </row>
    <row r="53" spans="2:22" x14ac:dyDescent="0.25">
      <c r="B53" s="503"/>
      <c r="V53" s="504"/>
    </row>
    <row r="54" spans="2:22" x14ac:dyDescent="0.25">
      <c r="B54" s="503"/>
      <c r="V54" s="504"/>
    </row>
    <row r="55" spans="2:22" x14ac:dyDescent="0.25">
      <c r="B55" s="503"/>
      <c r="V55" s="504"/>
    </row>
    <row r="56" spans="2:22" x14ac:dyDescent="0.25">
      <c r="B56" s="503"/>
      <c r="V56" s="504"/>
    </row>
    <row r="57" spans="2:22" x14ac:dyDescent="0.25">
      <c r="B57" s="503"/>
      <c r="V57" s="504"/>
    </row>
    <row r="58" spans="2:22" x14ac:dyDescent="0.25">
      <c r="B58" s="503"/>
      <c r="V58" s="504"/>
    </row>
    <row r="59" spans="2:22" ht="15.75" thickBot="1" x14ac:dyDescent="0.3">
      <c r="B59" s="525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526"/>
    </row>
    <row r="60" spans="2:22" ht="15.75" thickTop="1" x14ac:dyDescent="0.25"/>
  </sheetData>
  <pageMargins left="0.25" right="0.25" top="0.75" bottom="0.75" header="0.3" footer="0.3"/>
  <pageSetup scale="53" orientation="landscape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1F7F-3B90-4D8D-8E65-DF0E18797B46}">
  <dimension ref="A1"/>
  <sheetViews>
    <sheetView showGridLines="0" zoomScaleNormal="100" workbookViewId="0">
      <selection activeCell="B3" sqref="B3"/>
    </sheetView>
  </sheetViews>
  <sheetFormatPr defaultColWidth="8.7109375"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  <pageSetUpPr fitToPage="1"/>
  </sheetPr>
  <dimension ref="A1:DJ175"/>
  <sheetViews>
    <sheetView tabSelected="1" zoomScaleNormal="150" workbookViewId="0">
      <pane xSplit="3" ySplit="4" topLeftCell="AL9" activePane="bottomRight" state="frozen"/>
      <selection activeCell="B1" sqref="B1"/>
      <selection pane="topRight" activeCell="D1" sqref="D1"/>
      <selection pane="bottomLeft" activeCell="B5" sqref="B5"/>
      <selection pane="bottomRight" activeCell="AX4" sqref="AX4"/>
    </sheetView>
  </sheetViews>
  <sheetFormatPr defaultColWidth="8.7109375" defaultRowHeight="15" outlineLevelCol="1" x14ac:dyDescent="0.25"/>
  <cols>
    <col min="1" max="1" width="9.140625" hidden="1" customWidth="1" outlineLevel="1"/>
    <col min="2" max="2" width="39.28515625" bestFit="1" customWidth="1" collapsed="1"/>
    <col min="3" max="3" width="31.28515625" bestFit="1" customWidth="1"/>
    <col min="4" max="9" width="10.42578125" hidden="1" customWidth="1" outlineLevel="1"/>
    <col min="10" max="10" width="10.42578125" hidden="1" customWidth="1" outlineLevel="1" collapsed="1"/>
    <col min="11" max="11" width="10.42578125" hidden="1" customWidth="1" outlineLevel="1"/>
    <col min="12" max="15" width="12.7109375" hidden="1" customWidth="1" outlineLevel="1"/>
    <col min="16" max="16" width="12.7109375" hidden="1" customWidth="1" outlineLevel="1" collapsed="1"/>
    <col min="17" max="20" width="12.7109375" hidden="1" customWidth="1" outlineLevel="1"/>
    <col min="21" max="27" width="13.28515625" hidden="1" customWidth="1" outlineLevel="1"/>
    <col min="28" max="28" width="13.7109375" hidden="1" customWidth="1" outlineLevel="1" collapsed="1"/>
    <col min="29" max="29" width="13.28515625" hidden="1" customWidth="1" outlineLevel="1"/>
    <col min="30" max="32" width="13.7109375" hidden="1" customWidth="1" outlineLevel="1"/>
    <col min="33" max="33" width="14.140625" hidden="1" customWidth="1" outlineLevel="1"/>
    <col min="34" max="34" width="15.140625" hidden="1" customWidth="1" outlineLevel="1" collapsed="1"/>
    <col min="35" max="39" width="14.140625" hidden="1" customWidth="1" outlineLevel="1"/>
    <col min="40" max="42" width="14.42578125" hidden="1" customWidth="1" outlineLevel="1"/>
    <col min="43" max="43" width="14.28515625" bestFit="1" customWidth="1" collapsed="1"/>
    <col min="44" max="47" width="14.28515625" bestFit="1" customWidth="1"/>
    <col min="48" max="49" width="14.42578125" bestFit="1" customWidth="1"/>
    <col min="50" max="50" width="14.28515625" bestFit="1" customWidth="1"/>
    <col min="51" max="51" width="13.28515625" bestFit="1" customWidth="1"/>
    <col min="52" max="111" width="13.42578125" bestFit="1" customWidth="1"/>
    <col min="112" max="113" width="5.140625" bestFit="1" customWidth="1"/>
    <col min="114" max="114" width="8.42578125" bestFit="1" customWidth="1"/>
  </cols>
  <sheetData>
    <row r="1" spans="1:114" ht="15.75" thickBot="1" x14ac:dyDescent="0.3">
      <c r="A1" s="30"/>
      <c r="B1" s="30"/>
      <c r="C1" s="30"/>
      <c r="D1" s="31">
        <f t="shared" ref="D1:AI1" si="0">YEAR(D4)</f>
        <v>2022</v>
      </c>
      <c r="E1" s="31">
        <f t="shared" si="0"/>
        <v>2022</v>
      </c>
      <c r="F1" s="31">
        <f t="shared" si="0"/>
        <v>2022</v>
      </c>
      <c r="G1" s="31">
        <f t="shared" si="0"/>
        <v>2022</v>
      </c>
      <c r="H1" s="31">
        <f t="shared" si="0"/>
        <v>2022</v>
      </c>
      <c r="I1" s="31">
        <f t="shared" si="0"/>
        <v>2022</v>
      </c>
      <c r="J1" s="31">
        <f t="shared" si="0"/>
        <v>2022</v>
      </c>
      <c r="K1" s="31">
        <f t="shared" si="0"/>
        <v>2022</v>
      </c>
      <c r="L1" s="31">
        <f t="shared" si="0"/>
        <v>2022</v>
      </c>
      <c r="M1" s="31">
        <f t="shared" si="0"/>
        <v>2022</v>
      </c>
      <c r="N1" s="31">
        <f t="shared" si="0"/>
        <v>2022</v>
      </c>
      <c r="O1" s="31">
        <f t="shared" si="0"/>
        <v>2022</v>
      </c>
      <c r="P1" s="31">
        <f t="shared" si="0"/>
        <v>2023</v>
      </c>
      <c r="Q1" s="31">
        <f t="shared" si="0"/>
        <v>2023</v>
      </c>
      <c r="R1" s="31">
        <f t="shared" si="0"/>
        <v>2023</v>
      </c>
      <c r="S1" s="31">
        <f t="shared" si="0"/>
        <v>2023</v>
      </c>
      <c r="T1" s="31">
        <f t="shared" si="0"/>
        <v>2023</v>
      </c>
      <c r="U1" s="31">
        <f t="shared" si="0"/>
        <v>2023</v>
      </c>
      <c r="V1" s="31">
        <f t="shared" si="0"/>
        <v>2023</v>
      </c>
      <c r="W1" s="31">
        <f t="shared" si="0"/>
        <v>2023</v>
      </c>
      <c r="X1" s="31">
        <f t="shared" si="0"/>
        <v>2023</v>
      </c>
      <c r="Y1" s="31">
        <f t="shared" si="0"/>
        <v>2023</v>
      </c>
      <c r="Z1" s="31">
        <f t="shared" si="0"/>
        <v>2023</v>
      </c>
      <c r="AA1" s="31">
        <f t="shared" ref="AA1:AF1" si="1">YEAR(AA4)</f>
        <v>2023</v>
      </c>
      <c r="AB1" s="31">
        <f t="shared" si="1"/>
        <v>2024</v>
      </c>
      <c r="AC1" s="31">
        <f t="shared" si="1"/>
        <v>2024</v>
      </c>
      <c r="AD1" s="31">
        <f t="shared" si="1"/>
        <v>2024</v>
      </c>
      <c r="AE1" s="31">
        <f t="shared" si="1"/>
        <v>2024</v>
      </c>
      <c r="AF1" s="248">
        <f t="shared" si="1"/>
        <v>2024</v>
      </c>
      <c r="AG1" s="31">
        <f t="shared" si="0"/>
        <v>2024</v>
      </c>
      <c r="AH1" s="31">
        <f>YEAR(AH4)</f>
        <v>2024</v>
      </c>
      <c r="AI1" s="31">
        <f t="shared" si="0"/>
        <v>2024</v>
      </c>
      <c r="AJ1" s="31">
        <f t="shared" ref="AJ1:BO1" si="2">YEAR(AJ4)</f>
        <v>2024</v>
      </c>
      <c r="AK1" s="31">
        <f t="shared" si="2"/>
        <v>2024</v>
      </c>
      <c r="AL1" s="31">
        <f t="shared" si="2"/>
        <v>2024</v>
      </c>
      <c r="AM1" s="31">
        <f t="shared" si="2"/>
        <v>2024</v>
      </c>
      <c r="AN1" s="248">
        <f t="shared" si="2"/>
        <v>2025</v>
      </c>
      <c r="AO1" s="31">
        <f t="shared" si="2"/>
        <v>2025</v>
      </c>
      <c r="AP1" s="31">
        <f t="shared" si="2"/>
        <v>2025</v>
      </c>
      <c r="AQ1" s="248">
        <f t="shared" si="2"/>
        <v>2025</v>
      </c>
      <c r="AR1" s="31">
        <f t="shared" si="2"/>
        <v>2025</v>
      </c>
      <c r="AS1" s="31">
        <f t="shared" si="2"/>
        <v>2025</v>
      </c>
      <c r="AT1" s="31">
        <f t="shared" si="2"/>
        <v>2025</v>
      </c>
      <c r="AU1" s="31">
        <f t="shared" ref="AU1" si="3">YEAR(AU4)</f>
        <v>2025</v>
      </c>
      <c r="AV1" s="31">
        <f t="shared" ref="AV1:AW1" si="4">YEAR(AV4)</f>
        <v>2025</v>
      </c>
      <c r="AW1" s="248">
        <f t="shared" si="4"/>
        <v>2025</v>
      </c>
      <c r="AX1" s="31">
        <f t="shared" ref="AX1" si="5">YEAR(AX4)</f>
        <v>2025</v>
      </c>
      <c r="AY1" s="248">
        <f t="shared" si="2"/>
        <v>2025</v>
      </c>
      <c r="AZ1" s="31">
        <f t="shared" si="2"/>
        <v>2026</v>
      </c>
      <c r="BA1" s="31">
        <f t="shared" si="2"/>
        <v>2026</v>
      </c>
      <c r="BB1" s="31">
        <f t="shared" si="2"/>
        <v>2026</v>
      </c>
      <c r="BC1" s="31">
        <f t="shared" si="2"/>
        <v>2026</v>
      </c>
      <c r="BD1" s="31">
        <f t="shared" si="2"/>
        <v>2026</v>
      </c>
      <c r="BE1" s="31">
        <f t="shared" si="2"/>
        <v>2026</v>
      </c>
      <c r="BF1" s="31">
        <f t="shared" si="2"/>
        <v>2026</v>
      </c>
      <c r="BG1" s="31">
        <f t="shared" si="2"/>
        <v>2026</v>
      </c>
      <c r="BH1" s="31">
        <f t="shared" si="2"/>
        <v>2026</v>
      </c>
      <c r="BI1" s="31">
        <f t="shared" si="2"/>
        <v>2026</v>
      </c>
      <c r="BJ1" s="31">
        <f t="shared" si="2"/>
        <v>2026</v>
      </c>
      <c r="BK1" s="248">
        <f t="shared" si="2"/>
        <v>2026</v>
      </c>
      <c r="BL1" s="31">
        <f t="shared" si="2"/>
        <v>2027</v>
      </c>
      <c r="BM1" s="31">
        <f t="shared" si="2"/>
        <v>2027</v>
      </c>
      <c r="BN1" s="31">
        <f t="shared" si="2"/>
        <v>2027</v>
      </c>
      <c r="BO1" s="31">
        <f t="shared" si="2"/>
        <v>2027</v>
      </c>
      <c r="BP1" s="31">
        <f t="shared" ref="BP1:CU1" si="6">YEAR(BP4)</f>
        <v>2027</v>
      </c>
      <c r="BQ1" s="31">
        <f t="shared" si="6"/>
        <v>2027</v>
      </c>
      <c r="BR1" s="31">
        <f t="shared" si="6"/>
        <v>2027</v>
      </c>
      <c r="BS1" s="31">
        <f t="shared" si="6"/>
        <v>2027</v>
      </c>
      <c r="BT1" s="31">
        <f t="shared" si="6"/>
        <v>2027</v>
      </c>
      <c r="BU1" s="31">
        <f t="shared" si="6"/>
        <v>2027</v>
      </c>
      <c r="BV1" s="31">
        <f t="shared" si="6"/>
        <v>2027</v>
      </c>
      <c r="BW1" s="248">
        <f t="shared" si="6"/>
        <v>2027</v>
      </c>
      <c r="BX1" s="31">
        <f t="shared" si="6"/>
        <v>2028</v>
      </c>
      <c r="BY1" s="31">
        <f t="shared" si="6"/>
        <v>2028</v>
      </c>
      <c r="BZ1" s="31">
        <f t="shared" si="6"/>
        <v>2028</v>
      </c>
      <c r="CA1" s="31">
        <f t="shared" si="6"/>
        <v>2028</v>
      </c>
      <c r="CB1" s="31">
        <f t="shared" si="6"/>
        <v>2028</v>
      </c>
      <c r="CC1" s="31">
        <f t="shared" si="6"/>
        <v>2028</v>
      </c>
      <c r="CD1" s="31">
        <f t="shared" si="6"/>
        <v>2028</v>
      </c>
      <c r="CE1" s="31">
        <f t="shared" si="6"/>
        <v>2028</v>
      </c>
      <c r="CF1" s="31">
        <f t="shared" si="6"/>
        <v>2028</v>
      </c>
      <c r="CG1" s="31">
        <f t="shared" si="6"/>
        <v>2028</v>
      </c>
      <c r="CH1" s="31">
        <f t="shared" si="6"/>
        <v>2028</v>
      </c>
      <c r="CI1" s="248">
        <f t="shared" si="6"/>
        <v>2028</v>
      </c>
      <c r="CJ1" s="31">
        <f t="shared" si="6"/>
        <v>2029</v>
      </c>
      <c r="CK1" s="31">
        <f t="shared" si="6"/>
        <v>2029</v>
      </c>
      <c r="CL1" s="31">
        <f t="shared" si="6"/>
        <v>2029</v>
      </c>
      <c r="CM1" s="31">
        <f t="shared" si="6"/>
        <v>2029</v>
      </c>
      <c r="CN1" s="31">
        <f t="shared" si="6"/>
        <v>2029</v>
      </c>
      <c r="CO1" s="31">
        <f t="shared" si="6"/>
        <v>2029</v>
      </c>
      <c r="CP1" s="31">
        <f t="shared" si="6"/>
        <v>2029</v>
      </c>
      <c r="CQ1" s="31">
        <f t="shared" si="6"/>
        <v>2029</v>
      </c>
      <c r="CR1" s="31">
        <f t="shared" si="6"/>
        <v>2029</v>
      </c>
      <c r="CS1" s="31">
        <f t="shared" si="6"/>
        <v>2029</v>
      </c>
      <c r="CT1" s="31">
        <f t="shared" si="6"/>
        <v>2029</v>
      </c>
      <c r="CU1" s="248">
        <f t="shared" si="6"/>
        <v>2029</v>
      </c>
      <c r="CV1" s="31">
        <f t="shared" ref="CV1:DG1" si="7">YEAR(CV4)</f>
        <v>2030</v>
      </c>
      <c r="CW1" s="31">
        <f t="shared" si="7"/>
        <v>2030</v>
      </c>
      <c r="CX1" s="31">
        <f t="shared" si="7"/>
        <v>2030</v>
      </c>
      <c r="CY1" s="31">
        <f t="shared" si="7"/>
        <v>2030</v>
      </c>
      <c r="CZ1" s="31">
        <f t="shared" si="7"/>
        <v>2030</v>
      </c>
      <c r="DA1" s="31">
        <f t="shared" si="7"/>
        <v>2030</v>
      </c>
      <c r="DB1" s="31">
        <f t="shared" si="7"/>
        <v>2030</v>
      </c>
      <c r="DC1" s="31">
        <f t="shared" si="7"/>
        <v>2030</v>
      </c>
      <c r="DD1" s="31">
        <f t="shared" si="7"/>
        <v>2030</v>
      </c>
      <c r="DE1" s="31">
        <f t="shared" si="7"/>
        <v>2030</v>
      </c>
      <c r="DF1" s="31">
        <f t="shared" si="7"/>
        <v>2030</v>
      </c>
      <c r="DG1" s="31">
        <f t="shared" si="7"/>
        <v>2030</v>
      </c>
      <c r="DH1" s="31"/>
      <c r="DI1" s="31"/>
      <c r="DJ1" s="53"/>
    </row>
    <row r="2" spans="1:114" x14ac:dyDescent="0.25">
      <c r="A2" s="30"/>
      <c r="B2" s="30"/>
      <c r="C2" s="617"/>
      <c r="D2" s="305"/>
      <c r="E2" s="305"/>
      <c r="F2" s="305"/>
      <c r="G2" s="306" t="s">
        <v>187</v>
      </c>
      <c r="H2" s="306" t="s">
        <v>187</v>
      </c>
      <c r="I2" s="306" t="s">
        <v>189</v>
      </c>
      <c r="J2" s="306" t="s">
        <v>189</v>
      </c>
      <c r="K2" s="306" t="s">
        <v>188</v>
      </c>
      <c r="L2" s="306" t="s">
        <v>189</v>
      </c>
      <c r="M2" s="306" t="s">
        <v>189</v>
      </c>
      <c r="N2" s="306" t="s">
        <v>188</v>
      </c>
      <c r="O2" s="306" t="s">
        <v>189</v>
      </c>
      <c r="P2" s="306" t="s">
        <v>187</v>
      </c>
      <c r="Q2" s="306" t="s">
        <v>187</v>
      </c>
      <c r="R2" s="306" t="s">
        <v>189</v>
      </c>
      <c r="S2" s="306" t="s">
        <v>188</v>
      </c>
      <c r="T2" s="306" t="s">
        <v>188</v>
      </c>
      <c r="U2" s="306" t="s">
        <v>189</v>
      </c>
      <c r="V2" s="306" t="s">
        <v>187</v>
      </c>
      <c r="W2" s="306" t="s">
        <v>189</v>
      </c>
      <c r="X2" s="306" t="s">
        <v>187</v>
      </c>
      <c r="Y2" s="306" t="s">
        <v>187</v>
      </c>
      <c r="Z2" s="306" t="s">
        <v>187</v>
      </c>
      <c r="AA2" s="306" t="s">
        <v>189</v>
      </c>
      <c r="AB2" s="306" t="s">
        <v>189</v>
      </c>
      <c r="AC2" s="306" t="s">
        <v>189</v>
      </c>
      <c r="AD2" s="306" t="s">
        <v>189</v>
      </c>
      <c r="AE2" s="306" t="s">
        <v>187</v>
      </c>
      <c r="AF2" s="307" t="s">
        <v>187</v>
      </c>
      <c r="AG2" s="306" t="s">
        <v>187</v>
      </c>
      <c r="AH2" s="306" t="s">
        <v>189</v>
      </c>
      <c r="AI2" s="306" t="s">
        <v>189</v>
      </c>
      <c r="AJ2" s="306" t="s">
        <v>188</v>
      </c>
      <c r="AK2" s="306" t="s">
        <v>189</v>
      </c>
      <c r="AL2" s="306" t="s">
        <v>188</v>
      </c>
      <c r="AM2" s="306" t="str">
        <f t="shared" ref="AM2:CN2" si="8">+AA2</f>
        <v>Shoulder</v>
      </c>
      <c r="AN2" s="307" t="str">
        <f t="shared" si="8"/>
        <v>Shoulder</v>
      </c>
      <c r="AO2" s="306" t="str">
        <f t="shared" si="8"/>
        <v>Shoulder</v>
      </c>
      <c r="AP2" s="306" t="str">
        <f t="shared" si="8"/>
        <v>Shoulder</v>
      </c>
      <c r="AQ2" s="307" t="str">
        <f t="shared" si="8"/>
        <v>Peak</v>
      </c>
      <c r="AR2" s="306" t="str">
        <f t="shared" si="8"/>
        <v>Peak</v>
      </c>
      <c r="AS2" s="306" t="s">
        <v>189</v>
      </c>
      <c r="AT2" s="306" t="str">
        <f t="shared" si="8"/>
        <v>Shoulder</v>
      </c>
      <c r="AU2" s="306" t="str">
        <f t="shared" si="8"/>
        <v>Shoulder</v>
      </c>
      <c r="AV2" s="306" t="str">
        <f t="shared" si="8"/>
        <v>Trough</v>
      </c>
      <c r="AW2" s="307" t="str">
        <f t="shared" si="8"/>
        <v>Shoulder</v>
      </c>
      <c r="AX2" s="306" t="str">
        <f t="shared" si="8"/>
        <v>Trough</v>
      </c>
      <c r="AY2" s="633" t="str">
        <f t="shared" si="8"/>
        <v>Shoulder</v>
      </c>
      <c r="AZ2" s="31" t="str">
        <f t="shared" si="8"/>
        <v>Shoulder</v>
      </c>
      <c r="BA2" s="31" t="str">
        <f t="shared" si="8"/>
        <v>Shoulder</v>
      </c>
      <c r="BB2" s="31" t="str">
        <f t="shared" si="8"/>
        <v>Shoulder</v>
      </c>
      <c r="BC2" s="31" t="str">
        <f t="shared" si="8"/>
        <v>Peak</v>
      </c>
      <c r="BD2" s="31" t="str">
        <f t="shared" si="8"/>
        <v>Peak</v>
      </c>
      <c r="BE2" s="31" t="str">
        <f t="shared" si="8"/>
        <v>Shoulder</v>
      </c>
      <c r="BF2" s="31" t="str">
        <f t="shared" si="8"/>
        <v>Shoulder</v>
      </c>
      <c r="BG2" s="31" t="str">
        <f t="shared" si="8"/>
        <v>Shoulder</v>
      </c>
      <c r="BH2" s="31" t="str">
        <f t="shared" si="8"/>
        <v>Trough</v>
      </c>
      <c r="BI2" s="31" t="str">
        <f t="shared" si="8"/>
        <v>Shoulder</v>
      </c>
      <c r="BJ2" s="31" t="str">
        <f t="shared" si="8"/>
        <v>Trough</v>
      </c>
      <c r="BK2" s="248" t="str">
        <f t="shared" si="8"/>
        <v>Shoulder</v>
      </c>
      <c r="BL2" s="31" t="str">
        <f t="shared" si="8"/>
        <v>Shoulder</v>
      </c>
      <c r="BM2" s="31" t="str">
        <f t="shared" si="8"/>
        <v>Shoulder</v>
      </c>
      <c r="BN2" s="31" t="str">
        <f t="shared" si="8"/>
        <v>Shoulder</v>
      </c>
      <c r="BO2" s="31" t="str">
        <f t="shared" si="8"/>
        <v>Peak</v>
      </c>
      <c r="BP2" s="31" t="str">
        <f t="shared" si="8"/>
        <v>Peak</v>
      </c>
      <c r="BQ2" s="31" t="str">
        <f t="shared" si="8"/>
        <v>Shoulder</v>
      </c>
      <c r="BR2" s="31" t="str">
        <f t="shared" si="8"/>
        <v>Shoulder</v>
      </c>
      <c r="BS2" s="31" t="str">
        <f t="shared" si="8"/>
        <v>Shoulder</v>
      </c>
      <c r="BT2" s="31" t="str">
        <f t="shared" si="8"/>
        <v>Trough</v>
      </c>
      <c r="BU2" s="31" t="str">
        <f t="shared" si="8"/>
        <v>Shoulder</v>
      </c>
      <c r="BV2" s="31" t="str">
        <f t="shared" si="8"/>
        <v>Trough</v>
      </c>
      <c r="BW2" s="248" t="str">
        <f t="shared" si="8"/>
        <v>Shoulder</v>
      </c>
      <c r="BX2" s="31" t="str">
        <f t="shared" si="8"/>
        <v>Shoulder</v>
      </c>
      <c r="BY2" s="31" t="str">
        <f t="shared" si="8"/>
        <v>Shoulder</v>
      </c>
      <c r="BZ2" s="31" t="str">
        <f t="shared" si="8"/>
        <v>Shoulder</v>
      </c>
      <c r="CA2" s="31" t="str">
        <f t="shared" si="8"/>
        <v>Peak</v>
      </c>
      <c r="CB2" s="31" t="str">
        <f t="shared" si="8"/>
        <v>Peak</v>
      </c>
      <c r="CC2" s="31" t="str">
        <f t="shared" si="8"/>
        <v>Shoulder</v>
      </c>
      <c r="CD2" s="31" t="str">
        <f t="shared" si="8"/>
        <v>Shoulder</v>
      </c>
      <c r="CE2" s="31" t="str">
        <f t="shared" si="8"/>
        <v>Shoulder</v>
      </c>
      <c r="CF2" s="31" t="str">
        <f t="shared" si="8"/>
        <v>Trough</v>
      </c>
      <c r="CG2" s="31" t="str">
        <f t="shared" si="8"/>
        <v>Shoulder</v>
      </c>
      <c r="CH2" s="31" t="str">
        <f t="shared" si="8"/>
        <v>Trough</v>
      </c>
      <c r="CI2" s="248" t="str">
        <f t="shared" si="8"/>
        <v>Shoulder</v>
      </c>
      <c r="CJ2" s="31" t="str">
        <f t="shared" si="8"/>
        <v>Shoulder</v>
      </c>
      <c r="CK2" s="31" t="str">
        <f t="shared" si="8"/>
        <v>Shoulder</v>
      </c>
      <c r="CL2" s="31" t="str">
        <f t="shared" si="8"/>
        <v>Shoulder</v>
      </c>
      <c r="CM2" s="31" t="str">
        <f t="shared" si="8"/>
        <v>Peak</v>
      </c>
      <c r="CN2" s="31" t="str">
        <f t="shared" si="8"/>
        <v>Peak</v>
      </c>
      <c r="CO2" s="31" t="str">
        <f t="shared" ref="CO2:DG2" si="9">+CC2</f>
        <v>Shoulder</v>
      </c>
      <c r="CP2" s="31" t="str">
        <f t="shared" si="9"/>
        <v>Shoulder</v>
      </c>
      <c r="CQ2" s="31" t="str">
        <f t="shared" si="9"/>
        <v>Shoulder</v>
      </c>
      <c r="CR2" s="31" t="str">
        <f t="shared" si="9"/>
        <v>Trough</v>
      </c>
      <c r="CS2" s="31" t="str">
        <f t="shared" si="9"/>
        <v>Shoulder</v>
      </c>
      <c r="CT2" s="31" t="str">
        <f t="shared" si="9"/>
        <v>Trough</v>
      </c>
      <c r="CU2" s="248" t="str">
        <f t="shared" si="9"/>
        <v>Shoulder</v>
      </c>
      <c r="CV2" s="31" t="str">
        <f t="shared" si="9"/>
        <v>Shoulder</v>
      </c>
      <c r="CW2" s="31" t="str">
        <f t="shared" si="9"/>
        <v>Shoulder</v>
      </c>
      <c r="CX2" s="31" t="str">
        <f t="shared" si="9"/>
        <v>Shoulder</v>
      </c>
      <c r="CY2" s="31" t="str">
        <f t="shared" si="9"/>
        <v>Peak</v>
      </c>
      <c r="CZ2" s="31" t="str">
        <f t="shared" si="9"/>
        <v>Peak</v>
      </c>
      <c r="DA2" s="31" t="str">
        <f t="shared" si="9"/>
        <v>Shoulder</v>
      </c>
      <c r="DB2" s="31" t="str">
        <f t="shared" si="9"/>
        <v>Shoulder</v>
      </c>
      <c r="DC2" s="31" t="str">
        <f t="shared" si="9"/>
        <v>Shoulder</v>
      </c>
      <c r="DD2" s="31" t="str">
        <f t="shared" si="9"/>
        <v>Trough</v>
      </c>
      <c r="DE2" s="31" t="str">
        <f t="shared" si="9"/>
        <v>Shoulder</v>
      </c>
      <c r="DF2" s="31" t="str">
        <f t="shared" si="9"/>
        <v>Trough</v>
      </c>
      <c r="DG2" s="31" t="str">
        <f t="shared" si="9"/>
        <v>Shoulder</v>
      </c>
      <c r="DH2" s="31"/>
      <c r="DI2" s="31"/>
      <c r="DJ2" s="31"/>
    </row>
    <row r="3" spans="1:114" x14ac:dyDescent="0.25">
      <c r="A3" s="30"/>
      <c r="B3" s="30"/>
      <c r="C3" s="618"/>
      <c r="D3" s="167" t="str">
        <f>+"Q1 "&amp;D1</f>
        <v>Q1 2022</v>
      </c>
      <c r="E3" s="167" t="str">
        <f>+"Q1 "&amp;E1</f>
        <v>Q1 2022</v>
      </c>
      <c r="F3" s="167" t="str">
        <f>+"Q1 "&amp;F1</f>
        <v>Q1 2022</v>
      </c>
      <c r="G3" s="167" t="str">
        <f>+"Q2 "&amp;G1</f>
        <v>Q2 2022</v>
      </c>
      <c r="H3" s="167" t="str">
        <f>+"Q2 "&amp;H1</f>
        <v>Q2 2022</v>
      </c>
      <c r="I3" s="167" t="str">
        <f>+"Q2 "&amp;I1</f>
        <v>Q2 2022</v>
      </c>
      <c r="J3" s="167" t="str">
        <f>+"Q3 "&amp;J1</f>
        <v>Q3 2022</v>
      </c>
      <c r="K3" s="167" t="str">
        <f>+"Q3 "&amp;K1</f>
        <v>Q3 2022</v>
      </c>
      <c r="L3" s="167" t="str">
        <f>+"Q3 "&amp;L1</f>
        <v>Q3 2022</v>
      </c>
      <c r="M3" s="167" t="str">
        <f>+"Q4 "&amp;M1</f>
        <v>Q4 2022</v>
      </c>
      <c r="N3" s="167" t="str">
        <f>+"Q4 "&amp;N1</f>
        <v>Q4 2022</v>
      </c>
      <c r="O3" s="167" t="str">
        <f>+"Q4 "&amp;O1</f>
        <v>Q4 2022</v>
      </c>
      <c r="P3" s="167" t="str">
        <f>+"Q1 "&amp;P1</f>
        <v>Q1 2023</v>
      </c>
      <c r="Q3" s="167" t="str">
        <f>+"Q1 "&amp;Q1</f>
        <v>Q1 2023</v>
      </c>
      <c r="R3" s="167" t="str">
        <f>+"Q1 "&amp;R1</f>
        <v>Q1 2023</v>
      </c>
      <c r="S3" s="167" t="str">
        <f>+"Q2 "&amp;S1</f>
        <v>Q2 2023</v>
      </c>
      <c r="T3" s="167" t="str">
        <f>+"Q2 "&amp;T1</f>
        <v>Q2 2023</v>
      </c>
      <c r="U3" s="167" t="str">
        <f>+"Q2 "&amp;U1</f>
        <v>Q2 2023</v>
      </c>
      <c r="V3" s="167" t="str">
        <f>+"Q3 "&amp;V1</f>
        <v>Q3 2023</v>
      </c>
      <c r="W3" s="167" t="str">
        <f>+"Q3 "&amp;W1</f>
        <v>Q3 2023</v>
      </c>
      <c r="X3" s="167" t="str">
        <f>+"Q3 "&amp;X1</f>
        <v>Q3 2023</v>
      </c>
      <c r="Y3" s="167" t="str">
        <f>+"Q4 "&amp;Y1</f>
        <v>Q4 2023</v>
      </c>
      <c r="Z3" s="167" t="str">
        <f>+"Q4 "&amp;Z1</f>
        <v>Q4 2023</v>
      </c>
      <c r="AA3" s="167" t="str">
        <f>+"Q4 "&amp;AA1</f>
        <v>Q4 2023</v>
      </c>
      <c r="AB3" s="167" t="str">
        <f>+"Q1 "&amp;AB1</f>
        <v>Q1 2024</v>
      </c>
      <c r="AC3" s="167" t="str">
        <f>+"Q1 "&amp;AC1</f>
        <v>Q1 2024</v>
      </c>
      <c r="AD3" s="167" t="str">
        <f>+"Q1 "&amp;AD1</f>
        <v>Q1 2024</v>
      </c>
      <c r="AE3" s="167" t="str">
        <f>+"Q2 "&amp;AE1</f>
        <v>Q2 2024</v>
      </c>
      <c r="AF3" s="167" t="str">
        <f>+"Q2 "&amp;AF1</f>
        <v>Q2 2024</v>
      </c>
      <c r="AG3" s="167" t="str">
        <f>+"Q2 "&amp;AG1</f>
        <v>Q2 2024</v>
      </c>
      <c r="AH3" s="167" t="str">
        <f>+"Q3 "&amp;AH1</f>
        <v>Q3 2024</v>
      </c>
      <c r="AI3" s="167" t="str">
        <f>+"Q3 "&amp;AI1</f>
        <v>Q3 2024</v>
      </c>
      <c r="AJ3" s="167" t="str">
        <f>+"Q3 "&amp;AJ1</f>
        <v>Q3 2024</v>
      </c>
      <c r="AK3" s="167" t="str">
        <f>+"Q4 "&amp;AK1</f>
        <v>Q4 2024</v>
      </c>
      <c r="AL3" s="167" t="str">
        <f>+"Q4 "&amp;AL1</f>
        <v>Q4 2024</v>
      </c>
      <c r="AM3" s="167" t="str">
        <f>+"Q4 "&amp;AM1</f>
        <v>Q4 2024</v>
      </c>
      <c r="AN3" s="249" t="str">
        <f>+"Q1 "&amp;AN1</f>
        <v>Q1 2025</v>
      </c>
      <c r="AO3" s="167" t="str">
        <f>+"Q1 "&amp;AO1</f>
        <v>Q1 2025</v>
      </c>
      <c r="AP3" s="167" t="str">
        <f>+"Q1 "&amp;AP1</f>
        <v>Q1 2025</v>
      </c>
      <c r="AQ3" s="249" t="str">
        <f>+"Q2 "&amp;AQ1</f>
        <v>Q2 2025</v>
      </c>
      <c r="AR3" s="167" t="str">
        <f>+"Q2 "&amp;AR1</f>
        <v>Q2 2025</v>
      </c>
      <c r="AS3" s="167" t="str">
        <f>+"Q2 "&amp;AS1</f>
        <v>Q2 2025</v>
      </c>
      <c r="AT3" s="167" t="str">
        <f>+"Q3 "&amp;AT1</f>
        <v>Q3 2025</v>
      </c>
      <c r="AU3" s="167" t="str">
        <f>+"Q3 "&amp;AU1</f>
        <v>Q3 2025</v>
      </c>
      <c r="AV3" s="167" t="str">
        <f>+"Q3 "&amp;AV1</f>
        <v>Q3 2025</v>
      </c>
      <c r="AW3" s="167" t="str">
        <f>+"Q4 "&amp;AW1</f>
        <v>Q4 2025</v>
      </c>
      <c r="AX3" s="167" t="str">
        <f>+"Q4 "&amp;AX1</f>
        <v>Q4 2025</v>
      </c>
      <c r="AY3" s="479" t="str">
        <f>+"Q4 "&amp;AY1</f>
        <v>Q4 2025</v>
      </c>
      <c r="AZ3" s="167" t="str">
        <f>+"Q1 "&amp;AZ1</f>
        <v>Q1 2026</v>
      </c>
      <c r="BA3" s="167" t="str">
        <f>+"Q1 "&amp;BA1</f>
        <v>Q1 2026</v>
      </c>
      <c r="BB3" s="167" t="str">
        <f>+"Q1 "&amp;BB1</f>
        <v>Q1 2026</v>
      </c>
      <c r="BC3" s="167" t="str">
        <f>+"Q2 "&amp;BC1</f>
        <v>Q2 2026</v>
      </c>
      <c r="BD3" s="167" t="str">
        <f>+"Q2 "&amp;BD1</f>
        <v>Q2 2026</v>
      </c>
      <c r="BE3" s="167" t="str">
        <f>+"Q2 "&amp;BE1</f>
        <v>Q2 2026</v>
      </c>
      <c r="BF3" s="167" t="str">
        <f>+"Q3 "&amp;BF1</f>
        <v>Q3 2026</v>
      </c>
      <c r="BG3" s="167" t="str">
        <f>+"Q3 "&amp;BG1</f>
        <v>Q3 2026</v>
      </c>
      <c r="BH3" s="167" t="str">
        <f>+"Q3 "&amp;BH1</f>
        <v>Q3 2026</v>
      </c>
      <c r="BI3" s="167" t="str">
        <f>+"Q4 "&amp;BI1</f>
        <v>Q4 2026</v>
      </c>
      <c r="BJ3" s="167" t="str">
        <f>+"Q4 "&amp;BJ1</f>
        <v>Q4 2026</v>
      </c>
      <c r="BK3" s="249" t="str">
        <f>+"Q4 "&amp;BK1</f>
        <v>Q4 2026</v>
      </c>
      <c r="BL3" s="167" t="str">
        <f>+"Q1 "&amp;BL1</f>
        <v>Q1 2027</v>
      </c>
      <c r="BM3" s="167" t="str">
        <f>+"Q1 "&amp;BM1</f>
        <v>Q1 2027</v>
      </c>
      <c r="BN3" s="167" t="str">
        <f>+"Q1 "&amp;BN1</f>
        <v>Q1 2027</v>
      </c>
      <c r="BO3" s="167" t="str">
        <f>+"Q2 "&amp;BO1</f>
        <v>Q2 2027</v>
      </c>
      <c r="BP3" s="167" t="str">
        <f>+"Q2 "&amp;BP1</f>
        <v>Q2 2027</v>
      </c>
      <c r="BQ3" s="167" t="str">
        <f>+"Q2 "&amp;BQ1</f>
        <v>Q2 2027</v>
      </c>
      <c r="BR3" s="167" t="str">
        <f>+"Q3 "&amp;BR1</f>
        <v>Q3 2027</v>
      </c>
      <c r="BS3" s="167" t="str">
        <f>+"Q3 "&amp;BS1</f>
        <v>Q3 2027</v>
      </c>
      <c r="BT3" s="167" t="str">
        <f>+"Q3 "&amp;BT1</f>
        <v>Q3 2027</v>
      </c>
      <c r="BU3" s="167" t="str">
        <f>+"Q4 "&amp;BU1</f>
        <v>Q4 2027</v>
      </c>
      <c r="BV3" s="167" t="str">
        <f>+"Q4 "&amp;BV1</f>
        <v>Q4 2027</v>
      </c>
      <c r="BW3" s="249" t="str">
        <f>+"Q4 "&amp;BW1</f>
        <v>Q4 2027</v>
      </c>
      <c r="BX3" s="167" t="str">
        <f>+"Q1 "&amp;BX1</f>
        <v>Q1 2028</v>
      </c>
      <c r="BY3" s="167" t="str">
        <f>+"Q1 "&amp;BY1</f>
        <v>Q1 2028</v>
      </c>
      <c r="BZ3" s="167" t="str">
        <f>+"Q1 "&amp;BZ1</f>
        <v>Q1 2028</v>
      </c>
      <c r="CA3" s="167" t="str">
        <f>+"Q2 "&amp;CA1</f>
        <v>Q2 2028</v>
      </c>
      <c r="CB3" s="167" t="str">
        <f>+"Q2 "&amp;CB1</f>
        <v>Q2 2028</v>
      </c>
      <c r="CC3" s="167" t="str">
        <f>+"Q2 "&amp;CC1</f>
        <v>Q2 2028</v>
      </c>
      <c r="CD3" s="167" t="str">
        <f>+"Q3 "&amp;CD1</f>
        <v>Q3 2028</v>
      </c>
      <c r="CE3" s="167" t="str">
        <f>+"Q3 "&amp;CE1</f>
        <v>Q3 2028</v>
      </c>
      <c r="CF3" s="167" t="str">
        <f>+"Q3 "&amp;CF1</f>
        <v>Q3 2028</v>
      </c>
      <c r="CG3" s="167" t="str">
        <f>+"Q4 "&amp;CG1</f>
        <v>Q4 2028</v>
      </c>
      <c r="CH3" s="167" t="str">
        <f>+"Q4 "&amp;CH1</f>
        <v>Q4 2028</v>
      </c>
      <c r="CI3" s="249" t="str">
        <f>+"Q4 "&amp;CI1</f>
        <v>Q4 2028</v>
      </c>
      <c r="CJ3" s="167" t="str">
        <f>+"Q1 "&amp;CJ1</f>
        <v>Q1 2029</v>
      </c>
      <c r="CK3" s="167" t="str">
        <f>+"Q1 "&amp;CK1</f>
        <v>Q1 2029</v>
      </c>
      <c r="CL3" s="167" t="str">
        <f>+"Q1 "&amp;CL1</f>
        <v>Q1 2029</v>
      </c>
      <c r="CM3" s="167" t="str">
        <f>+"Q2 "&amp;CM1</f>
        <v>Q2 2029</v>
      </c>
      <c r="CN3" s="167" t="str">
        <f>+"Q2 "&amp;CN1</f>
        <v>Q2 2029</v>
      </c>
      <c r="CO3" s="167" t="str">
        <f>+"Q2 "&amp;CO1</f>
        <v>Q2 2029</v>
      </c>
      <c r="CP3" s="167" t="str">
        <f>+"Q3 "&amp;CP1</f>
        <v>Q3 2029</v>
      </c>
      <c r="CQ3" s="167" t="str">
        <f>+"Q3 "&amp;CQ1</f>
        <v>Q3 2029</v>
      </c>
      <c r="CR3" s="167" t="str">
        <f>+"Q3 "&amp;CR1</f>
        <v>Q3 2029</v>
      </c>
      <c r="CS3" s="167" t="str">
        <f>+"Q4 "&amp;CS1</f>
        <v>Q4 2029</v>
      </c>
      <c r="CT3" s="167" t="str">
        <f>+"Q4 "&amp;CT1</f>
        <v>Q4 2029</v>
      </c>
      <c r="CU3" s="249" t="str">
        <f>+"Q4 "&amp;CU1</f>
        <v>Q4 2029</v>
      </c>
      <c r="CV3" s="167" t="str">
        <f>+"Q1 "&amp;CV1</f>
        <v>Q1 2030</v>
      </c>
      <c r="CW3" s="167" t="str">
        <f>+"Q1 "&amp;CW1</f>
        <v>Q1 2030</v>
      </c>
      <c r="CX3" s="167" t="str">
        <f>+"Q1 "&amp;CX1</f>
        <v>Q1 2030</v>
      </c>
      <c r="CY3" s="167" t="str">
        <f>+"Q2 "&amp;CY1</f>
        <v>Q2 2030</v>
      </c>
      <c r="CZ3" s="167" t="str">
        <f>+"Q2 "&amp;CZ1</f>
        <v>Q2 2030</v>
      </c>
      <c r="DA3" s="167" t="str">
        <f>+"Q2 "&amp;DA1</f>
        <v>Q2 2030</v>
      </c>
      <c r="DB3" s="167" t="str">
        <f>+"Q3 "&amp;DB1</f>
        <v>Q3 2030</v>
      </c>
      <c r="DC3" s="167" t="str">
        <f>+"Q3 "&amp;DC1</f>
        <v>Q3 2030</v>
      </c>
      <c r="DD3" s="167" t="str">
        <f>+"Q3 "&amp;DD1</f>
        <v>Q3 2030</v>
      </c>
      <c r="DE3" s="167" t="str">
        <f>+"Q4 "&amp;DE1</f>
        <v>Q4 2030</v>
      </c>
      <c r="DF3" s="167" t="str">
        <f>+"Q4 "&amp;DF1</f>
        <v>Q4 2030</v>
      </c>
      <c r="DG3" s="167" t="str">
        <f>+"Q4 "&amp;DG1</f>
        <v>Q4 2030</v>
      </c>
      <c r="DH3" s="31"/>
      <c r="DI3" s="31"/>
      <c r="DJ3" s="31"/>
    </row>
    <row r="4" spans="1:114" ht="15.75" thickBot="1" x14ac:dyDescent="0.3">
      <c r="A4" s="32"/>
      <c r="B4" s="33"/>
      <c r="C4" s="619"/>
      <c r="D4" s="480">
        <v>44592</v>
      </c>
      <c r="E4" s="480">
        <v>44620</v>
      </c>
      <c r="F4" s="480">
        <v>44651</v>
      </c>
      <c r="G4" s="34">
        <v>44681</v>
      </c>
      <c r="H4" s="34">
        <v>44712</v>
      </c>
      <c r="I4" s="34">
        <v>44742</v>
      </c>
      <c r="J4" s="34">
        <v>44773</v>
      </c>
      <c r="K4" s="34">
        <v>44804</v>
      </c>
      <c r="L4" s="34">
        <v>44834</v>
      </c>
      <c r="M4" s="34">
        <v>44865</v>
      </c>
      <c r="N4" s="34">
        <v>44895</v>
      </c>
      <c r="O4" s="34">
        <v>44926</v>
      </c>
      <c r="P4" s="165">
        <v>44957</v>
      </c>
      <c r="Q4" s="34">
        <v>44985</v>
      </c>
      <c r="R4" s="34">
        <v>45016</v>
      </c>
      <c r="S4" s="34">
        <v>45046</v>
      </c>
      <c r="T4" s="34">
        <v>45077</v>
      </c>
      <c r="U4" s="34">
        <v>45107</v>
      </c>
      <c r="V4" s="34">
        <v>45138</v>
      </c>
      <c r="W4" s="34">
        <v>45169</v>
      </c>
      <c r="X4" s="34">
        <v>45199</v>
      </c>
      <c r="Y4" s="34">
        <v>45230</v>
      </c>
      <c r="Z4" s="34">
        <v>45260</v>
      </c>
      <c r="AA4" s="34">
        <v>45291</v>
      </c>
      <c r="AB4" s="34">
        <v>45322</v>
      </c>
      <c r="AC4" s="34">
        <v>45351</v>
      </c>
      <c r="AD4" s="34">
        <v>45382</v>
      </c>
      <c r="AE4" s="34">
        <v>45412</v>
      </c>
      <c r="AF4" s="250">
        <v>45443</v>
      </c>
      <c r="AG4" s="34">
        <v>45473</v>
      </c>
      <c r="AH4" s="34">
        <v>45504</v>
      </c>
      <c r="AI4" s="34">
        <v>45535</v>
      </c>
      <c r="AJ4" s="34">
        <v>45565</v>
      </c>
      <c r="AK4" s="34">
        <v>45596</v>
      </c>
      <c r="AL4" s="34">
        <v>45626</v>
      </c>
      <c r="AM4" s="34">
        <v>45657</v>
      </c>
      <c r="AN4" s="250">
        <v>45688</v>
      </c>
      <c r="AO4" s="34">
        <v>45716</v>
      </c>
      <c r="AP4" s="34">
        <v>45747</v>
      </c>
      <c r="AQ4" s="250">
        <v>45777</v>
      </c>
      <c r="AR4" s="34">
        <v>45808</v>
      </c>
      <c r="AS4" s="34">
        <v>45838</v>
      </c>
      <c r="AT4" s="34">
        <v>45869</v>
      </c>
      <c r="AU4" s="34">
        <v>45900</v>
      </c>
      <c r="AV4" s="34">
        <v>45930</v>
      </c>
      <c r="AW4" s="250">
        <v>45961</v>
      </c>
      <c r="AX4" s="34">
        <v>45991</v>
      </c>
      <c r="AY4" s="54">
        <v>46022</v>
      </c>
      <c r="AZ4" s="34">
        <v>46053</v>
      </c>
      <c r="BA4" s="34">
        <v>46081</v>
      </c>
      <c r="BB4" s="34">
        <v>46112</v>
      </c>
      <c r="BC4" s="34">
        <v>46142</v>
      </c>
      <c r="BD4" s="34">
        <v>46173</v>
      </c>
      <c r="BE4" s="34">
        <v>46203</v>
      </c>
      <c r="BF4" s="34">
        <v>46234</v>
      </c>
      <c r="BG4" s="34">
        <v>46265</v>
      </c>
      <c r="BH4" s="34">
        <v>46295</v>
      </c>
      <c r="BI4" s="34">
        <v>46326</v>
      </c>
      <c r="BJ4" s="34">
        <v>46356</v>
      </c>
      <c r="BK4" s="250">
        <v>46387</v>
      </c>
      <c r="BL4" s="34">
        <v>46418</v>
      </c>
      <c r="BM4" s="34">
        <v>46446</v>
      </c>
      <c r="BN4" s="34">
        <v>46477</v>
      </c>
      <c r="BO4" s="34">
        <v>46507</v>
      </c>
      <c r="BP4" s="34">
        <v>46538</v>
      </c>
      <c r="BQ4" s="34">
        <v>46568</v>
      </c>
      <c r="BR4" s="34">
        <v>46599</v>
      </c>
      <c r="BS4" s="34">
        <v>46630</v>
      </c>
      <c r="BT4" s="34">
        <v>46660</v>
      </c>
      <c r="BU4" s="34">
        <v>46691</v>
      </c>
      <c r="BV4" s="34">
        <v>46721</v>
      </c>
      <c r="BW4" s="250">
        <v>46752</v>
      </c>
      <c r="BX4" s="34">
        <v>46783</v>
      </c>
      <c r="BY4" s="34">
        <v>46812</v>
      </c>
      <c r="BZ4" s="34">
        <v>46843</v>
      </c>
      <c r="CA4" s="34">
        <v>46873</v>
      </c>
      <c r="CB4" s="34">
        <v>46904</v>
      </c>
      <c r="CC4" s="34">
        <v>46934</v>
      </c>
      <c r="CD4" s="34">
        <v>46965</v>
      </c>
      <c r="CE4" s="34">
        <v>46996</v>
      </c>
      <c r="CF4" s="34">
        <v>47026</v>
      </c>
      <c r="CG4" s="34">
        <v>47057</v>
      </c>
      <c r="CH4" s="34">
        <v>47087</v>
      </c>
      <c r="CI4" s="250">
        <v>47118</v>
      </c>
      <c r="CJ4" s="34">
        <v>47149</v>
      </c>
      <c r="CK4" s="34">
        <v>47177</v>
      </c>
      <c r="CL4" s="34">
        <v>47208</v>
      </c>
      <c r="CM4" s="34">
        <v>47238</v>
      </c>
      <c r="CN4" s="34">
        <v>47269</v>
      </c>
      <c r="CO4" s="34">
        <v>47299</v>
      </c>
      <c r="CP4" s="34">
        <v>47330</v>
      </c>
      <c r="CQ4" s="34">
        <v>47361</v>
      </c>
      <c r="CR4" s="34">
        <v>47391</v>
      </c>
      <c r="CS4" s="34">
        <v>47422</v>
      </c>
      <c r="CT4" s="34">
        <v>47452</v>
      </c>
      <c r="CU4" s="250">
        <v>47483</v>
      </c>
      <c r="CV4" s="34">
        <v>47514</v>
      </c>
      <c r="CW4" s="34">
        <v>47542</v>
      </c>
      <c r="CX4" s="34">
        <v>47573</v>
      </c>
      <c r="CY4" s="34">
        <v>47603</v>
      </c>
      <c r="CZ4" s="34">
        <v>47634</v>
      </c>
      <c r="DA4" s="34">
        <v>47664</v>
      </c>
      <c r="DB4" s="34">
        <v>47695</v>
      </c>
      <c r="DC4" s="34">
        <v>47726</v>
      </c>
      <c r="DD4" s="34">
        <v>47756</v>
      </c>
      <c r="DE4" s="34">
        <v>47787</v>
      </c>
      <c r="DF4" s="34">
        <v>47817</v>
      </c>
      <c r="DG4" s="34">
        <v>47848</v>
      </c>
      <c r="DH4" s="34"/>
      <c r="DI4" s="34"/>
      <c r="DJ4" s="54"/>
    </row>
    <row r="5" spans="1:114" hidden="1" x14ac:dyDescent="0.25">
      <c r="B5" s="1" t="s">
        <v>1</v>
      </c>
      <c r="C5" s="620"/>
      <c r="D5" s="1"/>
      <c r="E5" s="1"/>
      <c r="F5" s="1"/>
      <c r="G5" s="1"/>
      <c r="H5" s="1"/>
      <c r="I5" s="1"/>
      <c r="J5" s="1"/>
      <c r="K5" s="1"/>
      <c r="L5" s="1"/>
      <c r="M5" s="2"/>
      <c r="N5" s="2"/>
      <c r="O5" s="2"/>
      <c r="P5" s="2"/>
      <c r="AW5" s="251"/>
      <c r="AY5" s="98"/>
      <c r="BK5" s="251"/>
      <c r="BW5" s="251"/>
      <c r="CI5" s="251"/>
      <c r="CU5" s="251"/>
    </row>
    <row r="6" spans="1:114" s="114" customFormat="1" hidden="1" x14ac:dyDescent="0.25">
      <c r="A6"/>
      <c r="B6" s="1" t="s">
        <v>311</v>
      </c>
      <c r="C6" s="620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>
        <v>0</v>
      </c>
      <c r="W6" s="116"/>
      <c r="X6" s="116"/>
      <c r="Y6" s="116"/>
      <c r="Z6" s="116"/>
      <c r="AA6" s="116"/>
      <c r="AB6" s="116">
        <v>5520</v>
      </c>
      <c r="AC6" s="116">
        <v>6528.4</v>
      </c>
      <c r="AD6" s="116">
        <v>7633.5</v>
      </c>
      <c r="AE6" s="116">
        <v>7610.5</v>
      </c>
      <c r="AF6" s="116">
        <v>7767.15</v>
      </c>
      <c r="AG6" s="116">
        <v>6976.15</v>
      </c>
      <c r="AH6" s="116">
        <v>5696</v>
      </c>
      <c r="AI6" s="116">
        <v>7172.75</v>
      </c>
      <c r="AJ6" s="116">
        <v>4463.25</v>
      </c>
      <c r="AK6" s="116">
        <v>7444.5</v>
      </c>
      <c r="AL6" s="116">
        <v>4717</v>
      </c>
      <c r="AM6" s="116">
        <v>6221.6</v>
      </c>
      <c r="AN6" s="116">
        <v>6476.75</v>
      </c>
      <c r="AO6" s="116">
        <v>6155.39</v>
      </c>
      <c r="AP6" s="116">
        <v>6650.25</v>
      </c>
      <c r="AQ6" s="116">
        <v>7459.5</v>
      </c>
      <c r="AR6" s="116">
        <v>7496.95</v>
      </c>
      <c r="AS6" s="116">
        <v>6520.45</v>
      </c>
      <c r="AT6" s="116">
        <v>7050.8</v>
      </c>
      <c r="AU6" s="116">
        <v>7217.85</v>
      </c>
      <c r="AV6" s="116">
        <v>5873.45</v>
      </c>
      <c r="AW6" s="252">
        <f>6611</f>
        <v>6611</v>
      </c>
      <c r="AX6" s="546">
        <f>AX32*AX30</f>
        <v>5016.587971210849</v>
      </c>
      <c r="AY6" s="634">
        <f t="shared" ref="AY6:CV6" si="10">AY32*AY30</f>
        <v>7096.8363064766545</v>
      </c>
      <c r="AZ6" s="488">
        <f t="shared" si="10"/>
        <v>6704.1643715214432</v>
      </c>
      <c r="BA6" s="488">
        <f t="shared" si="10"/>
        <v>7861.239036672594</v>
      </c>
      <c r="BB6" s="488">
        <f t="shared" si="10"/>
        <v>8716.6905344798961</v>
      </c>
      <c r="BC6" s="488">
        <f t="shared" si="10"/>
        <v>10487.081700213488</v>
      </c>
      <c r="BD6" s="488">
        <f t="shared" si="10"/>
        <v>9845.5808975368745</v>
      </c>
      <c r="BE6" s="488">
        <f t="shared" si="10"/>
        <v>9996.4826153383437</v>
      </c>
      <c r="BF6" s="488">
        <f t="shared" si="10"/>
        <v>9544.7117785051942</v>
      </c>
      <c r="BG6" s="488">
        <f t="shared" si="10"/>
        <v>10170.298689904032</v>
      </c>
      <c r="BH6" s="488">
        <f t="shared" si="10"/>
        <v>7077.3106192842315</v>
      </c>
      <c r="BI6" s="488">
        <f t="shared" si="10"/>
        <v>7671.9247657945907</v>
      </c>
      <c r="BJ6" s="488">
        <f t="shared" si="10"/>
        <v>7191.3322246878915</v>
      </c>
      <c r="BK6" s="487">
        <f t="shared" si="10"/>
        <v>9181.5319715041715</v>
      </c>
      <c r="BL6" s="488">
        <f t="shared" si="10"/>
        <v>7478.0431693924502</v>
      </c>
      <c r="BM6" s="488">
        <f t="shared" si="10"/>
        <v>8993.4921218052896</v>
      </c>
      <c r="BN6" s="488">
        <f t="shared" si="10"/>
        <v>10252.016708166697</v>
      </c>
      <c r="BO6" s="488">
        <f t="shared" si="10"/>
        <v>11511.955593643443</v>
      </c>
      <c r="BP6" s="488">
        <f t="shared" si="10"/>
        <v>10859.974080919459</v>
      </c>
      <c r="BQ6" s="488">
        <f t="shared" si="10"/>
        <v>10957.682866813184</v>
      </c>
      <c r="BR6" s="488">
        <f t="shared" si="10"/>
        <v>9916.7695090016514</v>
      </c>
      <c r="BS6" s="488">
        <f t="shared" si="10"/>
        <v>11586.876007426377</v>
      </c>
      <c r="BT6" s="488">
        <f t="shared" si="10"/>
        <v>7663.4004049437071</v>
      </c>
      <c r="BU6" s="488">
        <f t="shared" si="10"/>
        <v>8023.6810001156073</v>
      </c>
      <c r="BV6" s="488">
        <f t="shared" si="10"/>
        <v>8054.292091650439</v>
      </c>
      <c r="BW6" s="487">
        <f t="shared" si="10"/>
        <v>9946.6596357961862</v>
      </c>
      <c r="BX6" s="488">
        <f t="shared" si="10"/>
        <v>8079.537946060972</v>
      </c>
      <c r="BY6" s="488">
        <f t="shared" si="10"/>
        <v>10186.977805777738</v>
      </c>
      <c r="BZ6" s="488">
        <f t="shared" si="10"/>
        <v>11051.674011403697</v>
      </c>
      <c r="CA6" s="488">
        <f t="shared" si="10"/>
        <v>11347.011565868908</v>
      </c>
      <c r="CB6" s="488">
        <f t="shared" si="10"/>
        <v>12849.228948626343</v>
      </c>
      <c r="CC6" s="488">
        <f t="shared" si="10"/>
        <v>11747.789473525505</v>
      </c>
      <c r="CD6" s="488">
        <f t="shared" si="10"/>
        <v>10160.181124222603</v>
      </c>
      <c r="CE6" s="488">
        <f t="shared" si="10"/>
        <v>13011.62588639597</v>
      </c>
      <c r="CF6" s="488">
        <f t="shared" si="10"/>
        <v>7797.1932425920004</v>
      </c>
      <c r="CG6" s="488">
        <f t="shared" si="10"/>
        <v>8948.6331154067138</v>
      </c>
      <c r="CH6" s="488">
        <f t="shared" si="10"/>
        <v>8608.0246729514074</v>
      </c>
      <c r="CI6" s="487">
        <f t="shared" si="10"/>
        <v>9829.2291725374544</v>
      </c>
      <c r="CJ6" s="488">
        <f t="shared" si="10"/>
        <v>9553.2001488988553</v>
      </c>
      <c r="CK6" s="488">
        <f t="shared" si="10"/>
        <v>10458.630547265142</v>
      </c>
      <c r="CL6" s="488">
        <f t="shared" si="10"/>
        <v>11388.029307402941</v>
      </c>
      <c r="CM6" s="488">
        <f t="shared" si="10"/>
        <v>12905.135417203224</v>
      </c>
      <c r="CN6" s="488">
        <f t="shared" si="10"/>
        <v>13996.052653854209</v>
      </c>
      <c r="CO6" s="488">
        <f t="shared" si="10"/>
        <v>12260.034932996708</v>
      </c>
      <c r="CP6" s="488">
        <f t="shared" si="10"/>
        <v>11662.120942585942</v>
      </c>
      <c r="CQ6" s="488">
        <f t="shared" si="10"/>
        <v>14122.731018267985</v>
      </c>
      <c r="CR6" s="488">
        <f t="shared" si="10"/>
        <v>8029.9452796843007</v>
      </c>
      <c r="CS6" s="488">
        <f t="shared" si="10"/>
        <v>10226.850074730686</v>
      </c>
      <c r="CT6" s="488">
        <f t="shared" si="10"/>
        <v>9355.5636577077148</v>
      </c>
      <c r="CU6" s="487">
        <f t="shared" si="10"/>
        <v>10628.770948512518</v>
      </c>
      <c r="CV6" s="488">
        <f t="shared" si="10"/>
        <v>10443.087286056558</v>
      </c>
      <c r="CW6" s="488">
        <f t="shared" ref="CW6:DG6" si="11">CW32*CW30</f>
        <v>11409.415142471065</v>
      </c>
      <c r="CX6" s="488">
        <f t="shared" si="11"/>
        <v>11847.350857718789</v>
      </c>
      <c r="CY6" s="488">
        <f t="shared" si="11"/>
        <v>14775.063202144915</v>
      </c>
      <c r="CZ6" s="488">
        <f t="shared" si="11"/>
        <v>15225.435657233296</v>
      </c>
      <c r="DA6" s="488">
        <f t="shared" si="11"/>
        <v>12624.194386452054</v>
      </c>
      <c r="DB6" s="488">
        <f t="shared" si="11"/>
        <v>13068.53297103132</v>
      </c>
      <c r="DC6" s="488">
        <f t="shared" si="11"/>
        <v>14492.484940012808</v>
      </c>
      <c r="DD6" s="488">
        <f t="shared" si="11"/>
        <v>8981.3192312990723</v>
      </c>
      <c r="DE6" s="488">
        <f t="shared" si="11"/>
        <v>11020.776593690041</v>
      </c>
      <c r="DF6" s="488">
        <f t="shared" si="11"/>
        <v>9535.7555617467697</v>
      </c>
      <c r="DG6" s="488">
        <f t="shared" si="11"/>
        <v>12030.536392446778</v>
      </c>
    </row>
    <row r="7" spans="1:114" s="114" customFormat="1" hidden="1" x14ac:dyDescent="0.25">
      <c r="A7"/>
      <c r="B7" s="1" t="s">
        <v>312</v>
      </c>
      <c r="C7" s="620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>
        <v>208.5</v>
      </c>
      <c r="AC7" s="116">
        <v>282.85000000000002</v>
      </c>
      <c r="AD7" s="116">
        <v>291.5</v>
      </c>
      <c r="AE7" s="116">
        <v>286.5</v>
      </c>
      <c r="AF7" s="116">
        <v>310.85000000000002</v>
      </c>
      <c r="AG7" s="116">
        <v>357.85</v>
      </c>
      <c r="AH7" s="116">
        <v>349.5</v>
      </c>
      <c r="AI7" s="116">
        <v>382.25</v>
      </c>
      <c r="AJ7" s="116">
        <v>357</v>
      </c>
      <c r="AK7" s="116">
        <v>387.5</v>
      </c>
      <c r="AL7" s="116">
        <v>221.75</v>
      </c>
      <c r="AM7" s="116">
        <v>260.39999999999998</v>
      </c>
      <c r="AN7" s="116">
        <v>274.3</v>
      </c>
      <c r="AO7" s="116">
        <v>345.75</v>
      </c>
      <c r="AP7" s="116">
        <v>458.25</v>
      </c>
      <c r="AQ7" s="116">
        <v>402.25</v>
      </c>
      <c r="AR7" s="116">
        <v>410.67</v>
      </c>
      <c r="AS7" s="116">
        <v>382</v>
      </c>
      <c r="AT7" s="116">
        <v>382.75</v>
      </c>
      <c r="AU7" s="116">
        <v>435.5</v>
      </c>
      <c r="AV7" s="116">
        <v>387</v>
      </c>
      <c r="AW7" s="252">
        <f>387.25</f>
        <v>387.25</v>
      </c>
      <c r="AX7" s="116">
        <f>+AX6*AX10</f>
        <v>279.37779077568405</v>
      </c>
      <c r="AY7" s="635">
        <f t="shared" ref="AY7:CV7" si="12">+AY6*AY10</f>
        <v>395.22848202371927</v>
      </c>
      <c r="AZ7" s="114">
        <f t="shared" si="12"/>
        <v>373.36026834602291</v>
      </c>
      <c r="BA7" s="114">
        <f t="shared" si="12"/>
        <v>437.79868058309921</v>
      </c>
      <c r="BB7" s="114">
        <f t="shared" si="12"/>
        <v>485.43945772977571</v>
      </c>
      <c r="BC7" s="114">
        <f t="shared" si="12"/>
        <v>584.03395572919101</v>
      </c>
      <c r="BD7" s="114">
        <f t="shared" si="12"/>
        <v>548.30826367293025</v>
      </c>
      <c r="BE7" s="114">
        <f t="shared" si="12"/>
        <v>556.71210085979305</v>
      </c>
      <c r="BF7" s="114">
        <f t="shared" si="12"/>
        <v>531.55262213527999</v>
      </c>
      <c r="BG7" s="114">
        <f t="shared" si="12"/>
        <v>566.39205687614151</v>
      </c>
      <c r="BH7" s="114">
        <f t="shared" si="12"/>
        <v>394.14108090915659</v>
      </c>
      <c r="BI7" s="114">
        <f t="shared" si="12"/>
        <v>427.2556176359862</v>
      </c>
      <c r="BJ7" s="114">
        <f t="shared" si="12"/>
        <v>400.49103518110024</v>
      </c>
      <c r="BK7" s="252">
        <f t="shared" si="12"/>
        <v>511.32684861818677</v>
      </c>
      <c r="BL7" s="114">
        <f t="shared" si="12"/>
        <v>416.45819668259287</v>
      </c>
      <c r="BM7" s="114">
        <f t="shared" si="12"/>
        <v>500.85475920439637</v>
      </c>
      <c r="BN7" s="114">
        <f t="shared" si="12"/>
        <v>570.94299857990666</v>
      </c>
      <c r="BO7" s="114">
        <f t="shared" si="12"/>
        <v>641.11000140272552</v>
      </c>
      <c r="BP7" s="114">
        <f t="shared" si="12"/>
        <v>604.80063023317143</v>
      </c>
      <c r="BQ7" s="114">
        <f t="shared" si="12"/>
        <v>610.24211055785008</v>
      </c>
      <c r="BR7" s="114">
        <f t="shared" si="12"/>
        <v>552.27281430247251</v>
      </c>
      <c r="BS7" s="114">
        <f t="shared" si="12"/>
        <v>645.28237908388962</v>
      </c>
      <c r="BT7" s="114">
        <f t="shared" si="12"/>
        <v>426.78088917194617</v>
      </c>
      <c r="BU7" s="114">
        <f t="shared" si="12"/>
        <v>446.84520326672703</v>
      </c>
      <c r="BV7" s="114">
        <f t="shared" si="12"/>
        <v>448.54995940283231</v>
      </c>
      <c r="BW7" s="252">
        <f t="shared" si="12"/>
        <v>553.93741933636898</v>
      </c>
      <c r="BX7" s="114">
        <f t="shared" si="12"/>
        <v>449.95592119836658</v>
      </c>
      <c r="BY7" s="114">
        <f t="shared" si="12"/>
        <v>567.32093016045928</v>
      </c>
      <c r="BZ7" s="114">
        <f t="shared" si="12"/>
        <v>615.47655246913928</v>
      </c>
      <c r="CA7" s="114">
        <f t="shared" si="12"/>
        <v>631.92413675812134</v>
      </c>
      <c r="CB7" s="114">
        <f t="shared" si="12"/>
        <v>715.58382259799771</v>
      </c>
      <c r="CC7" s="114">
        <f t="shared" si="12"/>
        <v>654.24377852965301</v>
      </c>
      <c r="CD7" s="114">
        <f t="shared" si="12"/>
        <v>565.82860156262427</v>
      </c>
      <c r="CE7" s="114">
        <f t="shared" si="12"/>
        <v>724.62783776591345</v>
      </c>
      <c r="CF7" s="114">
        <f t="shared" si="12"/>
        <v>434.23191915852243</v>
      </c>
      <c r="CG7" s="114">
        <f t="shared" si="12"/>
        <v>498.35652530997481</v>
      </c>
      <c r="CH7" s="114">
        <f t="shared" si="12"/>
        <v>479.38776911177706</v>
      </c>
      <c r="CI7" s="252">
        <f t="shared" si="12"/>
        <v>547.39762304788269</v>
      </c>
      <c r="CJ7" s="114">
        <f t="shared" si="12"/>
        <v>532.02534626201236</v>
      </c>
      <c r="CK7" s="114">
        <f t="shared" si="12"/>
        <v>582.4494882980714</v>
      </c>
      <c r="CL7" s="114">
        <f t="shared" si="12"/>
        <v>634.20844754428708</v>
      </c>
      <c r="CM7" s="114">
        <f t="shared" si="12"/>
        <v>718.69729848453926</v>
      </c>
      <c r="CN7" s="114">
        <f t="shared" si="12"/>
        <v>779.45135068968818</v>
      </c>
      <c r="CO7" s="114">
        <f t="shared" si="12"/>
        <v>682.77113728887718</v>
      </c>
      <c r="CP7" s="114">
        <f t="shared" si="12"/>
        <v>649.47282961970768</v>
      </c>
      <c r="CQ7" s="114">
        <f t="shared" si="12"/>
        <v>786.50616997963186</v>
      </c>
      <c r="CR7" s="114">
        <f t="shared" si="12"/>
        <v>447.19406599907546</v>
      </c>
      <c r="CS7" s="114">
        <f t="shared" si="12"/>
        <v>569.54144866371587</v>
      </c>
      <c r="CT7" s="114">
        <f t="shared" si="12"/>
        <v>521.01881221885253</v>
      </c>
      <c r="CU7" s="252">
        <f t="shared" si="12"/>
        <v>591.92474313162847</v>
      </c>
      <c r="CV7" s="114">
        <f t="shared" si="12"/>
        <v>581.58387166724106</v>
      </c>
      <c r="CW7" s="114">
        <f t="shared" ref="CW7:DG7" si="13">+CW6*CW10</f>
        <v>635.39944177971427</v>
      </c>
      <c r="CX7" s="114">
        <f t="shared" si="13"/>
        <v>659.78843153327125</v>
      </c>
      <c r="CY7" s="114">
        <f t="shared" si="13"/>
        <v>822.83507030576834</v>
      </c>
      <c r="CZ7" s="114">
        <f t="shared" si="13"/>
        <v>847.91667203405279</v>
      </c>
      <c r="DA7" s="114">
        <f t="shared" si="13"/>
        <v>703.05146809943778</v>
      </c>
      <c r="DB7" s="114">
        <f t="shared" si="13"/>
        <v>727.79703875992527</v>
      </c>
      <c r="DC7" s="114">
        <f t="shared" si="13"/>
        <v>807.09806119743507</v>
      </c>
      <c r="DD7" s="114">
        <f t="shared" si="13"/>
        <v>500.17684120983552</v>
      </c>
      <c r="DE7" s="114">
        <f t="shared" si="13"/>
        <v>613.75585059945172</v>
      </c>
      <c r="DF7" s="114">
        <f t="shared" si="13"/>
        <v>531.05384327083345</v>
      </c>
      <c r="DG7" s="114">
        <f t="shared" si="13"/>
        <v>669.99018026927808</v>
      </c>
    </row>
    <row r="8" spans="1:114" s="114" customFormat="1" hidden="1" x14ac:dyDescent="0.25">
      <c r="A8"/>
      <c r="B8" s="1" t="s">
        <v>313</v>
      </c>
      <c r="C8" s="620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>
        <v>-65</v>
      </c>
      <c r="AD8" s="116">
        <v>-285.75</v>
      </c>
      <c r="AE8" s="116">
        <v>-80</v>
      </c>
      <c r="AF8" s="116">
        <v>-30</v>
      </c>
      <c r="AG8" s="116">
        <v>-180</v>
      </c>
      <c r="AH8" s="116">
        <v>-30</v>
      </c>
      <c r="AI8" s="116">
        <v>-260</v>
      </c>
      <c r="AJ8" s="116">
        <v>-282.25</v>
      </c>
      <c r="AK8" s="116">
        <v>-135</v>
      </c>
      <c r="AL8" s="116">
        <v>0</v>
      </c>
      <c r="AM8" s="116">
        <v>-330</v>
      </c>
      <c r="AN8" s="116">
        <v>-30</v>
      </c>
      <c r="AO8" s="116">
        <v>0</v>
      </c>
      <c r="AP8" s="116">
        <v>0</v>
      </c>
      <c r="AQ8" s="116">
        <v>0</v>
      </c>
      <c r="AR8" s="116">
        <v>-30</v>
      </c>
      <c r="AS8" s="116">
        <v>-15</v>
      </c>
      <c r="AT8" s="116">
        <v>-15</v>
      </c>
      <c r="AU8" s="116">
        <v>0</v>
      </c>
      <c r="AV8" s="116">
        <v>-90</v>
      </c>
      <c r="AW8" s="252"/>
      <c r="AX8" s="116">
        <f>+AX6*AX11</f>
        <v>-18.890577064905333</v>
      </c>
      <c r="AY8" s="635">
        <f t="shared" ref="AY8:CV8" si="14">+AY6*AY11</f>
        <v>-26.724007220420898</v>
      </c>
      <c r="AZ8" s="114">
        <f t="shared" si="14"/>
        <v>-25.245352905761987</v>
      </c>
      <c r="BA8" s="114">
        <f t="shared" si="14"/>
        <v>-29.602459420653133</v>
      </c>
      <c r="BB8" s="114">
        <f t="shared" si="14"/>
        <v>-32.823766918369955</v>
      </c>
      <c r="BC8" s="114">
        <f t="shared" si="14"/>
        <v>-39.490391911940186</v>
      </c>
      <c r="BD8" s="114">
        <f t="shared" si="14"/>
        <v>-37.074741988186091</v>
      </c>
      <c r="BE8" s="114">
        <f t="shared" si="14"/>
        <v>-37.642980907888955</v>
      </c>
      <c r="BF8" s="114">
        <f t="shared" si="14"/>
        <v>-35.941782432381409</v>
      </c>
      <c r="BG8" s="114">
        <f t="shared" si="14"/>
        <v>-38.297506647404681</v>
      </c>
      <c r="BH8" s="114">
        <f t="shared" si="14"/>
        <v>-26.650480851348838</v>
      </c>
      <c r="BI8" s="114">
        <f t="shared" si="14"/>
        <v>-28.889573322765354</v>
      </c>
      <c r="BJ8" s="114">
        <f t="shared" si="14"/>
        <v>-27.079843186127587</v>
      </c>
      <c r="BK8" s="252">
        <f t="shared" si="14"/>
        <v>-34.574184341419539</v>
      </c>
      <c r="BL8" s="114">
        <f t="shared" si="14"/>
        <v>-28.159488400638992</v>
      </c>
      <c r="BM8" s="114">
        <f t="shared" si="14"/>
        <v>-33.866097232732287</v>
      </c>
      <c r="BN8" s="114">
        <f t="shared" si="14"/>
        <v>-38.605225864219214</v>
      </c>
      <c r="BO8" s="114">
        <f t="shared" si="14"/>
        <v>-43.349680212425248</v>
      </c>
      <c r="BP8" s="114">
        <f t="shared" si="14"/>
        <v>-40.894563889999191</v>
      </c>
      <c r="BQ8" s="114">
        <f t="shared" si="14"/>
        <v>-41.262498302878278</v>
      </c>
      <c r="BR8" s="114">
        <f t="shared" si="14"/>
        <v>-37.342811432744114</v>
      </c>
      <c r="BS8" s="114">
        <f t="shared" si="14"/>
        <v>-43.631802216150327</v>
      </c>
      <c r="BT8" s="114">
        <f t="shared" si="14"/>
        <v>-28.857473796851167</v>
      </c>
      <c r="BU8" s="114">
        <f t="shared" si="14"/>
        <v>-30.214154550212299</v>
      </c>
      <c r="BV8" s="114">
        <f t="shared" si="14"/>
        <v>-30.329424368462899</v>
      </c>
      <c r="BW8" s="252">
        <f t="shared" si="14"/>
        <v>-37.455366369871165</v>
      </c>
      <c r="BX8" s="114">
        <f t="shared" si="14"/>
        <v>-30.424490728516471</v>
      </c>
      <c r="BY8" s="114">
        <f t="shared" si="14"/>
        <v>-38.360313903171928</v>
      </c>
      <c r="BZ8" s="114">
        <f t="shared" si="14"/>
        <v>-41.616433481628306</v>
      </c>
      <c r="CA8" s="114">
        <f t="shared" si="14"/>
        <v>-42.728563252859871</v>
      </c>
      <c r="CB8" s="114">
        <f t="shared" si="14"/>
        <v>-48.38534698715771</v>
      </c>
      <c r="CC8" s="114">
        <f t="shared" si="14"/>
        <v>-44.237741601559506</v>
      </c>
      <c r="CD8" s="114">
        <f t="shared" si="14"/>
        <v>-38.259407713366024</v>
      </c>
      <c r="CE8" s="114">
        <f t="shared" si="14"/>
        <v>-48.99687256702336</v>
      </c>
      <c r="CF8" s="114">
        <f t="shared" si="14"/>
        <v>-29.361287130701147</v>
      </c>
      <c r="CG8" s="114">
        <f t="shared" si="14"/>
        <v>-33.697175144195114</v>
      </c>
      <c r="CH8" s="114">
        <f t="shared" si="14"/>
        <v>-32.414572293794727</v>
      </c>
      <c r="CI8" s="252">
        <f t="shared" si="14"/>
        <v>-37.013167562895759</v>
      </c>
      <c r="CJ8" s="114">
        <f t="shared" si="14"/>
        <v>-35.973746431816316</v>
      </c>
      <c r="CK8" s="114">
        <f t="shared" si="14"/>
        <v>-39.383255607256501</v>
      </c>
      <c r="CL8" s="114">
        <f t="shared" si="14"/>
        <v>-42.883020587590913</v>
      </c>
      <c r="CM8" s="114">
        <f t="shared" si="14"/>
        <v>-48.59586964900258</v>
      </c>
      <c r="CN8" s="114">
        <f t="shared" si="14"/>
        <v>-52.703852255637671</v>
      </c>
      <c r="CO8" s="114">
        <f t="shared" si="14"/>
        <v>-46.166664683108294</v>
      </c>
      <c r="CP8" s="114">
        <f t="shared" si="14"/>
        <v>-43.915146244907078</v>
      </c>
      <c r="CQ8" s="114">
        <f t="shared" si="14"/>
        <v>-53.180875168252321</v>
      </c>
      <c r="CR8" s="114">
        <f t="shared" si="14"/>
        <v>-30.237743462960889</v>
      </c>
      <c r="CS8" s="114">
        <f t="shared" si="14"/>
        <v>-38.5104578204581</v>
      </c>
      <c r="CT8" s="114">
        <f t="shared" si="14"/>
        <v>-35.229521992992694</v>
      </c>
      <c r="CU8" s="252">
        <f t="shared" si="14"/>
        <v>-40.023940148235795</v>
      </c>
      <c r="CV8" s="114">
        <f t="shared" si="14"/>
        <v>-39.324725551492357</v>
      </c>
      <c r="CW8" s="114">
        <f t="shared" ref="CW8:DG8" si="15">+CW6*CW11</f>
        <v>-42.963551571552557</v>
      </c>
      <c r="CX8" s="114">
        <f t="shared" si="15"/>
        <v>-44.612652200473597</v>
      </c>
      <c r="CY8" s="114">
        <f t="shared" si="15"/>
        <v>-55.637311985898869</v>
      </c>
      <c r="CZ8" s="114">
        <f t="shared" si="15"/>
        <v>-57.333244683497746</v>
      </c>
      <c r="DA8" s="114">
        <f t="shared" si="15"/>
        <v>-47.537951752903588</v>
      </c>
      <c r="DB8" s="114">
        <f t="shared" si="15"/>
        <v>-49.21116317131704</v>
      </c>
      <c r="DC8" s="114">
        <f t="shared" si="15"/>
        <v>-54.573228894302027</v>
      </c>
      <c r="DD8" s="114">
        <f t="shared" si="15"/>
        <v>-33.820258721072562</v>
      </c>
      <c r="DE8" s="114">
        <f t="shared" si="15"/>
        <v>-41.500085467046297</v>
      </c>
      <c r="DF8" s="114">
        <f t="shared" si="15"/>
        <v>-35.908056700099642</v>
      </c>
      <c r="DG8" s="114">
        <f t="shared" si="15"/>
        <v>-45.302459790974147</v>
      </c>
    </row>
    <row r="9" spans="1:114" s="3" customFormat="1" x14ac:dyDescent="0.25">
      <c r="B9" s="4" t="s">
        <v>315</v>
      </c>
      <c r="C9" s="621" t="s">
        <v>276</v>
      </c>
      <c r="D9" s="56">
        <f>+(D6)</f>
        <v>0</v>
      </c>
      <c r="E9" s="56">
        <f>+(E6)</f>
        <v>0</v>
      </c>
      <c r="F9" s="56">
        <v>0</v>
      </c>
      <c r="G9" s="56">
        <v>0</v>
      </c>
      <c r="H9" s="56">
        <v>0</v>
      </c>
      <c r="I9" s="56">
        <v>0</v>
      </c>
      <c r="J9" s="56">
        <v>0</v>
      </c>
      <c r="K9" s="56">
        <f t="shared" ref="K9:AA9" si="16">SUM(K6:K6)</f>
        <v>0</v>
      </c>
      <c r="L9" s="56">
        <f t="shared" si="16"/>
        <v>0</v>
      </c>
      <c r="M9" s="56">
        <f t="shared" si="16"/>
        <v>0</v>
      </c>
      <c r="N9" s="56">
        <f t="shared" si="16"/>
        <v>0</v>
      </c>
      <c r="O9" s="56">
        <f t="shared" si="16"/>
        <v>0</v>
      </c>
      <c r="P9" s="56">
        <f t="shared" si="16"/>
        <v>0</v>
      </c>
      <c r="Q9" s="56">
        <f t="shared" si="16"/>
        <v>0</v>
      </c>
      <c r="R9" s="56">
        <f t="shared" si="16"/>
        <v>0</v>
      </c>
      <c r="S9" s="56">
        <f t="shared" si="16"/>
        <v>0</v>
      </c>
      <c r="T9" s="56">
        <f t="shared" si="16"/>
        <v>0</v>
      </c>
      <c r="U9" s="56">
        <f t="shared" si="16"/>
        <v>0</v>
      </c>
      <c r="V9" s="56">
        <f t="shared" si="16"/>
        <v>0</v>
      </c>
      <c r="W9" s="56">
        <f t="shared" si="16"/>
        <v>0</v>
      </c>
      <c r="X9" s="56">
        <f t="shared" si="16"/>
        <v>0</v>
      </c>
      <c r="Y9" s="56">
        <f t="shared" si="16"/>
        <v>0</v>
      </c>
      <c r="Z9" s="56">
        <f t="shared" si="16"/>
        <v>0</v>
      </c>
      <c r="AA9" s="56">
        <f t="shared" si="16"/>
        <v>0</v>
      </c>
      <c r="AB9" s="56">
        <f>SUM(AB6:AB8)</f>
        <v>5728.5</v>
      </c>
      <c r="AC9" s="56">
        <f t="shared" ref="AC9:AI9" si="17">SUM(AC6:AC8)</f>
        <v>6746.25</v>
      </c>
      <c r="AD9" s="56">
        <f t="shared" si="17"/>
        <v>7639.25</v>
      </c>
      <c r="AE9" s="56">
        <f t="shared" si="17"/>
        <v>7817</v>
      </c>
      <c r="AF9" s="56">
        <f t="shared" si="17"/>
        <v>8048</v>
      </c>
      <c r="AG9" s="56">
        <f t="shared" si="17"/>
        <v>7154</v>
      </c>
      <c r="AH9" s="56">
        <f t="shared" si="17"/>
        <v>6015.5</v>
      </c>
      <c r="AI9" s="56">
        <f t="shared" si="17"/>
        <v>7295</v>
      </c>
      <c r="AJ9" s="56">
        <f t="shared" ref="AJ9:AT9" si="18">SUM(AJ6:AJ8)</f>
        <v>4538</v>
      </c>
      <c r="AK9" s="56">
        <f t="shared" si="18"/>
        <v>7697</v>
      </c>
      <c r="AL9" s="55">
        <f t="shared" si="18"/>
        <v>4938.75</v>
      </c>
      <c r="AM9" s="55">
        <f t="shared" si="18"/>
        <v>6152</v>
      </c>
      <c r="AN9" s="55">
        <f t="shared" si="18"/>
        <v>6721.05</v>
      </c>
      <c r="AO9" s="55">
        <f t="shared" si="18"/>
        <v>6501.14</v>
      </c>
      <c r="AP9" s="55">
        <f t="shared" si="18"/>
        <v>7108.5</v>
      </c>
      <c r="AQ9" s="55">
        <f t="shared" si="18"/>
        <v>7861.75</v>
      </c>
      <c r="AR9" s="55">
        <f t="shared" si="18"/>
        <v>7877.62</v>
      </c>
      <c r="AS9" s="55">
        <f t="shared" si="18"/>
        <v>6887.45</v>
      </c>
      <c r="AT9" s="55">
        <f t="shared" si="18"/>
        <v>7418.55</v>
      </c>
      <c r="AU9" s="55">
        <f t="shared" ref="AU9:AV9" si="19">SUM(AU6:AU8)</f>
        <v>7653.35</v>
      </c>
      <c r="AV9" s="55">
        <f t="shared" si="19"/>
        <v>6170.45</v>
      </c>
      <c r="AW9" s="257">
        <f t="shared" ref="AW9" si="20">SUM(AW6:AW8)</f>
        <v>6998.25</v>
      </c>
      <c r="AX9" s="547">
        <f t="shared" ref="AX9" si="21">SUM(AX6:AX8)</f>
        <v>5277.0751849216276</v>
      </c>
      <c r="AY9" s="636">
        <f t="shared" ref="AY9:CV9" si="22">SUM(AY6:AY8)</f>
        <v>7465.3407812799524</v>
      </c>
      <c r="AZ9" s="66">
        <f t="shared" si="22"/>
        <v>7052.2792869617042</v>
      </c>
      <c r="BA9" s="66">
        <f t="shared" si="22"/>
        <v>8269.435257835039</v>
      </c>
      <c r="BB9" s="66">
        <f t="shared" si="22"/>
        <v>9169.3062252913023</v>
      </c>
      <c r="BC9" s="66">
        <f t="shared" si="22"/>
        <v>11031.625264030739</v>
      </c>
      <c r="BD9" s="66">
        <f t="shared" si="22"/>
        <v>10356.814419221619</v>
      </c>
      <c r="BE9" s="66">
        <f t="shared" si="22"/>
        <v>10515.551735290248</v>
      </c>
      <c r="BF9" s="66">
        <f t="shared" si="22"/>
        <v>10040.322618208093</v>
      </c>
      <c r="BG9" s="66">
        <f t="shared" si="22"/>
        <v>10698.393240132769</v>
      </c>
      <c r="BH9" s="66">
        <f t="shared" si="22"/>
        <v>7444.8012193420391</v>
      </c>
      <c r="BI9" s="66">
        <f t="shared" si="22"/>
        <v>8070.290810107811</v>
      </c>
      <c r="BJ9" s="66">
        <f t="shared" si="22"/>
        <v>7564.7434166828643</v>
      </c>
      <c r="BK9" s="269">
        <f t="shared" si="22"/>
        <v>9658.2846357809376</v>
      </c>
      <c r="BL9" s="66">
        <f t="shared" si="22"/>
        <v>7866.3418776744038</v>
      </c>
      <c r="BM9" s="66">
        <f t="shared" si="22"/>
        <v>9460.4807837769531</v>
      </c>
      <c r="BN9" s="66">
        <f t="shared" si="22"/>
        <v>10784.354480882384</v>
      </c>
      <c r="BO9" s="66">
        <f t="shared" si="22"/>
        <v>12109.715914833743</v>
      </c>
      <c r="BP9" s="66">
        <f t="shared" si="22"/>
        <v>11423.880147262631</v>
      </c>
      <c r="BQ9" s="66">
        <f t="shared" si="22"/>
        <v>11526.662479068156</v>
      </c>
      <c r="BR9" s="66">
        <f t="shared" si="22"/>
        <v>10431.69951187138</v>
      </c>
      <c r="BS9" s="66">
        <f t="shared" si="22"/>
        <v>12188.526584294117</v>
      </c>
      <c r="BT9" s="66">
        <f t="shared" si="22"/>
        <v>8061.3238203188021</v>
      </c>
      <c r="BU9" s="66">
        <f t="shared" si="22"/>
        <v>8440.3120488321219</v>
      </c>
      <c r="BV9" s="66">
        <f t="shared" si="22"/>
        <v>8472.5126266848074</v>
      </c>
      <c r="BW9" s="269">
        <f t="shared" si="22"/>
        <v>10463.141688762684</v>
      </c>
      <c r="BX9" s="66">
        <f t="shared" si="22"/>
        <v>8499.0693765308224</v>
      </c>
      <c r="BY9" s="66">
        <f t="shared" si="22"/>
        <v>10715.938422035028</v>
      </c>
      <c r="BZ9" s="66">
        <f t="shared" si="22"/>
        <v>11625.534130391208</v>
      </c>
      <c r="CA9" s="66">
        <f t="shared" si="22"/>
        <v>11936.20713937417</v>
      </c>
      <c r="CB9" s="66">
        <f t="shared" si="22"/>
        <v>13516.427424237183</v>
      </c>
      <c r="CC9" s="66">
        <f t="shared" si="22"/>
        <v>12357.795510453599</v>
      </c>
      <c r="CD9" s="66">
        <f t="shared" si="22"/>
        <v>10687.750318071861</v>
      </c>
      <c r="CE9" s="66">
        <f t="shared" si="22"/>
        <v>13687.256851594859</v>
      </c>
      <c r="CF9" s="66">
        <f t="shared" si="22"/>
        <v>8202.0638746198219</v>
      </c>
      <c r="CG9" s="66">
        <f t="shared" si="22"/>
        <v>9413.2924655724946</v>
      </c>
      <c r="CH9" s="66">
        <f t="shared" si="22"/>
        <v>9054.9978697693896</v>
      </c>
      <c r="CI9" s="269">
        <f t="shared" si="22"/>
        <v>10339.61362802244</v>
      </c>
      <c r="CJ9" s="66">
        <f t="shared" si="22"/>
        <v>10049.251748729052</v>
      </c>
      <c r="CK9" s="66">
        <f t="shared" si="22"/>
        <v>11001.696779955957</v>
      </c>
      <c r="CL9" s="66">
        <f t="shared" si="22"/>
        <v>11979.354734359638</v>
      </c>
      <c r="CM9" s="66">
        <f t="shared" si="22"/>
        <v>13575.236846038761</v>
      </c>
      <c r="CN9" s="66">
        <f t="shared" si="22"/>
        <v>14722.800152288259</v>
      </c>
      <c r="CO9" s="66">
        <f t="shared" si="22"/>
        <v>12896.639405602476</v>
      </c>
      <c r="CP9" s="66">
        <f t="shared" si="22"/>
        <v>12267.678625960743</v>
      </c>
      <c r="CQ9" s="66">
        <f t="shared" si="22"/>
        <v>14856.056313079363</v>
      </c>
      <c r="CR9" s="66">
        <f t="shared" si="22"/>
        <v>8446.9016022204141</v>
      </c>
      <c r="CS9" s="66">
        <f t="shared" si="22"/>
        <v>10757.881065573945</v>
      </c>
      <c r="CT9" s="66">
        <f t="shared" si="22"/>
        <v>9841.3529479335739</v>
      </c>
      <c r="CU9" s="269">
        <f t="shared" si="22"/>
        <v>11180.671751495911</v>
      </c>
      <c r="CV9" s="66">
        <f t="shared" si="22"/>
        <v>10985.346432172306</v>
      </c>
      <c r="CW9" s="66">
        <f t="shared" ref="CW9:DG9" si="23">SUM(CW6:CW8)</f>
        <v>12001.851032679228</v>
      </c>
      <c r="CX9" s="66">
        <f t="shared" si="23"/>
        <v>12462.526637051586</v>
      </c>
      <c r="CY9" s="66">
        <f t="shared" si="23"/>
        <v>15542.260960464784</v>
      </c>
      <c r="CZ9" s="66">
        <f t="shared" si="23"/>
        <v>16016.019084583852</v>
      </c>
      <c r="DA9" s="66">
        <f t="shared" si="23"/>
        <v>13279.707902798589</v>
      </c>
      <c r="DB9" s="66">
        <f t="shared" si="23"/>
        <v>13747.118846619927</v>
      </c>
      <c r="DC9" s="66">
        <f t="shared" si="23"/>
        <v>15245.009772315942</v>
      </c>
      <c r="DD9" s="66">
        <f t="shared" si="23"/>
        <v>9447.6758137878351</v>
      </c>
      <c r="DE9" s="66">
        <f t="shared" si="23"/>
        <v>11593.032358822446</v>
      </c>
      <c r="DF9" s="66">
        <f t="shared" si="23"/>
        <v>10030.901348317502</v>
      </c>
      <c r="DG9" s="66">
        <f t="shared" si="23"/>
        <v>12655.224112925083</v>
      </c>
      <c r="DH9" s="10"/>
    </row>
    <row r="10" spans="1:114" s="484" customFormat="1" x14ac:dyDescent="0.25">
      <c r="A10" s="482"/>
      <c r="B10" s="483"/>
      <c r="C10" s="622" t="s">
        <v>340</v>
      </c>
      <c r="W10" s="485"/>
      <c r="X10" s="485"/>
      <c r="Y10" s="485"/>
      <c r="Z10" s="485"/>
      <c r="AA10" s="485"/>
      <c r="AB10" s="485">
        <f>+AB7/AB9</f>
        <v>3.6396962555642835E-2</v>
      </c>
      <c r="AC10" s="485">
        <f t="shared" ref="AC10:AJ10" si="24">+AC7/AC9</f>
        <v>4.1926996479525663E-2</v>
      </c>
      <c r="AD10" s="485">
        <f t="shared" si="24"/>
        <v>3.8158196157999806E-2</v>
      </c>
      <c r="AE10" s="485">
        <f t="shared" si="24"/>
        <v>3.6650889087885379E-2</v>
      </c>
      <c r="AF10" s="485">
        <f t="shared" si="24"/>
        <v>3.8624502982107359E-2</v>
      </c>
      <c r="AG10" s="485">
        <f t="shared" si="24"/>
        <v>5.0020967291026001E-2</v>
      </c>
      <c r="AH10" s="485">
        <f t="shared" si="24"/>
        <v>5.8099908569528715E-2</v>
      </c>
      <c r="AI10" s="485">
        <f t="shared" si="24"/>
        <v>5.2398903358464699E-2</v>
      </c>
      <c r="AJ10" s="485">
        <f t="shared" si="24"/>
        <v>7.8669017188188625E-2</v>
      </c>
      <c r="AK10" s="485">
        <f t="shared" ref="AK10:AT10" si="25">+AK7/AK9</f>
        <v>5.0344289983110302E-2</v>
      </c>
      <c r="AL10" s="485">
        <f t="shared" si="25"/>
        <v>4.4900025310048088E-2</v>
      </c>
      <c r="AM10" s="485">
        <f t="shared" si="25"/>
        <v>4.2327698309492845E-2</v>
      </c>
      <c r="AN10" s="485">
        <f t="shared" si="25"/>
        <v>4.081207549415642E-2</v>
      </c>
      <c r="AO10" s="485">
        <f t="shared" si="25"/>
        <v>5.3182980215777539E-2</v>
      </c>
      <c r="AP10" s="485">
        <f t="shared" si="25"/>
        <v>6.4465077020468456E-2</v>
      </c>
      <c r="AQ10" s="485">
        <f t="shared" si="25"/>
        <v>5.1165452984386427E-2</v>
      </c>
      <c r="AR10" s="485">
        <f t="shared" si="25"/>
        <v>5.2131227451946149E-2</v>
      </c>
      <c r="AS10" s="485">
        <f t="shared" si="25"/>
        <v>5.5463197554973177E-2</v>
      </c>
      <c r="AT10" s="485">
        <f t="shared" si="25"/>
        <v>5.1593640266628923E-2</v>
      </c>
      <c r="AU10" s="485">
        <f t="shared" ref="AU10:AV10" si="26">+AU7/AU9</f>
        <v>5.6903186186441232E-2</v>
      </c>
      <c r="AV10" s="485">
        <f t="shared" si="26"/>
        <v>6.2718278245508838E-2</v>
      </c>
      <c r="AW10" s="486">
        <f t="shared" ref="AW10" si="27">+AW7/AW9</f>
        <v>5.5335262387025325E-2</v>
      </c>
      <c r="AX10" s="537">
        <f>+AVERAGE(AR10:AW10)</f>
        <v>5.5690798682087282E-2</v>
      </c>
      <c r="AY10" s="637">
        <f t="shared" ref="AY10:CW10" si="28">+AX10</f>
        <v>5.5690798682087282E-2</v>
      </c>
      <c r="AZ10" s="485">
        <f t="shared" si="28"/>
        <v>5.5690798682087282E-2</v>
      </c>
      <c r="BA10" s="485">
        <f t="shared" si="28"/>
        <v>5.5690798682087282E-2</v>
      </c>
      <c r="BB10" s="485">
        <f t="shared" si="28"/>
        <v>5.5690798682087282E-2</v>
      </c>
      <c r="BC10" s="485">
        <f t="shared" si="28"/>
        <v>5.5690798682087282E-2</v>
      </c>
      <c r="BD10" s="485">
        <f t="shared" si="28"/>
        <v>5.5690798682087282E-2</v>
      </c>
      <c r="BE10" s="485">
        <f t="shared" si="28"/>
        <v>5.5690798682087282E-2</v>
      </c>
      <c r="BF10" s="485">
        <f t="shared" si="28"/>
        <v>5.5690798682087282E-2</v>
      </c>
      <c r="BG10" s="485">
        <f t="shared" si="28"/>
        <v>5.5690798682087282E-2</v>
      </c>
      <c r="BH10" s="485">
        <f t="shared" si="28"/>
        <v>5.5690798682087282E-2</v>
      </c>
      <c r="BI10" s="485">
        <f t="shared" si="28"/>
        <v>5.5690798682087282E-2</v>
      </c>
      <c r="BJ10" s="485">
        <f t="shared" si="28"/>
        <v>5.5690798682087282E-2</v>
      </c>
      <c r="BK10" s="486">
        <f t="shared" si="28"/>
        <v>5.5690798682087282E-2</v>
      </c>
      <c r="BL10" s="485">
        <f t="shared" si="28"/>
        <v>5.5690798682087282E-2</v>
      </c>
      <c r="BM10" s="485">
        <f t="shared" si="28"/>
        <v>5.5690798682087282E-2</v>
      </c>
      <c r="BN10" s="485">
        <f t="shared" si="28"/>
        <v>5.5690798682087282E-2</v>
      </c>
      <c r="BO10" s="485">
        <f t="shared" si="28"/>
        <v>5.5690798682087282E-2</v>
      </c>
      <c r="BP10" s="485">
        <f t="shared" si="28"/>
        <v>5.5690798682087282E-2</v>
      </c>
      <c r="BQ10" s="485">
        <f t="shared" si="28"/>
        <v>5.5690798682087282E-2</v>
      </c>
      <c r="BR10" s="485">
        <f t="shared" si="28"/>
        <v>5.5690798682087282E-2</v>
      </c>
      <c r="BS10" s="485">
        <f t="shared" si="28"/>
        <v>5.5690798682087282E-2</v>
      </c>
      <c r="BT10" s="485">
        <f t="shared" si="28"/>
        <v>5.5690798682087282E-2</v>
      </c>
      <c r="BU10" s="485">
        <f t="shared" si="28"/>
        <v>5.5690798682087282E-2</v>
      </c>
      <c r="BV10" s="485">
        <f t="shared" si="28"/>
        <v>5.5690798682087282E-2</v>
      </c>
      <c r="BW10" s="486">
        <f t="shared" si="28"/>
        <v>5.5690798682087282E-2</v>
      </c>
      <c r="BX10" s="485">
        <f t="shared" si="28"/>
        <v>5.5690798682087282E-2</v>
      </c>
      <c r="BY10" s="485">
        <f t="shared" si="28"/>
        <v>5.5690798682087282E-2</v>
      </c>
      <c r="BZ10" s="485">
        <f t="shared" si="28"/>
        <v>5.5690798682087282E-2</v>
      </c>
      <c r="CA10" s="485">
        <f t="shared" si="28"/>
        <v>5.5690798682087282E-2</v>
      </c>
      <c r="CB10" s="485">
        <f t="shared" si="28"/>
        <v>5.5690798682087282E-2</v>
      </c>
      <c r="CC10" s="485">
        <f t="shared" si="28"/>
        <v>5.5690798682087282E-2</v>
      </c>
      <c r="CD10" s="485">
        <f t="shared" si="28"/>
        <v>5.5690798682087282E-2</v>
      </c>
      <c r="CE10" s="485">
        <f t="shared" si="28"/>
        <v>5.5690798682087282E-2</v>
      </c>
      <c r="CF10" s="485">
        <f t="shared" si="28"/>
        <v>5.5690798682087282E-2</v>
      </c>
      <c r="CG10" s="485">
        <f t="shared" si="28"/>
        <v>5.5690798682087282E-2</v>
      </c>
      <c r="CH10" s="485">
        <f t="shared" si="28"/>
        <v>5.5690798682087282E-2</v>
      </c>
      <c r="CI10" s="486">
        <f t="shared" si="28"/>
        <v>5.5690798682087282E-2</v>
      </c>
      <c r="CJ10" s="485">
        <f t="shared" si="28"/>
        <v>5.5690798682087282E-2</v>
      </c>
      <c r="CK10" s="485">
        <f t="shared" si="28"/>
        <v>5.5690798682087282E-2</v>
      </c>
      <c r="CL10" s="485">
        <f t="shared" si="28"/>
        <v>5.5690798682087282E-2</v>
      </c>
      <c r="CM10" s="485">
        <f t="shared" si="28"/>
        <v>5.5690798682087282E-2</v>
      </c>
      <c r="CN10" s="485">
        <f t="shared" si="28"/>
        <v>5.5690798682087282E-2</v>
      </c>
      <c r="CO10" s="485">
        <f t="shared" si="28"/>
        <v>5.5690798682087282E-2</v>
      </c>
      <c r="CP10" s="485">
        <f t="shared" si="28"/>
        <v>5.5690798682087282E-2</v>
      </c>
      <c r="CQ10" s="485">
        <f t="shared" si="28"/>
        <v>5.5690798682087282E-2</v>
      </c>
      <c r="CR10" s="485">
        <f t="shared" si="28"/>
        <v>5.5690798682087282E-2</v>
      </c>
      <c r="CS10" s="485">
        <f t="shared" si="28"/>
        <v>5.5690798682087282E-2</v>
      </c>
      <c r="CT10" s="485">
        <f t="shared" si="28"/>
        <v>5.5690798682087282E-2</v>
      </c>
      <c r="CU10" s="486">
        <f t="shared" si="28"/>
        <v>5.5690798682087282E-2</v>
      </c>
      <c r="CV10" s="485">
        <f t="shared" si="28"/>
        <v>5.5690798682087282E-2</v>
      </c>
      <c r="CW10" s="485">
        <f t="shared" si="28"/>
        <v>5.5690798682087282E-2</v>
      </c>
      <c r="CX10" s="485">
        <f t="shared" ref="CX10:DG10" si="29">+CW10</f>
        <v>5.5690798682087282E-2</v>
      </c>
      <c r="CY10" s="485">
        <f t="shared" si="29"/>
        <v>5.5690798682087282E-2</v>
      </c>
      <c r="CZ10" s="485">
        <f t="shared" si="29"/>
        <v>5.5690798682087282E-2</v>
      </c>
      <c r="DA10" s="485">
        <f t="shared" si="29"/>
        <v>5.5690798682087282E-2</v>
      </c>
      <c r="DB10" s="485">
        <f t="shared" si="29"/>
        <v>5.5690798682087282E-2</v>
      </c>
      <c r="DC10" s="485">
        <f t="shared" si="29"/>
        <v>5.5690798682087282E-2</v>
      </c>
      <c r="DD10" s="485">
        <f t="shared" si="29"/>
        <v>5.5690798682087282E-2</v>
      </c>
      <c r="DE10" s="485">
        <f t="shared" si="29"/>
        <v>5.5690798682087282E-2</v>
      </c>
      <c r="DF10" s="485">
        <f t="shared" si="29"/>
        <v>5.5690798682087282E-2</v>
      </c>
      <c r="DG10" s="485">
        <f t="shared" si="29"/>
        <v>5.5690798682087282E-2</v>
      </c>
    </row>
    <row r="11" spans="1:114" s="484" customFormat="1" x14ac:dyDescent="0.25">
      <c r="A11" s="482"/>
      <c r="B11" s="483"/>
      <c r="C11" s="622" t="s">
        <v>341</v>
      </c>
      <c r="W11" s="485"/>
      <c r="X11" s="485"/>
      <c r="Y11" s="485"/>
      <c r="Z11" s="485"/>
      <c r="AA11" s="485"/>
      <c r="AB11" s="485">
        <f>+AB8/AB9</f>
        <v>0</v>
      </c>
      <c r="AC11" s="485">
        <f t="shared" ref="AC11:AI11" si="30">+AC8/AC9</f>
        <v>-9.6349823976283125E-3</v>
      </c>
      <c r="AD11" s="485">
        <f t="shared" si="30"/>
        <v>-3.7405504467061555E-2</v>
      </c>
      <c r="AE11" s="485">
        <f t="shared" si="30"/>
        <v>-1.0234105155430473E-2</v>
      </c>
      <c r="AF11" s="485">
        <f t="shared" si="30"/>
        <v>-3.7276341948310138E-3</v>
      </c>
      <c r="AG11" s="485">
        <f t="shared" si="30"/>
        <v>-2.516074923119933E-2</v>
      </c>
      <c r="AH11" s="485">
        <f t="shared" si="30"/>
        <v>-4.9871166154101905E-3</v>
      </c>
      <c r="AI11" s="485">
        <f t="shared" si="30"/>
        <v>-3.5640849897189859E-2</v>
      </c>
      <c r="AJ11" s="485">
        <f t="shared" ref="AJ11:AT11" si="31">+AJ8/AJ9</f>
        <v>-6.2197003085059495E-2</v>
      </c>
      <c r="AK11" s="485">
        <f t="shared" si="31"/>
        <v>-1.753930102637391E-2</v>
      </c>
      <c r="AL11" s="485">
        <f t="shared" si="31"/>
        <v>0</v>
      </c>
      <c r="AM11" s="485">
        <f t="shared" si="31"/>
        <v>-5.3641092327698307E-2</v>
      </c>
      <c r="AN11" s="485">
        <f t="shared" si="31"/>
        <v>-4.4635882786171806E-3</v>
      </c>
      <c r="AO11" s="485">
        <f t="shared" si="31"/>
        <v>0</v>
      </c>
      <c r="AP11" s="485">
        <f t="shared" si="31"/>
        <v>0</v>
      </c>
      <c r="AQ11" s="485">
        <f t="shared" si="31"/>
        <v>0</v>
      </c>
      <c r="AR11" s="485">
        <f t="shared" si="31"/>
        <v>-3.8082568085284641E-3</v>
      </c>
      <c r="AS11" s="485">
        <f t="shared" si="31"/>
        <v>-2.1778742495408314E-3</v>
      </c>
      <c r="AT11" s="485">
        <f t="shared" si="31"/>
        <v>-2.0219584689730474E-3</v>
      </c>
      <c r="AU11" s="485">
        <f t="shared" ref="AU11:AV11" si="32">+AU8/AU9</f>
        <v>0</v>
      </c>
      <c r="AV11" s="485">
        <f t="shared" si="32"/>
        <v>-1.4585646103606707E-2</v>
      </c>
      <c r="AW11" s="486">
        <f t="shared" ref="AW11" si="33">+AW8/AW9</f>
        <v>0</v>
      </c>
      <c r="AX11" s="537">
        <f>+AVERAGE(AR11:AW11)</f>
        <v>-3.7656226051081751E-3</v>
      </c>
      <c r="AY11" s="637">
        <f t="shared" ref="AY11:CW11" si="34">+AX11</f>
        <v>-3.7656226051081751E-3</v>
      </c>
      <c r="AZ11" s="485">
        <f t="shared" si="34"/>
        <v>-3.7656226051081751E-3</v>
      </c>
      <c r="BA11" s="485">
        <f t="shared" si="34"/>
        <v>-3.7656226051081751E-3</v>
      </c>
      <c r="BB11" s="485">
        <f t="shared" si="34"/>
        <v>-3.7656226051081751E-3</v>
      </c>
      <c r="BC11" s="485">
        <f t="shared" si="34"/>
        <v>-3.7656226051081751E-3</v>
      </c>
      <c r="BD11" s="485">
        <f t="shared" si="34"/>
        <v>-3.7656226051081751E-3</v>
      </c>
      <c r="BE11" s="485">
        <f t="shared" si="34"/>
        <v>-3.7656226051081751E-3</v>
      </c>
      <c r="BF11" s="485">
        <f t="shared" si="34"/>
        <v>-3.7656226051081751E-3</v>
      </c>
      <c r="BG11" s="485">
        <f t="shared" si="34"/>
        <v>-3.7656226051081751E-3</v>
      </c>
      <c r="BH11" s="485">
        <f t="shared" si="34"/>
        <v>-3.7656226051081751E-3</v>
      </c>
      <c r="BI11" s="485">
        <f t="shared" si="34"/>
        <v>-3.7656226051081751E-3</v>
      </c>
      <c r="BJ11" s="485">
        <f t="shared" si="34"/>
        <v>-3.7656226051081751E-3</v>
      </c>
      <c r="BK11" s="486">
        <f t="shared" si="34"/>
        <v>-3.7656226051081751E-3</v>
      </c>
      <c r="BL11" s="485">
        <f t="shared" si="34"/>
        <v>-3.7656226051081751E-3</v>
      </c>
      <c r="BM11" s="485">
        <f t="shared" si="34"/>
        <v>-3.7656226051081751E-3</v>
      </c>
      <c r="BN11" s="485">
        <f t="shared" si="34"/>
        <v>-3.7656226051081751E-3</v>
      </c>
      <c r="BO11" s="485">
        <f t="shared" si="34"/>
        <v>-3.7656226051081751E-3</v>
      </c>
      <c r="BP11" s="485">
        <f t="shared" si="34"/>
        <v>-3.7656226051081751E-3</v>
      </c>
      <c r="BQ11" s="485">
        <f t="shared" si="34"/>
        <v>-3.7656226051081751E-3</v>
      </c>
      <c r="BR11" s="485">
        <f t="shared" si="34"/>
        <v>-3.7656226051081751E-3</v>
      </c>
      <c r="BS11" s="485">
        <f t="shared" si="34"/>
        <v>-3.7656226051081751E-3</v>
      </c>
      <c r="BT11" s="485">
        <f t="shared" si="34"/>
        <v>-3.7656226051081751E-3</v>
      </c>
      <c r="BU11" s="485">
        <f t="shared" si="34"/>
        <v>-3.7656226051081751E-3</v>
      </c>
      <c r="BV11" s="485">
        <f t="shared" si="34"/>
        <v>-3.7656226051081751E-3</v>
      </c>
      <c r="BW11" s="486">
        <f t="shared" si="34"/>
        <v>-3.7656226051081751E-3</v>
      </c>
      <c r="BX11" s="485">
        <f t="shared" si="34"/>
        <v>-3.7656226051081751E-3</v>
      </c>
      <c r="BY11" s="485">
        <f t="shared" si="34"/>
        <v>-3.7656226051081751E-3</v>
      </c>
      <c r="BZ11" s="485">
        <f t="shared" si="34"/>
        <v>-3.7656226051081751E-3</v>
      </c>
      <c r="CA11" s="485">
        <f t="shared" si="34"/>
        <v>-3.7656226051081751E-3</v>
      </c>
      <c r="CB11" s="485">
        <f t="shared" si="34"/>
        <v>-3.7656226051081751E-3</v>
      </c>
      <c r="CC11" s="485">
        <f t="shared" si="34"/>
        <v>-3.7656226051081751E-3</v>
      </c>
      <c r="CD11" s="485">
        <f t="shared" si="34"/>
        <v>-3.7656226051081751E-3</v>
      </c>
      <c r="CE11" s="485">
        <f t="shared" si="34"/>
        <v>-3.7656226051081751E-3</v>
      </c>
      <c r="CF11" s="485">
        <f t="shared" si="34"/>
        <v>-3.7656226051081751E-3</v>
      </c>
      <c r="CG11" s="485">
        <f t="shared" si="34"/>
        <v>-3.7656226051081751E-3</v>
      </c>
      <c r="CH11" s="485">
        <f t="shared" si="34"/>
        <v>-3.7656226051081751E-3</v>
      </c>
      <c r="CI11" s="486">
        <f t="shared" si="34"/>
        <v>-3.7656226051081751E-3</v>
      </c>
      <c r="CJ11" s="485">
        <f t="shared" si="34"/>
        <v>-3.7656226051081751E-3</v>
      </c>
      <c r="CK11" s="485">
        <f t="shared" si="34"/>
        <v>-3.7656226051081751E-3</v>
      </c>
      <c r="CL11" s="485">
        <f t="shared" si="34"/>
        <v>-3.7656226051081751E-3</v>
      </c>
      <c r="CM11" s="485">
        <f t="shared" si="34"/>
        <v>-3.7656226051081751E-3</v>
      </c>
      <c r="CN11" s="485">
        <f t="shared" si="34"/>
        <v>-3.7656226051081751E-3</v>
      </c>
      <c r="CO11" s="485">
        <f t="shared" si="34"/>
        <v>-3.7656226051081751E-3</v>
      </c>
      <c r="CP11" s="485">
        <f t="shared" si="34"/>
        <v>-3.7656226051081751E-3</v>
      </c>
      <c r="CQ11" s="485">
        <f t="shared" si="34"/>
        <v>-3.7656226051081751E-3</v>
      </c>
      <c r="CR11" s="485">
        <f t="shared" si="34"/>
        <v>-3.7656226051081751E-3</v>
      </c>
      <c r="CS11" s="485">
        <f t="shared" si="34"/>
        <v>-3.7656226051081751E-3</v>
      </c>
      <c r="CT11" s="485">
        <f t="shared" si="34"/>
        <v>-3.7656226051081751E-3</v>
      </c>
      <c r="CU11" s="486">
        <f t="shared" si="34"/>
        <v>-3.7656226051081751E-3</v>
      </c>
      <c r="CV11" s="485">
        <f t="shared" si="34"/>
        <v>-3.7656226051081751E-3</v>
      </c>
      <c r="CW11" s="485">
        <f t="shared" si="34"/>
        <v>-3.7656226051081751E-3</v>
      </c>
      <c r="CX11" s="485">
        <f t="shared" ref="CX11:DG11" si="35">+CW11</f>
        <v>-3.7656226051081751E-3</v>
      </c>
      <c r="CY11" s="485">
        <f t="shared" si="35"/>
        <v>-3.7656226051081751E-3</v>
      </c>
      <c r="CZ11" s="485">
        <f t="shared" si="35"/>
        <v>-3.7656226051081751E-3</v>
      </c>
      <c r="DA11" s="485">
        <f t="shared" si="35"/>
        <v>-3.7656226051081751E-3</v>
      </c>
      <c r="DB11" s="485">
        <f t="shared" si="35"/>
        <v>-3.7656226051081751E-3</v>
      </c>
      <c r="DC11" s="485">
        <f t="shared" si="35"/>
        <v>-3.7656226051081751E-3</v>
      </c>
      <c r="DD11" s="485">
        <f t="shared" si="35"/>
        <v>-3.7656226051081751E-3</v>
      </c>
      <c r="DE11" s="485">
        <f t="shared" si="35"/>
        <v>-3.7656226051081751E-3</v>
      </c>
      <c r="DF11" s="485">
        <f t="shared" si="35"/>
        <v>-3.7656226051081751E-3</v>
      </c>
      <c r="DG11" s="485">
        <f t="shared" si="35"/>
        <v>-3.7656226051081751E-3</v>
      </c>
    </row>
    <row r="12" spans="1:114" s="114" customFormat="1" hidden="1" x14ac:dyDescent="0.25">
      <c r="B12" s="115" t="s">
        <v>314</v>
      </c>
      <c r="C12" s="623"/>
      <c r="D12" s="116">
        <f>0</f>
        <v>0</v>
      </c>
      <c r="E12" s="116">
        <f>0</f>
        <v>0</v>
      </c>
      <c r="F12" s="116">
        <f>0</f>
        <v>0</v>
      </c>
      <c r="G12" s="116">
        <f>0</f>
        <v>0</v>
      </c>
      <c r="H12" s="116">
        <f>0</f>
        <v>0</v>
      </c>
      <c r="I12" s="116">
        <f>0</f>
        <v>0</v>
      </c>
      <c r="J12" s="116">
        <f>0</f>
        <v>0</v>
      </c>
      <c r="K12" s="116">
        <v>0</v>
      </c>
      <c r="L12" s="116">
        <v>0</v>
      </c>
      <c r="M12" s="116"/>
      <c r="N12" s="116">
        <v>0</v>
      </c>
      <c r="O12" s="116">
        <v>0</v>
      </c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252"/>
      <c r="AX12" s="116">
        <f>AW12</f>
        <v>0</v>
      </c>
      <c r="AY12" s="635">
        <f t="shared" ref="AY12:CA12" si="36">AX12</f>
        <v>0</v>
      </c>
      <c r="AZ12" s="114">
        <f t="shared" si="36"/>
        <v>0</v>
      </c>
      <c r="BA12" s="114">
        <f t="shared" si="36"/>
        <v>0</v>
      </c>
      <c r="BB12" s="114">
        <f t="shared" si="36"/>
        <v>0</v>
      </c>
      <c r="BC12" s="114">
        <f t="shared" si="36"/>
        <v>0</v>
      </c>
      <c r="BD12" s="114">
        <f t="shared" si="36"/>
        <v>0</v>
      </c>
      <c r="BE12" s="114">
        <f t="shared" si="36"/>
        <v>0</v>
      </c>
      <c r="BF12" s="114">
        <f t="shared" si="36"/>
        <v>0</v>
      </c>
      <c r="BG12" s="114">
        <f t="shared" si="36"/>
        <v>0</v>
      </c>
      <c r="BH12" s="114">
        <f t="shared" si="36"/>
        <v>0</v>
      </c>
      <c r="BI12" s="114">
        <f t="shared" si="36"/>
        <v>0</v>
      </c>
      <c r="BJ12" s="114">
        <f t="shared" si="36"/>
        <v>0</v>
      </c>
      <c r="BK12" s="252">
        <f t="shared" si="36"/>
        <v>0</v>
      </c>
      <c r="BL12" s="114">
        <f t="shared" si="36"/>
        <v>0</v>
      </c>
      <c r="BM12" s="114">
        <f t="shared" si="36"/>
        <v>0</v>
      </c>
      <c r="BN12" s="114">
        <f t="shared" si="36"/>
        <v>0</v>
      </c>
      <c r="BO12" s="114">
        <f t="shared" si="36"/>
        <v>0</v>
      </c>
      <c r="BP12" s="114">
        <f t="shared" si="36"/>
        <v>0</v>
      </c>
      <c r="BQ12" s="114">
        <f t="shared" si="36"/>
        <v>0</v>
      </c>
      <c r="BR12" s="114">
        <f t="shared" si="36"/>
        <v>0</v>
      </c>
      <c r="BS12" s="114">
        <f t="shared" si="36"/>
        <v>0</v>
      </c>
      <c r="BT12" s="114">
        <f t="shared" si="36"/>
        <v>0</v>
      </c>
      <c r="BU12" s="114">
        <f t="shared" si="36"/>
        <v>0</v>
      </c>
      <c r="BV12" s="114">
        <f t="shared" si="36"/>
        <v>0</v>
      </c>
      <c r="BW12" s="252">
        <f t="shared" si="36"/>
        <v>0</v>
      </c>
      <c r="BX12" s="114">
        <f t="shared" si="36"/>
        <v>0</v>
      </c>
      <c r="BY12" s="114">
        <f t="shared" si="36"/>
        <v>0</v>
      </c>
      <c r="BZ12" s="114">
        <f t="shared" si="36"/>
        <v>0</v>
      </c>
      <c r="CA12" s="114">
        <f t="shared" si="36"/>
        <v>0</v>
      </c>
      <c r="CB12" s="114">
        <f t="shared" ref="CB12:DG12" si="37">CA12</f>
        <v>0</v>
      </c>
      <c r="CC12" s="114">
        <f t="shared" si="37"/>
        <v>0</v>
      </c>
      <c r="CD12" s="114">
        <f t="shared" si="37"/>
        <v>0</v>
      </c>
      <c r="CE12" s="114">
        <f t="shared" si="37"/>
        <v>0</v>
      </c>
      <c r="CF12" s="114">
        <f t="shared" si="37"/>
        <v>0</v>
      </c>
      <c r="CG12" s="114">
        <f t="shared" si="37"/>
        <v>0</v>
      </c>
      <c r="CH12" s="114">
        <f t="shared" si="37"/>
        <v>0</v>
      </c>
      <c r="CI12" s="252">
        <f t="shared" si="37"/>
        <v>0</v>
      </c>
      <c r="CJ12" s="114">
        <f t="shared" si="37"/>
        <v>0</v>
      </c>
      <c r="CK12" s="114">
        <f t="shared" si="37"/>
        <v>0</v>
      </c>
      <c r="CL12" s="114">
        <f t="shared" si="37"/>
        <v>0</v>
      </c>
      <c r="CM12" s="114">
        <f t="shared" si="37"/>
        <v>0</v>
      </c>
      <c r="CN12" s="114">
        <f t="shared" si="37"/>
        <v>0</v>
      </c>
      <c r="CO12" s="114">
        <f t="shared" si="37"/>
        <v>0</v>
      </c>
      <c r="CP12" s="114">
        <f t="shared" si="37"/>
        <v>0</v>
      </c>
      <c r="CQ12" s="114">
        <f t="shared" si="37"/>
        <v>0</v>
      </c>
      <c r="CR12" s="114">
        <f t="shared" si="37"/>
        <v>0</v>
      </c>
      <c r="CS12" s="114">
        <f t="shared" si="37"/>
        <v>0</v>
      </c>
      <c r="CT12" s="114">
        <f t="shared" si="37"/>
        <v>0</v>
      </c>
      <c r="CU12" s="252">
        <f t="shared" si="37"/>
        <v>0</v>
      </c>
      <c r="CV12" s="114">
        <f t="shared" si="37"/>
        <v>0</v>
      </c>
      <c r="CW12" s="114">
        <f t="shared" si="37"/>
        <v>0</v>
      </c>
      <c r="CX12" s="114">
        <f t="shared" si="37"/>
        <v>0</v>
      </c>
      <c r="CY12" s="114">
        <f t="shared" si="37"/>
        <v>0</v>
      </c>
      <c r="CZ12" s="114">
        <f t="shared" si="37"/>
        <v>0</v>
      </c>
      <c r="DA12" s="114">
        <f t="shared" si="37"/>
        <v>0</v>
      </c>
      <c r="DB12" s="114">
        <f t="shared" si="37"/>
        <v>0</v>
      </c>
      <c r="DC12" s="114">
        <f t="shared" si="37"/>
        <v>0</v>
      </c>
      <c r="DD12" s="114">
        <f t="shared" si="37"/>
        <v>0</v>
      </c>
      <c r="DE12" s="114">
        <f t="shared" si="37"/>
        <v>0</v>
      </c>
      <c r="DF12" s="114">
        <f t="shared" si="37"/>
        <v>0</v>
      </c>
      <c r="DG12" s="114">
        <f t="shared" si="37"/>
        <v>0</v>
      </c>
    </row>
    <row r="13" spans="1:114" s="3" customFormat="1" hidden="1" x14ac:dyDescent="0.25">
      <c r="B13" s="4" t="s">
        <v>2</v>
      </c>
      <c r="C13" s="624"/>
      <c r="D13" s="56">
        <f t="shared" ref="D13:J13" si="38">(D9)+(D12)</f>
        <v>0</v>
      </c>
      <c r="E13" s="56">
        <f t="shared" si="38"/>
        <v>0</v>
      </c>
      <c r="F13" s="56">
        <f t="shared" si="38"/>
        <v>0</v>
      </c>
      <c r="G13" s="56">
        <f t="shared" si="38"/>
        <v>0</v>
      </c>
      <c r="H13" s="56">
        <f t="shared" si="38"/>
        <v>0</v>
      </c>
      <c r="I13" s="56">
        <f t="shared" si="38"/>
        <v>0</v>
      </c>
      <c r="J13" s="56">
        <f t="shared" si="38"/>
        <v>0</v>
      </c>
      <c r="K13" s="56">
        <f t="shared" ref="K13:P13" si="39">K12+K9</f>
        <v>0</v>
      </c>
      <c r="L13" s="56">
        <f t="shared" si="39"/>
        <v>0</v>
      </c>
      <c r="M13" s="56">
        <f t="shared" si="39"/>
        <v>0</v>
      </c>
      <c r="N13" s="56">
        <f t="shared" si="39"/>
        <v>0</v>
      </c>
      <c r="O13" s="56">
        <f t="shared" si="39"/>
        <v>0</v>
      </c>
      <c r="P13" s="56">
        <f t="shared" si="39"/>
        <v>0</v>
      </c>
      <c r="Q13" s="56">
        <f t="shared" ref="Q13:V13" si="40">Q12+Q9</f>
        <v>0</v>
      </c>
      <c r="R13" s="56">
        <f t="shared" si="40"/>
        <v>0</v>
      </c>
      <c r="S13" s="56">
        <f t="shared" si="40"/>
        <v>0</v>
      </c>
      <c r="T13" s="56">
        <f t="shared" si="40"/>
        <v>0</v>
      </c>
      <c r="U13" s="56">
        <f t="shared" si="40"/>
        <v>0</v>
      </c>
      <c r="V13" s="56">
        <f t="shared" si="40"/>
        <v>0</v>
      </c>
      <c r="W13" s="56">
        <f t="shared" ref="W13:AE13" si="41">W12+W9</f>
        <v>0</v>
      </c>
      <c r="X13" s="56">
        <f t="shared" si="41"/>
        <v>0</v>
      </c>
      <c r="Y13" s="56">
        <f t="shared" si="41"/>
        <v>0</v>
      </c>
      <c r="Z13" s="56">
        <f t="shared" si="41"/>
        <v>0</v>
      </c>
      <c r="AA13" s="56">
        <f t="shared" si="41"/>
        <v>0</v>
      </c>
      <c r="AB13" s="56">
        <f t="shared" si="41"/>
        <v>5728.5</v>
      </c>
      <c r="AC13" s="56">
        <f t="shared" si="41"/>
        <v>6746.25</v>
      </c>
      <c r="AD13" s="56">
        <f t="shared" si="41"/>
        <v>7639.25</v>
      </c>
      <c r="AE13" s="56">
        <f t="shared" si="41"/>
        <v>7817</v>
      </c>
      <c r="AF13" s="56">
        <f t="shared" ref="AF13:AT13" si="42">AF12+AF9</f>
        <v>8048</v>
      </c>
      <c r="AG13" s="56">
        <f t="shared" si="42"/>
        <v>7154</v>
      </c>
      <c r="AH13" s="56">
        <f t="shared" si="42"/>
        <v>6015.5</v>
      </c>
      <c r="AI13" s="56">
        <f t="shared" si="42"/>
        <v>7295</v>
      </c>
      <c r="AJ13" s="56">
        <f t="shared" si="42"/>
        <v>4538</v>
      </c>
      <c r="AK13" s="56">
        <f t="shared" si="42"/>
        <v>7697</v>
      </c>
      <c r="AL13" s="56">
        <f t="shared" si="42"/>
        <v>4938.75</v>
      </c>
      <c r="AM13" s="56">
        <f t="shared" si="42"/>
        <v>6152</v>
      </c>
      <c r="AN13" s="56">
        <f t="shared" si="42"/>
        <v>6721.05</v>
      </c>
      <c r="AO13" s="56">
        <f t="shared" si="42"/>
        <v>6501.14</v>
      </c>
      <c r="AP13" s="56">
        <f t="shared" si="42"/>
        <v>7108.5</v>
      </c>
      <c r="AQ13" s="56">
        <f t="shared" si="42"/>
        <v>7861.75</v>
      </c>
      <c r="AR13" s="56">
        <f t="shared" si="42"/>
        <v>7877.62</v>
      </c>
      <c r="AS13" s="56">
        <f t="shared" si="42"/>
        <v>6887.45</v>
      </c>
      <c r="AT13" s="56">
        <f t="shared" si="42"/>
        <v>7418.55</v>
      </c>
      <c r="AU13" s="56">
        <f t="shared" ref="AU13:AV13" si="43">AU12+AU9</f>
        <v>7653.35</v>
      </c>
      <c r="AV13" s="56">
        <f t="shared" si="43"/>
        <v>6170.45</v>
      </c>
      <c r="AW13" s="253">
        <f t="shared" ref="AW13" si="44">AW12+AW9</f>
        <v>6998.25</v>
      </c>
      <c r="AX13" s="56">
        <f t="shared" ref="AX13" si="45">AX12+AX9</f>
        <v>5277.0751849216276</v>
      </c>
      <c r="AY13" s="638">
        <f t="shared" ref="AY13:BY13" si="46">AY12+AY9</f>
        <v>7465.3407812799524</v>
      </c>
      <c r="AZ13" s="56">
        <f t="shared" si="46"/>
        <v>7052.2792869617042</v>
      </c>
      <c r="BA13" s="56">
        <f t="shared" si="46"/>
        <v>8269.435257835039</v>
      </c>
      <c r="BB13" s="56">
        <f t="shared" si="46"/>
        <v>9169.3062252913023</v>
      </c>
      <c r="BC13" s="56">
        <f t="shared" si="46"/>
        <v>11031.625264030739</v>
      </c>
      <c r="BD13" s="56">
        <f t="shared" si="46"/>
        <v>10356.814419221619</v>
      </c>
      <c r="BE13" s="56">
        <f t="shared" si="46"/>
        <v>10515.551735290248</v>
      </c>
      <c r="BF13" s="56">
        <f t="shared" si="46"/>
        <v>10040.322618208093</v>
      </c>
      <c r="BG13" s="56">
        <f t="shared" si="46"/>
        <v>10698.393240132769</v>
      </c>
      <c r="BH13" s="56">
        <f t="shared" si="46"/>
        <v>7444.8012193420391</v>
      </c>
      <c r="BI13" s="56">
        <f t="shared" si="46"/>
        <v>8070.290810107811</v>
      </c>
      <c r="BJ13" s="56">
        <f t="shared" si="46"/>
        <v>7564.7434166828643</v>
      </c>
      <c r="BK13" s="253">
        <f t="shared" si="46"/>
        <v>9658.2846357809376</v>
      </c>
      <c r="BL13" s="56">
        <f t="shared" si="46"/>
        <v>7866.3418776744038</v>
      </c>
      <c r="BM13" s="56">
        <f t="shared" si="46"/>
        <v>9460.4807837769531</v>
      </c>
      <c r="BN13" s="56">
        <f t="shared" si="46"/>
        <v>10784.354480882384</v>
      </c>
      <c r="BO13" s="56">
        <f t="shared" si="46"/>
        <v>12109.715914833743</v>
      </c>
      <c r="BP13" s="56">
        <f t="shared" si="46"/>
        <v>11423.880147262631</v>
      </c>
      <c r="BQ13" s="56">
        <f t="shared" si="46"/>
        <v>11526.662479068156</v>
      </c>
      <c r="BR13" s="56">
        <f t="shared" si="46"/>
        <v>10431.69951187138</v>
      </c>
      <c r="BS13" s="56">
        <f t="shared" si="46"/>
        <v>12188.526584294117</v>
      </c>
      <c r="BT13" s="56">
        <f t="shared" si="46"/>
        <v>8061.3238203188021</v>
      </c>
      <c r="BU13" s="56">
        <f t="shared" si="46"/>
        <v>8440.3120488321219</v>
      </c>
      <c r="BV13" s="56">
        <f t="shared" si="46"/>
        <v>8472.5126266848074</v>
      </c>
      <c r="BW13" s="253">
        <f t="shared" si="46"/>
        <v>10463.141688762684</v>
      </c>
      <c r="BX13" s="56">
        <f t="shared" si="46"/>
        <v>8499.0693765308224</v>
      </c>
      <c r="BY13" s="56">
        <f t="shared" si="46"/>
        <v>10715.938422035028</v>
      </c>
      <c r="BZ13" s="56">
        <f t="shared" ref="BZ13:DE13" si="47">BZ12+BZ9</f>
        <v>11625.534130391208</v>
      </c>
      <c r="CA13" s="56">
        <f t="shared" si="47"/>
        <v>11936.20713937417</v>
      </c>
      <c r="CB13" s="56">
        <f t="shared" si="47"/>
        <v>13516.427424237183</v>
      </c>
      <c r="CC13" s="56">
        <f t="shared" si="47"/>
        <v>12357.795510453599</v>
      </c>
      <c r="CD13" s="56">
        <f t="shared" si="47"/>
        <v>10687.750318071861</v>
      </c>
      <c r="CE13" s="56">
        <f t="shared" si="47"/>
        <v>13687.256851594859</v>
      </c>
      <c r="CF13" s="56">
        <f t="shared" si="47"/>
        <v>8202.0638746198219</v>
      </c>
      <c r="CG13" s="56">
        <f t="shared" si="47"/>
        <v>9413.2924655724946</v>
      </c>
      <c r="CH13" s="56">
        <f t="shared" si="47"/>
        <v>9054.9978697693896</v>
      </c>
      <c r="CI13" s="253">
        <f t="shared" si="47"/>
        <v>10339.61362802244</v>
      </c>
      <c r="CJ13" s="56">
        <f t="shared" si="47"/>
        <v>10049.251748729052</v>
      </c>
      <c r="CK13" s="56">
        <f t="shared" si="47"/>
        <v>11001.696779955957</v>
      </c>
      <c r="CL13" s="56">
        <f t="shared" si="47"/>
        <v>11979.354734359638</v>
      </c>
      <c r="CM13" s="56">
        <f t="shared" si="47"/>
        <v>13575.236846038761</v>
      </c>
      <c r="CN13" s="56">
        <f t="shared" si="47"/>
        <v>14722.800152288259</v>
      </c>
      <c r="CO13" s="56">
        <f t="shared" si="47"/>
        <v>12896.639405602476</v>
      </c>
      <c r="CP13" s="56">
        <f t="shared" si="47"/>
        <v>12267.678625960743</v>
      </c>
      <c r="CQ13" s="56">
        <f t="shared" si="47"/>
        <v>14856.056313079363</v>
      </c>
      <c r="CR13" s="56">
        <f t="shared" si="47"/>
        <v>8446.9016022204141</v>
      </c>
      <c r="CS13" s="56">
        <f t="shared" si="47"/>
        <v>10757.881065573945</v>
      </c>
      <c r="CT13" s="56">
        <f t="shared" si="47"/>
        <v>9841.3529479335739</v>
      </c>
      <c r="CU13" s="253">
        <f t="shared" si="47"/>
        <v>11180.671751495911</v>
      </c>
      <c r="CV13" s="56">
        <f t="shared" si="47"/>
        <v>10985.346432172306</v>
      </c>
      <c r="CW13" s="56">
        <f t="shared" si="47"/>
        <v>12001.851032679228</v>
      </c>
      <c r="CX13" s="56">
        <f t="shared" si="47"/>
        <v>12462.526637051586</v>
      </c>
      <c r="CY13" s="56">
        <f t="shared" si="47"/>
        <v>15542.260960464784</v>
      </c>
      <c r="CZ13" s="56">
        <f t="shared" si="47"/>
        <v>16016.019084583852</v>
      </c>
      <c r="DA13" s="56">
        <f t="shared" si="47"/>
        <v>13279.707902798589</v>
      </c>
      <c r="DB13" s="56">
        <f t="shared" si="47"/>
        <v>13747.118846619927</v>
      </c>
      <c r="DC13" s="56">
        <f t="shared" si="47"/>
        <v>15245.009772315942</v>
      </c>
      <c r="DD13" s="56">
        <f t="shared" si="47"/>
        <v>9447.6758137878351</v>
      </c>
      <c r="DE13" s="56">
        <f t="shared" si="47"/>
        <v>11593.032358822446</v>
      </c>
      <c r="DF13" s="56">
        <f>DF12+DF9</f>
        <v>10030.901348317502</v>
      </c>
      <c r="DG13" s="56">
        <f>DG12+DG9</f>
        <v>12655.224112925083</v>
      </c>
    </row>
    <row r="14" spans="1:114" hidden="1" x14ac:dyDescent="0.25">
      <c r="B14" s="1"/>
      <c r="C14" s="620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254"/>
      <c r="AX14" s="58"/>
      <c r="AY14" s="639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254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254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254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/>
      <c r="CU14" s="254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</row>
    <row r="15" spans="1:114" s="3" customFormat="1" x14ac:dyDescent="0.25">
      <c r="A15" s="146"/>
      <c r="B15" s="146"/>
      <c r="C15" s="625" t="s">
        <v>263</v>
      </c>
      <c r="D15" s="147"/>
      <c r="E15" s="148">
        <v>12</v>
      </c>
      <c r="F15" s="148">
        <v>8</v>
      </c>
      <c r="G15" s="148">
        <v>7</v>
      </c>
      <c r="H15" s="148">
        <v>10</v>
      </c>
      <c r="I15" s="148">
        <v>13</v>
      </c>
      <c r="J15" s="148">
        <v>11</v>
      </c>
      <c r="K15" s="148">
        <v>5</v>
      </c>
      <c r="L15" s="148">
        <v>9</v>
      </c>
      <c r="M15" s="148">
        <v>17</v>
      </c>
      <c r="N15" s="148">
        <v>11</v>
      </c>
      <c r="O15" s="148">
        <v>7</v>
      </c>
      <c r="P15" s="148">
        <v>12</v>
      </c>
      <c r="Q15" s="148">
        <v>10</v>
      </c>
      <c r="R15" s="148">
        <v>10</v>
      </c>
      <c r="S15" s="148">
        <v>7</v>
      </c>
      <c r="T15" s="148">
        <v>9</v>
      </c>
      <c r="U15" s="148">
        <v>12</v>
      </c>
      <c r="V15" s="148">
        <f>99-24</f>
        <v>75</v>
      </c>
      <c r="W15" s="148">
        <v>177</v>
      </c>
      <c r="X15" s="148">
        <v>191</v>
      </c>
      <c r="Y15" s="148">
        <v>190</v>
      </c>
      <c r="Z15" s="148">
        <v>188</v>
      </c>
      <c r="AA15" s="148">
        <v>207</v>
      </c>
      <c r="AB15" s="148">
        <v>67</v>
      </c>
      <c r="AC15" s="148">
        <v>74</v>
      </c>
      <c r="AD15" s="148">
        <v>77</v>
      </c>
      <c r="AE15" s="148">
        <v>78</v>
      </c>
      <c r="AF15" s="148">
        <v>82</v>
      </c>
      <c r="AG15" s="148">
        <v>75</v>
      </c>
      <c r="AH15" s="148">
        <v>66</v>
      </c>
      <c r="AI15" s="148">
        <v>74</v>
      </c>
      <c r="AJ15" s="148">
        <v>48</v>
      </c>
      <c r="AK15" s="148">
        <v>81</v>
      </c>
      <c r="AL15" s="148">
        <v>50</v>
      </c>
      <c r="AM15" s="148">
        <v>61</v>
      </c>
      <c r="AN15" s="148">
        <v>66</v>
      </c>
      <c r="AO15" s="148">
        <v>69</v>
      </c>
      <c r="AP15" s="148">
        <v>68</v>
      </c>
      <c r="AQ15" s="148">
        <v>82</v>
      </c>
      <c r="AR15" s="148">
        <v>83</v>
      </c>
      <c r="AS15" s="148">
        <v>72</v>
      </c>
      <c r="AT15" s="148">
        <v>76</v>
      </c>
      <c r="AU15" s="148">
        <v>73</v>
      </c>
      <c r="AV15" s="148">
        <v>62</v>
      </c>
      <c r="AW15" s="575">
        <v>72</v>
      </c>
      <c r="AX15" s="149">
        <f>+AX16*AX26</f>
        <v>48.305711946181027</v>
      </c>
      <c r="AY15" s="640">
        <f t="shared" ref="AY15:CS15" si="48">+AY16*AY26</f>
        <v>59.815337686171013</v>
      </c>
      <c r="AZ15" s="149">
        <f t="shared" si="48"/>
        <v>65.580099322420097</v>
      </c>
      <c r="BA15" s="149">
        <f t="shared" si="48"/>
        <v>74.09012687378987</v>
      </c>
      <c r="BB15" s="149">
        <f t="shared" si="48"/>
        <v>71.442206604091851</v>
      </c>
      <c r="BC15" s="149">
        <f t="shared" si="48"/>
        <v>98.886246071955256</v>
      </c>
      <c r="BD15" s="149">
        <f t="shared" si="48"/>
        <v>99.610963517956336</v>
      </c>
      <c r="BE15" s="149">
        <f t="shared" si="48"/>
        <v>99.924194474148194</v>
      </c>
      <c r="BF15" s="149">
        <f t="shared" si="48"/>
        <v>93.31393394636298</v>
      </c>
      <c r="BG15" s="149">
        <f t="shared" si="48"/>
        <v>96.636090638887765</v>
      </c>
      <c r="BH15" s="149">
        <f t="shared" si="48"/>
        <v>69.481047991430501</v>
      </c>
      <c r="BI15" s="149">
        <f t="shared" si="48"/>
        <v>80.991986350967409</v>
      </c>
      <c r="BJ15" s="149">
        <f t="shared" si="48"/>
        <v>56.527960788084172</v>
      </c>
      <c r="BK15" s="150">
        <f t="shared" si="48"/>
        <v>67.292254896942381</v>
      </c>
      <c r="BL15" s="149">
        <f t="shared" si="48"/>
        <v>72.984304084628818</v>
      </c>
      <c r="BM15" s="149">
        <f t="shared" si="48"/>
        <v>80.72506360875613</v>
      </c>
      <c r="BN15" s="149">
        <f t="shared" si="48"/>
        <v>76.545221361526984</v>
      </c>
      <c r="BO15" s="149">
        <f t="shared" si="48"/>
        <v>103.38107543886231</v>
      </c>
      <c r="BP15" s="149">
        <f t="shared" si="48"/>
        <v>104.64182026128746</v>
      </c>
      <c r="BQ15" s="149">
        <f t="shared" si="48"/>
        <v>104.31646675872615</v>
      </c>
      <c r="BR15" s="149">
        <f t="shared" si="48"/>
        <v>96.531655806582393</v>
      </c>
      <c r="BS15" s="149">
        <f t="shared" si="48"/>
        <v>100.08737959027661</v>
      </c>
      <c r="BT15" s="149">
        <f t="shared" si="48"/>
        <v>71.6523307411627</v>
      </c>
      <c r="BU15" s="149">
        <f t="shared" si="48"/>
        <v>84.513377061879027</v>
      </c>
      <c r="BV15" s="149">
        <f t="shared" si="48"/>
        <v>57.555741893322072</v>
      </c>
      <c r="BW15" s="150">
        <f t="shared" si="48"/>
        <v>69.428516957162785</v>
      </c>
      <c r="BX15" s="149">
        <f t="shared" si="48"/>
        <v>75.099791159545589</v>
      </c>
      <c r="BY15" s="149">
        <f t="shared" si="48"/>
        <v>82.936709187078222</v>
      </c>
      <c r="BZ15" s="149">
        <f t="shared" si="48"/>
        <v>78.586427264501026</v>
      </c>
      <c r="CA15" s="149">
        <f t="shared" si="48"/>
        <v>106.75219746404261</v>
      </c>
      <c r="CB15" s="149">
        <f t="shared" si="48"/>
        <v>107.66033430728613</v>
      </c>
      <c r="CC15" s="149">
        <f t="shared" si="48"/>
        <v>106.51260290101513</v>
      </c>
      <c r="CD15" s="149">
        <f t="shared" si="48"/>
        <v>98.676803713395344</v>
      </c>
      <c r="CE15" s="149">
        <f t="shared" si="48"/>
        <v>102.3882388912025</v>
      </c>
      <c r="CF15" s="149">
        <f t="shared" si="48"/>
        <v>72.7379721160288</v>
      </c>
      <c r="CG15" s="149">
        <f t="shared" si="48"/>
        <v>85.687173965516251</v>
      </c>
      <c r="CH15" s="149">
        <f t="shared" si="48"/>
        <v>58.583522998559964</v>
      </c>
      <c r="CI15" s="150">
        <f t="shared" si="48"/>
        <v>71.564779017383174</v>
      </c>
      <c r="CJ15" s="149">
        <f t="shared" si="48"/>
        <v>77.215278234462374</v>
      </c>
      <c r="CK15" s="149">
        <f t="shared" si="48"/>
        <v>85.148354765400285</v>
      </c>
      <c r="CL15" s="149">
        <f t="shared" si="48"/>
        <v>80.627633167475082</v>
      </c>
      <c r="CM15" s="149">
        <f t="shared" si="48"/>
        <v>110.12331948922289</v>
      </c>
      <c r="CN15" s="149">
        <f t="shared" si="48"/>
        <v>111.68501970195105</v>
      </c>
      <c r="CO15" s="149">
        <f t="shared" si="48"/>
        <v>110.90487518559306</v>
      </c>
      <c r="CP15" s="149">
        <f t="shared" si="48"/>
        <v>102.96709952702122</v>
      </c>
      <c r="CQ15" s="149">
        <f t="shared" si="48"/>
        <v>105.83952784259135</v>
      </c>
      <c r="CR15" s="149">
        <f t="shared" si="48"/>
        <v>74.909254865761</v>
      </c>
      <c r="CS15" s="149">
        <f t="shared" si="48"/>
        <v>89.208564676427869</v>
      </c>
      <c r="CT15" s="149">
        <f t="shared" ref="CT15:DG15" si="49">+CT16*CT26</f>
        <v>60.639085209035755</v>
      </c>
      <c r="CU15" s="150">
        <f t="shared" si="49"/>
        <v>73.701041077603563</v>
      </c>
      <c r="CV15" s="149">
        <f t="shared" si="49"/>
        <v>80.388508846837539</v>
      </c>
      <c r="CW15" s="149">
        <f t="shared" si="49"/>
        <v>88.465823132883415</v>
      </c>
      <c r="CX15" s="149">
        <f t="shared" si="49"/>
        <v>83.689442021936159</v>
      </c>
      <c r="CY15" s="149">
        <f t="shared" si="49"/>
        <v>114.61814885612995</v>
      </c>
      <c r="CZ15" s="149">
        <f t="shared" si="49"/>
        <v>115.70970509661595</v>
      </c>
      <c r="DA15" s="149">
        <f t="shared" si="49"/>
        <v>114.19907939902652</v>
      </c>
      <c r="DB15" s="149">
        <f t="shared" si="49"/>
        <v>105.11224743383416</v>
      </c>
      <c r="DC15" s="149">
        <f t="shared" si="49"/>
        <v>108.14038714351726</v>
      </c>
      <c r="DD15" s="149">
        <f t="shared" si="49"/>
        <v>75.994896240627114</v>
      </c>
      <c r="DE15" s="149">
        <f t="shared" si="49"/>
        <v>91.556158483702291</v>
      </c>
      <c r="DF15" s="149">
        <f t="shared" si="49"/>
        <v>61.666866314273648</v>
      </c>
      <c r="DG15" s="150">
        <f t="shared" si="49"/>
        <v>75.837303137823966</v>
      </c>
    </row>
    <row r="16" spans="1:114" x14ac:dyDescent="0.25">
      <c r="A16" s="35"/>
      <c r="B16" s="35"/>
      <c r="C16" s="626" t="s">
        <v>224</v>
      </c>
      <c r="D16" s="15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>
        <v>123</v>
      </c>
      <c r="X16" s="50">
        <v>123</v>
      </c>
      <c r="Y16" s="50">
        <v>129</v>
      </c>
      <c r="Z16" s="50">
        <v>127</v>
      </c>
      <c r="AA16" s="50">
        <v>126</v>
      </c>
      <c r="AB16" s="50">
        <v>55</v>
      </c>
      <c r="AC16" s="50">
        <v>69</v>
      </c>
      <c r="AD16" s="50">
        <v>68</v>
      </c>
      <c r="AE16" s="50">
        <v>66</v>
      </c>
      <c r="AF16" s="50">
        <v>69</v>
      </c>
      <c r="AG16" s="50">
        <v>65</v>
      </c>
      <c r="AH16" s="50">
        <v>54</v>
      </c>
      <c r="AI16" s="50">
        <v>65</v>
      </c>
      <c r="AJ16" s="50">
        <v>42</v>
      </c>
      <c r="AK16" s="50">
        <v>66</v>
      </c>
      <c r="AL16" s="50">
        <v>46</v>
      </c>
      <c r="AM16" s="50">
        <v>54</v>
      </c>
      <c r="AN16" s="50">
        <v>59</v>
      </c>
      <c r="AO16" s="50">
        <v>59</v>
      </c>
      <c r="AP16" s="50">
        <v>63</v>
      </c>
      <c r="AQ16" s="50">
        <v>69</v>
      </c>
      <c r="AR16" s="50">
        <v>78</v>
      </c>
      <c r="AS16" s="50">
        <v>62</v>
      </c>
      <c r="AT16" s="50">
        <v>67</v>
      </c>
      <c r="AU16" s="50">
        <v>60</v>
      </c>
      <c r="AV16" s="50">
        <v>54</v>
      </c>
      <c r="AW16" s="576">
        <v>58</v>
      </c>
      <c r="AX16" s="149">
        <f>+AX22*AX25</f>
        <v>44.441254990486549</v>
      </c>
      <c r="AY16" s="640">
        <f t="shared" ref="AY16:CS16" si="50">+AY22*AY25</f>
        <v>52.951282541856308</v>
      </c>
      <c r="AZ16" s="149">
        <f t="shared" si="50"/>
        <v>58.624634242769488</v>
      </c>
      <c r="BA16" s="149">
        <f t="shared" si="50"/>
        <v>63.352427326863797</v>
      </c>
      <c r="BB16" s="149">
        <f t="shared" si="50"/>
        <v>66.189103177320391</v>
      </c>
      <c r="BC16" s="149">
        <f t="shared" si="50"/>
        <v>83.20915828005991</v>
      </c>
      <c r="BD16" s="149">
        <f t="shared" si="50"/>
        <v>93.610303065067399</v>
      </c>
      <c r="BE16" s="149">
        <f t="shared" si="50"/>
        <v>86.045834130516496</v>
      </c>
      <c r="BF16" s="149">
        <f t="shared" si="50"/>
        <v>82.263599663241052</v>
      </c>
      <c r="BG16" s="149">
        <f t="shared" si="50"/>
        <v>79.426923812784466</v>
      </c>
      <c r="BH16" s="149">
        <f t="shared" si="50"/>
        <v>60.51575147640721</v>
      </c>
      <c r="BI16" s="149">
        <f t="shared" si="50"/>
        <v>65.243544560501519</v>
      </c>
      <c r="BJ16" s="149">
        <f t="shared" si="50"/>
        <v>52.005723925037444</v>
      </c>
      <c r="BK16" s="150">
        <f t="shared" si="50"/>
        <v>59.570192859588346</v>
      </c>
      <c r="BL16" s="149">
        <f t="shared" si="50"/>
        <v>65.243544560501519</v>
      </c>
      <c r="BM16" s="149">
        <f t="shared" si="50"/>
        <v>69.025779027776977</v>
      </c>
      <c r="BN16" s="149">
        <f t="shared" si="50"/>
        <v>70.916896261414706</v>
      </c>
      <c r="BO16" s="149">
        <f t="shared" si="50"/>
        <v>86.991392747335368</v>
      </c>
      <c r="BP16" s="149">
        <f t="shared" si="50"/>
        <v>98.338096149161714</v>
      </c>
      <c r="BQ16" s="149">
        <f t="shared" si="50"/>
        <v>89.828068597791955</v>
      </c>
      <c r="BR16" s="149">
        <f t="shared" si="50"/>
        <v>85.100275513697639</v>
      </c>
      <c r="BS16" s="149">
        <f t="shared" si="50"/>
        <v>82.263599663241052</v>
      </c>
      <c r="BT16" s="149">
        <f t="shared" si="50"/>
        <v>62.406868710044932</v>
      </c>
      <c r="BU16" s="149">
        <f t="shared" si="50"/>
        <v>68.080220410958106</v>
      </c>
      <c r="BV16" s="149">
        <f t="shared" si="50"/>
        <v>52.951282541856308</v>
      </c>
      <c r="BW16" s="150">
        <f t="shared" si="50"/>
        <v>61.461310093226075</v>
      </c>
      <c r="BX16" s="149">
        <f t="shared" si="50"/>
        <v>67.134661794139248</v>
      </c>
      <c r="BY16" s="149">
        <f t="shared" si="50"/>
        <v>70.916896261414706</v>
      </c>
      <c r="BZ16" s="149">
        <f t="shared" si="50"/>
        <v>72.808013495052421</v>
      </c>
      <c r="CA16" s="149">
        <f t="shared" si="50"/>
        <v>89.828068597791955</v>
      </c>
      <c r="CB16" s="149">
        <f t="shared" si="50"/>
        <v>101.1747719996183</v>
      </c>
      <c r="CC16" s="149">
        <f t="shared" si="50"/>
        <v>91.719185831429684</v>
      </c>
      <c r="CD16" s="149">
        <f t="shared" si="50"/>
        <v>86.991392747335368</v>
      </c>
      <c r="CE16" s="149">
        <f t="shared" si="50"/>
        <v>84.154716896878782</v>
      </c>
      <c r="CF16" s="149">
        <f t="shared" si="50"/>
        <v>63.352427326863797</v>
      </c>
      <c r="CG16" s="149">
        <f t="shared" si="50"/>
        <v>69.025779027776977</v>
      </c>
      <c r="CH16" s="149">
        <f t="shared" si="50"/>
        <v>53.896841158675173</v>
      </c>
      <c r="CI16" s="150">
        <f t="shared" si="50"/>
        <v>63.352427326863797</v>
      </c>
      <c r="CJ16" s="149">
        <f t="shared" si="50"/>
        <v>69.025779027776977</v>
      </c>
      <c r="CK16" s="149">
        <f t="shared" si="50"/>
        <v>72.808013495052421</v>
      </c>
      <c r="CL16" s="149">
        <f t="shared" si="50"/>
        <v>74.69913072869015</v>
      </c>
      <c r="CM16" s="149">
        <f t="shared" si="50"/>
        <v>92.664744448248541</v>
      </c>
      <c r="CN16" s="149">
        <f t="shared" si="50"/>
        <v>104.95700646689376</v>
      </c>
      <c r="CO16" s="149">
        <f t="shared" si="50"/>
        <v>95.501420298705128</v>
      </c>
      <c r="CP16" s="149">
        <f t="shared" si="50"/>
        <v>90.773627214610812</v>
      </c>
      <c r="CQ16" s="149">
        <f t="shared" si="50"/>
        <v>86.991392747335368</v>
      </c>
      <c r="CR16" s="149">
        <f t="shared" si="50"/>
        <v>65.243544560501519</v>
      </c>
      <c r="CS16" s="149">
        <f t="shared" si="50"/>
        <v>71.862454878233564</v>
      </c>
      <c r="CT16" s="149">
        <f t="shared" ref="CT16:DG16" si="51">+CT22*CT25</f>
        <v>55.787958392312895</v>
      </c>
      <c r="CU16" s="150">
        <f t="shared" si="51"/>
        <v>65.243544560501519</v>
      </c>
      <c r="CV16" s="149">
        <f t="shared" si="51"/>
        <v>71.862454878233564</v>
      </c>
      <c r="CW16" s="149">
        <f t="shared" si="51"/>
        <v>75.644689345509008</v>
      </c>
      <c r="CX16" s="149">
        <f t="shared" si="51"/>
        <v>77.535806579146737</v>
      </c>
      <c r="CY16" s="149">
        <f t="shared" si="51"/>
        <v>96.446978915523985</v>
      </c>
      <c r="CZ16" s="149">
        <f t="shared" si="51"/>
        <v>108.7392409341692</v>
      </c>
      <c r="DA16" s="149">
        <f t="shared" si="51"/>
        <v>98.338096149161714</v>
      </c>
      <c r="DB16" s="149">
        <f t="shared" si="51"/>
        <v>92.664744448248541</v>
      </c>
      <c r="DC16" s="149">
        <f t="shared" si="51"/>
        <v>88.882509980973097</v>
      </c>
      <c r="DD16" s="149">
        <f t="shared" si="51"/>
        <v>66.189103177320391</v>
      </c>
      <c r="DE16" s="149">
        <f t="shared" si="51"/>
        <v>73.753572111871293</v>
      </c>
      <c r="DF16" s="149">
        <f t="shared" si="51"/>
        <v>56.733517009131759</v>
      </c>
      <c r="DG16" s="150">
        <f t="shared" si="51"/>
        <v>67.134661794139248</v>
      </c>
    </row>
    <row r="17" spans="1:111" x14ac:dyDescent="0.25">
      <c r="A17" s="35"/>
      <c r="B17" s="35"/>
      <c r="C17" s="626" t="s">
        <v>266</v>
      </c>
      <c r="D17" s="15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>
        <v>73</v>
      </c>
      <c r="Y17" s="50">
        <v>71</v>
      </c>
      <c r="Z17" s="50">
        <v>72</v>
      </c>
      <c r="AA17" s="50">
        <v>75</v>
      </c>
      <c r="AB17" s="50">
        <v>30</v>
      </c>
      <c r="AC17" s="50">
        <v>34</v>
      </c>
      <c r="AD17" s="50">
        <v>27</v>
      </c>
      <c r="AE17" s="50">
        <v>19</v>
      </c>
      <c r="AF17" s="50">
        <v>30</v>
      </c>
      <c r="AG17" s="50">
        <v>30</v>
      </c>
      <c r="AH17" s="50">
        <v>29</v>
      </c>
      <c r="AI17" s="50">
        <v>34</v>
      </c>
      <c r="AJ17" s="50">
        <v>37</v>
      </c>
      <c r="AK17" s="50">
        <v>29</v>
      </c>
      <c r="AL17" s="50">
        <v>28</v>
      </c>
      <c r="AM17" s="50">
        <v>25</v>
      </c>
      <c r="AN17" s="50">
        <v>35</v>
      </c>
      <c r="AO17" s="50">
        <v>32</v>
      </c>
      <c r="AP17" s="50">
        <v>31</v>
      </c>
      <c r="AQ17" s="50">
        <v>30</v>
      </c>
      <c r="AR17" s="50">
        <v>38</v>
      </c>
      <c r="AS17" s="50">
        <v>37</v>
      </c>
      <c r="AT17" s="50">
        <v>34</v>
      </c>
      <c r="AU17" s="50">
        <v>32</v>
      </c>
      <c r="AV17" s="50">
        <v>36</v>
      </c>
      <c r="AW17" s="576">
        <v>33</v>
      </c>
      <c r="AX17" s="149">
        <f>+AW17*(1+AX24)</f>
        <v>25.285541632518211</v>
      </c>
      <c r="AY17" s="640">
        <f t="shared" ref="AY17:CS17" si="52">+AX17*(1+AY24)</f>
        <v>30.127453860021696</v>
      </c>
      <c r="AZ17" s="149">
        <f t="shared" si="52"/>
        <v>33.355395345024021</v>
      </c>
      <c r="BA17" s="149">
        <f t="shared" si="52"/>
        <v>36.045346582525958</v>
      </c>
      <c r="BB17" s="149">
        <f t="shared" si="52"/>
        <v>37.659317325027125</v>
      </c>
      <c r="BC17" s="149">
        <f t="shared" si="52"/>
        <v>47.343141780034088</v>
      </c>
      <c r="BD17" s="149">
        <f t="shared" si="52"/>
        <v>53.261034502538351</v>
      </c>
      <c r="BE17" s="149">
        <f t="shared" si="52"/>
        <v>48.957112522535255</v>
      </c>
      <c r="BF17" s="149">
        <f t="shared" si="52"/>
        <v>46.805151532533706</v>
      </c>
      <c r="BG17" s="149">
        <f t="shared" si="52"/>
        <v>45.191180790032547</v>
      </c>
      <c r="BH17" s="149">
        <f t="shared" si="52"/>
        <v>34.431375840024799</v>
      </c>
      <c r="BI17" s="149">
        <f t="shared" si="52"/>
        <v>37.121327077526736</v>
      </c>
      <c r="BJ17" s="149">
        <f t="shared" si="52"/>
        <v>29.58946361252131</v>
      </c>
      <c r="BK17" s="150">
        <f t="shared" si="52"/>
        <v>33.89338559252441</v>
      </c>
      <c r="BL17" s="149">
        <f t="shared" si="52"/>
        <v>37.121327077526729</v>
      </c>
      <c r="BM17" s="149">
        <f t="shared" si="52"/>
        <v>39.273288067528277</v>
      </c>
      <c r="BN17" s="149">
        <f t="shared" si="52"/>
        <v>40.349268562529055</v>
      </c>
      <c r="BO17" s="149">
        <f t="shared" si="52"/>
        <v>49.495102770035636</v>
      </c>
      <c r="BP17" s="149">
        <f t="shared" si="52"/>
        <v>55.950985740040281</v>
      </c>
      <c r="BQ17" s="149">
        <f t="shared" si="52"/>
        <v>51.109073512536803</v>
      </c>
      <c r="BR17" s="149">
        <f t="shared" si="52"/>
        <v>48.419122275034866</v>
      </c>
      <c r="BS17" s="149">
        <f t="shared" si="52"/>
        <v>46.805151532533706</v>
      </c>
      <c r="BT17" s="149">
        <f t="shared" si="52"/>
        <v>35.50735633502557</v>
      </c>
      <c r="BU17" s="149">
        <f t="shared" si="52"/>
        <v>38.735297820027888</v>
      </c>
      <c r="BV17" s="149">
        <f t="shared" si="52"/>
        <v>30.127453860021692</v>
      </c>
      <c r="BW17" s="150">
        <f t="shared" si="52"/>
        <v>34.969366087525181</v>
      </c>
      <c r="BX17" s="149">
        <f t="shared" si="52"/>
        <v>38.1973075725275</v>
      </c>
      <c r="BY17" s="149">
        <f t="shared" si="52"/>
        <v>40.349268562529055</v>
      </c>
      <c r="BZ17" s="149">
        <f t="shared" si="52"/>
        <v>41.425249057529825</v>
      </c>
      <c r="CA17" s="149">
        <f t="shared" si="52"/>
        <v>51.109073512536803</v>
      </c>
      <c r="CB17" s="149">
        <f t="shared" si="52"/>
        <v>57.564956482541447</v>
      </c>
      <c r="CC17" s="149">
        <f t="shared" si="52"/>
        <v>52.18505400753758</v>
      </c>
      <c r="CD17" s="149">
        <f t="shared" si="52"/>
        <v>49.495102770035643</v>
      </c>
      <c r="CE17" s="149">
        <f t="shared" si="52"/>
        <v>47.881132027534477</v>
      </c>
      <c r="CF17" s="149">
        <f t="shared" si="52"/>
        <v>36.045346582525951</v>
      </c>
      <c r="CG17" s="149">
        <f t="shared" si="52"/>
        <v>39.273288067528277</v>
      </c>
      <c r="CH17" s="149">
        <f t="shared" si="52"/>
        <v>30.665444107522081</v>
      </c>
      <c r="CI17" s="150">
        <f t="shared" si="52"/>
        <v>36.045346582525951</v>
      </c>
      <c r="CJ17" s="149">
        <f t="shared" si="52"/>
        <v>39.273288067528277</v>
      </c>
      <c r="CK17" s="149">
        <f t="shared" si="52"/>
        <v>41.425249057529825</v>
      </c>
      <c r="CL17" s="149">
        <f t="shared" si="52"/>
        <v>42.501229552530603</v>
      </c>
      <c r="CM17" s="149">
        <f t="shared" si="52"/>
        <v>52.723044255037962</v>
      </c>
      <c r="CN17" s="149">
        <f t="shared" si="52"/>
        <v>59.716917472543003</v>
      </c>
      <c r="CO17" s="149">
        <f t="shared" si="52"/>
        <v>54.337014997539121</v>
      </c>
      <c r="CP17" s="149">
        <f t="shared" si="52"/>
        <v>51.647063760037184</v>
      </c>
      <c r="CQ17" s="149">
        <f t="shared" si="52"/>
        <v>49.495102770035636</v>
      </c>
      <c r="CR17" s="149">
        <f t="shared" si="52"/>
        <v>37.121327077526722</v>
      </c>
      <c r="CS17" s="149">
        <f t="shared" si="52"/>
        <v>40.887258810029437</v>
      </c>
      <c r="CT17" s="149">
        <f t="shared" ref="CT17:DG17" si="53">+CS17*(1+CT24)</f>
        <v>31.741424602522851</v>
      </c>
      <c r="CU17" s="150">
        <f t="shared" si="53"/>
        <v>37.121327077526722</v>
      </c>
      <c r="CV17" s="149">
        <f t="shared" si="53"/>
        <v>40.887258810029437</v>
      </c>
      <c r="CW17" s="149">
        <f t="shared" si="53"/>
        <v>43.039219800030985</v>
      </c>
      <c r="CX17" s="149">
        <f t="shared" si="53"/>
        <v>44.115200295031762</v>
      </c>
      <c r="CY17" s="149">
        <f t="shared" si="53"/>
        <v>54.87500524503951</v>
      </c>
      <c r="CZ17" s="149">
        <f t="shared" si="53"/>
        <v>61.868878462544544</v>
      </c>
      <c r="DA17" s="149">
        <f t="shared" si="53"/>
        <v>55.950985740040281</v>
      </c>
      <c r="DB17" s="149">
        <f t="shared" si="53"/>
        <v>52.723044255037955</v>
      </c>
      <c r="DC17" s="149">
        <f t="shared" si="53"/>
        <v>50.571083265036407</v>
      </c>
      <c r="DD17" s="149">
        <f t="shared" si="53"/>
        <v>37.659317325027111</v>
      </c>
      <c r="DE17" s="149">
        <f t="shared" si="53"/>
        <v>41.963239305030207</v>
      </c>
      <c r="DF17" s="149">
        <f t="shared" si="53"/>
        <v>32.279414850023237</v>
      </c>
      <c r="DG17" s="150">
        <f t="shared" si="53"/>
        <v>38.1973075725275</v>
      </c>
    </row>
    <row r="18" spans="1:111" x14ac:dyDescent="0.25">
      <c r="A18" s="35"/>
      <c r="B18" s="35"/>
      <c r="C18" s="627" t="s">
        <v>305</v>
      </c>
      <c r="D18" s="15"/>
      <c r="E18" s="51">
        <f t="shared" ref="E18:V18" si="54">SUM(E19:E20)</f>
        <v>0</v>
      </c>
      <c r="F18" s="51">
        <f t="shared" si="54"/>
        <v>-4</v>
      </c>
      <c r="G18" s="51">
        <f t="shared" si="54"/>
        <v>-1</v>
      </c>
      <c r="H18" s="51">
        <f t="shared" si="54"/>
        <v>3</v>
      </c>
      <c r="I18" s="51">
        <f t="shared" si="54"/>
        <v>3</v>
      </c>
      <c r="J18" s="51">
        <f t="shared" si="54"/>
        <v>-2</v>
      </c>
      <c r="K18" s="51">
        <f t="shared" si="54"/>
        <v>-6</v>
      </c>
      <c r="L18" s="51">
        <f t="shared" si="54"/>
        <v>4</v>
      </c>
      <c r="M18" s="51">
        <f t="shared" si="54"/>
        <v>8</v>
      </c>
      <c r="N18" s="51">
        <f t="shared" si="54"/>
        <v>-6</v>
      </c>
      <c r="O18" s="51">
        <f t="shared" si="54"/>
        <v>-4</v>
      </c>
      <c r="P18" s="51">
        <f t="shared" si="54"/>
        <v>5</v>
      </c>
      <c r="Q18" s="51">
        <f t="shared" si="54"/>
        <v>-2</v>
      </c>
      <c r="R18" s="51">
        <f t="shared" si="54"/>
        <v>0</v>
      </c>
      <c r="S18" s="51">
        <f t="shared" si="54"/>
        <v>-3</v>
      </c>
      <c r="T18" s="51">
        <f t="shared" si="54"/>
        <v>2</v>
      </c>
      <c r="U18" s="51">
        <f t="shared" si="54"/>
        <v>3</v>
      </c>
      <c r="V18" s="51">
        <f t="shared" si="54"/>
        <v>63</v>
      </c>
      <c r="W18" s="51">
        <f>SUM(W19:W20)</f>
        <v>24</v>
      </c>
      <c r="X18" s="51">
        <f t="shared" ref="X18:CI18" si="55">SUM(X19:X20)</f>
        <v>24</v>
      </c>
      <c r="Y18" s="51">
        <f t="shared" si="55"/>
        <v>3</v>
      </c>
      <c r="Z18" s="51">
        <f t="shared" si="55"/>
        <v>9</v>
      </c>
      <c r="AA18" s="51">
        <f t="shared" si="55"/>
        <v>2</v>
      </c>
      <c r="AB18" s="51">
        <f t="shared" si="55"/>
        <v>0</v>
      </c>
      <c r="AC18" s="51">
        <f t="shared" si="55"/>
        <v>14</v>
      </c>
      <c r="AD18" s="51">
        <f t="shared" si="55"/>
        <v>-1</v>
      </c>
      <c r="AE18" s="51">
        <f t="shared" si="55"/>
        <v>-2</v>
      </c>
      <c r="AF18" s="51">
        <f t="shared" si="55"/>
        <v>3</v>
      </c>
      <c r="AG18" s="51">
        <f t="shared" ref="AG18:AT18" si="56">SUM(AG19:AG20)</f>
        <v>-4</v>
      </c>
      <c r="AH18" s="51">
        <f t="shared" si="56"/>
        <v>-11</v>
      </c>
      <c r="AI18" s="51">
        <f t="shared" si="56"/>
        <v>11</v>
      </c>
      <c r="AJ18" s="51">
        <f t="shared" si="56"/>
        <v>-23</v>
      </c>
      <c r="AK18" s="51">
        <f t="shared" si="56"/>
        <v>24</v>
      </c>
      <c r="AL18" s="51">
        <f t="shared" si="56"/>
        <v>-20</v>
      </c>
      <c r="AM18" s="51">
        <f t="shared" si="56"/>
        <v>8</v>
      </c>
      <c r="AN18" s="51">
        <f t="shared" si="56"/>
        <v>5</v>
      </c>
      <c r="AO18" s="51">
        <f t="shared" si="56"/>
        <v>0</v>
      </c>
      <c r="AP18" s="51">
        <f t="shared" si="56"/>
        <v>4</v>
      </c>
      <c r="AQ18" s="51">
        <f t="shared" si="56"/>
        <v>6</v>
      </c>
      <c r="AR18" s="51">
        <f t="shared" si="56"/>
        <v>9</v>
      </c>
      <c r="AS18" s="51">
        <f t="shared" si="56"/>
        <v>-15</v>
      </c>
      <c r="AT18" s="51">
        <f t="shared" si="56"/>
        <v>5</v>
      </c>
      <c r="AU18" s="51">
        <f t="shared" ref="AU18:AV18" si="57">SUM(AU19:AU20)</f>
        <v>-7</v>
      </c>
      <c r="AV18" s="51">
        <f t="shared" si="57"/>
        <v>-6</v>
      </c>
      <c r="AW18" s="577">
        <f t="shared" ref="AW18" si="58">SUM(AW19:AW20)</f>
        <v>3</v>
      </c>
      <c r="AX18" s="61">
        <f t="shared" ref="AX18" si="59">SUM(AX19:AX20)</f>
        <v>-14</v>
      </c>
      <c r="AY18" s="641">
        <f t="shared" si="55"/>
        <v>9</v>
      </c>
      <c r="AZ18" s="61">
        <f t="shared" si="55"/>
        <v>6</v>
      </c>
      <c r="BA18" s="61">
        <f t="shared" si="55"/>
        <v>5</v>
      </c>
      <c r="BB18" s="61">
        <f t="shared" si="55"/>
        <v>3</v>
      </c>
      <c r="BC18" s="61">
        <f t="shared" si="55"/>
        <v>18</v>
      </c>
      <c r="BD18" s="61">
        <f t="shared" si="55"/>
        <v>11</v>
      </c>
      <c r="BE18" s="61">
        <f t="shared" si="55"/>
        <v>-8</v>
      </c>
      <c r="BF18" s="61">
        <f t="shared" si="55"/>
        <v>-4</v>
      </c>
      <c r="BG18" s="61">
        <f t="shared" si="55"/>
        <v>-3</v>
      </c>
      <c r="BH18" s="61">
        <f t="shared" si="55"/>
        <v>-20</v>
      </c>
      <c r="BI18" s="61">
        <f t="shared" si="55"/>
        <v>5</v>
      </c>
      <c r="BJ18" s="61">
        <f t="shared" si="55"/>
        <v>-14</v>
      </c>
      <c r="BK18" s="141">
        <f t="shared" si="55"/>
        <v>8</v>
      </c>
      <c r="BL18" s="61">
        <f t="shared" si="55"/>
        <v>6</v>
      </c>
      <c r="BM18" s="61">
        <f t="shared" si="55"/>
        <v>4</v>
      </c>
      <c r="BN18" s="61">
        <f t="shared" si="55"/>
        <v>2</v>
      </c>
      <c r="BO18" s="61">
        <f t="shared" si="55"/>
        <v>17</v>
      </c>
      <c r="BP18" s="61">
        <f t="shared" si="55"/>
        <v>12</v>
      </c>
      <c r="BQ18" s="61">
        <f t="shared" si="55"/>
        <v>-9</v>
      </c>
      <c r="BR18" s="61">
        <f t="shared" si="55"/>
        <v>-5</v>
      </c>
      <c r="BS18" s="61">
        <f t="shared" si="55"/>
        <v>-3</v>
      </c>
      <c r="BT18" s="61">
        <f t="shared" si="55"/>
        <v>-21</v>
      </c>
      <c r="BU18" s="61">
        <f t="shared" si="55"/>
        <v>6</v>
      </c>
      <c r="BV18" s="61">
        <f t="shared" si="55"/>
        <v>-16</v>
      </c>
      <c r="BW18" s="141">
        <f t="shared" si="55"/>
        <v>9</v>
      </c>
      <c r="BX18" s="61">
        <f t="shared" si="55"/>
        <v>6</v>
      </c>
      <c r="BY18" s="61">
        <f t="shared" si="55"/>
        <v>4</v>
      </c>
      <c r="BZ18" s="61">
        <f t="shared" si="55"/>
        <v>2</v>
      </c>
      <c r="CA18" s="61">
        <f t="shared" si="55"/>
        <v>18</v>
      </c>
      <c r="CB18" s="61">
        <f t="shared" si="55"/>
        <v>12</v>
      </c>
      <c r="CC18" s="61">
        <f t="shared" si="55"/>
        <v>-10</v>
      </c>
      <c r="CD18" s="61">
        <f t="shared" si="55"/>
        <v>-5</v>
      </c>
      <c r="CE18" s="61">
        <f t="shared" si="55"/>
        <v>-3</v>
      </c>
      <c r="CF18" s="61">
        <f t="shared" si="55"/>
        <v>-22</v>
      </c>
      <c r="CG18" s="61">
        <f t="shared" si="55"/>
        <v>6</v>
      </c>
      <c r="CH18" s="61">
        <f t="shared" si="55"/>
        <v>-16</v>
      </c>
      <c r="CI18" s="141">
        <f t="shared" si="55"/>
        <v>10</v>
      </c>
      <c r="CJ18" s="61">
        <f t="shared" ref="CJ18:DG18" si="60">SUM(CJ19:CJ20)</f>
        <v>6</v>
      </c>
      <c r="CK18" s="61">
        <f t="shared" si="60"/>
        <v>4</v>
      </c>
      <c r="CL18" s="61">
        <f t="shared" si="60"/>
        <v>2</v>
      </c>
      <c r="CM18" s="61">
        <f t="shared" si="60"/>
        <v>19</v>
      </c>
      <c r="CN18" s="61">
        <f t="shared" si="60"/>
        <v>13</v>
      </c>
      <c r="CO18" s="61">
        <f t="shared" si="60"/>
        <v>-10</v>
      </c>
      <c r="CP18" s="61">
        <f t="shared" si="60"/>
        <v>-5</v>
      </c>
      <c r="CQ18" s="61">
        <f t="shared" si="60"/>
        <v>-4</v>
      </c>
      <c r="CR18" s="61">
        <f t="shared" si="60"/>
        <v>-23</v>
      </c>
      <c r="CS18" s="61">
        <f t="shared" si="60"/>
        <v>7</v>
      </c>
      <c r="CT18" s="61">
        <f t="shared" si="60"/>
        <v>-17</v>
      </c>
      <c r="CU18" s="141">
        <f t="shared" si="60"/>
        <v>10</v>
      </c>
      <c r="CV18" s="61">
        <f t="shared" si="60"/>
        <v>7</v>
      </c>
      <c r="CW18" s="61">
        <f t="shared" si="60"/>
        <v>4</v>
      </c>
      <c r="CX18" s="61">
        <f t="shared" si="60"/>
        <v>2</v>
      </c>
      <c r="CY18" s="61">
        <f t="shared" si="60"/>
        <v>20</v>
      </c>
      <c r="CZ18" s="61">
        <f t="shared" si="60"/>
        <v>13</v>
      </c>
      <c r="DA18" s="61">
        <f t="shared" si="60"/>
        <v>-11</v>
      </c>
      <c r="DB18" s="61">
        <f t="shared" si="60"/>
        <v>-6</v>
      </c>
      <c r="DC18" s="61">
        <f t="shared" si="60"/>
        <v>-4</v>
      </c>
      <c r="DD18" s="61">
        <f t="shared" si="60"/>
        <v>-24</v>
      </c>
      <c r="DE18" s="61">
        <f t="shared" si="60"/>
        <v>8</v>
      </c>
      <c r="DF18" s="61">
        <f t="shared" si="60"/>
        <v>-18</v>
      </c>
      <c r="DG18" s="141">
        <f t="shared" si="60"/>
        <v>11</v>
      </c>
    </row>
    <row r="19" spans="1:111" x14ac:dyDescent="0.25">
      <c r="A19" s="35"/>
      <c r="B19" s="35"/>
      <c r="C19" s="627" t="s">
        <v>208</v>
      </c>
      <c r="D19" s="15"/>
      <c r="E19" s="51"/>
      <c r="F19" s="51">
        <f>+IF(F15&gt;E15,F15-E15, 0)</f>
        <v>0</v>
      </c>
      <c r="G19" s="51">
        <f t="shared" ref="G19:V19" si="61">+IF(G15&gt;F15,G15-F15, 0)</f>
        <v>0</v>
      </c>
      <c r="H19" s="51">
        <f t="shared" si="61"/>
        <v>3</v>
      </c>
      <c r="I19" s="51">
        <f t="shared" si="61"/>
        <v>3</v>
      </c>
      <c r="J19" s="51">
        <f>+IF(J15&gt;I15,J15-I15, 0)</f>
        <v>0</v>
      </c>
      <c r="K19" s="51">
        <f t="shared" si="61"/>
        <v>0</v>
      </c>
      <c r="L19" s="51">
        <f t="shared" si="61"/>
        <v>4</v>
      </c>
      <c r="M19" s="51">
        <f t="shared" si="61"/>
        <v>8</v>
      </c>
      <c r="N19" s="51">
        <f t="shared" si="61"/>
        <v>0</v>
      </c>
      <c r="O19" s="51">
        <f t="shared" si="61"/>
        <v>0</v>
      </c>
      <c r="P19" s="51">
        <f>+IF(P15&gt;O15,P15-O15, 0)</f>
        <v>5</v>
      </c>
      <c r="Q19" s="51">
        <f t="shared" si="61"/>
        <v>0</v>
      </c>
      <c r="R19" s="51">
        <f t="shared" si="61"/>
        <v>0</v>
      </c>
      <c r="S19" s="51">
        <f t="shared" si="61"/>
        <v>0</v>
      </c>
      <c r="T19" s="51">
        <f t="shared" si="61"/>
        <v>2</v>
      </c>
      <c r="U19" s="51">
        <f t="shared" si="61"/>
        <v>3</v>
      </c>
      <c r="V19" s="51">
        <f t="shared" si="61"/>
        <v>63</v>
      </c>
      <c r="W19" s="51">
        <v>62</v>
      </c>
      <c r="X19" s="51">
        <v>62</v>
      </c>
      <c r="Y19" s="51">
        <v>56</v>
      </c>
      <c r="Z19" s="51">
        <v>29</v>
      </c>
      <c r="AA19" s="51">
        <v>19</v>
      </c>
      <c r="AB19" s="51">
        <v>0</v>
      </c>
      <c r="AC19" s="51">
        <v>37</v>
      </c>
      <c r="AD19" s="51">
        <v>42</v>
      </c>
      <c r="AE19" s="51">
        <v>50</v>
      </c>
      <c r="AF19" s="51">
        <v>40</v>
      </c>
      <c r="AG19" s="51">
        <v>35</v>
      </c>
      <c r="AH19" s="550">
        <v>25</v>
      </c>
      <c r="AI19" s="550">
        <v>31</v>
      </c>
      <c r="AJ19" s="550">
        <v>8</v>
      </c>
      <c r="AK19" s="550">
        <v>37</v>
      </c>
      <c r="AL19" s="550">
        <v>18</v>
      </c>
      <c r="AM19" s="550">
        <v>29</v>
      </c>
      <c r="AN19" s="550">
        <v>24</v>
      </c>
      <c r="AO19" s="550">
        <v>27</v>
      </c>
      <c r="AP19" s="550">
        <v>32</v>
      </c>
      <c r="AQ19" s="550">
        <v>39</v>
      </c>
      <c r="AR19" s="550">
        <v>40</v>
      </c>
      <c r="AS19" s="550">
        <v>25</v>
      </c>
      <c r="AT19" s="550">
        <v>33</v>
      </c>
      <c r="AU19" s="550">
        <v>28</v>
      </c>
      <c r="AV19" s="550">
        <v>18</v>
      </c>
      <c r="AW19" s="578">
        <v>24</v>
      </c>
      <c r="AX19" s="177">
        <f>IF(AX2="Trough",INDEX($I$50:$I$52,MATCH(AX2,$E$50:$E$52,0)),IF(AX2="Shoulder",INDEX($I$50:$I$52,MATCH(AX2,$E$50:$E$52,0)),INDEX($I$50:$I$52,MATCH(AX2,$E$50:$E$52,0))))</f>
        <v>14</v>
      </c>
      <c r="AY19" s="642">
        <f>IF(AY2="Trough",INDEX($I$50:$I$52,MATCH(AY2,$E$50:$E$52,0)),IF(AY2="Shoulder",INDEX($I$50:$I$52,MATCH(AY2,$E$50:$E$52,0)),INDEX($I$50:$I$52,MATCH(AY2,$E$50:$E$52,0))))</f>
        <v>31</v>
      </c>
      <c r="AZ19" s="177">
        <f t="shared" ref="AZ19:BK19" si="62">IF(AZ2="Trough",INDEX($J$50:$J$52,MATCH(AZ2,$E$50:$E$52,0)),IF(AZ2="Shoulder",INDEX($J$50:$J$52,MATCH(AZ2,$E$50:$E$52,0)),INDEX($J$50:$J$52,MATCH(AZ2,$E$50:$E$52,0))))</f>
        <v>33</v>
      </c>
      <c r="BA19" s="177">
        <f t="shared" si="62"/>
        <v>33</v>
      </c>
      <c r="BB19" s="177">
        <f t="shared" si="62"/>
        <v>33</v>
      </c>
      <c r="BC19" s="177">
        <f t="shared" si="62"/>
        <v>48</v>
      </c>
      <c r="BD19" s="177">
        <f t="shared" si="62"/>
        <v>48</v>
      </c>
      <c r="BE19" s="177">
        <f t="shared" si="62"/>
        <v>33</v>
      </c>
      <c r="BF19" s="177">
        <f t="shared" si="62"/>
        <v>33</v>
      </c>
      <c r="BG19" s="177">
        <f t="shared" si="62"/>
        <v>33</v>
      </c>
      <c r="BH19" s="177">
        <f t="shared" si="62"/>
        <v>15</v>
      </c>
      <c r="BI19" s="177">
        <f t="shared" si="62"/>
        <v>33</v>
      </c>
      <c r="BJ19" s="177">
        <f t="shared" si="62"/>
        <v>15</v>
      </c>
      <c r="BK19" s="178">
        <f t="shared" si="62"/>
        <v>33</v>
      </c>
      <c r="BL19" s="177">
        <f t="shared" ref="BL19:BW19" si="63">+IF(BL2="Trough",INDEX($K$50:$K$52,MATCH(BL2,$E$50:$E$52,0)),IF(BL2="Shoulder",INDEX($K$50:$K$52,MATCH(BL2,$E$50:$E$52,0)),INDEX($K$50:$K$52,MATCH(BL2,$E$50:$E$52,0))))</f>
        <v>35</v>
      </c>
      <c r="BM19" s="177">
        <f t="shared" si="63"/>
        <v>35</v>
      </c>
      <c r="BN19" s="177">
        <f t="shared" si="63"/>
        <v>35</v>
      </c>
      <c r="BO19" s="177">
        <f t="shared" si="63"/>
        <v>51</v>
      </c>
      <c r="BP19" s="177">
        <f t="shared" si="63"/>
        <v>51</v>
      </c>
      <c r="BQ19" s="177">
        <f t="shared" si="63"/>
        <v>35</v>
      </c>
      <c r="BR19" s="177">
        <f t="shared" si="63"/>
        <v>35</v>
      </c>
      <c r="BS19" s="177">
        <f t="shared" si="63"/>
        <v>35</v>
      </c>
      <c r="BT19" s="177">
        <f t="shared" si="63"/>
        <v>16</v>
      </c>
      <c r="BU19" s="177">
        <f t="shared" si="63"/>
        <v>35</v>
      </c>
      <c r="BV19" s="177">
        <f t="shared" si="63"/>
        <v>16</v>
      </c>
      <c r="BW19" s="178">
        <f t="shared" si="63"/>
        <v>35</v>
      </c>
      <c r="BX19" s="177">
        <f t="shared" ref="BX19:CI19" si="64">IF(BX2="Trough",INDEX($L$50:$L$52,MATCH(BX2,$E$50:$E$52,0)),IF(BX2="Shoulder",INDEX($L$50:$L$52,MATCH(BX2,$E$50:$E$52,0)),INDEX($L$50:$L$52,MATCH(BX2,$E$50:$E$52,0))))</f>
        <v>37</v>
      </c>
      <c r="BY19" s="177">
        <f t="shared" si="64"/>
        <v>37</v>
      </c>
      <c r="BZ19" s="177">
        <f t="shared" si="64"/>
        <v>37</v>
      </c>
      <c r="CA19" s="177">
        <f t="shared" si="64"/>
        <v>54</v>
      </c>
      <c r="CB19" s="177">
        <f t="shared" si="64"/>
        <v>54</v>
      </c>
      <c r="CC19" s="177">
        <f t="shared" si="64"/>
        <v>37</v>
      </c>
      <c r="CD19" s="177">
        <f t="shared" si="64"/>
        <v>37</v>
      </c>
      <c r="CE19" s="177">
        <f t="shared" si="64"/>
        <v>37</v>
      </c>
      <c r="CF19" s="177">
        <f t="shared" si="64"/>
        <v>17</v>
      </c>
      <c r="CG19" s="177">
        <f t="shared" si="64"/>
        <v>37</v>
      </c>
      <c r="CH19" s="177">
        <f t="shared" si="64"/>
        <v>17</v>
      </c>
      <c r="CI19" s="178">
        <f t="shared" si="64"/>
        <v>37</v>
      </c>
      <c r="CJ19" s="177">
        <f t="shared" ref="CJ19:CU19" si="65">IF(CJ2="Trough",INDEX($M$50:$M$52,MATCH(CJ2,$E$50:$E$52,0)),IF(CJ2="Shoulder",INDEX($M$50:$M$52,MATCH(CJ2,$E$50:$E$52,0)),INDEX($M$50:$M$52,MATCH(CJ2,$E$50:$E$52,0))))</f>
        <v>39</v>
      </c>
      <c r="CK19" s="177">
        <f t="shared" si="65"/>
        <v>39</v>
      </c>
      <c r="CL19" s="177">
        <f t="shared" si="65"/>
        <v>39</v>
      </c>
      <c r="CM19" s="177">
        <f t="shared" si="65"/>
        <v>57</v>
      </c>
      <c r="CN19" s="177">
        <f t="shared" si="65"/>
        <v>57</v>
      </c>
      <c r="CO19" s="177">
        <f t="shared" si="65"/>
        <v>39</v>
      </c>
      <c r="CP19" s="177">
        <f t="shared" si="65"/>
        <v>39</v>
      </c>
      <c r="CQ19" s="177">
        <f t="shared" si="65"/>
        <v>39</v>
      </c>
      <c r="CR19" s="177">
        <f t="shared" si="65"/>
        <v>18</v>
      </c>
      <c r="CS19" s="177">
        <f t="shared" si="65"/>
        <v>39</v>
      </c>
      <c r="CT19" s="177">
        <f t="shared" si="65"/>
        <v>18</v>
      </c>
      <c r="CU19" s="178">
        <f t="shared" si="65"/>
        <v>39</v>
      </c>
      <c r="CV19" s="177">
        <f t="shared" ref="CV19:DG19" si="66">IF(CV2="Trough",INDEX($N$50:$N$52,MATCH(CV2,$E$50:$E$52,0)),IF(CV2="Shoulder",INDEX($N$50:$N$52,MATCH(CV2,$E$50:$E$52,0)),INDEX($N$50:$N$52,MATCH(CV2,$E$50:$E$52,0))))</f>
        <v>41</v>
      </c>
      <c r="CW19" s="177">
        <f t="shared" si="66"/>
        <v>41</v>
      </c>
      <c r="CX19" s="177">
        <f t="shared" si="66"/>
        <v>41</v>
      </c>
      <c r="CY19" s="177">
        <f t="shared" si="66"/>
        <v>60</v>
      </c>
      <c r="CZ19" s="177">
        <f t="shared" si="66"/>
        <v>60</v>
      </c>
      <c r="DA19" s="177">
        <f t="shared" si="66"/>
        <v>41</v>
      </c>
      <c r="DB19" s="177">
        <f t="shared" si="66"/>
        <v>41</v>
      </c>
      <c r="DC19" s="177">
        <f t="shared" si="66"/>
        <v>41</v>
      </c>
      <c r="DD19" s="177">
        <f t="shared" si="66"/>
        <v>19</v>
      </c>
      <c r="DE19" s="177">
        <f t="shared" si="66"/>
        <v>41</v>
      </c>
      <c r="DF19" s="177">
        <f t="shared" si="66"/>
        <v>19</v>
      </c>
      <c r="DG19" s="178">
        <f t="shared" si="66"/>
        <v>41</v>
      </c>
    </row>
    <row r="20" spans="1:111" x14ac:dyDescent="0.25">
      <c r="A20" s="35"/>
      <c r="B20" s="35"/>
      <c r="C20" s="627" t="s">
        <v>209</v>
      </c>
      <c r="D20" s="15"/>
      <c r="E20" s="51"/>
      <c r="F20" s="51">
        <f>+IF(F15&lt;E15,F15-E15, 0)</f>
        <v>-4</v>
      </c>
      <c r="G20" s="51">
        <f t="shared" ref="G20:V20" si="67">+IF(G15&lt;F15,G15-F15, 0)</f>
        <v>-1</v>
      </c>
      <c r="H20" s="51">
        <f t="shared" si="67"/>
        <v>0</v>
      </c>
      <c r="I20" s="51">
        <f t="shared" si="67"/>
        <v>0</v>
      </c>
      <c r="J20" s="51">
        <f>+IF(J15&lt;I15,J15-I15, 0)</f>
        <v>-2</v>
      </c>
      <c r="K20" s="51">
        <f t="shared" si="67"/>
        <v>-6</v>
      </c>
      <c r="L20" s="51">
        <f t="shared" si="67"/>
        <v>0</v>
      </c>
      <c r="M20" s="51">
        <f t="shared" si="67"/>
        <v>0</v>
      </c>
      <c r="N20" s="51">
        <f t="shared" si="67"/>
        <v>-6</v>
      </c>
      <c r="O20" s="51">
        <f t="shared" si="67"/>
        <v>-4</v>
      </c>
      <c r="P20" s="51">
        <f>+IF(P15&lt;O15,P15-O15, 0)</f>
        <v>0</v>
      </c>
      <c r="Q20" s="51">
        <f t="shared" si="67"/>
        <v>-2</v>
      </c>
      <c r="R20" s="51">
        <f t="shared" si="67"/>
        <v>0</v>
      </c>
      <c r="S20" s="51">
        <f t="shared" si="67"/>
        <v>-3</v>
      </c>
      <c r="T20" s="51">
        <f t="shared" si="67"/>
        <v>0</v>
      </c>
      <c r="U20" s="51">
        <f t="shared" si="67"/>
        <v>0</v>
      </c>
      <c r="V20" s="51">
        <f t="shared" si="67"/>
        <v>0</v>
      </c>
      <c r="W20" s="51">
        <v>-38</v>
      </c>
      <c r="X20" s="51">
        <v>-38</v>
      </c>
      <c r="Y20" s="51">
        <v>-53</v>
      </c>
      <c r="Z20" s="51">
        <v>-20</v>
      </c>
      <c r="AA20" s="51">
        <v>-17</v>
      </c>
      <c r="AB20" s="51">
        <v>0</v>
      </c>
      <c r="AC20" s="51">
        <v>-23</v>
      </c>
      <c r="AD20" s="51">
        <v>-43</v>
      </c>
      <c r="AE20" s="51">
        <v>-52</v>
      </c>
      <c r="AF20" s="51">
        <v>-37</v>
      </c>
      <c r="AG20" s="51">
        <v>-39</v>
      </c>
      <c r="AH20" s="550">
        <v>-36</v>
      </c>
      <c r="AI20" s="550">
        <v>-20</v>
      </c>
      <c r="AJ20" s="550">
        <v>-31</v>
      </c>
      <c r="AK20" s="550">
        <v>-13</v>
      </c>
      <c r="AL20" s="550">
        <v>-38</v>
      </c>
      <c r="AM20" s="550">
        <v>-21</v>
      </c>
      <c r="AN20" s="550">
        <v>-19</v>
      </c>
      <c r="AO20" s="550">
        <v>-27</v>
      </c>
      <c r="AP20" s="550">
        <v>-28</v>
      </c>
      <c r="AQ20" s="550">
        <v>-33</v>
      </c>
      <c r="AR20" s="550">
        <v>-31</v>
      </c>
      <c r="AS20" s="550">
        <v>-40</v>
      </c>
      <c r="AT20" s="550">
        <v>-28</v>
      </c>
      <c r="AU20" s="550">
        <v>-35</v>
      </c>
      <c r="AV20" s="550">
        <v>-24</v>
      </c>
      <c r="AW20" s="578">
        <v>-21</v>
      </c>
      <c r="AX20" s="177">
        <f>ROUNDUP(AW16*AX36, 0)</f>
        <v>-28</v>
      </c>
      <c r="AY20" s="642">
        <f t="shared" ref="AY20:BL20" si="68">ROUNDUP(AX16*AY36, 0)</f>
        <v>-22</v>
      </c>
      <c r="AZ20" s="177">
        <f t="shared" si="68"/>
        <v>-27</v>
      </c>
      <c r="BA20" s="177">
        <f t="shared" si="68"/>
        <v>-28</v>
      </c>
      <c r="BB20" s="177">
        <f t="shared" si="68"/>
        <v>-30</v>
      </c>
      <c r="BC20" s="177">
        <f t="shared" si="68"/>
        <v>-30</v>
      </c>
      <c r="BD20" s="177">
        <f t="shared" si="68"/>
        <v>-37</v>
      </c>
      <c r="BE20" s="177">
        <f t="shared" si="68"/>
        <v>-41</v>
      </c>
      <c r="BF20" s="177">
        <f t="shared" si="68"/>
        <v>-37</v>
      </c>
      <c r="BG20" s="177">
        <f t="shared" si="68"/>
        <v>-36</v>
      </c>
      <c r="BH20" s="177">
        <f t="shared" si="68"/>
        <v>-35</v>
      </c>
      <c r="BI20" s="177">
        <f t="shared" si="68"/>
        <v>-28</v>
      </c>
      <c r="BJ20" s="177">
        <f t="shared" si="68"/>
        <v>-29</v>
      </c>
      <c r="BK20" s="178">
        <f t="shared" si="68"/>
        <v>-25</v>
      </c>
      <c r="BL20" s="177">
        <f t="shared" si="68"/>
        <v>-29</v>
      </c>
      <c r="BM20" s="177">
        <f t="shared" ref="BM20:CR20" si="69">ROUNDUP(BL16*BM36, 0)</f>
        <v>-31</v>
      </c>
      <c r="BN20" s="177">
        <f t="shared" si="69"/>
        <v>-33</v>
      </c>
      <c r="BO20" s="177">
        <f t="shared" si="69"/>
        <v>-34</v>
      </c>
      <c r="BP20" s="177">
        <f t="shared" si="69"/>
        <v>-39</v>
      </c>
      <c r="BQ20" s="177">
        <f t="shared" si="69"/>
        <v>-44</v>
      </c>
      <c r="BR20" s="177">
        <f t="shared" si="69"/>
        <v>-40</v>
      </c>
      <c r="BS20" s="177">
        <f t="shared" si="69"/>
        <v>-38</v>
      </c>
      <c r="BT20" s="177">
        <f t="shared" si="69"/>
        <v>-37</v>
      </c>
      <c r="BU20" s="177">
        <f t="shared" si="69"/>
        <v>-29</v>
      </c>
      <c r="BV20" s="177">
        <f t="shared" si="69"/>
        <v>-32</v>
      </c>
      <c r="BW20" s="178">
        <f t="shared" si="69"/>
        <v>-26</v>
      </c>
      <c r="BX20" s="177">
        <f t="shared" si="69"/>
        <v>-31</v>
      </c>
      <c r="BY20" s="177">
        <f t="shared" si="69"/>
        <v>-33</v>
      </c>
      <c r="BZ20" s="177">
        <f t="shared" si="69"/>
        <v>-35</v>
      </c>
      <c r="CA20" s="177">
        <f t="shared" si="69"/>
        <v>-36</v>
      </c>
      <c r="CB20" s="177">
        <f t="shared" si="69"/>
        <v>-42</v>
      </c>
      <c r="CC20" s="177">
        <f t="shared" si="69"/>
        <v>-47</v>
      </c>
      <c r="CD20" s="177">
        <f t="shared" si="69"/>
        <v>-42</v>
      </c>
      <c r="CE20" s="177">
        <f t="shared" si="69"/>
        <v>-40</v>
      </c>
      <c r="CF20" s="177">
        <f t="shared" si="69"/>
        <v>-39</v>
      </c>
      <c r="CG20" s="177">
        <f t="shared" si="69"/>
        <v>-31</v>
      </c>
      <c r="CH20" s="177">
        <f t="shared" si="69"/>
        <v>-33</v>
      </c>
      <c r="CI20" s="178">
        <f t="shared" si="69"/>
        <v>-27</v>
      </c>
      <c r="CJ20" s="177">
        <f t="shared" si="69"/>
        <v>-33</v>
      </c>
      <c r="CK20" s="177">
        <f t="shared" si="69"/>
        <v>-35</v>
      </c>
      <c r="CL20" s="177">
        <f t="shared" si="69"/>
        <v>-37</v>
      </c>
      <c r="CM20" s="177">
        <f t="shared" si="69"/>
        <v>-38</v>
      </c>
      <c r="CN20" s="177">
        <f t="shared" si="69"/>
        <v>-44</v>
      </c>
      <c r="CO20" s="177">
        <f t="shared" si="69"/>
        <v>-49</v>
      </c>
      <c r="CP20" s="177">
        <f t="shared" si="69"/>
        <v>-44</v>
      </c>
      <c r="CQ20" s="177">
        <f t="shared" si="69"/>
        <v>-43</v>
      </c>
      <c r="CR20" s="177">
        <f t="shared" si="69"/>
        <v>-41</v>
      </c>
      <c r="CS20" s="177">
        <f t="shared" ref="CS20:DG20" si="70">ROUNDUP(CR16*CS36, 0)</f>
        <v>-32</v>
      </c>
      <c r="CT20" s="177">
        <f t="shared" si="70"/>
        <v>-35</v>
      </c>
      <c r="CU20" s="178">
        <f t="shared" si="70"/>
        <v>-29</v>
      </c>
      <c r="CV20" s="177">
        <f t="shared" si="70"/>
        <v>-34</v>
      </c>
      <c r="CW20" s="177">
        <f t="shared" si="70"/>
        <v>-37</v>
      </c>
      <c r="CX20" s="177">
        <f t="shared" si="70"/>
        <v>-39</v>
      </c>
      <c r="CY20" s="177">
        <f t="shared" si="70"/>
        <v>-40</v>
      </c>
      <c r="CZ20" s="177">
        <f t="shared" si="70"/>
        <v>-47</v>
      </c>
      <c r="DA20" s="177">
        <f t="shared" si="70"/>
        <v>-52</v>
      </c>
      <c r="DB20" s="177">
        <f t="shared" si="70"/>
        <v>-47</v>
      </c>
      <c r="DC20" s="177">
        <f t="shared" si="70"/>
        <v>-45</v>
      </c>
      <c r="DD20" s="177">
        <f t="shared" si="70"/>
        <v>-43</v>
      </c>
      <c r="DE20" s="177">
        <f t="shared" si="70"/>
        <v>-33</v>
      </c>
      <c r="DF20" s="177">
        <f t="shared" si="70"/>
        <v>-37</v>
      </c>
      <c r="DG20" s="178">
        <f t="shared" si="70"/>
        <v>-30</v>
      </c>
    </row>
    <row r="21" spans="1:111" x14ac:dyDescent="0.25">
      <c r="A21" s="35"/>
      <c r="B21" s="35"/>
      <c r="C21" s="626" t="s">
        <v>264</v>
      </c>
      <c r="D21" s="15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0">
        <v>21</v>
      </c>
      <c r="Q21" s="50">
        <v>22</v>
      </c>
      <c r="R21" s="50">
        <v>20</v>
      </c>
      <c r="S21" s="50">
        <v>16</v>
      </c>
      <c r="T21" s="50">
        <v>25</v>
      </c>
      <c r="U21" s="50">
        <v>22</v>
      </c>
      <c r="V21" s="50">
        <v>100</v>
      </c>
      <c r="W21" s="50">
        <v>218</v>
      </c>
      <c r="X21" s="50">
        <v>243</v>
      </c>
      <c r="Y21" s="50">
        <v>240</v>
      </c>
      <c r="Z21" s="50">
        <v>237</v>
      </c>
      <c r="AA21" s="50">
        <v>224</v>
      </c>
      <c r="AB21" s="50">
        <v>71</v>
      </c>
      <c r="AC21" s="50">
        <v>82</v>
      </c>
      <c r="AD21" s="50">
        <v>85</v>
      </c>
      <c r="AE21" s="50">
        <v>87</v>
      </c>
      <c r="AF21" s="50">
        <v>89</v>
      </c>
      <c r="AG21" s="50">
        <v>80</v>
      </c>
      <c r="AH21" s="50">
        <v>79</v>
      </c>
      <c r="AI21" s="50">
        <v>88</v>
      </c>
      <c r="AJ21" s="50">
        <v>52</v>
      </c>
      <c r="AK21" s="50">
        <v>91</v>
      </c>
      <c r="AL21" s="50">
        <v>55</v>
      </c>
      <c r="AM21" s="50">
        <v>66</v>
      </c>
      <c r="AN21" s="50">
        <v>70</v>
      </c>
      <c r="AO21" s="50">
        <v>74</v>
      </c>
      <c r="AP21" s="50">
        <v>72</v>
      </c>
      <c r="AQ21" s="50">
        <v>90</v>
      </c>
      <c r="AR21" s="50">
        <v>90</v>
      </c>
      <c r="AS21" s="50">
        <v>77</v>
      </c>
      <c r="AT21" s="50">
        <v>88</v>
      </c>
      <c r="AU21" s="50">
        <v>84</v>
      </c>
      <c r="AV21" s="50">
        <v>68</v>
      </c>
      <c r="AW21" s="576">
        <v>76</v>
      </c>
      <c r="AX21" s="149">
        <f>+(AX23*AW15)+AX15</f>
        <v>54.916460743307532</v>
      </c>
      <c r="AY21" s="640">
        <f t="shared" ref="AY21:CT21" si="71">+(AY23*AX15)+AY15</f>
        <v>64.25057278537318</v>
      </c>
      <c r="AZ21" s="149">
        <f t="shared" si="71"/>
        <v>70.365326337313775</v>
      </c>
      <c r="BA21" s="149">
        <f t="shared" si="71"/>
        <v>79.336534819583477</v>
      </c>
      <c r="BB21" s="149">
        <f t="shared" si="71"/>
        <v>77.36941675399504</v>
      </c>
      <c r="BC21" s="149">
        <f t="shared" si="71"/>
        <v>104.60162260028261</v>
      </c>
      <c r="BD21" s="149">
        <f t="shared" si="71"/>
        <v>107.52186320371275</v>
      </c>
      <c r="BE21" s="149">
        <f t="shared" si="71"/>
        <v>107.8930715555847</v>
      </c>
      <c r="BF21" s="149">
        <f t="shared" si="71"/>
        <v>101.30786950429484</v>
      </c>
      <c r="BG21" s="149">
        <f t="shared" si="71"/>
        <v>104.1012053545968</v>
      </c>
      <c r="BH21" s="149">
        <f t="shared" si="71"/>
        <v>77.211935242541529</v>
      </c>
      <c r="BI21" s="149">
        <f t="shared" si="71"/>
        <v>86.550470190281843</v>
      </c>
      <c r="BJ21" s="149">
        <f t="shared" si="71"/>
        <v>63.007319696161566</v>
      </c>
      <c r="BK21" s="150">
        <f t="shared" si="71"/>
        <v>71.81449175998911</v>
      </c>
      <c r="BL21" s="149">
        <f t="shared" si="71"/>
        <v>76.348916829475939</v>
      </c>
      <c r="BM21" s="149">
        <f t="shared" si="71"/>
        <v>84.374278812987569</v>
      </c>
      <c r="BN21" s="149">
        <f t="shared" si="71"/>
        <v>80.581474541964795</v>
      </c>
      <c r="BO21" s="149">
        <f t="shared" si="71"/>
        <v>107.20833650693866</v>
      </c>
      <c r="BP21" s="149">
        <f t="shared" si="71"/>
        <v>109.81087403323058</v>
      </c>
      <c r="BQ21" s="149">
        <f t="shared" si="71"/>
        <v>109.54855777179053</v>
      </c>
      <c r="BR21" s="149">
        <f t="shared" si="71"/>
        <v>101.74747914451871</v>
      </c>
      <c r="BS21" s="149">
        <f t="shared" si="71"/>
        <v>104.91396238060574</v>
      </c>
      <c r="BT21" s="149">
        <f t="shared" si="71"/>
        <v>76.656699720676528</v>
      </c>
      <c r="BU21" s="149">
        <f t="shared" si="71"/>
        <v>88.095993598937156</v>
      </c>
      <c r="BV21" s="149">
        <f t="shared" si="71"/>
        <v>61.781410746416022</v>
      </c>
      <c r="BW21" s="150">
        <f t="shared" si="71"/>
        <v>72.306304051828889</v>
      </c>
      <c r="BX21" s="149">
        <f t="shared" si="71"/>
        <v>77.182646668260475</v>
      </c>
      <c r="BY21" s="149">
        <f t="shared" si="71"/>
        <v>85.189702921864594</v>
      </c>
      <c r="BZ21" s="149">
        <f t="shared" si="71"/>
        <v>81.074528540113377</v>
      </c>
      <c r="CA21" s="149">
        <f t="shared" si="71"/>
        <v>109.10979028197764</v>
      </c>
      <c r="CB21" s="149">
        <f t="shared" si="71"/>
        <v>110.86290023120742</v>
      </c>
      <c r="CC21" s="149">
        <f t="shared" si="71"/>
        <v>109.74241293023371</v>
      </c>
      <c r="CD21" s="149">
        <f t="shared" si="71"/>
        <v>101.87218180042579</v>
      </c>
      <c r="CE21" s="149">
        <f t="shared" si="71"/>
        <v>105.34854300260436</v>
      </c>
      <c r="CF21" s="149">
        <f t="shared" si="71"/>
        <v>75.809619282764871</v>
      </c>
      <c r="CG21" s="149">
        <f t="shared" si="71"/>
        <v>87.869313128997121</v>
      </c>
      <c r="CH21" s="149">
        <f t="shared" si="71"/>
        <v>61.15413821752545</v>
      </c>
      <c r="CI21" s="150">
        <f t="shared" si="71"/>
        <v>73.322284707339975</v>
      </c>
      <c r="CJ21" s="149">
        <f t="shared" si="71"/>
        <v>79.362221604983873</v>
      </c>
      <c r="CK21" s="149">
        <f t="shared" si="71"/>
        <v>87.464813112434157</v>
      </c>
      <c r="CL21" s="149">
        <f t="shared" si="71"/>
        <v>83.182083810437092</v>
      </c>
      <c r="CM21" s="149">
        <f t="shared" si="71"/>
        <v>112.54214848424715</v>
      </c>
      <c r="CN21" s="149">
        <f t="shared" si="71"/>
        <v>114.98871928662774</v>
      </c>
      <c r="CO21" s="149">
        <f t="shared" si="71"/>
        <v>114.25542577665159</v>
      </c>
      <c r="CP21" s="149">
        <f t="shared" si="71"/>
        <v>106.29424578258902</v>
      </c>
      <c r="CQ21" s="149">
        <f t="shared" si="71"/>
        <v>108.92854082840199</v>
      </c>
      <c r="CR21" s="149">
        <f t="shared" si="71"/>
        <v>78.084440701038744</v>
      </c>
      <c r="CS21" s="149">
        <f t="shared" si="71"/>
        <v>91.455842322400699</v>
      </c>
      <c r="CT21" s="149">
        <f t="shared" si="71"/>
        <v>63.315342149328593</v>
      </c>
      <c r="CU21" s="150">
        <f t="shared" ref="CU21:DG21" si="72">+(CU23*CT15)+CU15</f>
        <v>75.520213633874633</v>
      </c>
      <c r="CV21" s="149">
        <f t="shared" si="72"/>
        <v>82.599540079165649</v>
      </c>
      <c r="CW21" s="149">
        <f t="shared" si="72"/>
        <v>90.877478398288545</v>
      </c>
      <c r="CX21" s="149">
        <f t="shared" si="72"/>
        <v>86.343416715922658</v>
      </c>
      <c r="CY21" s="149">
        <f t="shared" si="72"/>
        <v>117.12883211678803</v>
      </c>
      <c r="CZ21" s="149">
        <f t="shared" si="72"/>
        <v>119.14824956229985</v>
      </c>
      <c r="DA21" s="149">
        <f t="shared" si="72"/>
        <v>117.67037055192499</v>
      </c>
      <c r="DB21" s="149">
        <f t="shared" si="72"/>
        <v>108.53821981580495</v>
      </c>
      <c r="DC21" s="149">
        <f t="shared" si="72"/>
        <v>111.29375456653229</v>
      </c>
      <c r="DD21" s="149">
        <f t="shared" si="72"/>
        <v>79.239107854932627</v>
      </c>
      <c r="DE21" s="149">
        <f t="shared" si="72"/>
        <v>93.8360053709211</v>
      </c>
      <c r="DF21" s="149">
        <f t="shared" si="72"/>
        <v>64.413551068784713</v>
      </c>
      <c r="DG21" s="150">
        <f t="shared" si="72"/>
        <v>77.687309127252178</v>
      </c>
    </row>
    <row r="22" spans="1:111" x14ac:dyDescent="0.25">
      <c r="A22" s="35"/>
      <c r="B22" s="35"/>
      <c r="C22" s="626" t="s">
        <v>267</v>
      </c>
      <c r="D22" s="15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0"/>
      <c r="Q22" s="50"/>
      <c r="R22" s="50"/>
      <c r="S22" s="50"/>
      <c r="T22" s="50"/>
      <c r="U22" s="50"/>
      <c r="V22" s="50"/>
      <c r="W22" s="50">
        <v>135</v>
      </c>
      <c r="X22" s="50">
        <v>139</v>
      </c>
      <c r="Y22" s="50">
        <v>144</v>
      </c>
      <c r="Z22" s="50">
        <v>143</v>
      </c>
      <c r="AA22" s="50">
        <v>135</v>
      </c>
      <c r="AB22" s="50">
        <v>59</v>
      </c>
      <c r="AC22" s="50">
        <v>74</v>
      </c>
      <c r="AD22" s="50">
        <v>74</v>
      </c>
      <c r="AE22" s="50">
        <v>73</v>
      </c>
      <c r="AF22" s="50">
        <v>72</v>
      </c>
      <c r="AG22" s="50">
        <v>68</v>
      </c>
      <c r="AH22" s="50">
        <v>65</v>
      </c>
      <c r="AI22" s="50">
        <v>73</v>
      </c>
      <c r="AJ22" s="50">
        <v>43</v>
      </c>
      <c r="AK22" s="50">
        <v>70</v>
      </c>
      <c r="AL22" s="50">
        <v>47</v>
      </c>
      <c r="AM22" s="50">
        <v>57</v>
      </c>
      <c r="AN22" s="50">
        <v>63</v>
      </c>
      <c r="AO22" s="50">
        <v>60</v>
      </c>
      <c r="AP22" s="50">
        <v>65</v>
      </c>
      <c r="AQ22" s="50">
        <v>70</v>
      </c>
      <c r="AR22" s="50">
        <v>80</v>
      </c>
      <c r="AS22" s="50">
        <v>64</v>
      </c>
      <c r="AT22" s="50">
        <v>74</v>
      </c>
      <c r="AU22" s="50">
        <v>66</v>
      </c>
      <c r="AV22" s="50">
        <v>56</v>
      </c>
      <c r="AW22" s="576">
        <v>61</v>
      </c>
      <c r="AX22" s="16">
        <f>+AW22+AX18</f>
        <v>47</v>
      </c>
      <c r="AY22" s="17">
        <f t="shared" ref="AY22:CS22" si="73">+AX22+AY18</f>
        <v>56</v>
      </c>
      <c r="AZ22" s="16">
        <f t="shared" si="73"/>
        <v>62</v>
      </c>
      <c r="BA22" s="16">
        <f t="shared" si="73"/>
        <v>67</v>
      </c>
      <c r="BB22" s="16">
        <f t="shared" si="73"/>
        <v>70</v>
      </c>
      <c r="BC22" s="16">
        <f t="shared" si="73"/>
        <v>88</v>
      </c>
      <c r="BD22" s="16">
        <f t="shared" si="73"/>
        <v>99</v>
      </c>
      <c r="BE22" s="16">
        <f t="shared" si="73"/>
        <v>91</v>
      </c>
      <c r="BF22" s="16">
        <f t="shared" si="73"/>
        <v>87</v>
      </c>
      <c r="BG22" s="16">
        <f t="shared" si="73"/>
        <v>84</v>
      </c>
      <c r="BH22" s="16">
        <f t="shared" si="73"/>
        <v>64</v>
      </c>
      <c r="BI22" s="16">
        <f t="shared" si="73"/>
        <v>69</v>
      </c>
      <c r="BJ22" s="16">
        <f t="shared" si="73"/>
        <v>55</v>
      </c>
      <c r="BK22" s="271">
        <f t="shared" si="73"/>
        <v>63</v>
      </c>
      <c r="BL22" s="16">
        <f t="shared" si="73"/>
        <v>69</v>
      </c>
      <c r="BM22" s="16">
        <f t="shared" si="73"/>
        <v>73</v>
      </c>
      <c r="BN22" s="16">
        <f t="shared" si="73"/>
        <v>75</v>
      </c>
      <c r="BO22" s="16">
        <f t="shared" si="73"/>
        <v>92</v>
      </c>
      <c r="BP22" s="16">
        <f t="shared" si="73"/>
        <v>104</v>
      </c>
      <c r="BQ22" s="16">
        <f t="shared" si="73"/>
        <v>95</v>
      </c>
      <c r="BR22" s="16">
        <f t="shared" si="73"/>
        <v>90</v>
      </c>
      <c r="BS22" s="16">
        <f t="shared" si="73"/>
        <v>87</v>
      </c>
      <c r="BT22" s="16">
        <f t="shared" si="73"/>
        <v>66</v>
      </c>
      <c r="BU22" s="16">
        <f t="shared" si="73"/>
        <v>72</v>
      </c>
      <c r="BV22" s="16">
        <f t="shared" si="73"/>
        <v>56</v>
      </c>
      <c r="BW22" s="271">
        <f t="shared" si="73"/>
        <v>65</v>
      </c>
      <c r="BX22" s="16">
        <f t="shared" si="73"/>
        <v>71</v>
      </c>
      <c r="BY22" s="16">
        <f t="shared" si="73"/>
        <v>75</v>
      </c>
      <c r="BZ22" s="16">
        <f t="shared" si="73"/>
        <v>77</v>
      </c>
      <c r="CA22" s="16">
        <f t="shared" si="73"/>
        <v>95</v>
      </c>
      <c r="CB22" s="16">
        <f t="shared" si="73"/>
        <v>107</v>
      </c>
      <c r="CC22" s="16">
        <f t="shared" si="73"/>
        <v>97</v>
      </c>
      <c r="CD22" s="16">
        <f t="shared" si="73"/>
        <v>92</v>
      </c>
      <c r="CE22" s="16">
        <f t="shared" si="73"/>
        <v>89</v>
      </c>
      <c r="CF22" s="16">
        <f t="shared" si="73"/>
        <v>67</v>
      </c>
      <c r="CG22" s="16">
        <f t="shared" si="73"/>
        <v>73</v>
      </c>
      <c r="CH22" s="16">
        <f t="shared" si="73"/>
        <v>57</v>
      </c>
      <c r="CI22" s="271">
        <f t="shared" si="73"/>
        <v>67</v>
      </c>
      <c r="CJ22" s="16">
        <f t="shared" si="73"/>
        <v>73</v>
      </c>
      <c r="CK22" s="16">
        <f t="shared" si="73"/>
        <v>77</v>
      </c>
      <c r="CL22" s="16">
        <f t="shared" si="73"/>
        <v>79</v>
      </c>
      <c r="CM22" s="16">
        <f t="shared" si="73"/>
        <v>98</v>
      </c>
      <c r="CN22" s="16">
        <f t="shared" si="73"/>
        <v>111</v>
      </c>
      <c r="CO22" s="16">
        <f t="shared" si="73"/>
        <v>101</v>
      </c>
      <c r="CP22" s="16">
        <f t="shared" si="73"/>
        <v>96</v>
      </c>
      <c r="CQ22" s="16">
        <f t="shared" si="73"/>
        <v>92</v>
      </c>
      <c r="CR22" s="16">
        <f t="shared" si="73"/>
        <v>69</v>
      </c>
      <c r="CS22" s="16">
        <f t="shared" si="73"/>
        <v>76</v>
      </c>
      <c r="CT22" s="16">
        <f t="shared" ref="CT22:DG22" si="74">+CS22+CT18</f>
        <v>59</v>
      </c>
      <c r="CU22" s="271">
        <f t="shared" si="74"/>
        <v>69</v>
      </c>
      <c r="CV22" s="16">
        <f t="shared" si="74"/>
        <v>76</v>
      </c>
      <c r="CW22" s="16">
        <f t="shared" si="74"/>
        <v>80</v>
      </c>
      <c r="CX22" s="16">
        <f t="shared" si="74"/>
        <v>82</v>
      </c>
      <c r="CY22" s="16">
        <f t="shared" si="74"/>
        <v>102</v>
      </c>
      <c r="CZ22" s="16">
        <f t="shared" si="74"/>
        <v>115</v>
      </c>
      <c r="DA22" s="16">
        <f t="shared" si="74"/>
        <v>104</v>
      </c>
      <c r="DB22" s="16">
        <f t="shared" si="74"/>
        <v>98</v>
      </c>
      <c r="DC22" s="16">
        <f t="shared" si="74"/>
        <v>94</v>
      </c>
      <c r="DD22" s="16">
        <f t="shared" si="74"/>
        <v>70</v>
      </c>
      <c r="DE22" s="16">
        <f t="shared" si="74"/>
        <v>78</v>
      </c>
      <c r="DF22" s="16">
        <f t="shared" si="74"/>
        <v>60</v>
      </c>
      <c r="DG22" s="16">
        <f t="shared" si="74"/>
        <v>71</v>
      </c>
    </row>
    <row r="23" spans="1:111" x14ac:dyDescent="0.25">
      <c r="A23" s="35"/>
      <c r="B23" s="35"/>
      <c r="C23" s="626" t="s">
        <v>265</v>
      </c>
      <c r="D23" s="15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0"/>
      <c r="Q23" s="50"/>
      <c r="R23" s="50"/>
      <c r="S23" s="50"/>
      <c r="T23" s="50"/>
      <c r="U23" s="50"/>
      <c r="V23" s="267">
        <f>+(V21-V15)/V21</f>
        <v>0.25</v>
      </c>
      <c r="W23" s="267">
        <f>+(W21-W15)/W21</f>
        <v>0.18807339449541285</v>
      </c>
      <c r="X23" s="267">
        <f>+(X21-X15)/X21</f>
        <v>0.2139917695473251</v>
      </c>
      <c r="Y23" s="267">
        <f t="shared" ref="Y23:AE23" si="75">+(Y21-Y15)/Y21</f>
        <v>0.20833333333333334</v>
      </c>
      <c r="Z23" s="267">
        <f t="shared" si="75"/>
        <v>0.20675105485232068</v>
      </c>
      <c r="AA23" s="267">
        <f t="shared" si="75"/>
        <v>7.5892857142857137E-2</v>
      </c>
      <c r="AB23" s="267">
        <f t="shared" si="75"/>
        <v>5.6338028169014086E-2</v>
      </c>
      <c r="AC23" s="267">
        <f t="shared" si="75"/>
        <v>9.7560975609756101E-2</v>
      </c>
      <c r="AD23" s="267">
        <f t="shared" si="75"/>
        <v>9.4117647058823528E-2</v>
      </c>
      <c r="AE23" s="267">
        <f t="shared" si="75"/>
        <v>0.10344827586206896</v>
      </c>
      <c r="AF23" s="267">
        <f>+(AF21-AF15)/AF21</f>
        <v>7.8651685393258425E-2</v>
      </c>
      <c r="AG23" s="267">
        <f>+(AG21-AG15)/AG21</f>
        <v>6.25E-2</v>
      </c>
      <c r="AH23" s="267">
        <f>+(AH21-AH15)/AH21</f>
        <v>0.16455696202531644</v>
      </c>
      <c r="AI23" s="267">
        <f>+(AI21-AI15)/AI21</f>
        <v>0.15909090909090909</v>
      </c>
      <c r="AJ23" s="267">
        <f>+(AJ21-AJ15)/AJ21</f>
        <v>7.6923076923076927E-2</v>
      </c>
      <c r="AK23" s="267">
        <f t="shared" ref="AK23:AP23" si="76">+(AK21-AK15)/AK21</f>
        <v>0.10989010989010989</v>
      </c>
      <c r="AL23" s="267">
        <f t="shared" si="76"/>
        <v>9.0909090909090912E-2</v>
      </c>
      <c r="AM23" s="267">
        <f t="shared" si="76"/>
        <v>7.575757575757576E-2</v>
      </c>
      <c r="AN23" s="267">
        <f t="shared" si="76"/>
        <v>5.7142857142857141E-2</v>
      </c>
      <c r="AO23" s="267">
        <f t="shared" si="76"/>
        <v>6.7567567567567571E-2</v>
      </c>
      <c r="AP23" s="267">
        <f t="shared" si="76"/>
        <v>5.5555555555555552E-2</v>
      </c>
      <c r="AQ23" s="267">
        <f t="shared" ref="AQ23:AV23" si="77">+(AQ21-AQ15)/AQ21</f>
        <v>8.8888888888888892E-2</v>
      </c>
      <c r="AR23" s="267">
        <f t="shared" si="77"/>
        <v>7.7777777777777779E-2</v>
      </c>
      <c r="AS23" s="267">
        <f t="shared" si="77"/>
        <v>6.4935064935064929E-2</v>
      </c>
      <c r="AT23" s="267">
        <f t="shared" si="77"/>
        <v>0.13636363636363635</v>
      </c>
      <c r="AU23" s="267">
        <f t="shared" si="77"/>
        <v>0.13095238095238096</v>
      </c>
      <c r="AV23" s="267">
        <f t="shared" si="77"/>
        <v>8.8235294117647065E-2</v>
      </c>
      <c r="AW23" s="579">
        <f t="shared" ref="AW23" si="78">+(AW21-AW15)/AW21</f>
        <v>5.2631578947368418E-2</v>
      </c>
      <c r="AX23" s="538">
        <f>+AVERAGE(AR23:AW23)</f>
        <v>9.181595551564592E-2</v>
      </c>
      <c r="AY23" s="643">
        <f t="shared" ref="AY23:DA23" si="79">+AX23</f>
        <v>9.181595551564592E-2</v>
      </c>
      <c r="AZ23" s="266">
        <v>0.08</v>
      </c>
      <c r="BA23" s="268">
        <f t="shared" si="79"/>
        <v>0.08</v>
      </c>
      <c r="BB23" s="268">
        <f t="shared" si="79"/>
        <v>0.08</v>
      </c>
      <c r="BC23" s="268">
        <f t="shared" si="79"/>
        <v>0.08</v>
      </c>
      <c r="BD23" s="268">
        <f t="shared" si="79"/>
        <v>0.08</v>
      </c>
      <c r="BE23" s="268">
        <f t="shared" si="79"/>
        <v>0.08</v>
      </c>
      <c r="BF23" s="268">
        <f t="shared" si="79"/>
        <v>0.08</v>
      </c>
      <c r="BG23" s="268">
        <f t="shared" si="79"/>
        <v>0.08</v>
      </c>
      <c r="BH23" s="268">
        <f t="shared" si="79"/>
        <v>0.08</v>
      </c>
      <c r="BI23" s="268">
        <f t="shared" si="79"/>
        <v>0.08</v>
      </c>
      <c r="BJ23" s="268">
        <f t="shared" si="79"/>
        <v>0.08</v>
      </c>
      <c r="BK23" s="270">
        <f t="shared" si="79"/>
        <v>0.08</v>
      </c>
      <c r="BL23" s="266">
        <v>0.05</v>
      </c>
      <c r="BM23" s="268">
        <f t="shared" si="79"/>
        <v>0.05</v>
      </c>
      <c r="BN23" s="268">
        <f t="shared" si="79"/>
        <v>0.05</v>
      </c>
      <c r="BO23" s="268">
        <f t="shared" si="79"/>
        <v>0.05</v>
      </c>
      <c r="BP23" s="268">
        <f t="shared" si="79"/>
        <v>0.05</v>
      </c>
      <c r="BQ23" s="268">
        <f t="shared" si="79"/>
        <v>0.05</v>
      </c>
      <c r="BR23" s="268">
        <f t="shared" si="79"/>
        <v>0.05</v>
      </c>
      <c r="BS23" s="268">
        <f t="shared" si="79"/>
        <v>0.05</v>
      </c>
      <c r="BT23" s="268">
        <f t="shared" si="79"/>
        <v>0.05</v>
      </c>
      <c r="BU23" s="268">
        <f t="shared" si="79"/>
        <v>0.05</v>
      </c>
      <c r="BV23" s="268">
        <f t="shared" si="79"/>
        <v>0.05</v>
      </c>
      <c r="BW23" s="270">
        <f t="shared" si="79"/>
        <v>0.05</v>
      </c>
      <c r="BX23" s="266">
        <v>0.03</v>
      </c>
      <c r="BY23" s="268">
        <f t="shared" si="79"/>
        <v>0.03</v>
      </c>
      <c r="BZ23" s="268">
        <f t="shared" si="79"/>
        <v>0.03</v>
      </c>
      <c r="CA23" s="268">
        <f t="shared" si="79"/>
        <v>0.03</v>
      </c>
      <c r="CB23" s="268">
        <f t="shared" si="79"/>
        <v>0.03</v>
      </c>
      <c r="CC23" s="268">
        <f t="shared" si="79"/>
        <v>0.03</v>
      </c>
      <c r="CD23" s="268">
        <f t="shared" si="79"/>
        <v>0.03</v>
      </c>
      <c r="CE23" s="268">
        <f t="shared" si="79"/>
        <v>0.03</v>
      </c>
      <c r="CF23" s="268">
        <f t="shared" si="79"/>
        <v>0.03</v>
      </c>
      <c r="CG23" s="268">
        <f t="shared" si="79"/>
        <v>0.03</v>
      </c>
      <c r="CH23" s="268">
        <f t="shared" si="79"/>
        <v>0.03</v>
      </c>
      <c r="CI23" s="270">
        <f t="shared" si="79"/>
        <v>0.03</v>
      </c>
      <c r="CJ23" s="268">
        <f t="shared" si="79"/>
        <v>0.03</v>
      </c>
      <c r="CK23" s="268">
        <f t="shared" si="79"/>
        <v>0.03</v>
      </c>
      <c r="CL23" s="268">
        <f t="shared" si="79"/>
        <v>0.03</v>
      </c>
      <c r="CM23" s="268">
        <f t="shared" si="79"/>
        <v>0.03</v>
      </c>
      <c r="CN23" s="268">
        <f t="shared" si="79"/>
        <v>0.03</v>
      </c>
      <c r="CO23" s="268">
        <f t="shared" si="79"/>
        <v>0.03</v>
      </c>
      <c r="CP23" s="268">
        <f t="shared" si="79"/>
        <v>0.03</v>
      </c>
      <c r="CQ23" s="268">
        <f t="shared" si="79"/>
        <v>0.03</v>
      </c>
      <c r="CR23" s="268">
        <f t="shared" si="79"/>
        <v>0.03</v>
      </c>
      <c r="CS23" s="268">
        <f t="shared" si="79"/>
        <v>0.03</v>
      </c>
      <c r="CT23" s="268">
        <f t="shared" si="79"/>
        <v>0.03</v>
      </c>
      <c r="CU23" s="270">
        <f t="shared" si="79"/>
        <v>0.03</v>
      </c>
      <c r="CV23" s="268">
        <f t="shared" si="79"/>
        <v>0.03</v>
      </c>
      <c r="CW23" s="268">
        <f t="shared" si="79"/>
        <v>0.03</v>
      </c>
      <c r="CX23" s="268">
        <f t="shared" si="79"/>
        <v>0.03</v>
      </c>
      <c r="CY23" s="268">
        <f t="shared" si="79"/>
        <v>0.03</v>
      </c>
      <c r="CZ23" s="268">
        <f t="shared" si="79"/>
        <v>0.03</v>
      </c>
      <c r="DA23" s="268">
        <f t="shared" si="79"/>
        <v>0.03</v>
      </c>
      <c r="DB23" s="268">
        <f t="shared" ref="DB23:DG23" si="80">+DA23</f>
        <v>0.03</v>
      </c>
      <c r="DC23" s="268">
        <f t="shared" si="80"/>
        <v>0.03</v>
      </c>
      <c r="DD23" s="268">
        <f t="shared" si="80"/>
        <v>0.03</v>
      </c>
      <c r="DE23" s="268">
        <f t="shared" si="80"/>
        <v>0.03</v>
      </c>
      <c r="DF23" s="268">
        <f t="shared" si="80"/>
        <v>0.03</v>
      </c>
      <c r="DG23" s="268">
        <f t="shared" si="80"/>
        <v>0.03</v>
      </c>
    </row>
    <row r="24" spans="1:111" s="311" customFormat="1" x14ac:dyDescent="0.25">
      <c r="A24" s="35"/>
      <c r="B24" s="35"/>
      <c r="C24" s="626" t="s">
        <v>271</v>
      </c>
      <c r="D24" s="15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0"/>
      <c r="Q24" s="50"/>
      <c r="R24" s="50"/>
      <c r="S24" s="50"/>
      <c r="T24" s="50"/>
      <c r="U24" s="50"/>
      <c r="V24" s="308"/>
      <c r="W24" s="308"/>
      <c r="X24" s="308">
        <f>+(X16/W16)-1</f>
        <v>0</v>
      </c>
      <c r="Y24" s="308">
        <f t="shared" ref="Y24:CJ24" si="81">+(Y16/X16)-1</f>
        <v>4.8780487804878092E-2</v>
      </c>
      <c r="Z24" s="308">
        <f t="shared" si="81"/>
        <v>-1.5503875968992276E-2</v>
      </c>
      <c r="AA24" s="308">
        <f t="shared" si="81"/>
        <v>-7.8740157480314821E-3</v>
      </c>
      <c r="AB24" s="308">
        <f t="shared" si="81"/>
        <v>-0.56349206349206349</v>
      </c>
      <c r="AC24" s="308">
        <f t="shared" si="81"/>
        <v>0.25454545454545463</v>
      </c>
      <c r="AD24" s="308">
        <f t="shared" si="81"/>
        <v>-1.4492753623188359E-2</v>
      </c>
      <c r="AE24" s="308">
        <f t="shared" si="81"/>
        <v>-2.9411764705882359E-2</v>
      </c>
      <c r="AF24" s="308">
        <f t="shared" si="81"/>
        <v>4.5454545454545414E-2</v>
      </c>
      <c r="AG24" s="308">
        <f t="shared" ref="AG24:AX24" si="82">+(AG16/AF16)-1</f>
        <v>-5.7971014492753659E-2</v>
      </c>
      <c r="AH24" s="308">
        <f t="shared" si="82"/>
        <v>-0.16923076923076918</v>
      </c>
      <c r="AI24" s="308">
        <f t="shared" si="82"/>
        <v>0.20370370370370372</v>
      </c>
      <c r="AJ24" s="308">
        <f t="shared" si="82"/>
        <v>-0.35384615384615381</v>
      </c>
      <c r="AK24" s="308">
        <f t="shared" si="82"/>
        <v>0.5714285714285714</v>
      </c>
      <c r="AL24" s="308">
        <f t="shared" si="82"/>
        <v>-0.30303030303030298</v>
      </c>
      <c r="AM24" s="308">
        <f t="shared" si="82"/>
        <v>0.17391304347826098</v>
      </c>
      <c r="AN24" s="308">
        <f t="shared" si="82"/>
        <v>9.259259259259256E-2</v>
      </c>
      <c r="AO24" s="308">
        <f t="shared" si="82"/>
        <v>0</v>
      </c>
      <c r="AP24" s="308">
        <f t="shared" si="82"/>
        <v>6.7796610169491567E-2</v>
      </c>
      <c r="AQ24" s="308">
        <f t="shared" si="82"/>
        <v>9.5238095238095344E-2</v>
      </c>
      <c r="AR24" s="308">
        <f t="shared" si="82"/>
        <v>0.13043478260869557</v>
      </c>
      <c r="AS24" s="308">
        <f t="shared" si="82"/>
        <v>-0.20512820512820518</v>
      </c>
      <c r="AT24" s="308">
        <f t="shared" si="82"/>
        <v>8.0645161290322509E-2</v>
      </c>
      <c r="AU24" s="308">
        <f t="shared" si="82"/>
        <v>-0.10447761194029848</v>
      </c>
      <c r="AV24" s="308">
        <f t="shared" si="82"/>
        <v>-9.9999999999999978E-2</v>
      </c>
      <c r="AW24" s="580">
        <f t="shared" si="82"/>
        <v>7.4074074074074181E-2</v>
      </c>
      <c r="AX24" s="309">
        <f t="shared" si="82"/>
        <v>-0.23377146568126639</v>
      </c>
      <c r="AY24" s="644">
        <f t="shared" si="81"/>
        <v>0.1914893617021276</v>
      </c>
      <c r="AZ24" s="309">
        <f t="shared" si="81"/>
        <v>0.10714285714285721</v>
      </c>
      <c r="BA24" s="309">
        <f t="shared" si="81"/>
        <v>8.0645161290322509E-2</v>
      </c>
      <c r="BB24" s="309">
        <f t="shared" si="81"/>
        <v>4.4776119402985204E-2</v>
      </c>
      <c r="BC24" s="309">
        <f t="shared" si="81"/>
        <v>0.2571428571428569</v>
      </c>
      <c r="BD24" s="309">
        <f t="shared" si="81"/>
        <v>0.125</v>
      </c>
      <c r="BE24" s="309">
        <f t="shared" si="81"/>
        <v>-8.0808080808080773E-2</v>
      </c>
      <c r="BF24" s="309">
        <f t="shared" si="81"/>
        <v>-4.3956043956043911E-2</v>
      </c>
      <c r="BG24" s="309">
        <f t="shared" si="81"/>
        <v>-3.4482758620689613E-2</v>
      </c>
      <c r="BH24" s="309">
        <f t="shared" si="81"/>
        <v>-0.23809523809523814</v>
      </c>
      <c r="BI24" s="309">
        <f t="shared" si="81"/>
        <v>7.8125E-2</v>
      </c>
      <c r="BJ24" s="309">
        <f t="shared" si="81"/>
        <v>-0.20289855072463769</v>
      </c>
      <c r="BK24" s="310">
        <f t="shared" si="81"/>
        <v>0.1454545454545455</v>
      </c>
      <c r="BL24" s="309">
        <f t="shared" si="81"/>
        <v>9.5238095238095122E-2</v>
      </c>
      <c r="BM24" s="309">
        <f t="shared" si="81"/>
        <v>5.7971014492753659E-2</v>
      </c>
      <c r="BN24" s="309">
        <f t="shared" si="81"/>
        <v>2.7397260273972712E-2</v>
      </c>
      <c r="BO24" s="309">
        <f t="shared" si="81"/>
        <v>0.22666666666666657</v>
      </c>
      <c r="BP24" s="309">
        <f t="shared" si="81"/>
        <v>0.13043478260869557</v>
      </c>
      <c r="BQ24" s="309">
        <f t="shared" si="81"/>
        <v>-8.6538461538461453E-2</v>
      </c>
      <c r="BR24" s="309">
        <f t="shared" si="81"/>
        <v>-5.2631578947368474E-2</v>
      </c>
      <c r="BS24" s="309">
        <f t="shared" si="81"/>
        <v>-3.3333333333333326E-2</v>
      </c>
      <c r="BT24" s="309">
        <f t="shared" si="81"/>
        <v>-0.24137931034482762</v>
      </c>
      <c r="BU24" s="309">
        <f t="shared" si="81"/>
        <v>9.0909090909090828E-2</v>
      </c>
      <c r="BV24" s="309">
        <f t="shared" si="81"/>
        <v>-0.22222222222222221</v>
      </c>
      <c r="BW24" s="310">
        <f t="shared" si="81"/>
        <v>0.16071428571428581</v>
      </c>
      <c r="BX24" s="309">
        <f t="shared" si="81"/>
        <v>9.2307692307692202E-2</v>
      </c>
      <c r="BY24" s="309">
        <f t="shared" si="81"/>
        <v>5.6338028169014231E-2</v>
      </c>
      <c r="BZ24" s="309">
        <f t="shared" si="81"/>
        <v>2.6666666666666616E-2</v>
      </c>
      <c r="CA24" s="309">
        <f t="shared" si="81"/>
        <v>0.23376623376623384</v>
      </c>
      <c r="CB24" s="309">
        <f t="shared" si="81"/>
        <v>0.12631578947368416</v>
      </c>
      <c r="CC24" s="309">
        <f t="shared" si="81"/>
        <v>-9.3457943925233544E-2</v>
      </c>
      <c r="CD24" s="309">
        <f t="shared" si="81"/>
        <v>-5.1546391752577359E-2</v>
      </c>
      <c r="CE24" s="309">
        <f t="shared" si="81"/>
        <v>-3.2608695652173947E-2</v>
      </c>
      <c r="CF24" s="309">
        <f t="shared" si="81"/>
        <v>-0.2471910112359551</v>
      </c>
      <c r="CG24" s="309">
        <f t="shared" si="81"/>
        <v>8.9552238805970186E-2</v>
      </c>
      <c r="CH24" s="309">
        <f t="shared" si="81"/>
        <v>-0.21917808219178081</v>
      </c>
      <c r="CI24" s="310">
        <f t="shared" si="81"/>
        <v>0.17543859649122795</v>
      </c>
      <c r="CJ24" s="309">
        <f t="shared" si="81"/>
        <v>8.9552238805970186E-2</v>
      </c>
      <c r="CK24" s="309">
        <f t="shared" ref="CK24:DG24" si="83">+(CK16/CJ16)-1</f>
        <v>5.4794520547945202E-2</v>
      </c>
      <c r="CL24" s="309">
        <f t="shared" si="83"/>
        <v>2.5974025974025983E-2</v>
      </c>
      <c r="CM24" s="309">
        <f t="shared" si="83"/>
        <v>0.240506329113924</v>
      </c>
      <c r="CN24" s="309">
        <f t="shared" si="83"/>
        <v>0.13265306122448983</v>
      </c>
      <c r="CO24" s="309">
        <f t="shared" si="83"/>
        <v>-9.0090090090090169E-2</v>
      </c>
      <c r="CP24" s="309">
        <f t="shared" si="83"/>
        <v>-4.9504950495049549E-2</v>
      </c>
      <c r="CQ24" s="309">
        <f t="shared" si="83"/>
        <v>-4.166666666666663E-2</v>
      </c>
      <c r="CR24" s="309">
        <f t="shared" si="83"/>
        <v>-0.25000000000000011</v>
      </c>
      <c r="CS24" s="309">
        <f t="shared" si="83"/>
        <v>0.10144927536231885</v>
      </c>
      <c r="CT24" s="309">
        <f t="shared" si="83"/>
        <v>-0.22368421052631582</v>
      </c>
      <c r="CU24" s="310">
        <f t="shared" si="83"/>
        <v>0.16949152542372881</v>
      </c>
      <c r="CV24" s="309">
        <f t="shared" si="83"/>
        <v>0.10144927536231885</v>
      </c>
      <c r="CW24" s="309">
        <f t="shared" si="83"/>
        <v>5.2631578947368363E-2</v>
      </c>
      <c r="CX24" s="309">
        <f t="shared" si="83"/>
        <v>2.5000000000000133E-2</v>
      </c>
      <c r="CY24" s="309">
        <f t="shared" si="83"/>
        <v>0.24390243902439024</v>
      </c>
      <c r="CZ24" s="309">
        <f t="shared" si="83"/>
        <v>0.12745098039215685</v>
      </c>
      <c r="DA24" s="309">
        <f t="shared" si="83"/>
        <v>-9.5652173913043481E-2</v>
      </c>
      <c r="DB24" s="309">
        <f t="shared" si="83"/>
        <v>-5.7692307692307709E-2</v>
      </c>
      <c r="DC24" s="309">
        <f t="shared" si="83"/>
        <v>-4.0816326530612179E-2</v>
      </c>
      <c r="DD24" s="309">
        <f t="shared" si="83"/>
        <v>-0.25531914893617025</v>
      </c>
      <c r="DE24" s="309">
        <f t="shared" si="83"/>
        <v>0.11428571428571432</v>
      </c>
      <c r="DF24" s="309">
        <f t="shared" si="83"/>
        <v>-0.23076923076923084</v>
      </c>
      <c r="DG24" s="309">
        <f t="shared" si="83"/>
        <v>0.18333333333333335</v>
      </c>
    </row>
    <row r="25" spans="1:111" s="311" customFormat="1" x14ac:dyDescent="0.25">
      <c r="A25" s="35"/>
      <c r="B25" s="35"/>
      <c r="C25" s="626" t="s">
        <v>272</v>
      </c>
      <c r="D25" s="15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0"/>
      <c r="Q25" s="50"/>
      <c r="R25" s="50"/>
      <c r="S25" s="50"/>
      <c r="T25" s="50"/>
      <c r="U25" s="50"/>
      <c r="V25" s="308"/>
      <c r="W25" s="308">
        <f>+(W16/W22)</f>
        <v>0.91111111111111109</v>
      </c>
      <c r="X25" s="308">
        <f>+(X16/X22)</f>
        <v>0.8848920863309353</v>
      </c>
      <c r="Y25" s="308">
        <f t="shared" ref="Y25:AF25" si="84">+(Y16/Y22)</f>
        <v>0.89583333333333337</v>
      </c>
      <c r="Z25" s="308">
        <f t="shared" si="84"/>
        <v>0.88811188811188813</v>
      </c>
      <c r="AA25" s="308">
        <f t="shared" si="84"/>
        <v>0.93333333333333335</v>
      </c>
      <c r="AB25" s="308">
        <f t="shared" si="84"/>
        <v>0.93220338983050843</v>
      </c>
      <c r="AC25" s="308">
        <f t="shared" si="84"/>
        <v>0.93243243243243246</v>
      </c>
      <c r="AD25" s="308">
        <f t="shared" si="84"/>
        <v>0.91891891891891897</v>
      </c>
      <c r="AE25" s="308">
        <f t="shared" si="84"/>
        <v>0.90410958904109584</v>
      </c>
      <c r="AF25" s="308">
        <f t="shared" si="84"/>
        <v>0.95833333333333337</v>
      </c>
      <c r="AG25" s="308">
        <f t="shared" ref="AG25:AL25" si="85">+(AG16/AG22)</f>
        <v>0.95588235294117652</v>
      </c>
      <c r="AH25" s="308">
        <f t="shared" si="85"/>
        <v>0.83076923076923082</v>
      </c>
      <c r="AI25" s="308">
        <f t="shared" si="85"/>
        <v>0.8904109589041096</v>
      </c>
      <c r="AJ25" s="308">
        <f t="shared" si="85"/>
        <v>0.97674418604651159</v>
      </c>
      <c r="AK25" s="308">
        <f t="shared" si="85"/>
        <v>0.94285714285714284</v>
      </c>
      <c r="AL25" s="308">
        <f t="shared" si="85"/>
        <v>0.97872340425531912</v>
      </c>
      <c r="AM25" s="308">
        <f t="shared" ref="AM25:AT25" si="86">+(AM16/AM22)</f>
        <v>0.94736842105263153</v>
      </c>
      <c r="AN25" s="308">
        <f t="shared" si="86"/>
        <v>0.93650793650793651</v>
      </c>
      <c r="AO25" s="308">
        <f t="shared" si="86"/>
        <v>0.98333333333333328</v>
      </c>
      <c r="AP25" s="308">
        <f t="shared" si="86"/>
        <v>0.96923076923076923</v>
      </c>
      <c r="AQ25" s="308">
        <f t="shared" si="86"/>
        <v>0.98571428571428577</v>
      </c>
      <c r="AR25" s="308">
        <f t="shared" si="86"/>
        <v>0.97499999999999998</v>
      </c>
      <c r="AS25" s="308">
        <f t="shared" si="86"/>
        <v>0.96875</v>
      </c>
      <c r="AT25" s="308">
        <f t="shared" si="86"/>
        <v>0.90540540540540537</v>
      </c>
      <c r="AU25" s="308">
        <f t="shared" ref="AU25:AV25" si="87">+(AU16/AU22)</f>
        <v>0.90909090909090906</v>
      </c>
      <c r="AV25" s="308">
        <f t="shared" si="87"/>
        <v>0.9642857142857143</v>
      </c>
      <c r="AW25" s="580">
        <f t="shared" ref="AW25" si="88">+(AW16/AW22)</f>
        <v>0.95081967213114749</v>
      </c>
      <c r="AX25" s="539">
        <f>+AVERAGE(AR25:AW25)</f>
        <v>0.94555861681886266</v>
      </c>
      <c r="AY25" s="644">
        <f t="shared" ref="AY25:CT25" si="89">+AX25</f>
        <v>0.94555861681886266</v>
      </c>
      <c r="AZ25" s="309">
        <f t="shared" si="89"/>
        <v>0.94555861681886266</v>
      </c>
      <c r="BA25" s="309">
        <f t="shared" si="89"/>
        <v>0.94555861681886266</v>
      </c>
      <c r="BB25" s="309">
        <f t="shared" si="89"/>
        <v>0.94555861681886266</v>
      </c>
      <c r="BC25" s="309">
        <f t="shared" si="89"/>
        <v>0.94555861681886266</v>
      </c>
      <c r="BD25" s="309">
        <f t="shared" si="89"/>
        <v>0.94555861681886266</v>
      </c>
      <c r="BE25" s="309">
        <f t="shared" si="89"/>
        <v>0.94555861681886266</v>
      </c>
      <c r="BF25" s="309">
        <f t="shared" si="89"/>
        <v>0.94555861681886266</v>
      </c>
      <c r="BG25" s="309">
        <f t="shared" si="89"/>
        <v>0.94555861681886266</v>
      </c>
      <c r="BH25" s="309">
        <f t="shared" si="89"/>
        <v>0.94555861681886266</v>
      </c>
      <c r="BI25" s="309">
        <f t="shared" si="89"/>
        <v>0.94555861681886266</v>
      </c>
      <c r="BJ25" s="309">
        <f t="shared" si="89"/>
        <v>0.94555861681886266</v>
      </c>
      <c r="BK25" s="310">
        <f t="shared" si="89"/>
        <v>0.94555861681886266</v>
      </c>
      <c r="BL25" s="309">
        <f t="shared" si="89"/>
        <v>0.94555861681886266</v>
      </c>
      <c r="BM25" s="309">
        <f t="shared" si="89"/>
        <v>0.94555861681886266</v>
      </c>
      <c r="BN25" s="309">
        <f t="shared" si="89"/>
        <v>0.94555861681886266</v>
      </c>
      <c r="BO25" s="309">
        <f t="shared" si="89"/>
        <v>0.94555861681886266</v>
      </c>
      <c r="BP25" s="309">
        <f t="shared" si="89"/>
        <v>0.94555861681886266</v>
      </c>
      <c r="BQ25" s="309">
        <f t="shared" si="89"/>
        <v>0.94555861681886266</v>
      </c>
      <c r="BR25" s="309">
        <f t="shared" si="89"/>
        <v>0.94555861681886266</v>
      </c>
      <c r="BS25" s="309">
        <f t="shared" si="89"/>
        <v>0.94555861681886266</v>
      </c>
      <c r="BT25" s="309">
        <f t="shared" si="89"/>
        <v>0.94555861681886266</v>
      </c>
      <c r="BU25" s="309">
        <f t="shared" si="89"/>
        <v>0.94555861681886266</v>
      </c>
      <c r="BV25" s="309">
        <f t="shared" si="89"/>
        <v>0.94555861681886266</v>
      </c>
      <c r="BW25" s="310">
        <f t="shared" si="89"/>
        <v>0.94555861681886266</v>
      </c>
      <c r="BX25" s="309">
        <f t="shared" si="89"/>
        <v>0.94555861681886266</v>
      </c>
      <c r="BY25" s="309">
        <f t="shared" si="89"/>
        <v>0.94555861681886266</v>
      </c>
      <c r="BZ25" s="309">
        <f t="shared" si="89"/>
        <v>0.94555861681886266</v>
      </c>
      <c r="CA25" s="309">
        <f t="shared" si="89"/>
        <v>0.94555861681886266</v>
      </c>
      <c r="CB25" s="309">
        <f t="shared" si="89"/>
        <v>0.94555861681886266</v>
      </c>
      <c r="CC25" s="309">
        <f t="shared" si="89"/>
        <v>0.94555861681886266</v>
      </c>
      <c r="CD25" s="309">
        <f t="shared" si="89"/>
        <v>0.94555861681886266</v>
      </c>
      <c r="CE25" s="309">
        <f t="shared" si="89"/>
        <v>0.94555861681886266</v>
      </c>
      <c r="CF25" s="309">
        <f t="shared" si="89"/>
        <v>0.94555861681886266</v>
      </c>
      <c r="CG25" s="309">
        <f t="shared" si="89"/>
        <v>0.94555861681886266</v>
      </c>
      <c r="CH25" s="309">
        <f t="shared" si="89"/>
        <v>0.94555861681886266</v>
      </c>
      <c r="CI25" s="310">
        <f t="shared" si="89"/>
        <v>0.94555861681886266</v>
      </c>
      <c r="CJ25" s="309">
        <f t="shared" si="89"/>
        <v>0.94555861681886266</v>
      </c>
      <c r="CK25" s="309">
        <f t="shared" si="89"/>
        <v>0.94555861681886266</v>
      </c>
      <c r="CL25" s="309">
        <f t="shared" si="89"/>
        <v>0.94555861681886266</v>
      </c>
      <c r="CM25" s="309">
        <f t="shared" si="89"/>
        <v>0.94555861681886266</v>
      </c>
      <c r="CN25" s="309">
        <f t="shared" si="89"/>
        <v>0.94555861681886266</v>
      </c>
      <c r="CO25" s="309">
        <f t="shared" si="89"/>
        <v>0.94555861681886266</v>
      </c>
      <c r="CP25" s="309">
        <f t="shared" si="89"/>
        <v>0.94555861681886266</v>
      </c>
      <c r="CQ25" s="309">
        <f t="shared" si="89"/>
        <v>0.94555861681886266</v>
      </c>
      <c r="CR25" s="309">
        <f t="shared" si="89"/>
        <v>0.94555861681886266</v>
      </c>
      <c r="CS25" s="309">
        <f t="shared" si="89"/>
        <v>0.94555861681886266</v>
      </c>
      <c r="CT25" s="309">
        <f t="shared" si="89"/>
        <v>0.94555861681886266</v>
      </c>
      <c r="CU25" s="310">
        <f t="shared" ref="CU25:DG25" si="90">+CT25</f>
        <v>0.94555861681886266</v>
      </c>
      <c r="CV25" s="309">
        <f t="shared" si="90"/>
        <v>0.94555861681886266</v>
      </c>
      <c r="CW25" s="309">
        <f t="shared" si="90"/>
        <v>0.94555861681886266</v>
      </c>
      <c r="CX25" s="309">
        <f t="shared" si="90"/>
        <v>0.94555861681886266</v>
      </c>
      <c r="CY25" s="309">
        <f t="shared" si="90"/>
        <v>0.94555861681886266</v>
      </c>
      <c r="CZ25" s="309">
        <f t="shared" si="90"/>
        <v>0.94555861681886266</v>
      </c>
      <c r="DA25" s="309">
        <f t="shared" si="90"/>
        <v>0.94555861681886266</v>
      </c>
      <c r="DB25" s="309">
        <f t="shared" si="90"/>
        <v>0.94555861681886266</v>
      </c>
      <c r="DC25" s="309">
        <f t="shared" si="90"/>
        <v>0.94555861681886266</v>
      </c>
      <c r="DD25" s="309">
        <f t="shared" si="90"/>
        <v>0.94555861681886266</v>
      </c>
      <c r="DE25" s="309">
        <f t="shared" si="90"/>
        <v>0.94555861681886266</v>
      </c>
      <c r="DF25" s="309">
        <f t="shared" si="90"/>
        <v>0.94555861681886266</v>
      </c>
      <c r="DG25" s="309">
        <f t="shared" si="90"/>
        <v>0.94555861681886266</v>
      </c>
    </row>
    <row r="26" spans="1:111" ht="18.75" x14ac:dyDescent="0.25">
      <c r="A26" s="37"/>
      <c r="B26" s="37"/>
      <c r="C26" s="628" t="s">
        <v>274</v>
      </c>
      <c r="D26" s="27"/>
      <c r="E26" s="27"/>
      <c r="F26" s="27"/>
      <c r="G26" s="27"/>
      <c r="H26" s="27"/>
      <c r="I26" s="27"/>
      <c r="J26" s="27"/>
      <c r="K26" s="186"/>
      <c r="L26" s="186"/>
      <c r="M26" s="186"/>
      <c r="N26" s="186"/>
      <c r="O26" s="186"/>
      <c r="P26" s="186"/>
      <c r="Q26" s="186"/>
      <c r="R26" s="186"/>
      <c r="S26" s="186"/>
      <c r="T26" s="186"/>
      <c r="U26" s="187"/>
      <c r="V26" s="190"/>
      <c r="W26" s="187">
        <f t="shared" ref="W26:AF26" si="91">+W15/W16</f>
        <v>1.4390243902439024</v>
      </c>
      <c r="X26" s="187">
        <f t="shared" si="91"/>
        <v>1.5528455284552845</v>
      </c>
      <c r="Y26" s="187">
        <f t="shared" si="91"/>
        <v>1.4728682170542635</v>
      </c>
      <c r="Z26" s="187">
        <f t="shared" si="91"/>
        <v>1.4803149606299213</v>
      </c>
      <c r="AA26" s="187">
        <f t="shared" si="91"/>
        <v>1.6428571428571428</v>
      </c>
      <c r="AB26" s="187">
        <f t="shared" si="91"/>
        <v>1.2181818181818183</v>
      </c>
      <c r="AC26" s="187">
        <f>+AC15/AC16</f>
        <v>1.0724637681159421</v>
      </c>
      <c r="AD26" s="187">
        <f>+AD15/AD16</f>
        <v>1.1323529411764706</v>
      </c>
      <c r="AE26" s="187">
        <f t="shared" si="91"/>
        <v>1.1818181818181819</v>
      </c>
      <c r="AF26" s="187">
        <f t="shared" si="91"/>
        <v>1.1884057971014492</v>
      </c>
      <c r="AG26" s="187">
        <f t="shared" ref="AG26:AL26" si="92">+AG15/AG16</f>
        <v>1.1538461538461537</v>
      </c>
      <c r="AH26" s="187">
        <f t="shared" si="92"/>
        <v>1.2222222222222223</v>
      </c>
      <c r="AI26" s="187">
        <f t="shared" si="92"/>
        <v>1.1384615384615384</v>
      </c>
      <c r="AJ26" s="187">
        <f t="shared" si="92"/>
        <v>1.1428571428571428</v>
      </c>
      <c r="AK26" s="187">
        <f t="shared" si="92"/>
        <v>1.2272727272727273</v>
      </c>
      <c r="AL26" s="187">
        <f t="shared" si="92"/>
        <v>1.0869565217391304</v>
      </c>
      <c r="AM26" s="187">
        <f t="shared" ref="AM26:AT26" si="93">+AM15/AM16</f>
        <v>1.1296296296296295</v>
      </c>
      <c r="AN26" s="187">
        <f t="shared" si="93"/>
        <v>1.1186440677966101</v>
      </c>
      <c r="AO26" s="187">
        <f t="shared" si="93"/>
        <v>1.1694915254237288</v>
      </c>
      <c r="AP26" s="187">
        <f t="shared" si="93"/>
        <v>1.0793650793650793</v>
      </c>
      <c r="AQ26" s="187">
        <f t="shared" si="93"/>
        <v>1.1884057971014492</v>
      </c>
      <c r="AR26" s="187">
        <f t="shared" si="93"/>
        <v>1.0641025641025641</v>
      </c>
      <c r="AS26" s="187">
        <f t="shared" si="93"/>
        <v>1.1612903225806452</v>
      </c>
      <c r="AT26" s="187">
        <f t="shared" si="93"/>
        <v>1.1343283582089552</v>
      </c>
      <c r="AU26" s="187">
        <f t="shared" ref="AU26:AV26" si="94">+AU15/AU16</f>
        <v>1.2166666666666666</v>
      </c>
      <c r="AV26" s="187">
        <f t="shared" si="94"/>
        <v>1.1481481481481481</v>
      </c>
      <c r="AW26" s="581">
        <f t="shared" ref="AW26" si="95">+AW15/AW16</f>
        <v>1.2413793103448276</v>
      </c>
      <c r="AX26" s="443">
        <f t="shared" ref="AX26:CZ26" si="96">+AL26</f>
        <v>1.0869565217391304</v>
      </c>
      <c r="AY26" s="189">
        <f t="shared" si="96"/>
        <v>1.1296296296296295</v>
      </c>
      <c r="AZ26" s="188">
        <f t="shared" si="96"/>
        <v>1.1186440677966101</v>
      </c>
      <c r="BA26" s="188">
        <f t="shared" si="96"/>
        <v>1.1694915254237288</v>
      </c>
      <c r="BB26" s="188">
        <f t="shared" si="96"/>
        <v>1.0793650793650793</v>
      </c>
      <c r="BC26" s="188">
        <f t="shared" si="96"/>
        <v>1.1884057971014492</v>
      </c>
      <c r="BD26" s="188">
        <f t="shared" si="96"/>
        <v>1.0641025641025641</v>
      </c>
      <c r="BE26" s="188">
        <f t="shared" si="96"/>
        <v>1.1612903225806452</v>
      </c>
      <c r="BF26" s="188">
        <f t="shared" si="96"/>
        <v>1.1343283582089552</v>
      </c>
      <c r="BG26" s="188">
        <f t="shared" si="96"/>
        <v>1.2166666666666666</v>
      </c>
      <c r="BH26" s="188">
        <f t="shared" si="96"/>
        <v>1.1481481481481481</v>
      </c>
      <c r="BI26" s="188">
        <f t="shared" si="96"/>
        <v>1.2413793103448276</v>
      </c>
      <c r="BJ26" s="188">
        <f t="shared" si="96"/>
        <v>1.0869565217391304</v>
      </c>
      <c r="BK26" s="280">
        <f t="shared" si="96"/>
        <v>1.1296296296296295</v>
      </c>
      <c r="BL26" s="188">
        <f t="shared" si="96"/>
        <v>1.1186440677966101</v>
      </c>
      <c r="BM26" s="188">
        <f t="shared" si="96"/>
        <v>1.1694915254237288</v>
      </c>
      <c r="BN26" s="188">
        <f t="shared" si="96"/>
        <v>1.0793650793650793</v>
      </c>
      <c r="BO26" s="188">
        <f t="shared" si="96"/>
        <v>1.1884057971014492</v>
      </c>
      <c r="BP26" s="188">
        <f t="shared" si="96"/>
        <v>1.0641025641025641</v>
      </c>
      <c r="BQ26" s="188">
        <f t="shared" si="96"/>
        <v>1.1612903225806452</v>
      </c>
      <c r="BR26" s="188">
        <f t="shared" si="96"/>
        <v>1.1343283582089552</v>
      </c>
      <c r="BS26" s="188">
        <f t="shared" si="96"/>
        <v>1.2166666666666666</v>
      </c>
      <c r="BT26" s="188">
        <f t="shared" si="96"/>
        <v>1.1481481481481481</v>
      </c>
      <c r="BU26" s="188">
        <f t="shared" si="96"/>
        <v>1.2413793103448276</v>
      </c>
      <c r="BV26" s="188">
        <f t="shared" si="96"/>
        <v>1.0869565217391304</v>
      </c>
      <c r="BW26" s="280">
        <f t="shared" si="96"/>
        <v>1.1296296296296295</v>
      </c>
      <c r="BX26" s="188">
        <f t="shared" si="96"/>
        <v>1.1186440677966101</v>
      </c>
      <c r="BY26" s="188">
        <f t="shared" si="96"/>
        <v>1.1694915254237288</v>
      </c>
      <c r="BZ26" s="188">
        <f t="shared" si="96"/>
        <v>1.0793650793650793</v>
      </c>
      <c r="CA26" s="188">
        <f t="shared" si="96"/>
        <v>1.1884057971014492</v>
      </c>
      <c r="CB26" s="188">
        <f t="shared" si="96"/>
        <v>1.0641025641025641</v>
      </c>
      <c r="CC26" s="188">
        <f t="shared" si="96"/>
        <v>1.1612903225806452</v>
      </c>
      <c r="CD26" s="188">
        <f t="shared" si="96"/>
        <v>1.1343283582089552</v>
      </c>
      <c r="CE26" s="188">
        <f t="shared" si="96"/>
        <v>1.2166666666666666</v>
      </c>
      <c r="CF26" s="188">
        <f t="shared" si="96"/>
        <v>1.1481481481481481</v>
      </c>
      <c r="CG26" s="188">
        <f t="shared" si="96"/>
        <v>1.2413793103448276</v>
      </c>
      <c r="CH26" s="188">
        <f t="shared" si="96"/>
        <v>1.0869565217391304</v>
      </c>
      <c r="CI26" s="280">
        <f t="shared" si="96"/>
        <v>1.1296296296296295</v>
      </c>
      <c r="CJ26" s="188">
        <f t="shared" si="96"/>
        <v>1.1186440677966101</v>
      </c>
      <c r="CK26" s="188">
        <f t="shared" si="96"/>
        <v>1.1694915254237288</v>
      </c>
      <c r="CL26" s="188">
        <f t="shared" si="96"/>
        <v>1.0793650793650793</v>
      </c>
      <c r="CM26" s="188">
        <f t="shared" si="96"/>
        <v>1.1884057971014492</v>
      </c>
      <c r="CN26" s="188">
        <f t="shared" si="96"/>
        <v>1.0641025641025641</v>
      </c>
      <c r="CO26" s="188">
        <f t="shared" si="96"/>
        <v>1.1612903225806452</v>
      </c>
      <c r="CP26" s="188">
        <f t="shared" si="96"/>
        <v>1.1343283582089552</v>
      </c>
      <c r="CQ26" s="188">
        <f t="shared" si="96"/>
        <v>1.2166666666666666</v>
      </c>
      <c r="CR26" s="188">
        <f t="shared" si="96"/>
        <v>1.1481481481481481</v>
      </c>
      <c r="CS26" s="188">
        <f t="shared" si="96"/>
        <v>1.2413793103448276</v>
      </c>
      <c r="CT26" s="188">
        <f t="shared" si="96"/>
        <v>1.0869565217391304</v>
      </c>
      <c r="CU26" s="280">
        <f t="shared" si="96"/>
        <v>1.1296296296296295</v>
      </c>
      <c r="CV26" s="188">
        <f t="shared" si="96"/>
        <v>1.1186440677966101</v>
      </c>
      <c r="CW26" s="188">
        <f t="shared" si="96"/>
        <v>1.1694915254237288</v>
      </c>
      <c r="CX26" s="188">
        <f t="shared" si="96"/>
        <v>1.0793650793650793</v>
      </c>
      <c r="CY26" s="188">
        <f t="shared" si="96"/>
        <v>1.1884057971014492</v>
      </c>
      <c r="CZ26" s="188">
        <f t="shared" si="96"/>
        <v>1.0641025641025641</v>
      </c>
      <c r="DA26" s="188">
        <f t="shared" ref="DA26:DG26" si="97">+CO26</f>
        <v>1.1612903225806452</v>
      </c>
      <c r="DB26" s="188">
        <f t="shared" si="97"/>
        <v>1.1343283582089552</v>
      </c>
      <c r="DC26" s="188">
        <f t="shared" si="97"/>
        <v>1.2166666666666666</v>
      </c>
      <c r="DD26" s="188">
        <f t="shared" si="97"/>
        <v>1.1481481481481481</v>
      </c>
      <c r="DE26" s="188">
        <f t="shared" si="97"/>
        <v>1.2413793103448276</v>
      </c>
      <c r="DF26" s="188">
        <f t="shared" si="97"/>
        <v>1.0869565217391304</v>
      </c>
      <c r="DG26" s="189">
        <f t="shared" si="97"/>
        <v>1.1296296296296295</v>
      </c>
    </row>
    <row r="27" spans="1:111" x14ac:dyDescent="0.25">
      <c r="A27" s="35"/>
      <c r="B27" s="112" t="s">
        <v>159</v>
      </c>
      <c r="C27" s="627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582"/>
      <c r="AX27" s="16"/>
      <c r="AY27" s="17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271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271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271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271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7"/>
    </row>
    <row r="28" spans="1:111" x14ac:dyDescent="0.25">
      <c r="A28" s="36"/>
      <c r="B28" s="113">
        <v>90</v>
      </c>
      <c r="C28" s="628" t="s">
        <v>48</v>
      </c>
      <c r="D28" s="18"/>
      <c r="E28" s="18">
        <f>NETWORKDAYS(D4+1,E4,Holidays!$B$3:$B$62)</f>
        <v>19</v>
      </c>
      <c r="F28" s="18">
        <f>NETWORKDAYS(E4+1,F4,Holidays!$B$3:$B$62)</f>
        <v>23</v>
      </c>
      <c r="G28" s="18">
        <f>NETWORKDAYS(F4+1,G4,Holidays!$B$3:$B$62)</f>
        <v>21</v>
      </c>
      <c r="H28" s="18">
        <f>NETWORKDAYS(G4+1,H4,Holidays!$B$3:$B$62)</f>
        <v>21</v>
      </c>
      <c r="I28" s="18">
        <f>NETWORKDAYS(H4+1,I4,Holidays!$B$3:$B$62)</f>
        <v>22</v>
      </c>
      <c r="J28" s="18">
        <f>NETWORKDAYS(I4+1,J4,Holidays!$B$3:$B$62)</f>
        <v>20</v>
      </c>
      <c r="K28" s="18">
        <f>NETWORKDAYS(J4+1,K4,Holidays!$B$3:$B$62)</f>
        <v>23</v>
      </c>
      <c r="L28" s="18">
        <f>NETWORKDAYS(K4+1,L4,Holidays!$B$3:$B$62)</f>
        <v>21</v>
      </c>
      <c r="M28" s="18">
        <f>NETWORKDAYS(L4+1,M4,Holidays!$B$3:$B$62)</f>
        <v>21</v>
      </c>
      <c r="N28" s="18">
        <f>NETWORKDAYS(M4+1,N4,Holidays!$B$3:$B$62)</f>
        <v>21</v>
      </c>
      <c r="O28" s="18">
        <f>NETWORKDAYS(N4+1,O4,Holidays!$B$3:$B$62)</f>
        <v>21</v>
      </c>
      <c r="P28" s="18">
        <f>NETWORKDAYS(O4+1,P4,Holidays!$B$3:$B$62)</f>
        <v>21</v>
      </c>
      <c r="Q28" s="18">
        <f>NETWORKDAYS(P4+1,Q4,Holidays!$B$3:$B$62)</f>
        <v>19</v>
      </c>
      <c r="R28" s="18">
        <f>NETWORKDAYS(Q4+1,R4,Holidays!$B$3:$B$62)</f>
        <v>23</v>
      </c>
      <c r="S28" s="18">
        <f>NETWORKDAYS(R4+1,S4,Holidays!$B$3:$B$62)</f>
        <v>20</v>
      </c>
      <c r="T28" s="18">
        <f>NETWORKDAYS(S4+1,T4,Holidays!$B$3:$B$62)</f>
        <v>22</v>
      </c>
      <c r="U28" s="18">
        <f>NETWORKDAYS(T4+1,U4,Holidays!$B$3:$B$62)</f>
        <v>22</v>
      </c>
      <c r="V28" s="18">
        <f>NETWORKDAYS(U4+1,V4,Holidays!$B$3:$B$62)</f>
        <v>20</v>
      </c>
      <c r="W28" s="18">
        <f>NETWORKDAYS(V4+1,W4,Holidays!$B$3:$B$62)</f>
        <v>23</v>
      </c>
      <c r="X28" s="18">
        <f>NETWORKDAYS(W4+1,X4,Holidays!$B$3:$B$62)</f>
        <v>20</v>
      </c>
      <c r="Y28" s="18">
        <f>NETWORKDAYS(X4+1,Y4,Holidays!$B$3:$B$62)</f>
        <v>22</v>
      </c>
      <c r="Z28" s="18">
        <f>NETWORKDAYS(Y4+1,Z4,Holidays!$B$3:$B$62)</f>
        <v>20</v>
      </c>
      <c r="AA28" s="18">
        <f>NETWORKDAYS(Z4+1,AA4,Holidays!$B$3:$B$62)</f>
        <v>19</v>
      </c>
      <c r="AB28" s="18">
        <f>NETWORKDAYS(AA4+1,AB4,Holidays!$B$3:$B$62)</f>
        <v>22</v>
      </c>
      <c r="AC28" s="18">
        <f>NETWORKDAYS(AB4+1,AC4,Holidays!$B$3:$B$62)</f>
        <v>21</v>
      </c>
      <c r="AD28" s="18">
        <f>NETWORKDAYS(AC4+1,AD4,Holidays!$B$3:$B$62)</f>
        <v>21</v>
      </c>
      <c r="AE28" s="18">
        <f>NETWORKDAYS(AD4+1,AE4,Holidays!$B$3:$B$62)</f>
        <v>22</v>
      </c>
      <c r="AF28" s="18">
        <f>NETWORKDAYS(AE4+1,AF4,Holidays!$B$3:$B$62)</f>
        <v>23</v>
      </c>
      <c r="AG28" s="18">
        <f>NETWORKDAYS(AF4+1,AG4,Holidays!$B$3:$B$62)</f>
        <v>20</v>
      </c>
      <c r="AH28" s="18">
        <f>NETWORKDAYS(AG4+1,AH4,Holidays!$B$3:$B$62)</f>
        <v>22</v>
      </c>
      <c r="AI28" s="18">
        <f>NETWORKDAYS(AH4+1,AI4,Holidays!$B$3:$B$62)</f>
        <v>22</v>
      </c>
      <c r="AJ28" s="18">
        <f>NETWORKDAYS(AI4+1,AJ4,Holidays!$B$3:$B$62)</f>
        <v>21</v>
      </c>
      <c r="AK28" s="18">
        <f>NETWORKDAYS(AJ4+1,AK4,Holidays!$B$3:$B$62)</f>
        <v>23</v>
      </c>
      <c r="AL28" s="18">
        <f>NETWORKDAYS(AK4+1,AL4,Holidays!$B$3:$B$62)</f>
        <v>19</v>
      </c>
      <c r="AM28" s="18">
        <f>NETWORKDAYS(AL4+1,AM4,Holidays!$B$3:$B$62)</f>
        <v>19</v>
      </c>
      <c r="AN28" s="18">
        <f>NETWORKDAYS(AM4+1,AN4,Holidays!$B$3:$B$62)</f>
        <v>23</v>
      </c>
      <c r="AO28" s="18">
        <f>NETWORKDAYS(AN4+1,AO4,Holidays!$B$3:$B$62)</f>
        <v>20</v>
      </c>
      <c r="AP28" s="18">
        <f>NETWORKDAYS(AO4+1,AP4,Holidays!$B$3:$B$62)</f>
        <v>21</v>
      </c>
      <c r="AQ28" s="18">
        <f>NETWORKDAYS(AP4+1,AQ4,Holidays!$B$3:$B$62)</f>
        <v>22</v>
      </c>
      <c r="AR28" s="18">
        <f>NETWORKDAYS(AQ4+1,AR4,Holidays!$B$3:$B$62)</f>
        <v>22</v>
      </c>
      <c r="AS28" s="18">
        <f>NETWORKDAYS(AR4+1,AS4,Holidays!$B$3:$B$62)</f>
        <v>21</v>
      </c>
      <c r="AT28" s="18">
        <f>NETWORKDAYS(AS4+1,AT4,Holidays!$B$3:$B$62)</f>
        <v>22</v>
      </c>
      <c r="AU28" s="18">
        <f>NETWORKDAYS(AT4+1,AU4,Holidays!$B$3:$B$62)</f>
        <v>21</v>
      </c>
      <c r="AV28" s="18">
        <f>NETWORKDAYS(AU4+1,AV4,Holidays!$B$3:$B$62)</f>
        <v>22</v>
      </c>
      <c r="AW28" s="583">
        <f>NETWORKDAYS(AV4+1,AW4,Holidays!$B$3:$B$62)</f>
        <v>23</v>
      </c>
      <c r="AX28" s="19">
        <f>NETWORKDAYS(AW4+1,AX4,Holidays!$B$3:$B$62)</f>
        <v>18</v>
      </c>
      <c r="AY28" s="20">
        <f>NETWORKDAYS(AX4+1,AY4,Holidays!$B$3:$B$62)</f>
        <v>21</v>
      </c>
      <c r="AZ28" s="19">
        <f>NETWORKDAYS(AY4+1,AZ4,Holidays!$B$3:$B$62)</f>
        <v>22</v>
      </c>
      <c r="BA28" s="19">
        <f>NETWORKDAYS(AZ4+1,BA4,Holidays!$B$3:$B$62)</f>
        <v>20</v>
      </c>
      <c r="BB28" s="19">
        <f>NETWORKDAYS(BA4+1,BB4,Holidays!$B$3:$B$62)</f>
        <v>22</v>
      </c>
      <c r="BC28" s="19">
        <f>NETWORKDAYS(BB4+1,BC4,Holidays!$B$3:$B$62)</f>
        <v>22</v>
      </c>
      <c r="BD28" s="19">
        <f>NETWORKDAYS(BC4+1,BD4,Holidays!$B$3:$B$62)</f>
        <v>21</v>
      </c>
      <c r="BE28" s="19">
        <f>NETWORKDAYS(BD4+1,BE4,Holidays!$B$3:$B$62)</f>
        <v>22</v>
      </c>
      <c r="BF28" s="19">
        <f>NETWORKDAYS(BE4+1,BF4,Holidays!$B$3:$B$62)</f>
        <v>23</v>
      </c>
      <c r="BG28" s="19">
        <f>NETWORKDAYS(BF4+1,BG4,Holidays!$B$3:$B$62)</f>
        <v>21</v>
      </c>
      <c r="BH28" s="19">
        <f>NETWORKDAYS(BG4+1,BH4,Holidays!$B$3:$B$62)</f>
        <v>22</v>
      </c>
      <c r="BI28" s="19">
        <f>NETWORKDAYS(BH4+1,BI4,Holidays!$B$3:$B$62)</f>
        <v>22</v>
      </c>
      <c r="BJ28" s="19">
        <f>NETWORKDAYS(BI4+1,BJ4,Holidays!$B$3:$B$62)</f>
        <v>21</v>
      </c>
      <c r="BK28" s="272">
        <f>NETWORKDAYS(BJ4+1,BK4,Holidays!$B$3:$B$62)</f>
        <v>23</v>
      </c>
      <c r="BL28" s="19">
        <f>NETWORKDAYS(BK4+1,BL4,Holidays!$B$3:$B$62)</f>
        <v>21</v>
      </c>
      <c r="BM28" s="19">
        <f>NETWORKDAYS(BL4+1,BM4,Holidays!$B$3:$B$62)</f>
        <v>20</v>
      </c>
      <c r="BN28" s="19">
        <f>NETWORKDAYS(BM4+1,BN4,Holidays!$B$3:$B$62)</f>
        <v>23</v>
      </c>
      <c r="BO28" s="19">
        <f>NETWORKDAYS(BN4+1,BO4,Holidays!$B$3:$B$62)</f>
        <v>22</v>
      </c>
      <c r="BP28" s="19">
        <f>NETWORKDAYS(BO4+1,BP4,Holidays!$B$3:$B$62)</f>
        <v>21</v>
      </c>
      <c r="BQ28" s="19">
        <f>NETWORKDAYS(BP4+1,BQ4,Holidays!$B$3:$B$62)</f>
        <v>22</v>
      </c>
      <c r="BR28" s="19">
        <f>NETWORKDAYS(BQ4+1,BR4,Holidays!$B$3:$B$62)</f>
        <v>22</v>
      </c>
      <c r="BS28" s="19">
        <f>NETWORKDAYS(BR4+1,BS4,Holidays!$B$3:$B$62)</f>
        <v>22</v>
      </c>
      <c r="BT28" s="19">
        <f>NETWORKDAYS(BS4+1,BT4,Holidays!$B$3:$B$62)</f>
        <v>22</v>
      </c>
      <c r="BU28" s="19">
        <f>NETWORKDAYS(BT4+1,BU4,Holidays!$B$3:$B$62)</f>
        <v>21</v>
      </c>
      <c r="BV28" s="19">
        <f>NETWORKDAYS(BU4+1,BV4,Holidays!$B$3:$B$62)</f>
        <v>22</v>
      </c>
      <c r="BW28" s="272">
        <f>NETWORKDAYS(BV4+1,BW4,Holidays!$B$3:$B$62)</f>
        <v>23</v>
      </c>
      <c r="BX28" s="19">
        <f>NETWORKDAYS(BW4+1,BX4,Holidays!$B$3:$B$62)</f>
        <v>21</v>
      </c>
      <c r="BY28" s="19">
        <f>NETWORKDAYS(BX4+1,BY4,Holidays!$B$3:$B$62)</f>
        <v>21</v>
      </c>
      <c r="BZ28" s="19">
        <f>NETWORKDAYS(BY4+1,BZ4,Holidays!$B$3:$B$62)</f>
        <v>23</v>
      </c>
      <c r="CA28" s="19">
        <f>NETWORKDAYS(BZ4+1,CA4,Holidays!$B$3:$B$62)</f>
        <v>20</v>
      </c>
      <c r="CB28" s="19">
        <f>NETWORKDAYS(CA4+1,CB4,Holidays!$B$3:$B$62)</f>
        <v>23</v>
      </c>
      <c r="CC28" s="19">
        <f>NETWORKDAYS(CB4+1,CC4,Holidays!$B$3:$B$62)</f>
        <v>22</v>
      </c>
      <c r="CD28" s="19">
        <f>NETWORKDAYS(CC4+1,CD4,Holidays!$B$3:$B$62)</f>
        <v>21</v>
      </c>
      <c r="CE28" s="19">
        <f>NETWORKDAYS(CD4+1,CE4,Holidays!$B$3:$B$62)</f>
        <v>23</v>
      </c>
      <c r="CF28" s="19">
        <f>NETWORKDAYS(CE4+1,CF4,Holidays!$B$3:$B$62)</f>
        <v>21</v>
      </c>
      <c r="CG28" s="19">
        <f>NETWORKDAYS(CF4+1,CG4,Holidays!$B$3:$B$62)</f>
        <v>22</v>
      </c>
      <c r="CH28" s="19">
        <f>NETWORKDAYS(CG4+1,CH4,Holidays!$B$3:$B$62)</f>
        <v>22</v>
      </c>
      <c r="CI28" s="272">
        <f>NETWORKDAYS(CH4+1,CI4,Holidays!$B$3:$B$62)</f>
        <v>21</v>
      </c>
      <c r="CJ28" s="19">
        <f>NETWORKDAYS(CI4+1,CJ4,Holidays!$B$3:$B$62)</f>
        <v>23</v>
      </c>
      <c r="CK28" s="19">
        <f>NETWORKDAYS(CJ4+1,CK4,Holidays!$B$3:$B$62)</f>
        <v>20</v>
      </c>
      <c r="CL28" s="19">
        <f>NETWORKDAYS(CK4+1,CL4,Holidays!$B$3:$B$62)</f>
        <v>22</v>
      </c>
      <c r="CM28" s="19">
        <f>NETWORKDAYS(CL4+1,CM4,Holidays!$B$3:$B$62)</f>
        <v>21</v>
      </c>
      <c r="CN28" s="19">
        <f>NETWORKDAYS(CM4+1,CN4,Holidays!$B$3:$B$62)</f>
        <v>23</v>
      </c>
      <c r="CO28" s="19">
        <f>NETWORKDAYS(CN4+1,CO4,Holidays!$B$3:$B$62)</f>
        <v>21</v>
      </c>
      <c r="CP28" s="19">
        <f>NETWORKDAYS(CO4+1,CP4,Holidays!$B$3:$B$62)</f>
        <v>22</v>
      </c>
      <c r="CQ28" s="19">
        <f>NETWORKDAYS(CP4+1,CQ4,Holidays!$B$3:$B$62)</f>
        <v>23</v>
      </c>
      <c r="CR28" s="19">
        <f>NETWORKDAYS(CQ4+1,CR4,Holidays!$B$3:$B$62)</f>
        <v>20</v>
      </c>
      <c r="CS28" s="19">
        <f>NETWORKDAYS(CR4+1,CS4,Holidays!$B$3:$B$62)</f>
        <v>23</v>
      </c>
      <c r="CT28" s="19">
        <f>NETWORKDAYS(CS4+1,CT4,Holidays!$B$3:$B$62)</f>
        <v>22</v>
      </c>
      <c r="CU28" s="272">
        <f>NETWORKDAYS(CT4+1,CU4,Holidays!$B$3:$B$62)</f>
        <v>21</v>
      </c>
      <c r="CV28" s="19">
        <f>NETWORKDAYS(CU4+1,CV4,Holidays!$B$3:$B$62)</f>
        <v>23</v>
      </c>
      <c r="CW28" s="19">
        <f>NETWORKDAYS(CV4+1,CW4,Holidays!$B$3:$B$62)</f>
        <v>20</v>
      </c>
      <c r="CX28" s="19">
        <f>NETWORKDAYS(CW4+1,CX4,Holidays!$B$3:$B$62)</f>
        <v>21</v>
      </c>
      <c r="CY28" s="19">
        <f>NETWORKDAYS(CX4+1,CY4,Holidays!$B$3:$B$62)</f>
        <v>22</v>
      </c>
      <c r="CZ28" s="19">
        <f>NETWORKDAYS(CY4+1,CZ4,Holidays!$B$3:$B$62)</f>
        <v>23</v>
      </c>
      <c r="DA28" s="19">
        <f>NETWORKDAYS(CZ4+1,DA4,Holidays!$B$3:$B$62)</f>
        <v>20</v>
      </c>
      <c r="DB28" s="19">
        <f>NETWORKDAYS(DA4+1,DB4,Holidays!$B$3:$B$62)</f>
        <v>23</v>
      </c>
      <c r="DC28" s="19">
        <f>NETWORKDAYS(DB4+1,DC4,Holidays!$B$3:$B$62)</f>
        <v>22</v>
      </c>
      <c r="DD28" s="19">
        <f>NETWORKDAYS(DC4+1,DD4,Holidays!$B$3:$B$62)</f>
        <v>21</v>
      </c>
      <c r="DE28" s="19">
        <f>NETWORKDAYS(DD4+1,DE4,Holidays!$B$3:$B$62)</f>
        <v>23</v>
      </c>
      <c r="DF28" s="19">
        <f>NETWORKDAYS(DE4+1,DF4,Holidays!$B$3:$B$62)</f>
        <v>21</v>
      </c>
      <c r="DG28" s="20">
        <f>NETWORKDAYS(DF4+1,DG4,Holidays!$B$3:$B$62)</f>
        <v>22</v>
      </c>
    </row>
    <row r="29" spans="1:111" ht="18.75" x14ac:dyDescent="0.25">
      <c r="A29" s="37"/>
      <c r="B29" s="37"/>
      <c r="C29" s="628" t="s">
        <v>222</v>
      </c>
      <c r="D29" s="21"/>
      <c r="E29" s="21">
        <f t="shared" ref="E29:AF29" si="98">+E30/E28/E15</f>
        <v>4.3859649122807015E-3</v>
      </c>
      <c r="F29" s="21">
        <f t="shared" si="98"/>
        <v>5.434782608695652E-3</v>
      </c>
      <c r="G29" s="21">
        <f t="shared" si="98"/>
        <v>6.8027210884353739E-3</v>
      </c>
      <c r="H29" s="21">
        <f t="shared" si="98"/>
        <v>4.7619047619047615E-3</v>
      </c>
      <c r="I29" s="21">
        <f t="shared" si="98"/>
        <v>3.4965034965034965E-3</v>
      </c>
      <c r="J29" s="21">
        <f t="shared" si="98"/>
        <v>4.5454545454545461E-3</v>
      </c>
      <c r="K29" s="21">
        <f t="shared" si="98"/>
        <v>6.5217391304347824E-2</v>
      </c>
      <c r="L29" s="21">
        <f t="shared" si="98"/>
        <v>0.10846560846560846</v>
      </c>
      <c r="M29" s="21">
        <f t="shared" si="98"/>
        <v>0.16036414565826332</v>
      </c>
      <c r="N29" s="21">
        <f t="shared" si="98"/>
        <v>0.13419913419913421</v>
      </c>
      <c r="O29" s="21">
        <f t="shared" si="98"/>
        <v>0.10204081632653061</v>
      </c>
      <c r="P29" s="21">
        <f t="shared" si="98"/>
        <v>0.10448412698412697</v>
      </c>
      <c r="Q29" s="21">
        <f t="shared" si="98"/>
        <v>0.1118421052631579</v>
      </c>
      <c r="R29" s="21">
        <f t="shared" si="98"/>
        <v>8.5869565217391308E-2</v>
      </c>
      <c r="S29" s="21">
        <f t="shared" si="98"/>
        <v>0.13035714285714287</v>
      </c>
      <c r="T29" s="21">
        <f t="shared" si="98"/>
        <v>0.20833333333333334</v>
      </c>
      <c r="U29" s="21">
        <f t="shared" si="98"/>
        <v>0.1571969696969697</v>
      </c>
      <c r="V29" s="21">
        <f t="shared" si="98"/>
        <v>2.1500000000000002E-2</v>
      </c>
      <c r="W29" s="21">
        <f t="shared" si="98"/>
        <v>2.8309997543601081E-2</v>
      </c>
      <c r="X29" s="21">
        <f t="shared" si="98"/>
        <v>3.2264397905759162E-2</v>
      </c>
      <c r="Y29" s="21">
        <f t="shared" si="98"/>
        <v>2.8827751196172251E-2</v>
      </c>
      <c r="Z29" s="21">
        <f t="shared" si="98"/>
        <v>3.2247340425531915E-2</v>
      </c>
      <c r="AA29" s="21">
        <f t="shared" si="98"/>
        <v>3.2926519196542083E-2</v>
      </c>
      <c r="AB29" s="21">
        <f t="shared" si="98"/>
        <v>9.12483039348711E-2</v>
      </c>
      <c r="AC29" s="21">
        <f t="shared" si="98"/>
        <v>9.9742599742599747E-2</v>
      </c>
      <c r="AD29" s="21">
        <f t="shared" si="98"/>
        <v>0.11363636363636363</v>
      </c>
      <c r="AE29" s="21">
        <f t="shared" si="98"/>
        <v>0.10300116550116549</v>
      </c>
      <c r="AF29" s="21">
        <f t="shared" si="98"/>
        <v>9.5440084835630962E-2</v>
      </c>
      <c r="AG29" s="21">
        <f t="shared" ref="AG29:AL29" si="99">+AG30/AG28/AG15</f>
        <v>0.105</v>
      </c>
      <c r="AH29" s="21">
        <f t="shared" si="99"/>
        <v>9.8484848484848481E-2</v>
      </c>
      <c r="AI29" s="21">
        <f t="shared" si="99"/>
        <v>0.10165847665847666</v>
      </c>
      <c r="AJ29" s="21">
        <f t="shared" si="99"/>
        <v>9.2013888888888895E-2</v>
      </c>
      <c r="AK29" s="21">
        <f t="shared" si="99"/>
        <v>9.5276435856146008E-2</v>
      </c>
      <c r="AL29" s="21">
        <f t="shared" si="99"/>
        <v>0.11894736842105263</v>
      </c>
      <c r="AM29" s="21">
        <f t="shared" ref="AM29:AT29" si="100">+AM30/AM28/AM15</f>
        <v>0.11647972389991372</v>
      </c>
      <c r="AN29" s="21">
        <f t="shared" si="100"/>
        <v>9.1238471673254273E-2</v>
      </c>
      <c r="AO29" s="21">
        <f t="shared" si="100"/>
        <v>0.10416666666666667</v>
      </c>
      <c r="AP29" s="21">
        <f t="shared" si="100"/>
        <v>0.10889355742296919</v>
      </c>
      <c r="AQ29" s="21">
        <f t="shared" si="100"/>
        <v>9.4650776053215077E-2</v>
      </c>
      <c r="AR29" s="21">
        <f t="shared" si="100"/>
        <v>9.2415115005476459E-2</v>
      </c>
      <c r="AS29" s="21">
        <f t="shared" si="100"/>
        <v>8.9285714285714288E-2</v>
      </c>
      <c r="AT29" s="21">
        <f t="shared" si="100"/>
        <v>8.7320574162679424E-2</v>
      </c>
      <c r="AU29" s="21">
        <f t="shared" ref="AU29:AV29" si="101">+AU30/AU28/AU15</f>
        <v>9.8401826484018254E-2</v>
      </c>
      <c r="AV29" s="21">
        <f t="shared" si="101"/>
        <v>9.0909090909090912E-2</v>
      </c>
      <c r="AW29" s="584">
        <f t="shared" ref="AW29" si="102">+AW30/AW28/AW15</f>
        <v>8.4541062801932368E-2</v>
      </c>
      <c r="AX29" s="540">
        <f>+AL29</f>
        <v>0.11894736842105263</v>
      </c>
      <c r="AY29" s="24">
        <f t="shared" ref="AY29:CT29" si="103">+AM29</f>
        <v>0.11647972389991372</v>
      </c>
      <c r="AZ29" s="23">
        <f t="shared" si="103"/>
        <v>9.1238471673254273E-2</v>
      </c>
      <c r="BA29" s="23">
        <f t="shared" si="103"/>
        <v>0.10416666666666667</v>
      </c>
      <c r="BB29" s="23">
        <f t="shared" si="103"/>
        <v>0.10889355742296919</v>
      </c>
      <c r="BC29" s="23">
        <f t="shared" si="103"/>
        <v>9.4650776053215077E-2</v>
      </c>
      <c r="BD29" s="23">
        <f t="shared" si="103"/>
        <v>9.2415115005476459E-2</v>
      </c>
      <c r="BE29" s="23">
        <f t="shared" si="103"/>
        <v>8.9285714285714288E-2</v>
      </c>
      <c r="BF29" s="23">
        <f t="shared" si="103"/>
        <v>8.7320574162679424E-2</v>
      </c>
      <c r="BG29" s="23">
        <f t="shared" si="103"/>
        <v>9.8401826484018254E-2</v>
      </c>
      <c r="BH29" s="23">
        <f t="shared" si="103"/>
        <v>9.0909090909090912E-2</v>
      </c>
      <c r="BI29" s="23">
        <f t="shared" si="103"/>
        <v>8.4541062801932368E-2</v>
      </c>
      <c r="BJ29" s="23">
        <f t="shared" si="103"/>
        <v>0.11894736842105263</v>
      </c>
      <c r="BK29" s="273">
        <f t="shared" si="103"/>
        <v>0.11647972389991372</v>
      </c>
      <c r="BL29" s="23">
        <f t="shared" si="103"/>
        <v>9.1238471673254273E-2</v>
      </c>
      <c r="BM29" s="23">
        <f t="shared" si="103"/>
        <v>0.10416666666666667</v>
      </c>
      <c r="BN29" s="23">
        <f t="shared" si="103"/>
        <v>0.10889355742296919</v>
      </c>
      <c r="BO29" s="23">
        <f t="shared" si="103"/>
        <v>9.4650776053215077E-2</v>
      </c>
      <c r="BP29" s="23">
        <f t="shared" si="103"/>
        <v>9.2415115005476459E-2</v>
      </c>
      <c r="BQ29" s="23">
        <f t="shared" si="103"/>
        <v>8.9285714285714288E-2</v>
      </c>
      <c r="BR29" s="23">
        <f t="shared" si="103"/>
        <v>8.7320574162679424E-2</v>
      </c>
      <c r="BS29" s="23">
        <f t="shared" si="103"/>
        <v>9.8401826484018254E-2</v>
      </c>
      <c r="BT29" s="23">
        <f t="shared" si="103"/>
        <v>9.0909090909090912E-2</v>
      </c>
      <c r="BU29" s="23">
        <f t="shared" si="103"/>
        <v>8.4541062801932368E-2</v>
      </c>
      <c r="BV29" s="23">
        <f t="shared" si="103"/>
        <v>0.11894736842105263</v>
      </c>
      <c r="BW29" s="273">
        <f t="shared" si="103"/>
        <v>0.11647972389991372</v>
      </c>
      <c r="BX29" s="23">
        <f t="shared" si="103"/>
        <v>9.1238471673254273E-2</v>
      </c>
      <c r="BY29" s="23">
        <f t="shared" si="103"/>
        <v>0.10416666666666667</v>
      </c>
      <c r="BZ29" s="23">
        <f t="shared" si="103"/>
        <v>0.10889355742296919</v>
      </c>
      <c r="CA29" s="23">
        <f t="shared" si="103"/>
        <v>9.4650776053215077E-2</v>
      </c>
      <c r="CB29" s="23">
        <f t="shared" si="103"/>
        <v>9.2415115005476459E-2</v>
      </c>
      <c r="CC29" s="23">
        <f t="shared" si="103"/>
        <v>8.9285714285714288E-2</v>
      </c>
      <c r="CD29" s="23">
        <f t="shared" si="103"/>
        <v>8.7320574162679424E-2</v>
      </c>
      <c r="CE29" s="23">
        <f t="shared" si="103"/>
        <v>9.8401826484018254E-2</v>
      </c>
      <c r="CF29" s="23">
        <f t="shared" si="103"/>
        <v>9.0909090909090912E-2</v>
      </c>
      <c r="CG29" s="23">
        <f t="shared" si="103"/>
        <v>8.4541062801932368E-2</v>
      </c>
      <c r="CH29" s="23">
        <f t="shared" si="103"/>
        <v>0.11894736842105263</v>
      </c>
      <c r="CI29" s="273">
        <f t="shared" si="103"/>
        <v>0.11647972389991372</v>
      </c>
      <c r="CJ29" s="23">
        <f t="shared" si="103"/>
        <v>9.1238471673254273E-2</v>
      </c>
      <c r="CK29" s="23">
        <f t="shared" si="103"/>
        <v>0.10416666666666667</v>
      </c>
      <c r="CL29" s="23">
        <f t="shared" si="103"/>
        <v>0.10889355742296919</v>
      </c>
      <c r="CM29" s="23">
        <f t="shared" si="103"/>
        <v>9.4650776053215077E-2</v>
      </c>
      <c r="CN29" s="23">
        <f t="shared" si="103"/>
        <v>9.2415115005476459E-2</v>
      </c>
      <c r="CO29" s="23">
        <f t="shared" si="103"/>
        <v>8.9285714285714288E-2</v>
      </c>
      <c r="CP29" s="23">
        <f t="shared" si="103"/>
        <v>8.7320574162679424E-2</v>
      </c>
      <c r="CQ29" s="23">
        <f t="shared" si="103"/>
        <v>9.8401826484018254E-2</v>
      </c>
      <c r="CR29" s="23">
        <f t="shared" si="103"/>
        <v>9.0909090909090912E-2</v>
      </c>
      <c r="CS29" s="23">
        <f t="shared" si="103"/>
        <v>8.4541062801932368E-2</v>
      </c>
      <c r="CT29" s="23">
        <f t="shared" si="103"/>
        <v>0.11894736842105263</v>
      </c>
      <c r="CU29" s="273">
        <f t="shared" ref="CU29:DG29" si="104">+CI29</f>
        <v>0.11647972389991372</v>
      </c>
      <c r="CV29" s="23">
        <f t="shared" si="104"/>
        <v>9.1238471673254273E-2</v>
      </c>
      <c r="CW29" s="23">
        <f t="shared" si="104"/>
        <v>0.10416666666666667</v>
      </c>
      <c r="CX29" s="23">
        <f t="shared" si="104"/>
        <v>0.10889355742296919</v>
      </c>
      <c r="CY29" s="23">
        <f t="shared" si="104"/>
        <v>9.4650776053215077E-2</v>
      </c>
      <c r="CZ29" s="23">
        <f t="shared" si="104"/>
        <v>9.2415115005476459E-2</v>
      </c>
      <c r="DA29" s="23">
        <f t="shared" si="104"/>
        <v>8.9285714285714288E-2</v>
      </c>
      <c r="DB29" s="23">
        <f t="shared" si="104"/>
        <v>8.7320574162679424E-2</v>
      </c>
      <c r="DC29" s="23">
        <f t="shared" si="104"/>
        <v>9.8401826484018254E-2</v>
      </c>
      <c r="DD29" s="23">
        <f t="shared" si="104"/>
        <v>9.0909090909090912E-2</v>
      </c>
      <c r="DE29" s="23">
        <f t="shared" si="104"/>
        <v>8.4541062801932368E-2</v>
      </c>
      <c r="DF29" s="23">
        <f t="shared" si="104"/>
        <v>0.11894736842105263</v>
      </c>
      <c r="DG29" s="24">
        <f t="shared" si="104"/>
        <v>0.11647972389991372</v>
      </c>
    </row>
    <row r="30" spans="1:111" ht="18.75" x14ac:dyDescent="0.25">
      <c r="A30" s="37"/>
      <c r="B30" s="37"/>
      <c r="C30" s="628" t="s">
        <v>245</v>
      </c>
      <c r="D30" s="15"/>
      <c r="E30" s="15">
        <v>1</v>
      </c>
      <c r="F30" s="15">
        <v>1</v>
      </c>
      <c r="G30" s="15">
        <v>1</v>
      </c>
      <c r="H30" s="15">
        <v>1</v>
      </c>
      <c r="I30" s="15">
        <v>1</v>
      </c>
      <c r="J30" s="15">
        <v>1</v>
      </c>
      <c r="K30" s="50">
        <v>7.5</v>
      </c>
      <c r="L30" s="50">
        <f>20.5</f>
        <v>20.5</v>
      </c>
      <c r="M30" s="50">
        <v>57.25</v>
      </c>
      <c r="N30" s="50">
        <v>31</v>
      </c>
      <c r="O30" s="50">
        <v>15</v>
      </c>
      <c r="P30" s="50">
        <v>26.33</v>
      </c>
      <c r="Q30" s="50">
        <v>21.25</v>
      </c>
      <c r="R30" s="50">
        <v>19.75</v>
      </c>
      <c r="S30" s="50">
        <v>18.25</v>
      </c>
      <c r="T30" s="50">
        <v>41.25</v>
      </c>
      <c r="U30" s="50">
        <v>41.5</v>
      </c>
      <c r="V30" s="50">
        <v>32.25</v>
      </c>
      <c r="W30" s="50">
        <v>115.25</v>
      </c>
      <c r="X30" s="50">
        <v>123.25</v>
      </c>
      <c r="Y30" s="50">
        <v>120.5</v>
      </c>
      <c r="Z30" s="50">
        <v>121.25</v>
      </c>
      <c r="AA30" s="50">
        <v>129.5</v>
      </c>
      <c r="AB30" s="50">
        <v>134.5</v>
      </c>
      <c r="AC30" s="50">
        <v>155</v>
      </c>
      <c r="AD30" s="50">
        <v>183.75</v>
      </c>
      <c r="AE30" s="50">
        <v>176.75</v>
      </c>
      <c r="AF30" s="50">
        <v>180</v>
      </c>
      <c r="AG30" s="50">
        <v>157.5</v>
      </c>
      <c r="AH30" s="50">
        <v>143</v>
      </c>
      <c r="AI30" s="50">
        <v>165.5</v>
      </c>
      <c r="AJ30" s="50">
        <v>92.75</v>
      </c>
      <c r="AK30" s="50">
        <v>177.5</v>
      </c>
      <c r="AL30" s="50">
        <v>113</v>
      </c>
      <c r="AM30" s="50">
        <v>135</v>
      </c>
      <c r="AN30" s="50">
        <v>138.5</v>
      </c>
      <c r="AO30" s="50">
        <v>143.75</v>
      </c>
      <c r="AP30" s="50">
        <v>155.5</v>
      </c>
      <c r="AQ30" s="50">
        <v>170.75</v>
      </c>
      <c r="AR30" s="50">
        <v>168.75</v>
      </c>
      <c r="AS30" s="50">
        <v>135</v>
      </c>
      <c r="AT30" s="50">
        <v>146</v>
      </c>
      <c r="AU30" s="50">
        <v>150.85</v>
      </c>
      <c r="AV30" s="50">
        <v>124</v>
      </c>
      <c r="AW30" s="576">
        <v>140</v>
      </c>
      <c r="AX30" s="25">
        <f>+AX15*AX28*AX29</f>
        <v>103.42507168266549</v>
      </c>
      <c r="AY30" s="26">
        <f t="shared" ref="AY30:BL30" si="105">+AY15*AY28*AY29</f>
        <v>146.3127543919714</v>
      </c>
      <c r="AZ30" s="25">
        <f t="shared" si="105"/>
        <v>131.6354167558722</v>
      </c>
      <c r="BA30" s="25">
        <f t="shared" si="105"/>
        <v>154.35443098706224</v>
      </c>
      <c r="BB30" s="25">
        <f t="shared" si="105"/>
        <v>171.15111259985869</v>
      </c>
      <c r="BC30" s="25">
        <f t="shared" si="105"/>
        <v>205.91251849739464</v>
      </c>
      <c r="BD30" s="25">
        <f t="shared" si="105"/>
        <v>193.31673163568337</v>
      </c>
      <c r="BE30" s="25">
        <f t="shared" si="105"/>
        <v>196.27966771707682</v>
      </c>
      <c r="BF30" s="25">
        <f t="shared" si="105"/>
        <v>187.40920466021942</v>
      </c>
      <c r="BG30" s="25">
        <f t="shared" si="105"/>
        <v>199.69252428597559</v>
      </c>
      <c r="BH30" s="25">
        <f t="shared" si="105"/>
        <v>138.962095982861</v>
      </c>
      <c r="BI30" s="25">
        <f t="shared" si="105"/>
        <v>150.63726930010847</v>
      </c>
      <c r="BJ30" s="25">
        <f t="shared" si="105"/>
        <v>141.20089573697237</v>
      </c>
      <c r="BK30" s="274">
        <f t="shared" si="105"/>
        <v>180.27821523296473</v>
      </c>
      <c r="BL30" s="25">
        <f t="shared" si="105"/>
        <v>139.83850357716923</v>
      </c>
      <c r="BM30" s="25">
        <f t="shared" ref="BM30:CR30" si="106">+BM15*BM28*BM29</f>
        <v>168.17721585157528</v>
      </c>
      <c r="BN30" s="25">
        <f t="shared" si="106"/>
        <v>191.71147352906252</v>
      </c>
      <c r="BO30" s="25">
        <f t="shared" si="106"/>
        <v>215.2721784290944</v>
      </c>
      <c r="BP30" s="25">
        <f t="shared" si="106"/>
        <v>203.0802029304148</v>
      </c>
      <c r="BQ30" s="25">
        <f t="shared" si="106"/>
        <v>204.90734541892635</v>
      </c>
      <c r="BR30" s="25">
        <f t="shared" si="106"/>
        <v>185.44239141790828</v>
      </c>
      <c r="BS30" s="25">
        <f t="shared" si="106"/>
        <v>216.67318111301432</v>
      </c>
      <c r="BT30" s="25">
        <f t="shared" si="106"/>
        <v>143.3046614823254</v>
      </c>
      <c r="BU30" s="25">
        <f t="shared" si="106"/>
        <v>150.04186507362581</v>
      </c>
      <c r="BV30" s="25">
        <f t="shared" si="106"/>
        <v>150.61428878610386</v>
      </c>
      <c r="BW30" s="274">
        <f t="shared" si="106"/>
        <v>186.00133317686837</v>
      </c>
      <c r="BX30" s="25">
        <f t="shared" si="106"/>
        <v>143.89179353592775</v>
      </c>
      <c r="BY30" s="25">
        <f t="shared" si="106"/>
        <v>181.42405134673362</v>
      </c>
      <c r="BZ30" s="25">
        <f t="shared" si="106"/>
        <v>196.82377948983748</v>
      </c>
      <c r="CA30" s="25">
        <f t="shared" si="106"/>
        <v>202.08356670715384</v>
      </c>
      <c r="CB30" s="25">
        <f t="shared" si="106"/>
        <v>228.83717006032549</v>
      </c>
      <c r="CC30" s="25">
        <f t="shared" si="106"/>
        <v>209.22118426985114</v>
      </c>
      <c r="CD30" s="25">
        <f t="shared" si="106"/>
        <v>180.94681829262569</v>
      </c>
      <c r="CE30" s="25">
        <f t="shared" si="106"/>
        <v>231.72936349965534</v>
      </c>
      <c r="CF30" s="25">
        <f t="shared" si="106"/>
        <v>138.8634013124186</v>
      </c>
      <c r="CG30" s="25">
        <f t="shared" si="106"/>
        <v>159.36986462185391</v>
      </c>
      <c r="CH30" s="25">
        <f t="shared" si="106"/>
        <v>153.3038296572843</v>
      </c>
      <c r="CI30" s="274">
        <f t="shared" si="106"/>
        <v>175.05275971896575</v>
      </c>
      <c r="CJ30" s="25">
        <f t="shared" si="106"/>
        <v>162.03509144656118</v>
      </c>
      <c r="CK30" s="25">
        <f t="shared" si="106"/>
        <v>177.39240576125061</v>
      </c>
      <c r="CL30" s="25">
        <f t="shared" si="106"/>
        <v>193.15625564841196</v>
      </c>
      <c r="CM30" s="25">
        <f t="shared" si="106"/>
        <v>218.88841067543294</v>
      </c>
      <c r="CN30" s="25">
        <f t="shared" si="106"/>
        <v>237.39183062332833</v>
      </c>
      <c r="CO30" s="25">
        <f t="shared" si="106"/>
        <v>207.94664097298698</v>
      </c>
      <c r="CP30" s="25">
        <f t="shared" si="106"/>
        <v>197.80521751243549</v>
      </c>
      <c r="CQ30" s="25">
        <f t="shared" si="106"/>
        <v>239.54046564009315</v>
      </c>
      <c r="CR30" s="25">
        <f t="shared" si="106"/>
        <v>136.19864521047455</v>
      </c>
      <c r="CS30" s="25">
        <f t="shared" ref="CS30:DG30" si="107">+CS15*CS28*CS29</f>
        <v>173.46109798194308</v>
      </c>
      <c r="CT30" s="25">
        <f t="shared" si="107"/>
        <v>158.68291139964515</v>
      </c>
      <c r="CU30" s="274">
        <f t="shared" si="107"/>
        <v>180.27821523296473</v>
      </c>
      <c r="CV30" s="25">
        <f t="shared" si="107"/>
        <v>168.69406780737876</v>
      </c>
      <c r="CW30" s="25">
        <f t="shared" si="107"/>
        <v>184.30379819350713</v>
      </c>
      <c r="CX30" s="25">
        <f t="shared" si="107"/>
        <v>191.37806227075106</v>
      </c>
      <c r="CY30" s="25">
        <f t="shared" si="107"/>
        <v>238.67132825834378</v>
      </c>
      <c r="CZ30" s="25">
        <f t="shared" si="107"/>
        <v>245.94649118633117</v>
      </c>
      <c r="DA30" s="25">
        <f t="shared" si="107"/>
        <v>203.92692749826162</v>
      </c>
      <c r="DB30" s="25">
        <f t="shared" si="107"/>
        <v>211.10462134139658</v>
      </c>
      <c r="DC30" s="25">
        <f t="shared" si="107"/>
        <v>234.10665545544074</v>
      </c>
      <c r="DD30" s="25">
        <f t="shared" si="107"/>
        <v>145.08116555028815</v>
      </c>
      <c r="DE30" s="25">
        <f t="shared" si="107"/>
        <v>178.02586371831001</v>
      </c>
      <c r="DF30" s="25">
        <f t="shared" si="107"/>
        <v>154.03734080396987</v>
      </c>
      <c r="DG30" s="26">
        <f t="shared" si="107"/>
        <v>194.33717887777152</v>
      </c>
    </row>
    <row r="31" spans="1:111" ht="18.75" x14ac:dyDescent="0.25">
      <c r="A31" s="37"/>
      <c r="B31" s="37"/>
      <c r="C31" s="628" t="s">
        <v>244</v>
      </c>
      <c r="D31" s="15"/>
      <c r="E31" s="15"/>
      <c r="F31" s="15"/>
      <c r="G31" s="15"/>
      <c r="H31" s="15"/>
      <c r="I31" s="15"/>
      <c r="J31" s="15"/>
      <c r="K31" s="50"/>
      <c r="L31" s="50">
        <v>3.75</v>
      </c>
      <c r="M31" s="50">
        <v>14.75</v>
      </c>
      <c r="N31" s="50">
        <v>13.5</v>
      </c>
      <c r="O31" s="50">
        <v>14</v>
      </c>
      <c r="P31" s="50">
        <v>14</v>
      </c>
      <c r="Q31" s="50">
        <v>14</v>
      </c>
      <c r="R31" s="50">
        <v>5.5</v>
      </c>
      <c r="S31" s="50">
        <v>4.5</v>
      </c>
      <c r="T31" s="50">
        <v>5</v>
      </c>
      <c r="U31" s="50">
        <v>25.75</v>
      </c>
      <c r="V31" s="50">
        <v>11.75</v>
      </c>
      <c r="W31" s="50">
        <v>26.75</v>
      </c>
      <c r="X31" s="50">
        <v>33.75</v>
      </c>
      <c r="Y31" s="50">
        <v>32.5</v>
      </c>
      <c r="Z31" s="50">
        <v>31.5</v>
      </c>
      <c r="AA31" s="50">
        <v>10.75</v>
      </c>
      <c r="AB31" s="50">
        <v>7.75</v>
      </c>
      <c r="AC31" s="50">
        <v>16</v>
      </c>
      <c r="AD31" s="50">
        <v>19.75</v>
      </c>
      <c r="AE31" s="50">
        <v>23.75</v>
      </c>
      <c r="AF31" s="50">
        <v>21</v>
      </c>
      <c r="AG31" s="50">
        <v>14.5</v>
      </c>
      <c r="AH31" s="50">
        <v>31.75</v>
      </c>
      <c r="AI31" s="50">
        <v>33</v>
      </c>
      <c r="AJ31" s="50">
        <v>11.5</v>
      </c>
      <c r="AK31" s="50">
        <v>21.5</v>
      </c>
      <c r="AL31" s="50">
        <v>11.25</v>
      </c>
      <c r="AM31" s="50">
        <v>11.25</v>
      </c>
      <c r="AN31" s="50">
        <v>11</v>
      </c>
      <c r="AO31" s="50">
        <v>14.25</v>
      </c>
      <c r="AP31" s="50">
        <v>6.25</v>
      </c>
      <c r="AQ31" s="50">
        <v>15</v>
      </c>
      <c r="AR31" s="50">
        <v>12.5</v>
      </c>
      <c r="AS31" s="50">
        <v>8</v>
      </c>
      <c r="AT31" s="50">
        <v>26</v>
      </c>
      <c r="AU31" s="50">
        <v>20</v>
      </c>
      <c r="AV31" s="50">
        <v>11.25</v>
      </c>
      <c r="AW31" s="576">
        <v>6.25</v>
      </c>
      <c r="AX31" s="25">
        <f>+AX33*(AX21-AX15)</f>
        <v>11.908231326627599</v>
      </c>
      <c r="AY31" s="26">
        <f t="shared" ref="AY31:BL31" si="108">+AY33*(AY21-AY15)</f>
        <v>7.9893832257300366</v>
      </c>
      <c r="AZ31" s="25">
        <f t="shared" si="108"/>
        <v>8.6198389913939302</v>
      </c>
      <c r="BA31" s="25">
        <f t="shared" si="108"/>
        <v>9.4505843996860968</v>
      </c>
      <c r="BB31" s="25">
        <f t="shared" si="108"/>
        <v>10.676943225745074</v>
      </c>
      <c r="BC31" s="25">
        <f t="shared" si="108"/>
        <v>10.295358045927196</v>
      </c>
      <c r="BD31" s="25">
        <f t="shared" si="108"/>
        <v>14.25025006254678</v>
      </c>
      <c r="BE31" s="25">
        <f t="shared" si="108"/>
        <v>14.354687284510796</v>
      </c>
      <c r="BF31" s="25">
        <f t="shared" si="108"/>
        <v>14.399826215660218</v>
      </c>
      <c r="BG31" s="25">
        <f t="shared" si="108"/>
        <v>13.447238072805851</v>
      </c>
      <c r="BH31" s="25">
        <f t="shared" si="108"/>
        <v>13.925985780358577</v>
      </c>
      <c r="BI31" s="25">
        <f t="shared" si="108"/>
        <v>10.012740374078192</v>
      </c>
      <c r="BJ31" s="25">
        <f t="shared" si="108"/>
        <v>11.671552965250921</v>
      </c>
      <c r="BK31" s="274">
        <f t="shared" si="108"/>
        <v>8.1461033131936542</v>
      </c>
      <c r="BL31" s="25">
        <f t="shared" si="108"/>
        <v>6.0608242908238656</v>
      </c>
      <c r="BM31" s="25">
        <f t="shared" ref="BM31:CR31" si="109">+BM33*(BM21-BM15)</f>
        <v>6.5734911651042385</v>
      </c>
      <c r="BN31" s="25">
        <f t="shared" si="109"/>
        <v>7.2706796220092471</v>
      </c>
      <c r="BO31" s="25">
        <f t="shared" si="109"/>
        <v>6.8942129771833907</v>
      </c>
      <c r="BP31" s="25">
        <f t="shared" si="109"/>
        <v>9.3112429385959015</v>
      </c>
      <c r="BQ31" s="25">
        <f t="shared" si="109"/>
        <v>9.424794681749523</v>
      </c>
      <c r="BR31" s="25">
        <f t="shared" si="109"/>
        <v>9.3954910060969858</v>
      </c>
      <c r="BS31" s="25">
        <f t="shared" si="109"/>
        <v>8.6943349608658682</v>
      </c>
      <c r="BT31" s="25">
        <f t="shared" si="109"/>
        <v>9.0145890096071017</v>
      </c>
      <c r="BU31" s="25">
        <f t="shared" si="109"/>
        <v>6.453524069230081</v>
      </c>
      <c r="BV31" s="25">
        <f t="shared" si="109"/>
        <v>7.6118823686419006</v>
      </c>
      <c r="BW31" s="274">
        <f t="shared" si="109"/>
        <v>5.1838839265777867</v>
      </c>
      <c r="BX31" s="25">
        <f t="shared" si="109"/>
        <v>3.7519388467004897</v>
      </c>
      <c r="BY31" s="25">
        <f t="shared" si="109"/>
        <v>4.058416284542627</v>
      </c>
      <c r="BZ31" s="25">
        <f t="shared" si="109"/>
        <v>4.481925794389265</v>
      </c>
      <c r="CA31" s="25">
        <f t="shared" si="109"/>
        <v>4.2468351939449587</v>
      </c>
      <c r="CB31" s="25">
        <f t="shared" si="109"/>
        <v>5.7689222554344326</v>
      </c>
      <c r="CC31" s="25">
        <f t="shared" si="109"/>
        <v>5.8179982554646053</v>
      </c>
      <c r="CD31" s="25">
        <f t="shared" si="109"/>
        <v>5.7559744900509795</v>
      </c>
      <c r="CE31" s="25">
        <f t="shared" si="109"/>
        <v>5.3325254426643802</v>
      </c>
      <c r="CF31" s="25">
        <f t="shared" si="109"/>
        <v>5.5330925645174567</v>
      </c>
      <c r="CG31" s="25">
        <f t="shared" si="109"/>
        <v>3.9307828421674285</v>
      </c>
      <c r="CH31" s="25">
        <f t="shared" si="109"/>
        <v>4.6305617742571554</v>
      </c>
      <c r="CI31" s="274">
        <f t="shared" si="109"/>
        <v>3.1658719694457229</v>
      </c>
      <c r="CJ31" s="25">
        <f t="shared" si="109"/>
        <v>3.8673831189066594</v>
      </c>
      <c r="CK31" s="25">
        <f t="shared" si="109"/>
        <v>4.1727378700226954</v>
      </c>
      <c r="CL31" s="25">
        <f t="shared" si="109"/>
        <v>4.6014438155729724</v>
      </c>
      <c r="CM31" s="25">
        <f t="shared" si="109"/>
        <v>4.3571426015799046</v>
      </c>
      <c r="CN31" s="25">
        <f t="shared" si="109"/>
        <v>5.9510987477113089</v>
      </c>
      <c r="CO31" s="25">
        <f t="shared" si="109"/>
        <v>6.0354935173511413</v>
      </c>
      <c r="CP31" s="25">
        <f t="shared" si="109"/>
        <v>5.9933342628366058</v>
      </c>
      <c r="CQ31" s="25">
        <f t="shared" si="109"/>
        <v>5.5643743749541548</v>
      </c>
      <c r="CR31" s="25">
        <f t="shared" si="109"/>
        <v>5.7196013026472743</v>
      </c>
      <c r="CS31" s="25">
        <f t="shared" ref="CS31:DG31" si="110">+CS33*(CS21-CS15)</f>
        <v>4.0481196434261468</v>
      </c>
      <c r="CT31" s="25">
        <f t="shared" si="110"/>
        <v>4.820858833473209</v>
      </c>
      <c r="CU31" s="274">
        <f t="shared" si="110"/>
        <v>3.2769551964438102</v>
      </c>
      <c r="CV31" s="25">
        <f t="shared" si="110"/>
        <v>3.9828273911128296</v>
      </c>
      <c r="CW31" s="25">
        <f t="shared" si="110"/>
        <v>4.3442202482428112</v>
      </c>
      <c r="CX31" s="25">
        <f t="shared" si="110"/>
        <v>4.7807208473485323</v>
      </c>
      <c r="CY31" s="25">
        <f t="shared" si="110"/>
        <v>4.5226037130322965</v>
      </c>
      <c r="CZ31" s="25">
        <f t="shared" si="110"/>
        <v>6.19400073741381</v>
      </c>
      <c r="DA31" s="25">
        <f t="shared" si="110"/>
        <v>6.2529887792376515</v>
      </c>
      <c r="DB31" s="25">
        <f t="shared" si="110"/>
        <v>6.1713540924257995</v>
      </c>
      <c r="DC31" s="25">
        <f t="shared" si="110"/>
        <v>5.6802988410990292</v>
      </c>
      <c r="DD31" s="25">
        <f t="shared" si="110"/>
        <v>5.8439404614004609</v>
      </c>
      <c r="DE31" s="25">
        <f t="shared" si="110"/>
        <v>4.1067880440555058</v>
      </c>
      <c r="DF31" s="25">
        <f t="shared" si="110"/>
        <v>4.9477235396172317</v>
      </c>
      <c r="DG31" s="26">
        <f t="shared" si="110"/>
        <v>3.3324968099428665</v>
      </c>
    </row>
    <row r="32" spans="1:111" s="3" customFormat="1" ht="18.75" x14ac:dyDescent="0.25">
      <c r="A32" s="37"/>
      <c r="B32" s="37"/>
      <c r="C32" s="628" t="s">
        <v>49</v>
      </c>
      <c r="D32" s="27"/>
      <c r="E32" s="27">
        <f t="shared" ref="E32:AW32" si="111">+E13/(E30+E31)</f>
        <v>0</v>
      </c>
      <c r="F32" s="27">
        <f t="shared" si="111"/>
        <v>0</v>
      </c>
      <c r="G32" s="27">
        <f t="shared" si="111"/>
        <v>0</v>
      </c>
      <c r="H32" s="27">
        <f t="shared" si="111"/>
        <v>0</v>
      </c>
      <c r="I32" s="27">
        <f t="shared" si="111"/>
        <v>0</v>
      </c>
      <c r="J32" s="27">
        <f t="shared" si="111"/>
        <v>0</v>
      </c>
      <c r="K32" s="27">
        <f t="shared" si="111"/>
        <v>0</v>
      </c>
      <c r="L32" s="27">
        <f t="shared" si="111"/>
        <v>0</v>
      </c>
      <c r="M32" s="27">
        <f t="shared" si="111"/>
        <v>0</v>
      </c>
      <c r="N32" s="27">
        <f t="shared" si="111"/>
        <v>0</v>
      </c>
      <c r="O32" s="27">
        <f t="shared" si="111"/>
        <v>0</v>
      </c>
      <c r="P32" s="27">
        <f t="shared" si="111"/>
        <v>0</v>
      </c>
      <c r="Q32" s="27">
        <f t="shared" si="111"/>
        <v>0</v>
      </c>
      <c r="R32" s="27">
        <f t="shared" si="111"/>
        <v>0</v>
      </c>
      <c r="S32" s="27">
        <f t="shared" si="111"/>
        <v>0</v>
      </c>
      <c r="T32" s="27">
        <f t="shared" si="111"/>
        <v>0</v>
      </c>
      <c r="U32" s="27">
        <f t="shared" si="111"/>
        <v>0</v>
      </c>
      <c r="V32" s="27">
        <f t="shared" si="111"/>
        <v>0</v>
      </c>
      <c r="W32" s="27">
        <f t="shared" si="111"/>
        <v>0</v>
      </c>
      <c r="X32" s="27">
        <f t="shared" si="111"/>
        <v>0</v>
      </c>
      <c r="Y32" s="27">
        <f t="shared" si="111"/>
        <v>0</v>
      </c>
      <c r="Z32" s="27">
        <f t="shared" si="111"/>
        <v>0</v>
      </c>
      <c r="AA32" s="27">
        <f t="shared" si="111"/>
        <v>0</v>
      </c>
      <c r="AB32" s="27">
        <f t="shared" si="111"/>
        <v>40.270650263620389</v>
      </c>
      <c r="AC32" s="27">
        <f t="shared" si="111"/>
        <v>39.451754385964911</v>
      </c>
      <c r="AD32" s="27">
        <f t="shared" si="111"/>
        <v>37.539312039312037</v>
      </c>
      <c r="AE32" s="27">
        <f t="shared" si="111"/>
        <v>38.987531172069822</v>
      </c>
      <c r="AF32" s="27">
        <f t="shared" si="111"/>
        <v>40.039800995024876</v>
      </c>
      <c r="AG32" s="27">
        <f t="shared" si="111"/>
        <v>41.593023255813954</v>
      </c>
      <c r="AH32" s="27">
        <f t="shared" si="111"/>
        <v>34.423462088698138</v>
      </c>
      <c r="AI32" s="27">
        <f t="shared" si="111"/>
        <v>36.750629722921914</v>
      </c>
      <c r="AJ32" s="27">
        <f t="shared" si="111"/>
        <v>43.529976019184652</v>
      </c>
      <c r="AK32" s="27">
        <f t="shared" si="111"/>
        <v>38.678391959798994</v>
      </c>
      <c r="AL32" s="27">
        <f t="shared" si="111"/>
        <v>39.748490945674043</v>
      </c>
      <c r="AM32" s="27">
        <f t="shared" si="111"/>
        <v>42.064957264957265</v>
      </c>
      <c r="AN32" s="27">
        <f t="shared" si="111"/>
        <v>44.956856187290974</v>
      </c>
      <c r="AO32" s="27">
        <f t="shared" si="111"/>
        <v>41.146455696202537</v>
      </c>
      <c r="AP32" s="27">
        <f t="shared" si="111"/>
        <v>43.947449768160745</v>
      </c>
      <c r="AQ32" s="27">
        <f t="shared" si="111"/>
        <v>42.324360699865409</v>
      </c>
      <c r="AR32" s="27">
        <f t="shared" si="111"/>
        <v>43.462731034482758</v>
      </c>
      <c r="AS32" s="27">
        <f t="shared" si="111"/>
        <v>48.163986013986012</v>
      </c>
      <c r="AT32" s="27">
        <f t="shared" si="111"/>
        <v>43.131104651162794</v>
      </c>
      <c r="AU32" s="27">
        <f t="shared" si="111"/>
        <v>44.795727246122333</v>
      </c>
      <c r="AV32" s="27">
        <f t="shared" si="111"/>
        <v>45.622550831792978</v>
      </c>
      <c r="AW32" s="585">
        <f t="shared" si="111"/>
        <v>47.851282051282048</v>
      </c>
      <c r="AX32" s="541">
        <f>+AVERAGE(AR32:AW32)+3</f>
        <v>48.504563638138158</v>
      </c>
      <c r="AY32" s="29">
        <f t="shared" ref="AY32:CC33" si="112">+AX32</f>
        <v>48.504563638138158</v>
      </c>
      <c r="AZ32" s="22">
        <f t="shared" ref="AZ32:CE32" si="113">+IF(AZ1&lt;&gt;AY1, AY32*1.05, AY32)</f>
        <v>50.929791820045068</v>
      </c>
      <c r="BA32" s="28">
        <f t="shared" si="113"/>
        <v>50.929791820045068</v>
      </c>
      <c r="BB32" s="28">
        <f t="shared" si="113"/>
        <v>50.929791820045068</v>
      </c>
      <c r="BC32" s="28">
        <f t="shared" si="113"/>
        <v>50.929791820045068</v>
      </c>
      <c r="BD32" s="28">
        <f t="shared" si="113"/>
        <v>50.929791820045068</v>
      </c>
      <c r="BE32" s="28">
        <f t="shared" si="113"/>
        <v>50.929791820045068</v>
      </c>
      <c r="BF32" s="28">
        <f t="shared" si="113"/>
        <v>50.929791820045068</v>
      </c>
      <c r="BG32" s="28">
        <f t="shared" si="113"/>
        <v>50.929791820045068</v>
      </c>
      <c r="BH32" s="28">
        <f t="shared" si="113"/>
        <v>50.929791820045068</v>
      </c>
      <c r="BI32" s="28">
        <f t="shared" si="113"/>
        <v>50.929791820045068</v>
      </c>
      <c r="BJ32" s="28">
        <f t="shared" si="113"/>
        <v>50.929791820045068</v>
      </c>
      <c r="BK32" s="275">
        <f t="shared" si="113"/>
        <v>50.929791820045068</v>
      </c>
      <c r="BL32" s="28">
        <f t="shared" si="113"/>
        <v>53.476281411047324</v>
      </c>
      <c r="BM32" s="28">
        <f t="shared" si="113"/>
        <v>53.476281411047324</v>
      </c>
      <c r="BN32" s="28">
        <f t="shared" si="113"/>
        <v>53.476281411047324</v>
      </c>
      <c r="BO32" s="28">
        <f t="shared" si="113"/>
        <v>53.476281411047324</v>
      </c>
      <c r="BP32" s="28">
        <f t="shared" si="113"/>
        <v>53.476281411047324</v>
      </c>
      <c r="BQ32" s="28">
        <f t="shared" si="113"/>
        <v>53.476281411047324</v>
      </c>
      <c r="BR32" s="28">
        <f t="shared" si="113"/>
        <v>53.476281411047324</v>
      </c>
      <c r="BS32" s="28">
        <f t="shared" si="113"/>
        <v>53.476281411047324</v>
      </c>
      <c r="BT32" s="28">
        <f t="shared" si="113"/>
        <v>53.476281411047324</v>
      </c>
      <c r="BU32" s="28">
        <f t="shared" si="113"/>
        <v>53.476281411047324</v>
      </c>
      <c r="BV32" s="28">
        <f t="shared" si="113"/>
        <v>53.476281411047324</v>
      </c>
      <c r="BW32" s="275">
        <f t="shared" si="113"/>
        <v>53.476281411047324</v>
      </c>
      <c r="BX32" s="28">
        <f t="shared" si="113"/>
        <v>56.150095481599692</v>
      </c>
      <c r="BY32" s="28">
        <f t="shared" si="113"/>
        <v>56.150095481599692</v>
      </c>
      <c r="BZ32" s="28">
        <f t="shared" si="113"/>
        <v>56.150095481599692</v>
      </c>
      <c r="CA32" s="28">
        <f t="shared" si="113"/>
        <v>56.150095481599692</v>
      </c>
      <c r="CB32" s="28">
        <f t="shared" si="113"/>
        <v>56.150095481599692</v>
      </c>
      <c r="CC32" s="28">
        <f t="shared" si="113"/>
        <v>56.150095481599692</v>
      </c>
      <c r="CD32" s="28">
        <f t="shared" si="113"/>
        <v>56.150095481599692</v>
      </c>
      <c r="CE32" s="28">
        <f t="shared" si="113"/>
        <v>56.150095481599692</v>
      </c>
      <c r="CF32" s="28">
        <f t="shared" ref="CF32:DG32" si="114">+IF(CF1&lt;&gt;CE1, CE32*1.05, CE32)</f>
        <v>56.150095481599692</v>
      </c>
      <c r="CG32" s="28">
        <f t="shared" si="114"/>
        <v>56.150095481599692</v>
      </c>
      <c r="CH32" s="28">
        <f t="shared" si="114"/>
        <v>56.150095481599692</v>
      </c>
      <c r="CI32" s="275">
        <f t="shared" si="114"/>
        <v>56.150095481599692</v>
      </c>
      <c r="CJ32" s="28">
        <f t="shared" si="114"/>
        <v>58.957600255679679</v>
      </c>
      <c r="CK32" s="28">
        <f t="shared" si="114"/>
        <v>58.957600255679679</v>
      </c>
      <c r="CL32" s="28">
        <f t="shared" si="114"/>
        <v>58.957600255679679</v>
      </c>
      <c r="CM32" s="28">
        <f t="shared" si="114"/>
        <v>58.957600255679679</v>
      </c>
      <c r="CN32" s="28">
        <f t="shared" si="114"/>
        <v>58.957600255679679</v>
      </c>
      <c r="CO32" s="28">
        <f t="shared" si="114"/>
        <v>58.957600255679679</v>
      </c>
      <c r="CP32" s="28">
        <f t="shared" si="114"/>
        <v>58.957600255679679</v>
      </c>
      <c r="CQ32" s="28">
        <f t="shared" si="114"/>
        <v>58.957600255679679</v>
      </c>
      <c r="CR32" s="28">
        <f t="shared" si="114"/>
        <v>58.957600255679679</v>
      </c>
      <c r="CS32" s="28">
        <f t="shared" si="114"/>
        <v>58.957600255679679</v>
      </c>
      <c r="CT32" s="28">
        <f t="shared" si="114"/>
        <v>58.957600255679679</v>
      </c>
      <c r="CU32" s="275">
        <f t="shared" si="114"/>
        <v>58.957600255679679</v>
      </c>
      <c r="CV32" s="28">
        <f t="shared" si="114"/>
        <v>61.905480268463663</v>
      </c>
      <c r="CW32" s="28">
        <f t="shared" si="114"/>
        <v>61.905480268463663</v>
      </c>
      <c r="CX32" s="28">
        <f t="shared" si="114"/>
        <v>61.905480268463663</v>
      </c>
      <c r="CY32" s="28">
        <f t="shared" si="114"/>
        <v>61.905480268463663</v>
      </c>
      <c r="CZ32" s="28">
        <f t="shared" si="114"/>
        <v>61.905480268463663</v>
      </c>
      <c r="DA32" s="28">
        <f t="shared" si="114"/>
        <v>61.905480268463663</v>
      </c>
      <c r="DB32" s="28">
        <f t="shared" si="114"/>
        <v>61.905480268463663</v>
      </c>
      <c r="DC32" s="28">
        <f t="shared" si="114"/>
        <v>61.905480268463663</v>
      </c>
      <c r="DD32" s="28">
        <f t="shared" si="114"/>
        <v>61.905480268463663</v>
      </c>
      <c r="DE32" s="28">
        <f t="shared" si="114"/>
        <v>61.905480268463663</v>
      </c>
      <c r="DF32" s="28">
        <f t="shared" si="114"/>
        <v>61.905480268463663</v>
      </c>
      <c r="DG32" s="29">
        <f t="shared" si="114"/>
        <v>61.905480268463663</v>
      </c>
    </row>
    <row r="33" spans="1:111" ht="18.75" x14ac:dyDescent="0.25">
      <c r="A33" s="37"/>
      <c r="B33" s="37"/>
      <c r="C33" s="628" t="s">
        <v>270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312">
        <f>+(W31/(W21-W15))</f>
        <v>0.65243902439024393</v>
      </c>
      <c r="X33" s="312">
        <f>+(X31/(X21-X15))</f>
        <v>0.64903846153846156</v>
      </c>
      <c r="Y33" s="312">
        <f>+(Y31/(Y21-Y15))</f>
        <v>0.65</v>
      </c>
      <c r="Z33" s="312">
        <f>+(Z31/(Z21-Z15))</f>
        <v>0.6428571428571429</v>
      </c>
      <c r="AA33" s="312">
        <f>+(AA31/(AA21-AA15))</f>
        <v>0.63235294117647056</v>
      </c>
      <c r="AB33" s="420">
        <f t="shared" ref="AB33:AT33" si="115">(AB31/(AB21-AB15))</f>
        <v>1.9375</v>
      </c>
      <c r="AC33" s="420">
        <f t="shared" si="115"/>
        <v>2</v>
      </c>
      <c r="AD33" s="420">
        <f t="shared" si="115"/>
        <v>2.46875</v>
      </c>
      <c r="AE33" s="420">
        <f t="shared" si="115"/>
        <v>2.6388888888888888</v>
      </c>
      <c r="AF33" s="420">
        <f t="shared" si="115"/>
        <v>3</v>
      </c>
      <c r="AG33" s="420">
        <f t="shared" si="115"/>
        <v>2.9</v>
      </c>
      <c r="AH33" s="420">
        <f t="shared" si="115"/>
        <v>2.4423076923076925</v>
      </c>
      <c r="AI33" s="420">
        <f t="shared" si="115"/>
        <v>2.3571428571428572</v>
      </c>
      <c r="AJ33" s="420">
        <f t="shared" si="115"/>
        <v>2.875</v>
      </c>
      <c r="AK33" s="420">
        <f t="shared" si="115"/>
        <v>2.15</v>
      </c>
      <c r="AL33" s="420">
        <f t="shared" si="115"/>
        <v>2.25</v>
      </c>
      <c r="AM33" s="420">
        <f t="shared" si="115"/>
        <v>2.25</v>
      </c>
      <c r="AN33" s="420">
        <f t="shared" si="115"/>
        <v>2.75</v>
      </c>
      <c r="AO33" s="420">
        <f t="shared" si="115"/>
        <v>2.85</v>
      </c>
      <c r="AP33" s="420">
        <f t="shared" si="115"/>
        <v>1.5625</v>
      </c>
      <c r="AQ33" s="420">
        <f t="shared" si="115"/>
        <v>1.875</v>
      </c>
      <c r="AR33" s="420">
        <f t="shared" si="115"/>
        <v>1.7857142857142858</v>
      </c>
      <c r="AS33" s="420">
        <f t="shared" si="115"/>
        <v>1.6</v>
      </c>
      <c r="AT33" s="420">
        <f t="shared" si="115"/>
        <v>2.1666666666666665</v>
      </c>
      <c r="AU33" s="420">
        <f t="shared" ref="AU33:AV33" si="116">(AU31/(AU21-AU15))</f>
        <v>1.8181818181818181</v>
      </c>
      <c r="AV33" s="420">
        <f t="shared" si="116"/>
        <v>1.875</v>
      </c>
      <c r="AW33" s="586">
        <f t="shared" ref="AW33" si="117">(AW31/(AW21-AW15))</f>
        <v>1.5625</v>
      </c>
      <c r="AX33" s="423">
        <f>+AVERAGE(AR33:AW33)</f>
        <v>1.8013437950937952</v>
      </c>
      <c r="AY33" s="424">
        <f t="shared" si="112"/>
        <v>1.8013437950937952</v>
      </c>
      <c r="AZ33" s="423">
        <f>+AY33</f>
        <v>1.8013437950937952</v>
      </c>
      <c r="BA33" s="421">
        <f t="shared" si="112"/>
        <v>1.8013437950937952</v>
      </c>
      <c r="BB33" s="421">
        <f t="shared" si="112"/>
        <v>1.8013437950937952</v>
      </c>
      <c r="BC33" s="421">
        <f t="shared" si="112"/>
        <v>1.8013437950937952</v>
      </c>
      <c r="BD33" s="421">
        <f t="shared" si="112"/>
        <v>1.8013437950937952</v>
      </c>
      <c r="BE33" s="421">
        <f t="shared" si="112"/>
        <v>1.8013437950937952</v>
      </c>
      <c r="BF33" s="421">
        <f t="shared" si="112"/>
        <v>1.8013437950937952</v>
      </c>
      <c r="BG33" s="421">
        <f t="shared" si="112"/>
        <v>1.8013437950937952</v>
      </c>
      <c r="BH33" s="421">
        <f t="shared" si="112"/>
        <v>1.8013437950937952</v>
      </c>
      <c r="BI33" s="421">
        <f t="shared" si="112"/>
        <v>1.8013437950937952</v>
      </c>
      <c r="BJ33" s="421">
        <f t="shared" si="112"/>
        <v>1.8013437950937952</v>
      </c>
      <c r="BK33" s="422">
        <f t="shared" si="112"/>
        <v>1.8013437950937952</v>
      </c>
      <c r="BL33" s="421">
        <f t="shared" si="112"/>
        <v>1.8013437950937952</v>
      </c>
      <c r="BM33" s="421">
        <f t="shared" si="112"/>
        <v>1.8013437950937952</v>
      </c>
      <c r="BN33" s="421">
        <f t="shared" si="112"/>
        <v>1.8013437950937952</v>
      </c>
      <c r="BO33" s="421">
        <f t="shared" si="112"/>
        <v>1.8013437950937952</v>
      </c>
      <c r="BP33" s="421">
        <f t="shared" si="112"/>
        <v>1.8013437950937952</v>
      </c>
      <c r="BQ33" s="421">
        <f t="shared" si="112"/>
        <v>1.8013437950937952</v>
      </c>
      <c r="BR33" s="421">
        <f t="shared" si="112"/>
        <v>1.8013437950937952</v>
      </c>
      <c r="BS33" s="421">
        <f t="shared" si="112"/>
        <v>1.8013437950937952</v>
      </c>
      <c r="BT33" s="421">
        <f t="shared" si="112"/>
        <v>1.8013437950937952</v>
      </c>
      <c r="BU33" s="421">
        <f t="shared" si="112"/>
        <v>1.8013437950937952</v>
      </c>
      <c r="BV33" s="421">
        <f t="shared" si="112"/>
        <v>1.8013437950937952</v>
      </c>
      <c r="BW33" s="422">
        <f t="shared" si="112"/>
        <v>1.8013437950937952</v>
      </c>
      <c r="BX33" s="421">
        <f t="shared" si="112"/>
        <v>1.8013437950937952</v>
      </c>
      <c r="BY33" s="421">
        <f t="shared" si="112"/>
        <v>1.8013437950937952</v>
      </c>
      <c r="BZ33" s="421">
        <f t="shared" si="112"/>
        <v>1.8013437950937952</v>
      </c>
      <c r="CA33" s="421">
        <f t="shared" si="112"/>
        <v>1.8013437950937952</v>
      </c>
      <c r="CB33" s="421">
        <f t="shared" si="112"/>
        <v>1.8013437950937952</v>
      </c>
      <c r="CC33" s="421">
        <f t="shared" si="112"/>
        <v>1.8013437950937952</v>
      </c>
      <c r="CD33" s="421">
        <f t="shared" ref="CD33:DG33" si="118">+CC33</f>
        <v>1.8013437950937952</v>
      </c>
      <c r="CE33" s="421">
        <f t="shared" si="118"/>
        <v>1.8013437950937952</v>
      </c>
      <c r="CF33" s="421">
        <f t="shared" si="118"/>
        <v>1.8013437950937952</v>
      </c>
      <c r="CG33" s="421">
        <f t="shared" si="118"/>
        <v>1.8013437950937952</v>
      </c>
      <c r="CH33" s="421">
        <f t="shared" si="118"/>
        <v>1.8013437950937952</v>
      </c>
      <c r="CI33" s="422">
        <f t="shared" si="118"/>
        <v>1.8013437950937952</v>
      </c>
      <c r="CJ33" s="421">
        <f t="shared" si="118"/>
        <v>1.8013437950937952</v>
      </c>
      <c r="CK33" s="421">
        <f t="shared" si="118"/>
        <v>1.8013437950937952</v>
      </c>
      <c r="CL33" s="421">
        <f t="shared" si="118"/>
        <v>1.8013437950937952</v>
      </c>
      <c r="CM33" s="421">
        <f t="shared" si="118"/>
        <v>1.8013437950937952</v>
      </c>
      <c r="CN33" s="421">
        <f t="shared" si="118"/>
        <v>1.8013437950937952</v>
      </c>
      <c r="CO33" s="421">
        <f t="shared" si="118"/>
        <v>1.8013437950937952</v>
      </c>
      <c r="CP33" s="421">
        <f t="shared" si="118"/>
        <v>1.8013437950937952</v>
      </c>
      <c r="CQ33" s="421">
        <f t="shared" si="118"/>
        <v>1.8013437950937952</v>
      </c>
      <c r="CR33" s="421">
        <f t="shared" si="118"/>
        <v>1.8013437950937952</v>
      </c>
      <c r="CS33" s="421">
        <f t="shared" si="118"/>
        <v>1.8013437950937952</v>
      </c>
      <c r="CT33" s="421">
        <f t="shared" si="118"/>
        <v>1.8013437950937952</v>
      </c>
      <c r="CU33" s="422">
        <f t="shared" si="118"/>
        <v>1.8013437950937952</v>
      </c>
      <c r="CV33" s="421">
        <f t="shared" si="118"/>
        <v>1.8013437950937952</v>
      </c>
      <c r="CW33" s="421">
        <f t="shared" si="118"/>
        <v>1.8013437950937952</v>
      </c>
      <c r="CX33" s="421">
        <f t="shared" si="118"/>
        <v>1.8013437950937952</v>
      </c>
      <c r="CY33" s="421">
        <f t="shared" si="118"/>
        <v>1.8013437950937952</v>
      </c>
      <c r="CZ33" s="421">
        <f t="shared" si="118"/>
        <v>1.8013437950937952</v>
      </c>
      <c r="DA33" s="421">
        <f t="shared" si="118"/>
        <v>1.8013437950937952</v>
      </c>
      <c r="DB33" s="421">
        <f t="shared" si="118"/>
        <v>1.8013437950937952</v>
      </c>
      <c r="DC33" s="421">
        <f t="shared" si="118"/>
        <v>1.8013437950937952</v>
      </c>
      <c r="DD33" s="421">
        <f t="shared" si="118"/>
        <v>1.8013437950937952</v>
      </c>
      <c r="DE33" s="421">
        <f t="shared" si="118"/>
        <v>1.8013437950937952</v>
      </c>
      <c r="DF33" s="421">
        <f t="shared" si="118"/>
        <v>1.8013437950937952</v>
      </c>
      <c r="DG33" s="424">
        <f t="shared" si="118"/>
        <v>1.8013437950937952</v>
      </c>
    </row>
    <row r="34" spans="1:111" ht="18.75" x14ac:dyDescent="0.25">
      <c r="A34" s="37"/>
      <c r="B34" s="37"/>
      <c r="C34" s="628" t="s">
        <v>258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175">
        <f t="shared" ref="V34:AF34" si="119">+V30/(V30+V31)</f>
        <v>0.73295454545454541</v>
      </c>
      <c r="W34" s="175">
        <f t="shared" si="119"/>
        <v>0.81161971830985913</v>
      </c>
      <c r="X34" s="175">
        <f t="shared" si="119"/>
        <v>0.78503184713375795</v>
      </c>
      <c r="Y34" s="175">
        <f t="shared" si="119"/>
        <v>0.78758169934640521</v>
      </c>
      <c r="Z34" s="175">
        <f t="shared" si="119"/>
        <v>0.79378068739770868</v>
      </c>
      <c r="AA34" s="175">
        <f t="shared" si="119"/>
        <v>0.92335115864527628</v>
      </c>
      <c r="AB34" s="175">
        <f t="shared" si="119"/>
        <v>0.94551845342706498</v>
      </c>
      <c r="AC34" s="175">
        <f t="shared" si="119"/>
        <v>0.9064327485380117</v>
      </c>
      <c r="AD34" s="175">
        <f t="shared" si="119"/>
        <v>0.90294840294840295</v>
      </c>
      <c r="AE34" s="175">
        <f t="shared" si="119"/>
        <v>0.88154613466334164</v>
      </c>
      <c r="AF34" s="175">
        <f t="shared" si="119"/>
        <v>0.89552238805970152</v>
      </c>
      <c r="AG34" s="175">
        <f t="shared" ref="AG34:AT34" si="120">+AG30/(AG30+AG31)</f>
        <v>0.91569767441860461</v>
      </c>
      <c r="AH34" s="175">
        <f t="shared" si="120"/>
        <v>0.81831187410586548</v>
      </c>
      <c r="AI34" s="175">
        <f t="shared" si="120"/>
        <v>0.83375314861460958</v>
      </c>
      <c r="AJ34" s="175">
        <f t="shared" si="120"/>
        <v>0.88968824940047964</v>
      </c>
      <c r="AK34" s="175">
        <f t="shared" si="120"/>
        <v>0.89195979899497491</v>
      </c>
      <c r="AL34" s="175">
        <f t="shared" si="120"/>
        <v>0.9094567404426559</v>
      </c>
      <c r="AM34" s="175">
        <f t="shared" si="120"/>
        <v>0.92307692307692313</v>
      </c>
      <c r="AN34" s="175">
        <f t="shared" si="120"/>
        <v>0.9264214046822743</v>
      </c>
      <c r="AO34" s="175">
        <f t="shared" si="120"/>
        <v>0.90981012658227844</v>
      </c>
      <c r="AP34" s="175">
        <f t="shared" si="120"/>
        <v>0.96136012364760437</v>
      </c>
      <c r="AQ34" s="175">
        <f t="shared" si="120"/>
        <v>0.91924629878869446</v>
      </c>
      <c r="AR34" s="175">
        <f t="shared" si="120"/>
        <v>0.93103448275862066</v>
      </c>
      <c r="AS34" s="175">
        <f t="shared" si="120"/>
        <v>0.94405594405594406</v>
      </c>
      <c r="AT34" s="175">
        <f t="shared" si="120"/>
        <v>0.84883720930232553</v>
      </c>
      <c r="AU34" s="175">
        <f t="shared" ref="AU34:AV34" si="121">+AU30/(AU30+AU31)</f>
        <v>0.88293824992683645</v>
      </c>
      <c r="AV34" s="175">
        <f t="shared" si="121"/>
        <v>0.91682070240295743</v>
      </c>
      <c r="AW34" s="587">
        <f t="shared" ref="AW34" si="122">+AW30/(AW30+AW31)</f>
        <v>0.95726495726495731</v>
      </c>
      <c r="AX34" s="542">
        <f t="shared" ref="AX34" si="123">+AX30/(AX30+AX31)</f>
        <v>0.89674941221731863</v>
      </c>
      <c r="AY34" s="185">
        <f t="shared" ref="AY34:CR34" si="124">+AY30/(AY30+AY31)</f>
        <v>0.94822247216351274</v>
      </c>
      <c r="AZ34" s="184">
        <f t="shared" si="124"/>
        <v>0.93854177552585627</v>
      </c>
      <c r="BA34" s="184">
        <f t="shared" si="124"/>
        <v>0.94230589107804175</v>
      </c>
      <c r="BB34" s="184">
        <f t="shared" si="124"/>
        <v>0.94128000116777566</v>
      </c>
      <c r="BC34" s="184">
        <f t="shared" si="124"/>
        <v>0.95238213236942681</v>
      </c>
      <c r="BD34" s="184">
        <f t="shared" si="124"/>
        <v>0.93134625774312985</v>
      </c>
      <c r="BE34" s="184">
        <f t="shared" si="124"/>
        <v>0.93185020893480275</v>
      </c>
      <c r="BF34" s="184">
        <f t="shared" si="124"/>
        <v>0.92864627438542791</v>
      </c>
      <c r="BG34" s="184">
        <f t="shared" si="124"/>
        <v>0.93690882487628047</v>
      </c>
      <c r="BH34" s="184">
        <f t="shared" si="124"/>
        <v>0.90891385633364152</v>
      </c>
      <c r="BI34" s="184">
        <f t="shared" si="124"/>
        <v>0.93767357752181302</v>
      </c>
      <c r="BJ34" s="184">
        <f t="shared" si="124"/>
        <v>0.92365169090745924</v>
      </c>
      <c r="BK34" s="276">
        <f t="shared" si="124"/>
        <v>0.95676724015218817</v>
      </c>
      <c r="BL34" s="184">
        <f t="shared" si="124"/>
        <v>0.9584588607816783</v>
      </c>
      <c r="BM34" s="184">
        <f t="shared" si="124"/>
        <v>0.96238360761266162</v>
      </c>
      <c r="BN34" s="184">
        <f t="shared" si="124"/>
        <v>0.96346064455092517</v>
      </c>
      <c r="BO34" s="184">
        <f t="shared" si="124"/>
        <v>0.96896824522582314</v>
      </c>
      <c r="BP34" s="184">
        <f t="shared" si="124"/>
        <v>0.95615999081084235</v>
      </c>
      <c r="BQ34" s="184">
        <f t="shared" si="124"/>
        <v>0.9560271517033212</v>
      </c>
      <c r="BR34" s="184">
        <f t="shared" si="124"/>
        <v>0.95177790433150689</v>
      </c>
      <c r="BS34" s="184">
        <f t="shared" si="124"/>
        <v>0.96142152554933569</v>
      </c>
      <c r="BT34" s="184">
        <f t="shared" si="124"/>
        <v>0.94081779564635815</v>
      </c>
      <c r="BU34" s="184">
        <f t="shared" si="124"/>
        <v>0.95876220951571289</v>
      </c>
      <c r="BV34" s="184">
        <f t="shared" si="124"/>
        <v>0.95189239357124134</v>
      </c>
      <c r="BW34" s="276">
        <f t="shared" si="124"/>
        <v>0.97288553997471006</v>
      </c>
      <c r="BX34" s="184">
        <f t="shared" si="124"/>
        <v>0.97458788946775543</v>
      </c>
      <c r="BY34" s="184">
        <f t="shared" si="124"/>
        <v>0.97811967709740399</v>
      </c>
      <c r="BZ34" s="184">
        <f t="shared" si="124"/>
        <v>0.97773572394254216</v>
      </c>
      <c r="CA34" s="184">
        <f t="shared" si="124"/>
        <v>0.97941730760559176</v>
      </c>
      <c r="CB34" s="184">
        <f t="shared" si="124"/>
        <v>0.97541017712502553</v>
      </c>
      <c r="CC34" s="184">
        <f t="shared" si="124"/>
        <v>0.97294447371339099</v>
      </c>
      <c r="CD34" s="184">
        <f t="shared" si="124"/>
        <v>0.96917038891458374</v>
      </c>
      <c r="CE34" s="184">
        <f t="shared" si="124"/>
        <v>0.97750576667360545</v>
      </c>
      <c r="CF34" s="184">
        <f t="shared" si="124"/>
        <v>0.96168125405293348</v>
      </c>
      <c r="CG34" s="184">
        <f t="shared" si="124"/>
        <v>0.97592916560215448</v>
      </c>
      <c r="CH34" s="184">
        <f t="shared" si="124"/>
        <v>0.970680472237332</v>
      </c>
      <c r="CI34" s="276">
        <f t="shared" si="124"/>
        <v>0.98223602134382459</v>
      </c>
      <c r="CJ34" s="184">
        <f t="shared" si="124"/>
        <v>0.97668881595023749</v>
      </c>
      <c r="CK34" s="184">
        <f t="shared" si="124"/>
        <v>0.97701795737569108</v>
      </c>
      <c r="CL34" s="184">
        <f t="shared" si="124"/>
        <v>0.97673191067632259</v>
      </c>
      <c r="CM34" s="184">
        <f t="shared" si="124"/>
        <v>0.98048273509764661</v>
      </c>
      <c r="CN34" s="184">
        <f t="shared" si="124"/>
        <v>0.97554439422960459</v>
      </c>
      <c r="CO34" s="184">
        <f t="shared" si="124"/>
        <v>0.97179440455752786</v>
      </c>
      <c r="CP34" s="184">
        <f t="shared" si="124"/>
        <v>0.97059187020403637</v>
      </c>
      <c r="CQ34" s="184">
        <f t="shared" si="124"/>
        <v>0.97729798246900168</v>
      </c>
      <c r="CR34" s="184">
        <f t="shared" si="124"/>
        <v>0.95969791451645059</v>
      </c>
      <c r="CS34" s="184">
        <f t="shared" ref="CS34:DG34" si="125">+CS30/(CS30+CS31)</f>
        <v>0.97719487642625047</v>
      </c>
      <c r="CT34" s="184">
        <f t="shared" si="125"/>
        <v>0.97051530477493098</v>
      </c>
      <c r="CU34" s="276">
        <f t="shared" si="125"/>
        <v>0.98214730106061454</v>
      </c>
      <c r="CV34" s="184">
        <f t="shared" si="125"/>
        <v>0.97693479844808084</v>
      </c>
      <c r="CW34" s="184">
        <f t="shared" si="125"/>
        <v>0.97697182146875183</v>
      </c>
      <c r="CX34" s="184">
        <f t="shared" si="125"/>
        <v>0.97562831104804393</v>
      </c>
      <c r="CY34" s="184">
        <f t="shared" si="125"/>
        <v>0.98140330362533634</v>
      </c>
      <c r="CZ34" s="184">
        <f t="shared" si="125"/>
        <v>0.9754343275443158</v>
      </c>
      <c r="DA34" s="184">
        <f t="shared" si="125"/>
        <v>0.97024935165079296</v>
      </c>
      <c r="DB34" s="184">
        <f t="shared" si="125"/>
        <v>0.97159670285633837</v>
      </c>
      <c r="DC34" s="184">
        <f t="shared" si="125"/>
        <v>0.97631105971647525</v>
      </c>
      <c r="DD34" s="184">
        <f t="shared" si="125"/>
        <v>0.96127920254071009</v>
      </c>
      <c r="DE34" s="184">
        <f t="shared" si="125"/>
        <v>0.9774516650127415</v>
      </c>
      <c r="DF34" s="184">
        <f t="shared" si="125"/>
        <v>0.96887931856967036</v>
      </c>
      <c r="DG34" s="185">
        <f t="shared" si="125"/>
        <v>0.98314108222038243</v>
      </c>
    </row>
    <row r="35" spans="1:111" ht="18.75" x14ac:dyDescent="0.25">
      <c r="A35" s="37"/>
      <c r="B35" s="37"/>
      <c r="C35" s="628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585"/>
      <c r="AX35" s="184"/>
      <c r="AY35" s="29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75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75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75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75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9"/>
    </row>
    <row r="36" spans="1:111" ht="18.75" x14ac:dyDescent="0.25">
      <c r="A36" s="37"/>
      <c r="B36" s="37"/>
      <c r="C36" s="628" t="s">
        <v>214</v>
      </c>
      <c r="D36" s="27"/>
      <c r="E36" s="27"/>
      <c r="F36" s="27"/>
      <c r="G36" s="27"/>
      <c r="H36" s="27"/>
      <c r="I36" s="176"/>
      <c r="J36" s="176"/>
      <c r="K36" s="176"/>
      <c r="L36" s="176">
        <f t="shared" ref="L36:V36" si="126">+AVERAGE(F20:L20)/L15</f>
        <v>-0.20634920634920637</v>
      </c>
      <c r="M36" s="176">
        <f t="shared" si="126"/>
        <v>-7.5630252100840345E-2</v>
      </c>
      <c r="N36" s="176">
        <f t="shared" si="126"/>
        <v>-0.18181818181818182</v>
      </c>
      <c r="O36" s="176">
        <f t="shared" si="126"/>
        <v>-0.36734693877551022</v>
      </c>
      <c r="P36" s="175">
        <f t="shared" si="126"/>
        <v>-0.2142857142857143</v>
      </c>
      <c r="Q36" s="175">
        <f t="shared" si="126"/>
        <v>-0.25714285714285717</v>
      </c>
      <c r="R36" s="175">
        <f t="shared" si="126"/>
        <v>-0.17142857142857143</v>
      </c>
      <c r="S36" s="175">
        <f t="shared" si="126"/>
        <v>-0.30612244897959184</v>
      </c>
      <c r="T36" s="175">
        <f t="shared" si="126"/>
        <v>-0.23809523809523808</v>
      </c>
      <c r="U36" s="175">
        <f t="shared" si="126"/>
        <v>-0.10714285714285715</v>
      </c>
      <c r="V36" s="175">
        <f t="shared" si="126"/>
        <v>-9.5238095238095247E-3</v>
      </c>
      <c r="W36" s="175">
        <f>+AVERAGE(Q20:W20)/W16</f>
        <v>-4.9941927990708485E-2</v>
      </c>
      <c r="X36" s="175">
        <f t="shared" ref="X36:BC36" si="127">+AVERAGE(Q20:W20)/AVERAGE(Q16:W16)</f>
        <v>-4.9941927990708485E-2</v>
      </c>
      <c r="Y36" s="175">
        <f t="shared" si="127"/>
        <v>-9.1753774680603958E-2</v>
      </c>
      <c r="Z36" s="175">
        <f t="shared" si="127"/>
        <v>-0.15085714285714286</v>
      </c>
      <c r="AA36" s="175">
        <f t="shared" si="127"/>
        <v>-0.16960728514513373</v>
      </c>
      <c r="AB36" s="175">
        <f t="shared" si="127"/>
        <v>-0.18880800727934488</v>
      </c>
      <c r="AC36" s="175">
        <f t="shared" si="127"/>
        <v>-0.20832461828069443</v>
      </c>
      <c r="AD36" s="175">
        <f t="shared" si="127"/>
        <v>-0.25132978723404253</v>
      </c>
      <c r="AE36" s="175">
        <f t="shared" si="127"/>
        <v>-0.27833572453371597</v>
      </c>
      <c r="AF36" s="175">
        <f t="shared" si="127"/>
        <v>-0.32500000000000001</v>
      </c>
      <c r="AG36" s="175">
        <f t="shared" ref="AG36:AW36" si="128">+AVERAGE(Z20:AF20)/AVERAGE(Z16:AF16)</f>
        <v>-0.33103448275862063</v>
      </c>
      <c r="AH36" s="175">
        <f t="shared" si="128"/>
        <v>-0.40733590733590735</v>
      </c>
      <c r="AI36" s="175">
        <f t="shared" si="128"/>
        <v>-0.51569506726457393</v>
      </c>
      <c r="AJ36" s="175">
        <f t="shared" si="128"/>
        <v>-0.54824561403508776</v>
      </c>
      <c r="AK36" s="175">
        <f t="shared" si="128"/>
        <v>-0.60139860139860135</v>
      </c>
      <c r="AL36" s="175">
        <f t="shared" si="128"/>
        <v>-0.5339578454332552</v>
      </c>
      <c r="AM36" s="175">
        <f t="shared" si="128"/>
        <v>-0.52579852579852582</v>
      </c>
      <c r="AN36" s="175">
        <f t="shared" si="128"/>
        <v>-0.50510204081632648</v>
      </c>
      <c r="AO36" s="175">
        <f t="shared" si="128"/>
        <v>-0.46113989637305697</v>
      </c>
      <c r="AP36" s="175">
        <f t="shared" si="128"/>
        <v>-0.43222506393861893</v>
      </c>
      <c r="AQ36" s="175">
        <f t="shared" si="128"/>
        <v>-0.45501285347043702</v>
      </c>
      <c r="AR36" s="175">
        <f t="shared" si="128"/>
        <v>-0.43028846153846156</v>
      </c>
      <c r="AS36" s="175">
        <f t="shared" si="128"/>
        <v>-0.46028037383177567</v>
      </c>
      <c r="AT36" s="175">
        <f t="shared" si="128"/>
        <v>-0.44819819819819817</v>
      </c>
      <c r="AU36" s="175">
        <f t="shared" si="128"/>
        <v>-0.45076586433260385</v>
      </c>
      <c r="AV36" s="175">
        <f t="shared" si="128"/>
        <v>-0.48471615720524019</v>
      </c>
      <c r="AW36" s="587">
        <f t="shared" si="128"/>
        <v>-0.48344370860927155</v>
      </c>
      <c r="AX36" s="184">
        <f t="shared" si="127"/>
        <v>-0.4732142857142857</v>
      </c>
      <c r="AY36" s="185">
        <f t="shared" si="127"/>
        <v>-0.48885175348502752</v>
      </c>
      <c r="AZ36" s="184">
        <f t="shared" si="127"/>
        <v>-0.49699726110940445</v>
      </c>
      <c r="BA36" s="184">
        <f t="shared" si="127"/>
        <v>-0.46833407056370335</v>
      </c>
      <c r="BB36" s="184">
        <f t="shared" si="127"/>
        <v>-0.47269895368596565</v>
      </c>
      <c r="BC36" s="184">
        <f t="shared" si="127"/>
        <v>-0.45276332518447748</v>
      </c>
      <c r="BD36" s="184">
        <f t="shared" ref="BD36:CI36" si="129">+AVERAGE(AW20:BC20)/AVERAGE(AW16:BC16)</f>
        <v>-0.43583413183038988</v>
      </c>
      <c r="BE36" s="184">
        <f t="shared" si="129"/>
        <v>-0.43687184190661449</v>
      </c>
      <c r="BF36" s="184">
        <f t="shared" si="129"/>
        <v>-0.42660190866988562</v>
      </c>
      <c r="BG36" s="184">
        <f t="shared" si="129"/>
        <v>-0.43128094989148341</v>
      </c>
      <c r="BH36" s="184">
        <f t="shared" si="129"/>
        <v>-0.43133214810485537</v>
      </c>
      <c r="BI36" s="184">
        <f t="shared" si="129"/>
        <v>-0.44624986286631352</v>
      </c>
      <c r="BJ36" s="184">
        <f t="shared" si="129"/>
        <v>-0.44338233378355285</v>
      </c>
      <c r="BK36" s="276">
        <f t="shared" si="129"/>
        <v>-0.4681073631466508</v>
      </c>
      <c r="BL36" s="184">
        <f t="shared" si="129"/>
        <v>-0.47621838525012317</v>
      </c>
      <c r="BM36" s="184">
        <f t="shared" si="129"/>
        <v>-0.47170900386785153</v>
      </c>
      <c r="BN36" s="184">
        <f t="shared" si="129"/>
        <v>-0.47225087113630193</v>
      </c>
      <c r="BO36" s="184">
        <f t="shared" si="129"/>
        <v>-0.47455328600099683</v>
      </c>
      <c r="BP36" s="184">
        <f t="shared" si="129"/>
        <v>-0.44563177813296367</v>
      </c>
      <c r="BQ36" s="184">
        <f t="shared" si="129"/>
        <v>-0.43816703727614226</v>
      </c>
      <c r="BR36" s="184">
        <f t="shared" si="129"/>
        <v>-0.43525452751555027</v>
      </c>
      <c r="BS36" s="184">
        <f t="shared" si="129"/>
        <v>-0.44213039068415849</v>
      </c>
      <c r="BT36" s="184">
        <f t="shared" si="129"/>
        <v>-0.44466259201262237</v>
      </c>
      <c r="BU36" s="184">
        <f t="shared" si="129"/>
        <v>-0.46019312322967881</v>
      </c>
      <c r="BV36" s="184">
        <f t="shared" si="129"/>
        <v>-0.45549060803433727</v>
      </c>
      <c r="BW36" s="276">
        <f t="shared" si="129"/>
        <v>-0.4805476432978516</v>
      </c>
      <c r="BX36" s="184">
        <f t="shared" si="129"/>
        <v>-0.48995041440877746</v>
      </c>
      <c r="BY36" s="184">
        <f t="shared" si="129"/>
        <v>-0.48602600280541658</v>
      </c>
      <c r="BZ36" s="184">
        <f t="shared" si="129"/>
        <v>-0.48579705723725736</v>
      </c>
      <c r="CA36" s="184">
        <f t="shared" si="129"/>
        <v>-0.48929341177838404</v>
      </c>
      <c r="CB36" s="184">
        <f t="shared" si="129"/>
        <v>-0.45945567237312057</v>
      </c>
      <c r="CC36" s="184">
        <f t="shared" si="129"/>
        <v>-0.45518376412340505</v>
      </c>
      <c r="CD36" s="184">
        <f t="shared" si="129"/>
        <v>-0.45041562798829105</v>
      </c>
      <c r="CE36" s="184">
        <f t="shared" si="129"/>
        <v>-0.4581680585364673</v>
      </c>
      <c r="CF36" s="184">
        <f t="shared" si="129"/>
        <v>-0.46017938448107515</v>
      </c>
      <c r="CG36" s="184">
        <f t="shared" si="129"/>
        <v>-0.47624811916528609</v>
      </c>
      <c r="CH36" s="184">
        <f t="shared" si="129"/>
        <v>-0.47249761738882667</v>
      </c>
      <c r="CI36" s="276">
        <f t="shared" si="129"/>
        <v>-0.49789655515038317</v>
      </c>
      <c r="CJ36" s="184">
        <f t="shared" ref="CJ36:DG36" si="130">+AVERAGE(CC20:CI20)/AVERAGE(CC16:CI16)</f>
        <v>-0.50537298280401366</v>
      </c>
      <c r="CK36" s="184">
        <f t="shared" si="130"/>
        <v>-0.50020481497402369</v>
      </c>
      <c r="CL36" s="184">
        <f t="shared" si="130"/>
        <v>-0.50040370356844677</v>
      </c>
      <c r="CM36" s="184">
        <f t="shared" si="130"/>
        <v>-0.5041183270007692</v>
      </c>
      <c r="CN36" s="184">
        <f t="shared" si="130"/>
        <v>-0.47227625823828762</v>
      </c>
      <c r="CO36" s="184">
        <f t="shared" si="130"/>
        <v>-0.46480648744764635</v>
      </c>
      <c r="CP36" s="184">
        <f t="shared" si="130"/>
        <v>-0.45898095752119045</v>
      </c>
      <c r="CQ36" s="184">
        <f t="shared" si="130"/>
        <v>-0.46633267789704258</v>
      </c>
      <c r="CR36" s="184">
        <f t="shared" si="130"/>
        <v>-0.46895567188040854</v>
      </c>
      <c r="CS36" s="184">
        <f t="shared" si="130"/>
        <v>-0.48458585878774951</v>
      </c>
      <c r="CT36" s="184">
        <f t="shared" si="130"/>
        <v>-0.47862299425241617</v>
      </c>
      <c r="CU36" s="276">
        <f t="shared" si="130"/>
        <v>-0.5042745987098578</v>
      </c>
      <c r="CV36" s="184">
        <f t="shared" si="130"/>
        <v>-0.51373348612634606</v>
      </c>
      <c r="CW36" s="184">
        <f t="shared" si="130"/>
        <v>-0.5081090889855846</v>
      </c>
      <c r="CX36" s="184">
        <f t="shared" si="130"/>
        <v>-0.50950393382657067</v>
      </c>
      <c r="CY36" s="184">
        <f t="shared" si="130"/>
        <v>-0.51119617601874234</v>
      </c>
      <c r="CZ36" s="184">
        <f t="shared" si="130"/>
        <v>-0.47824204053503827</v>
      </c>
      <c r="DA36" s="184">
        <f t="shared" si="130"/>
        <v>-0.47346022035816188</v>
      </c>
      <c r="DB36" s="184">
        <f t="shared" si="130"/>
        <v>-0.46816257750889972</v>
      </c>
      <c r="DC36" s="184">
        <f t="shared" si="130"/>
        <v>-0.4764725491276805</v>
      </c>
      <c r="DD36" s="184">
        <f t="shared" si="130"/>
        <v>-0.48100118461713737</v>
      </c>
      <c r="DE36" s="184">
        <f t="shared" si="130"/>
        <v>-0.49777632328370941</v>
      </c>
      <c r="DF36" s="184">
        <f t="shared" si="130"/>
        <v>-0.49118880426107059</v>
      </c>
      <c r="DG36" s="185">
        <f t="shared" si="130"/>
        <v>-0.5193910693586723</v>
      </c>
    </row>
    <row r="37" spans="1:111" ht="18.75" x14ac:dyDescent="0.25">
      <c r="A37" s="37"/>
      <c r="B37" s="37"/>
      <c r="C37" s="628" t="s">
        <v>210</v>
      </c>
      <c r="D37" s="27"/>
      <c r="E37" s="27"/>
      <c r="F37" s="27"/>
      <c r="G37" s="27"/>
      <c r="H37" s="27"/>
      <c r="I37" s="181"/>
      <c r="J37" s="181"/>
      <c r="K37" s="181"/>
      <c r="L37" s="181">
        <f t="shared" ref="L37:Q37" si="131">1/-L36</f>
        <v>4.8461538461538458</v>
      </c>
      <c r="M37" s="181">
        <f t="shared" si="131"/>
        <v>13.222222222222221</v>
      </c>
      <c r="N37" s="181">
        <f t="shared" si="131"/>
        <v>5.5</v>
      </c>
      <c r="O37" s="181">
        <f t="shared" si="131"/>
        <v>2.7222222222222219</v>
      </c>
      <c r="P37" s="181">
        <f t="shared" si="131"/>
        <v>4.6666666666666661</v>
      </c>
      <c r="Q37" s="181">
        <f t="shared" si="131"/>
        <v>3.8888888888888884</v>
      </c>
      <c r="R37" s="181">
        <f t="shared" ref="R37:CC37" si="132">1/-R36</f>
        <v>5.833333333333333</v>
      </c>
      <c r="S37" s="181">
        <f>1/-S36</f>
        <v>3.2666666666666666</v>
      </c>
      <c r="T37" s="181">
        <f>1/-T36</f>
        <v>4.2</v>
      </c>
      <c r="U37" s="181">
        <f>1/-U36</f>
        <v>9.3333333333333321</v>
      </c>
      <c r="V37" s="181">
        <f t="shared" si="132"/>
        <v>104.99999999999999</v>
      </c>
      <c r="W37" s="181">
        <f t="shared" ref="W37:AE37" si="133">1/-W36</f>
        <v>20.023255813953487</v>
      </c>
      <c r="X37" s="181">
        <f t="shared" si="133"/>
        <v>20.023255813953487</v>
      </c>
      <c r="Y37" s="181">
        <f t="shared" si="133"/>
        <v>10.898734177215189</v>
      </c>
      <c r="Z37" s="181">
        <f>1/-Z36</f>
        <v>6.6287878787878789</v>
      </c>
      <c r="AA37" s="181">
        <f t="shared" si="133"/>
        <v>5.8959731543624168</v>
      </c>
      <c r="AB37" s="181">
        <f t="shared" si="133"/>
        <v>5.2963855421686743</v>
      </c>
      <c r="AC37" s="181">
        <f t="shared" si="133"/>
        <v>4.8002008032128511</v>
      </c>
      <c r="AD37" s="181">
        <f>1/-AD36</f>
        <v>3.9788359788359791</v>
      </c>
      <c r="AE37" s="181">
        <f t="shared" si="133"/>
        <v>3.5927835051546388</v>
      </c>
      <c r="AF37" s="181">
        <f t="shared" ref="AF37:AT37" si="134">1/-AF36</f>
        <v>3.0769230769230766</v>
      </c>
      <c r="AG37" s="181">
        <f t="shared" si="134"/>
        <v>3.0208333333333339</v>
      </c>
      <c r="AH37" s="181">
        <f t="shared" si="134"/>
        <v>2.4549763033175354</v>
      </c>
      <c r="AI37" s="181">
        <f t="shared" si="134"/>
        <v>1.939130434782609</v>
      </c>
      <c r="AJ37" s="181">
        <f t="shared" si="134"/>
        <v>1.8239999999999998</v>
      </c>
      <c r="AK37" s="181">
        <f t="shared" si="134"/>
        <v>1.6627906976744187</v>
      </c>
      <c r="AL37" s="181">
        <f t="shared" si="134"/>
        <v>1.8728070175438598</v>
      </c>
      <c r="AM37" s="181">
        <f t="shared" si="134"/>
        <v>1.9018691588785046</v>
      </c>
      <c r="AN37" s="181">
        <f t="shared" si="134"/>
        <v>1.9797979797979799</v>
      </c>
      <c r="AO37" s="181">
        <f t="shared" si="134"/>
        <v>2.1685393258426968</v>
      </c>
      <c r="AP37" s="181">
        <f t="shared" si="134"/>
        <v>2.3136094674556213</v>
      </c>
      <c r="AQ37" s="181">
        <f t="shared" si="134"/>
        <v>2.1977401129943503</v>
      </c>
      <c r="AR37" s="181">
        <f t="shared" si="134"/>
        <v>2.3240223463687149</v>
      </c>
      <c r="AS37" s="181">
        <f t="shared" si="134"/>
        <v>2.1725888324873099</v>
      </c>
      <c r="AT37" s="181">
        <f t="shared" si="134"/>
        <v>2.2311557788944727</v>
      </c>
      <c r="AU37" s="181">
        <f t="shared" ref="AU37:AV37" si="135">1/-AU36</f>
        <v>2.2184466019417481</v>
      </c>
      <c r="AV37" s="181">
        <f t="shared" si="135"/>
        <v>2.0630630630630629</v>
      </c>
      <c r="AW37" s="588">
        <f t="shared" ref="AW37" si="136">1/-AW36</f>
        <v>2.0684931506849313</v>
      </c>
      <c r="AX37" s="543">
        <f t="shared" ref="AX37" si="137">1/-AX36</f>
        <v>2.1132075471698113</v>
      </c>
      <c r="AY37" s="183">
        <f t="shared" si="132"/>
        <v>2.0456099274902733</v>
      </c>
      <c r="AZ37" s="182">
        <f t="shared" si="132"/>
        <v>2.0120835228906202</v>
      </c>
      <c r="BA37" s="182">
        <f t="shared" si="132"/>
        <v>2.135227955541148</v>
      </c>
      <c r="BB37" s="182">
        <f t="shared" si="132"/>
        <v>2.1155113464971689</v>
      </c>
      <c r="BC37" s="182">
        <f t="shared" si="132"/>
        <v>2.2086594571072027</v>
      </c>
      <c r="BD37" s="182">
        <f t="shared" si="132"/>
        <v>2.2944508632223464</v>
      </c>
      <c r="BE37" s="182">
        <f t="shared" si="132"/>
        <v>2.2890008100218999</v>
      </c>
      <c r="BF37" s="182">
        <f t="shared" si="132"/>
        <v>2.3441057802997856</v>
      </c>
      <c r="BG37" s="182">
        <f t="shared" si="132"/>
        <v>2.3186741734166896</v>
      </c>
      <c r="BH37" s="182">
        <f t="shared" si="132"/>
        <v>2.3183989516981316</v>
      </c>
      <c r="BI37" s="182">
        <f t="shared" si="132"/>
        <v>2.2408970471764103</v>
      </c>
      <c r="BJ37" s="182">
        <f t="shared" si="132"/>
        <v>2.2553898155269594</v>
      </c>
      <c r="BK37" s="277">
        <f t="shared" si="132"/>
        <v>2.136262060220393</v>
      </c>
      <c r="BL37" s="182">
        <f t="shared" si="132"/>
        <v>2.0998769282600716</v>
      </c>
      <c r="BM37" s="182">
        <f t="shared" si="132"/>
        <v>2.1199510541463997</v>
      </c>
      <c r="BN37" s="182">
        <f t="shared" si="132"/>
        <v>2.1175185925943545</v>
      </c>
      <c r="BO37" s="182">
        <f t="shared" si="132"/>
        <v>2.1072449174820367</v>
      </c>
      <c r="BP37" s="182">
        <f t="shared" si="132"/>
        <v>2.2440051384792152</v>
      </c>
      <c r="BQ37" s="182">
        <f t="shared" si="132"/>
        <v>2.2822346615037099</v>
      </c>
      <c r="BR37" s="182">
        <f t="shared" si="132"/>
        <v>2.2975062561854069</v>
      </c>
      <c r="BS37" s="182">
        <f t="shared" si="132"/>
        <v>2.2617762114307198</v>
      </c>
      <c r="BT37" s="182">
        <f t="shared" si="132"/>
        <v>2.2488961697313492</v>
      </c>
      <c r="BU37" s="182">
        <f t="shared" si="132"/>
        <v>2.173000745821462</v>
      </c>
      <c r="BV37" s="182">
        <f t="shared" si="132"/>
        <v>2.1954349493955201</v>
      </c>
      <c r="BW37" s="277">
        <f t="shared" si="132"/>
        <v>2.0809591180955662</v>
      </c>
      <c r="BX37" s="182">
        <f t="shared" si="132"/>
        <v>2.0410228680114471</v>
      </c>
      <c r="BY37" s="182">
        <f t="shared" si="132"/>
        <v>2.057503084665937</v>
      </c>
      <c r="BZ37" s="182">
        <f t="shared" si="132"/>
        <v>2.058472741039294</v>
      </c>
      <c r="CA37" s="182">
        <f t="shared" si="132"/>
        <v>2.0437634677430125</v>
      </c>
      <c r="CB37" s="182">
        <f t="shared" si="132"/>
        <v>2.1764885279028774</v>
      </c>
      <c r="CC37" s="182">
        <f t="shared" si="132"/>
        <v>2.1969149139706343</v>
      </c>
      <c r="CD37" s="182">
        <f t="shared" ref="CD37:DG37" si="138">1/-CD36</f>
        <v>2.2201716322906893</v>
      </c>
      <c r="CE37" s="182">
        <f t="shared" si="138"/>
        <v>2.1826052282961719</v>
      </c>
      <c r="CF37" s="182">
        <f t="shared" si="138"/>
        <v>2.1730656211982589</v>
      </c>
      <c r="CG37" s="182">
        <f t="shared" si="138"/>
        <v>2.0997458252490047</v>
      </c>
      <c r="CH37" s="182">
        <f t="shared" si="138"/>
        <v>2.1164127885476347</v>
      </c>
      <c r="CI37" s="277">
        <f t="shared" si="138"/>
        <v>2.0084493247758322</v>
      </c>
      <c r="CJ37" s="182">
        <f t="shared" si="138"/>
        <v>1.9787365649259596</v>
      </c>
      <c r="CK37" s="182">
        <f t="shared" si="138"/>
        <v>1.9991810755598811</v>
      </c>
      <c r="CL37" s="182">
        <f t="shared" si="138"/>
        <v>1.998386488486924</v>
      </c>
      <c r="CM37" s="182">
        <f t="shared" si="138"/>
        <v>1.9836612684753161</v>
      </c>
      <c r="CN37" s="182">
        <f t="shared" si="138"/>
        <v>2.1174047658678803</v>
      </c>
      <c r="CO37" s="182">
        <f t="shared" si="138"/>
        <v>2.1514329662032425</v>
      </c>
      <c r="CP37" s="182">
        <f t="shared" si="138"/>
        <v>2.1787396265864287</v>
      </c>
      <c r="CQ37" s="182">
        <f t="shared" si="138"/>
        <v>2.1443918631427779</v>
      </c>
      <c r="CR37" s="182">
        <f t="shared" si="138"/>
        <v>2.132397708274262</v>
      </c>
      <c r="CS37" s="182">
        <f t="shared" si="138"/>
        <v>2.0636177921114367</v>
      </c>
      <c r="CT37" s="182">
        <f t="shared" si="138"/>
        <v>2.0893271155138442</v>
      </c>
      <c r="CU37" s="277">
        <f t="shared" si="138"/>
        <v>1.9830465436062257</v>
      </c>
      <c r="CV37" s="182">
        <f t="shared" si="138"/>
        <v>1.9465345884695999</v>
      </c>
      <c r="CW37" s="182">
        <f t="shared" si="138"/>
        <v>1.9680813070997254</v>
      </c>
      <c r="CX37" s="182">
        <f t="shared" si="138"/>
        <v>1.9626933839148504</v>
      </c>
      <c r="CY37" s="182">
        <f t="shared" si="138"/>
        <v>1.9561961667791041</v>
      </c>
      <c r="CZ37" s="182">
        <f t="shared" si="138"/>
        <v>2.0909914128026879</v>
      </c>
      <c r="DA37" s="182">
        <f t="shared" si="138"/>
        <v>2.1121098605570765</v>
      </c>
      <c r="DB37" s="182">
        <f t="shared" si="138"/>
        <v>2.1360101128138336</v>
      </c>
      <c r="DC37" s="182">
        <f t="shared" si="138"/>
        <v>2.0987567947634895</v>
      </c>
      <c r="DD37" s="182">
        <f t="shared" si="138"/>
        <v>2.0789969588036881</v>
      </c>
      <c r="DE37" s="182">
        <f t="shared" si="138"/>
        <v>2.0089344414841652</v>
      </c>
      <c r="DF37" s="182">
        <f t="shared" si="138"/>
        <v>2.0358770218803528</v>
      </c>
      <c r="DG37" s="183">
        <f t="shared" si="138"/>
        <v>1.9253315256936714</v>
      </c>
    </row>
    <row r="38" spans="1:111" ht="18.75" x14ac:dyDescent="0.25">
      <c r="A38" s="37"/>
      <c r="B38" s="37"/>
      <c r="C38" s="628" t="s">
        <v>268</v>
      </c>
      <c r="D38" s="27"/>
      <c r="E38" s="27"/>
      <c r="F38" s="27"/>
      <c r="G38" s="27"/>
      <c r="H38" s="27"/>
      <c r="I38" s="27"/>
      <c r="J38" s="27"/>
      <c r="K38" s="27"/>
      <c r="L38" s="27">
        <f t="shared" ref="L38:V38" si="139">+L13/L15</f>
        <v>0</v>
      </c>
      <c r="M38" s="27">
        <f t="shared" si="139"/>
        <v>0</v>
      </c>
      <c r="N38" s="27">
        <f t="shared" si="139"/>
        <v>0</v>
      </c>
      <c r="O38" s="27">
        <f t="shared" si="139"/>
        <v>0</v>
      </c>
      <c r="P38" s="27">
        <f t="shared" si="139"/>
        <v>0</v>
      </c>
      <c r="Q38" s="27">
        <f t="shared" si="139"/>
        <v>0</v>
      </c>
      <c r="R38" s="27">
        <f t="shared" si="139"/>
        <v>0</v>
      </c>
      <c r="S38" s="27">
        <f t="shared" si="139"/>
        <v>0</v>
      </c>
      <c r="T38" s="27">
        <f t="shared" si="139"/>
        <v>0</v>
      </c>
      <c r="U38" s="27">
        <f t="shared" si="139"/>
        <v>0</v>
      </c>
      <c r="V38" s="27">
        <f t="shared" si="139"/>
        <v>0</v>
      </c>
      <c r="W38" s="27">
        <f>+W13/W16</f>
        <v>0</v>
      </c>
      <c r="X38" s="27">
        <f>+X13/X16</f>
        <v>0</v>
      </c>
      <c r="Y38" s="27">
        <f>+Y13/Y16</f>
        <v>0</v>
      </c>
      <c r="Z38" s="27">
        <f>+Z13/Z16</f>
        <v>0</v>
      </c>
      <c r="AA38" s="27">
        <f>+AA13/AA16</f>
        <v>0</v>
      </c>
      <c r="AB38" s="27">
        <f t="shared" ref="AB38:BG38" si="140">+(AB13/AB16)*AB26</f>
        <v>126.87917355371901</v>
      </c>
      <c r="AC38" s="27">
        <f t="shared" si="140"/>
        <v>104.85664776307499</v>
      </c>
      <c r="AD38" s="27">
        <f t="shared" si="140"/>
        <v>127.21069420415225</v>
      </c>
      <c r="AE38" s="27">
        <f t="shared" si="140"/>
        <v>139.97382920110192</v>
      </c>
      <c r="AF38" s="27">
        <f t="shared" si="140"/>
        <v>138.61289645032556</v>
      </c>
      <c r="AG38" s="27">
        <f t="shared" si="140"/>
        <v>126.99408284023667</v>
      </c>
      <c r="AH38" s="27">
        <f t="shared" si="140"/>
        <v>136.15329218106999</v>
      </c>
      <c r="AI38" s="27">
        <f t="shared" si="140"/>
        <v>127.77041420118343</v>
      </c>
      <c r="AJ38" s="27">
        <f t="shared" si="140"/>
        <v>123.48299319727892</v>
      </c>
      <c r="AK38" s="27">
        <f t="shared" si="140"/>
        <v>143.12603305785126</v>
      </c>
      <c r="AL38" s="27">
        <f t="shared" si="140"/>
        <v>116.70014177693761</v>
      </c>
      <c r="AM38" s="27">
        <f t="shared" si="140"/>
        <v>128.6941015089163</v>
      </c>
      <c r="AN38" s="27">
        <f t="shared" si="140"/>
        <v>127.43157138753232</v>
      </c>
      <c r="AO38" s="27">
        <f t="shared" si="140"/>
        <v>128.86488365412239</v>
      </c>
      <c r="AP38" s="27">
        <f t="shared" si="140"/>
        <v>121.78835978835977</v>
      </c>
      <c r="AQ38" s="27">
        <f t="shared" si="140"/>
        <v>135.40506196177273</v>
      </c>
      <c r="AR38" s="27">
        <f t="shared" si="140"/>
        <v>107.46917488494412</v>
      </c>
      <c r="AS38" s="27">
        <f t="shared" si="140"/>
        <v>129.00530697190428</v>
      </c>
      <c r="AT38" s="27">
        <f t="shared" si="140"/>
        <v>125.59808420583649</v>
      </c>
      <c r="AU38" s="27">
        <f t="shared" si="140"/>
        <v>155.19293055555556</v>
      </c>
      <c r="AV38" s="27">
        <f t="shared" si="140"/>
        <v>131.19612482853225</v>
      </c>
      <c r="AW38" s="585">
        <f t="shared" si="140"/>
        <v>149.78418549346017</v>
      </c>
      <c r="AX38" s="28">
        <f t="shared" si="140"/>
        <v>129.06816626097023</v>
      </c>
      <c r="AY38" s="29">
        <f t="shared" si="140"/>
        <v>159.26092319199572</v>
      </c>
      <c r="AZ38" s="28">
        <f t="shared" si="140"/>
        <v>134.56783979471246</v>
      </c>
      <c r="BA38" s="28">
        <f t="shared" si="140"/>
        <v>152.65452109957886</v>
      </c>
      <c r="BB38" s="28">
        <f t="shared" si="140"/>
        <v>149.52656051359625</v>
      </c>
      <c r="BC38" s="28">
        <f t="shared" si="140"/>
        <v>157.55534229898109</v>
      </c>
      <c r="BD38" s="28">
        <f t="shared" si="140"/>
        <v>117.72969874659809</v>
      </c>
      <c r="BE38" s="28">
        <f t="shared" si="140"/>
        <v>141.91981041482845</v>
      </c>
      <c r="BF38" s="28">
        <f t="shared" si="140"/>
        <v>138.44546941810199</v>
      </c>
      <c r="BG38" s="28">
        <f t="shared" si="140"/>
        <v>163.87866755159959</v>
      </c>
      <c r="BH38" s="28">
        <f t="shared" ref="BH38:CM38" si="141">+(BH13/BH16)*BH26</f>
        <v>141.24809697936371</v>
      </c>
      <c r="BI38" s="28">
        <f t="shared" si="141"/>
        <v>153.55223428800213</v>
      </c>
      <c r="BJ38" s="28">
        <f t="shared" si="141"/>
        <v>158.10850366968853</v>
      </c>
      <c r="BK38" s="275">
        <f t="shared" si="141"/>
        <v>183.15006167079505</v>
      </c>
      <c r="BL38" s="28">
        <f t="shared" si="141"/>
        <v>134.87367579424591</v>
      </c>
      <c r="BM38" s="28">
        <f t="shared" si="141"/>
        <v>160.2872471545578</v>
      </c>
      <c r="BN38" s="28">
        <f t="shared" si="141"/>
        <v>164.1393834728795</v>
      </c>
      <c r="BO38" s="28">
        <f t="shared" si="141"/>
        <v>165.43310941393014</v>
      </c>
      <c r="BP38" s="28">
        <f t="shared" si="141"/>
        <v>123.61618368392796</v>
      </c>
      <c r="BQ38" s="28">
        <f t="shared" si="141"/>
        <v>149.01580093556984</v>
      </c>
      <c r="BR38" s="28">
        <f t="shared" si="141"/>
        <v>139.04740624165899</v>
      </c>
      <c r="BS38" s="28">
        <f t="shared" si="141"/>
        <v>180.26653430675952</v>
      </c>
      <c r="BT38" s="28">
        <f t="shared" si="141"/>
        <v>148.31050182833189</v>
      </c>
      <c r="BU38" s="28">
        <f t="shared" si="141"/>
        <v>153.90121663865668</v>
      </c>
      <c r="BV38" s="28">
        <f t="shared" si="141"/>
        <v>173.91935403665735</v>
      </c>
      <c r="BW38" s="275">
        <f t="shared" si="141"/>
        <v>192.30756475433486</v>
      </c>
      <c r="BX38" s="28">
        <f t="shared" si="141"/>
        <v>141.6173595839582</v>
      </c>
      <c r="BY38" s="28">
        <f t="shared" si="141"/>
        <v>176.71668998790003</v>
      </c>
      <c r="BZ38" s="28">
        <f t="shared" si="141"/>
        <v>172.34635264652348</v>
      </c>
      <c r="CA38" s="28">
        <f t="shared" si="141"/>
        <v>157.91342262238788</v>
      </c>
      <c r="CB38" s="28">
        <f t="shared" si="141"/>
        <v>142.1586112365172</v>
      </c>
      <c r="CC38" s="28">
        <f t="shared" si="141"/>
        <v>156.46659098234838</v>
      </c>
      <c r="CD38" s="28">
        <f t="shared" si="141"/>
        <v>139.36342307402643</v>
      </c>
      <c r="CE38" s="28">
        <f t="shared" si="141"/>
        <v>197.88349106855648</v>
      </c>
      <c r="CF38" s="28">
        <f t="shared" si="141"/>
        <v>148.64757115066899</v>
      </c>
      <c r="CG38" s="28">
        <f t="shared" si="141"/>
        <v>169.29133830252238</v>
      </c>
      <c r="CH38" s="28">
        <f t="shared" si="141"/>
        <v>182.61532173849028</v>
      </c>
      <c r="CI38" s="275">
        <f t="shared" si="141"/>
        <v>184.36442621013404</v>
      </c>
      <c r="CJ38" s="28">
        <f t="shared" si="141"/>
        <v>162.85996352155192</v>
      </c>
      <c r="CK38" s="28">
        <f t="shared" si="141"/>
        <v>176.7166899879</v>
      </c>
      <c r="CL38" s="28">
        <f t="shared" si="141"/>
        <v>173.09568461455186</v>
      </c>
      <c r="CM38" s="28">
        <f t="shared" si="141"/>
        <v>174.09954844118263</v>
      </c>
      <c r="CN38" s="28">
        <f t="shared" ref="CN38:DG38" si="142">+(CN13/CN16)*CN26</f>
        <v>149.26654179834304</v>
      </c>
      <c r="CO38" s="28">
        <f t="shared" si="142"/>
        <v>156.82219687094459</v>
      </c>
      <c r="CP38" s="28">
        <f t="shared" si="142"/>
        <v>153.29976538142907</v>
      </c>
      <c r="CQ38" s="28">
        <f t="shared" si="142"/>
        <v>207.77766562198431</v>
      </c>
      <c r="CR38" s="28">
        <f t="shared" si="142"/>
        <v>148.64757115066899</v>
      </c>
      <c r="CS38" s="28">
        <f t="shared" si="142"/>
        <v>185.83571909117796</v>
      </c>
      <c r="CT38" s="28">
        <f t="shared" si="142"/>
        <v>191.7460878254148</v>
      </c>
      <c r="CU38" s="275">
        <f t="shared" si="142"/>
        <v>193.58264752064082</v>
      </c>
      <c r="CV38" s="28">
        <f t="shared" si="142"/>
        <v>171.00296169762956</v>
      </c>
      <c r="CW38" s="28">
        <f t="shared" si="142"/>
        <v>185.55252448729502</v>
      </c>
      <c r="CX38" s="28">
        <f t="shared" si="142"/>
        <v>173.4890838977667</v>
      </c>
      <c r="CY38" s="28">
        <f t="shared" si="142"/>
        <v>191.50950328530092</v>
      </c>
      <c r="CZ38" s="28">
        <f t="shared" si="142"/>
        <v>156.7298688882602</v>
      </c>
      <c r="DA38" s="28">
        <f t="shared" si="142"/>
        <v>156.82219687094459</v>
      </c>
      <c r="DB38" s="28">
        <f t="shared" si="142"/>
        <v>168.28133336188685</v>
      </c>
      <c r="DC38" s="28">
        <f t="shared" si="142"/>
        <v>208.6810467768625</v>
      </c>
      <c r="DD38" s="28">
        <f t="shared" si="142"/>
        <v>163.88394719361261</v>
      </c>
      <c r="DE38" s="28">
        <f t="shared" si="142"/>
        <v>195.1275050457368</v>
      </c>
      <c r="DF38" s="28">
        <f t="shared" si="142"/>
        <v>192.18187438865436</v>
      </c>
      <c r="DG38" s="29">
        <f t="shared" si="142"/>
        <v>212.94091227270491</v>
      </c>
    </row>
    <row r="39" spans="1:111" ht="18.75" x14ac:dyDescent="0.25">
      <c r="A39" s="37"/>
      <c r="B39" s="37"/>
      <c r="C39" s="628" t="s">
        <v>269</v>
      </c>
      <c r="D39" s="27"/>
      <c r="E39" s="27"/>
      <c r="F39" s="27"/>
      <c r="G39" s="27"/>
      <c r="H39" s="27"/>
      <c r="I39" s="27"/>
      <c r="J39" s="27"/>
      <c r="K39" s="27"/>
      <c r="L39" s="27">
        <f t="shared" ref="L39:Q39" si="143">+L38*L37</f>
        <v>0</v>
      </c>
      <c r="M39" s="27">
        <f t="shared" si="143"/>
        <v>0</v>
      </c>
      <c r="N39" s="27">
        <f t="shared" si="143"/>
        <v>0</v>
      </c>
      <c r="O39" s="27">
        <f t="shared" si="143"/>
        <v>0</v>
      </c>
      <c r="P39" s="27">
        <f t="shared" si="143"/>
        <v>0</v>
      </c>
      <c r="Q39" s="27">
        <f t="shared" si="143"/>
        <v>0</v>
      </c>
      <c r="R39" s="27">
        <f t="shared" ref="R39:CC39" si="144">+R38*R37</f>
        <v>0</v>
      </c>
      <c r="S39" s="27">
        <f t="shared" si="144"/>
        <v>0</v>
      </c>
      <c r="T39" s="27">
        <f t="shared" si="144"/>
        <v>0</v>
      </c>
      <c r="U39" s="27">
        <f t="shared" si="144"/>
        <v>0</v>
      </c>
      <c r="V39" s="27">
        <f t="shared" si="144"/>
        <v>0</v>
      </c>
      <c r="W39" s="27">
        <f t="shared" si="144"/>
        <v>0</v>
      </c>
      <c r="X39" s="27">
        <f t="shared" ref="X39:AE39" si="145">+X38*X37</f>
        <v>0</v>
      </c>
      <c r="Y39" s="27">
        <f t="shared" si="145"/>
        <v>0</v>
      </c>
      <c r="Z39" s="27">
        <f>+Z38*Z37</f>
        <v>0</v>
      </c>
      <c r="AA39" s="27">
        <f t="shared" si="145"/>
        <v>0</v>
      </c>
      <c r="AB39" s="27">
        <f>+AB38*AB37</f>
        <v>672.00102041222738</v>
      </c>
      <c r="AC39" s="27">
        <f t="shared" si="145"/>
        <v>503.33296481451958</v>
      </c>
      <c r="AD39" s="27">
        <f t="shared" si="145"/>
        <v>506.15048699218249</v>
      </c>
      <c r="AE39" s="27">
        <f t="shared" si="145"/>
        <v>502.89566470705171</v>
      </c>
      <c r="AF39" s="27">
        <f t="shared" ref="AF39:AT39" si="146">+AF38*AF37</f>
        <v>426.50121984715554</v>
      </c>
      <c r="AG39" s="27">
        <f t="shared" si="146"/>
        <v>383.62795857988169</v>
      </c>
      <c r="AH39" s="27">
        <f t="shared" si="146"/>
        <v>334.25310592319551</v>
      </c>
      <c r="AI39" s="27">
        <f t="shared" si="146"/>
        <v>247.76349884229487</v>
      </c>
      <c r="AJ39" s="27">
        <f t="shared" si="146"/>
        <v>225.23297959183671</v>
      </c>
      <c r="AK39" s="27">
        <f t="shared" si="146"/>
        <v>237.9886363636364</v>
      </c>
      <c r="AL39" s="27">
        <f t="shared" si="146"/>
        <v>218.55684446821212</v>
      </c>
      <c r="AM39" s="27">
        <f t="shared" si="146"/>
        <v>244.75934258938753</v>
      </c>
      <c r="AN39" s="27">
        <f t="shared" si="146"/>
        <v>252.28876759551852</v>
      </c>
      <c r="AO39" s="27">
        <f t="shared" si="146"/>
        <v>279.44856792410815</v>
      </c>
      <c r="AP39" s="27">
        <f t="shared" si="146"/>
        <v>281.77070223224064</v>
      </c>
      <c r="AQ39" s="27">
        <f t="shared" si="146"/>
        <v>297.5851361758734</v>
      </c>
      <c r="AR39" s="27">
        <f t="shared" si="146"/>
        <v>249.7607639784176</v>
      </c>
      <c r="AS39" s="27">
        <f t="shared" si="146"/>
        <v>280.27548925875652</v>
      </c>
      <c r="AT39" s="27">
        <f t="shared" si="146"/>
        <v>280.22889139392669</v>
      </c>
      <c r="AU39" s="27">
        <f t="shared" ref="AU39:AV39" si="147">+AU38*AU37</f>
        <v>344.28722943635393</v>
      </c>
      <c r="AV39" s="27">
        <f t="shared" si="147"/>
        <v>270.6658791507557</v>
      </c>
      <c r="AW39" s="585">
        <f t="shared" ref="AW39" si="148">+AW38*AW37</f>
        <v>309.82756177414359</v>
      </c>
      <c r="AX39" s="28">
        <f t="shared" ref="AX39" si="149">+AX38*AX37</f>
        <v>272.7478230420503</v>
      </c>
      <c r="AY39" s="29">
        <f t="shared" si="144"/>
        <v>325.78572554281232</v>
      </c>
      <c r="AZ39" s="28">
        <f t="shared" si="144"/>
        <v>270.76173316192563</v>
      </c>
      <c r="BA39" s="28">
        <f t="shared" si="144"/>
        <v>325.95220099156683</v>
      </c>
      <c r="BB39" s="28">
        <f t="shared" si="144"/>
        <v>316.3251353692084</v>
      </c>
      <c r="BC39" s="28">
        <f t="shared" si="144"/>
        <v>347.98609678640707</v>
      </c>
      <c r="BD39" s="28">
        <f t="shared" si="144"/>
        <v>270.12500891603878</v>
      </c>
      <c r="BE39" s="28">
        <f t="shared" si="144"/>
        <v>324.85456099769681</v>
      </c>
      <c r="BF39" s="28">
        <f t="shared" si="144"/>
        <v>324.53082511929006</v>
      </c>
      <c r="BG39" s="28">
        <f t="shared" si="144"/>
        <v>379.98123402583366</v>
      </c>
      <c r="BH39" s="28">
        <f t="shared" si="144"/>
        <v>327.46943996631285</v>
      </c>
      <c r="BI39" s="28">
        <f t="shared" si="144"/>
        <v>344.09474840332427</v>
      </c>
      <c r="BJ39" s="28">
        <f t="shared" si="144"/>
        <v>356.59630892482238</v>
      </c>
      <c r="BK39" s="275">
        <f t="shared" si="144"/>
        <v>391.25652807434466</v>
      </c>
      <c r="BL39" s="28">
        <f t="shared" si="144"/>
        <v>283.21812002996586</v>
      </c>
      <c r="BM39" s="28">
        <f t="shared" si="144"/>
        <v>339.80111857152934</v>
      </c>
      <c r="BN39" s="28">
        <f t="shared" si="144"/>
        <v>347.56819628079683</v>
      </c>
      <c r="BO39" s="28">
        <f t="shared" si="144"/>
        <v>348.60807899575394</v>
      </c>
      <c r="BP39" s="28">
        <f t="shared" si="144"/>
        <v>277.39535138592487</v>
      </c>
      <c r="BQ39" s="28">
        <f t="shared" si="144"/>
        <v>340.08902600689447</v>
      </c>
      <c r="BR39" s="28">
        <f t="shared" si="144"/>
        <v>319.46228574656533</v>
      </c>
      <c r="BS39" s="28">
        <f t="shared" si="144"/>
        <v>407.72255901208842</v>
      </c>
      <c r="BT39" s="28">
        <f t="shared" si="144"/>
        <v>333.53491949266987</v>
      </c>
      <c r="BU39" s="28">
        <f t="shared" si="144"/>
        <v>334.42745853863136</v>
      </c>
      <c r="BV39" s="28">
        <f t="shared" si="144"/>
        <v>381.82862822837041</v>
      </c>
      <c r="BW39" s="275">
        <f t="shared" si="144"/>
        <v>400.1841803542867</v>
      </c>
      <c r="BX39" s="28">
        <f t="shared" si="144"/>
        <v>289.04426941825875</v>
      </c>
      <c r="BY39" s="28">
        <f t="shared" si="144"/>
        <v>363.59513476205842</v>
      </c>
      <c r="BZ39" s="28">
        <f t="shared" si="144"/>
        <v>354.77026894041398</v>
      </c>
      <c r="CA39" s="28">
        <f t="shared" si="144"/>
        <v>322.73768422189937</v>
      </c>
      <c r="CB39" s="28">
        <f t="shared" si="144"/>
        <v>309.40658649888479</v>
      </c>
      <c r="CC39" s="28">
        <f t="shared" si="144"/>
        <v>343.74378726726434</v>
      </c>
      <c r="CD39" s="28">
        <f t="shared" ref="CD39:DG39" si="150">+CD38*CD37</f>
        <v>309.41071848787914</v>
      </c>
      <c r="CE39" s="28">
        <f t="shared" si="150"/>
        <v>431.90154219973022</v>
      </c>
      <c r="CF39" s="28">
        <f t="shared" si="150"/>
        <v>323.0209265421409</v>
      </c>
      <c r="CG39" s="28">
        <f t="shared" si="150"/>
        <v>355.46878085153827</v>
      </c>
      <c r="CH39" s="28">
        <f t="shared" si="150"/>
        <v>386.48940231208172</v>
      </c>
      <c r="CI39" s="275">
        <f t="shared" si="150"/>
        <v>370.28660733442746</v>
      </c>
      <c r="CJ39" s="28">
        <f t="shared" si="150"/>
        <v>322.25696478260272</v>
      </c>
      <c r="CK39" s="28">
        <f t="shared" si="150"/>
        <v>353.28866235939199</v>
      </c>
      <c r="CL39" s="28">
        <f t="shared" si="150"/>
        <v>345.91207734911438</v>
      </c>
      <c r="CM39" s="28">
        <f t="shared" si="150"/>
        <v>345.35453110181606</v>
      </c>
      <c r="CN39" s="28">
        <f t="shared" si="150"/>
        <v>316.05768698842871</v>
      </c>
      <c r="CO39" s="28">
        <f t="shared" si="150"/>
        <v>337.39244418056518</v>
      </c>
      <c r="CP39" s="28">
        <f t="shared" si="150"/>
        <v>334.00027358292192</v>
      </c>
      <c r="CQ39" s="28">
        <f t="shared" si="150"/>
        <v>445.55673550258405</v>
      </c>
      <c r="CR39" s="28">
        <f t="shared" si="150"/>
        <v>316.97574006222186</v>
      </c>
      <c r="CS39" s="28">
        <f t="shared" si="150"/>
        <v>383.49389632637781</v>
      </c>
      <c r="CT39" s="28">
        <f t="shared" si="150"/>
        <v>400.62030058733814</v>
      </c>
      <c r="CU39" s="275">
        <f t="shared" si="150"/>
        <v>383.88340006794908</v>
      </c>
      <c r="CV39" s="28">
        <f t="shared" si="150"/>
        <v>332.86317967517812</v>
      </c>
      <c r="CW39" s="28">
        <f t="shared" si="150"/>
        <v>365.18245492860939</v>
      </c>
      <c r="CX39" s="28">
        <f t="shared" si="150"/>
        <v>340.50587714759513</v>
      </c>
      <c r="CY39" s="28">
        <f t="shared" si="150"/>
        <v>374.63015622847593</v>
      </c>
      <c r="CZ39" s="28">
        <f t="shared" si="150"/>
        <v>327.72080997504321</v>
      </c>
      <c r="DA39" s="28">
        <f t="shared" si="150"/>
        <v>331.22570836534521</v>
      </c>
      <c r="DB39" s="28">
        <f t="shared" si="150"/>
        <v>359.45062985878627</v>
      </c>
      <c r="DC39" s="28">
        <f t="shared" si="150"/>
        <v>437.97076486129777</v>
      </c>
      <c r="DD39" s="28">
        <f t="shared" si="150"/>
        <v>340.71422781226482</v>
      </c>
      <c r="DE39" s="28">
        <f t="shared" si="150"/>
        <v>391.99836536725587</v>
      </c>
      <c r="DF39" s="28">
        <f t="shared" si="150"/>
        <v>391.25866208975771</v>
      </c>
      <c r="DG39" s="29">
        <f t="shared" si="150"/>
        <v>409.98185150860917</v>
      </c>
    </row>
    <row r="40" spans="1:111" ht="18.75" x14ac:dyDescent="0.25">
      <c r="A40" s="37"/>
      <c r="B40" s="37"/>
      <c r="C40" s="628" t="s">
        <v>211</v>
      </c>
      <c r="D40" s="27"/>
      <c r="E40" s="27"/>
      <c r="F40" s="27"/>
      <c r="G40" s="27"/>
      <c r="H40" s="27"/>
      <c r="I40" s="175"/>
      <c r="J40" s="175"/>
      <c r="K40" s="175"/>
      <c r="L40" s="175" t="e">
        <f>+L92/L13</f>
        <v>#DIV/0!</v>
      </c>
      <c r="M40" s="175" t="e">
        <f>+M92/M13</f>
        <v>#DIV/0!</v>
      </c>
      <c r="N40" s="175" t="e">
        <f>+N92/N13</f>
        <v>#DIV/0!</v>
      </c>
      <c r="O40" s="175" t="e">
        <f>+O92/O13</f>
        <v>#DIV/0!</v>
      </c>
      <c r="P40" s="193" t="e">
        <f>+P92/P13</f>
        <v>#DIV/0!</v>
      </c>
      <c r="Q40" s="193">
        <v>0</v>
      </c>
      <c r="R40" s="193">
        <v>0</v>
      </c>
      <c r="S40" s="193">
        <v>0</v>
      </c>
      <c r="T40" s="193">
        <v>0</v>
      </c>
      <c r="U40" s="193">
        <v>0</v>
      </c>
      <c r="V40" s="193">
        <v>0</v>
      </c>
      <c r="W40" s="193" t="e">
        <f>+W92/W13</f>
        <v>#DIV/0!</v>
      </c>
      <c r="X40" s="193" t="e">
        <f>+X92/X13</f>
        <v>#DIV/0!</v>
      </c>
      <c r="Y40" s="193" t="e">
        <f>+Y92/Y13</f>
        <v>#DIV/0!</v>
      </c>
      <c r="Z40" s="193" t="e">
        <f>+Z92/Z13</f>
        <v>#DIV/0!</v>
      </c>
      <c r="AA40" s="193" t="e">
        <f>+AA92/AA13</f>
        <v>#DIV/0!</v>
      </c>
      <c r="AB40" s="193">
        <f t="shared" ref="AB40:BG40" si="151">+AB65/AB13</f>
        <v>0.91205376625643708</v>
      </c>
      <c r="AC40" s="193">
        <f t="shared" si="151"/>
        <v>0.90307355938484335</v>
      </c>
      <c r="AD40" s="193">
        <f t="shared" si="151"/>
        <v>0.93038060018980917</v>
      </c>
      <c r="AE40" s="193">
        <f t="shared" si="151"/>
        <v>0.95691569655878217</v>
      </c>
      <c r="AF40" s="193">
        <f t="shared" si="151"/>
        <v>0.82341948310139168</v>
      </c>
      <c r="AG40" s="193">
        <f t="shared" si="151"/>
        <v>0.82043472183393895</v>
      </c>
      <c r="AH40" s="193">
        <f t="shared" si="151"/>
        <v>0.87787382594963015</v>
      </c>
      <c r="AI40" s="193">
        <f t="shared" si="151"/>
        <v>0.88487457162440031</v>
      </c>
      <c r="AJ40" s="193">
        <f t="shared" si="151"/>
        <v>0.919200088144557</v>
      </c>
      <c r="AK40" s="193">
        <f t="shared" si="151"/>
        <v>0.82350396258282454</v>
      </c>
      <c r="AL40" s="193">
        <f t="shared" si="151"/>
        <v>0.80795950392305749</v>
      </c>
      <c r="AM40" s="193">
        <f t="shared" si="151"/>
        <v>0.7999691157347204</v>
      </c>
      <c r="AN40" s="193">
        <f t="shared" si="151"/>
        <v>0.92601156069364166</v>
      </c>
      <c r="AO40" s="193">
        <f t="shared" si="151"/>
        <v>0.88546470311360781</v>
      </c>
      <c r="AP40" s="193">
        <f t="shared" si="151"/>
        <v>0.85585003868608001</v>
      </c>
      <c r="AQ40" s="193">
        <f t="shared" si="151"/>
        <v>0.92360861131427485</v>
      </c>
      <c r="AR40" s="193">
        <f t="shared" si="151"/>
        <v>0.79391237454967356</v>
      </c>
      <c r="AS40" s="193">
        <f t="shared" si="151"/>
        <v>0.9004232335624941</v>
      </c>
      <c r="AT40" s="193">
        <f t="shared" si="151"/>
        <v>0.8915273200288466</v>
      </c>
      <c r="AU40" s="193">
        <f t="shared" si="151"/>
        <v>0.87277336068519018</v>
      </c>
      <c r="AV40" s="193">
        <f t="shared" si="151"/>
        <v>0.81434903451125928</v>
      </c>
      <c r="AW40" s="589">
        <f t="shared" si="151"/>
        <v>0.87703925981495368</v>
      </c>
      <c r="AX40" s="194">
        <f t="shared" si="151"/>
        <v>0.82008252080328026</v>
      </c>
      <c r="AY40" s="195">
        <f t="shared" si="151"/>
        <v>0.74122352429273652</v>
      </c>
      <c r="AZ40" s="194">
        <f t="shared" si="151"/>
        <v>0.76475537655848991</v>
      </c>
      <c r="BA40" s="194">
        <f t="shared" si="151"/>
        <v>0.73939725044661819</v>
      </c>
      <c r="BB40" s="194">
        <f t="shared" si="151"/>
        <v>0.72497795003859389</v>
      </c>
      <c r="BC40" s="194">
        <f t="shared" si="151"/>
        <v>0.69988909334278127</v>
      </c>
      <c r="BD40" s="194">
        <f t="shared" si="151"/>
        <v>0.7068880726375939</v>
      </c>
      <c r="BE40" s="194">
        <f t="shared" si="151"/>
        <v>0.70801380392681879</v>
      </c>
      <c r="BF40" s="194">
        <f t="shared" si="151"/>
        <v>0.71348269895500871</v>
      </c>
      <c r="BG40" s="194">
        <f t="shared" si="151"/>
        <v>0.70603910703150985</v>
      </c>
      <c r="BH40" s="194">
        <f t="shared" ref="BH40:CM40" si="152">+BH65/BH13</f>
        <v>0.76373110027672131</v>
      </c>
      <c r="BI40" s="194">
        <f t="shared" si="152"/>
        <v>0.74302284674158436</v>
      </c>
      <c r="BJ40" s="194">
        <f t="shared" si="152"/>
        <v>0.76101569362687482</v>
      </c>
      <c r="BK40" s="278">
        <f t="shared" si="152"/>
        <v>0.71826938730717338</v>
      </c>
      <c r="BL40" s="194">
        <f t="shared" si="152"/>
        <v>0.760258791904461</v>
      </c>
      <c r="BM40" s="194">
        <f t="shared" si="152"/>
        <v>0.73423225324564856</v>
      </c>
      <c r="BN40" s="194">
        <f t="shared" si="152"/>
        <v>0.71846647299137056</v>
      </c>
      <c r="BO40" s="194">
        <f t="shared" si="152"/>
        <v>0.70365857199620596</v>
      </c>
      <c r="BP40" s="194">
        <f t="shared" si="152"/>
        <v>0.7095333422585417</v>
      </c>
      <c r="BQ40" s="194">
        <f t="shared" si="152"/>
        <v>0.71121105083625136</v>
      </c>
      <c r="BR40" s="194">
        <f t="shared" si="152"/>
        <v>0.72227517559016507</v>
      </c>
      <c r="BS40" s="194">
        <f t="shared" si="152"/>
        <v>0.70548717345891132</v>
      </c>
      <c r="BT40" s="194">
        <f t="shared" si="152"/>
        <v>0.76396587047748832</v>
      </c>
      <c r="BU40" s="194">
        <f t="shared" si="152"/>
        <v>0.7497552860868405</v>
      </c>
      <c r="BV40" s="194">
        <f t="shared" si="152"/>
        <v>0.75628990740800084</v>
      </c>
      <c r="BW40" s="278">
        <f t="shared" si="152"/>
        <v>0.7219251726363286</v>
      </c>
      <c r="BX40" s="194">
        <f t="shared" si="152"/>
        <v>0.76145781544820579</v>
      </c>
      <c r="BY40" s="194">
        <f t="shared" si="152"/>
        <v>0.73188349777198503</v>
      </c>
      <c r="BZ40" s="194">
        <f t="shared" si="152"/>
        <v>0.72301231441462399</v>
      </c>
      <c r="CA40" s="194">
        <f t="shared" si="152"/>
        <v>0.71777875506634603</v>
      </c>
      <c r="CB40" s="194">
        <f t="shared" si="152"/>
        <v>0.70617208286782907</v>
      </c>
      <c r="CC40" s="194">
        <f t="shared" si="152"/>
        <v>0.7168194939770135</v>
      </c>
      <c r="CD40" s="194">
        <f t="shared" si="152"/>
        <v>0.73218253525852273</v>
      </c>
      <c r="CE40" s="194">
        <f t="shared" si="152"/>
        <v>0.70726968753155783</v>
      </c>
      <c r="CF40" s="194">
        <f t="shared" si="152"/>
        <v>0.77394966701778567</v>
      </c>
      <c r="CG40" s="194">
        <f t="shared" si="152"/>
        <v>0.74757378565978871</v>
      </c>
      <c r="CH40" s="194">
        <f t="shared" si="152"/>
        <v>0.75930720488679748</v>
      </c>
      <c r="CI40" s="278">
        <f t="shared" si="152"/>
        <v>0.73601021385835241</v>
      </c>
      <c r="CJ40" s="194">
        <f t="shared" si="152"/>
        <v>0.75149858277624937</v>
      </c>
      <c r="CK40" s="194">
        <f t="shared" si="152"/>
        <v>0.74103156886810018</v>
      </c>
      <c r="CL40" s="194">
        <f t="shared" si="152"/>
        <v>0.73201855333643273</v>
      </c>
      <c r="CM40" s="194">
        <f t="shared" si="152"/>
        <v>0.71788535338920934</v>
      </c>
      <c r="CN40" s="194">
        <f t="shared" ref="CN40:DG40" si="153">+CN65/CN13</f>
        <v>0.71108146515436876</v>
      </c>
      <c r="CO40" s="194">
        <f t="shared" si="153"/>
        <v>0.72480464812497836</v>
      </c>
      <c r="CP40" s="194">
        <f t="shared" si="153"/>
        <v>0.72963480121112878</v>
      </c>
      <c r="CQ40" s="194">
        <f t="shared" si="153"/>
        <v>0.7123788860053466</v>
      </c>
      <c r="CR40" s="194">
        <f t="shared" si="153"/>
        <v>0.78153697955360013</v>
      </c>
      <c r="CS40" s="194">
        <f t="shared" si="153"/>
        <v>0.74353451533795034</v>
      </c>
      <c r="CT40" s="194">
        <f t="shared" si="153"/>
        <v>0.76014941625580923</v>
      </c>
      <c r="CU40" s="278">
        <f t="shared" si="153"/>
        <v>0.73926373678443402</v>
      </c>
      <c r="CV40" s="194">
        <f t="shared" si="153"/>
        <v>0.75271315245287584</v>
      </c>
      <c r="CW40" s="194">
        <f t="shared" si="153"/>
        <v>0.74334565384673901</v>
      </c>
      <c r="CX40" s="194">
        <f t="shared" si="153"/>
        <v>0.73960353858084482</v>
      </c>
      <c r="CY40" s="194">
        <f t="shared" si="153"/>
        <v>0.71835500285524723</v>
      </c>
      <c r="CZ40" s="194">
        <f t="shared" si="153"/>
        <v>0.71609969285049291</v>
      </c>
      <c r="DA40" s="194">
        <f t="shared" si="153"/>
        <v>0.73360424579445571</v>
      </c>
      <c r="DB40" s="194">
        <f t="shared" si="153"/>
        <v>0.7304934253478077</v>
      </c>
      <c r="DC40" s="194">
        <f t="shared" si="153"/>
        <v>0.7218094801633953</v>
      </c>
      <c r="DD40" s="194">
        <f t="shared" si="153"/>
        <v>0.77706509575077931</v>
      </c>
      <c r="DE40" s="194">
        <f t="shared" si="153"/>
        <v>0.74691560047206107</v>
      </c>
      <c r="DF40" s="194">
        <f t="shared" si="153"/>
        <v>0.76921849107353857</v>
      </c>
      <c r="DG40" s="195">
        <f t="shared" si="153"/>
        <v>0.73811905170045677</v>
      </c>
    </row>
    <row r="41" spans="1:111" ht="18.75" x14ac:dyDescent="0.25">
      <c r="A41" s="37"/>
      <c r="B41" s="37"/>
      <c r="C41" s="628" t="s">
        <v>243</v>
      </c>
      <c r="D41" s="27"/>
      <c r="E41" s="27"/>
      <c r="F41" s="27"/>
      <c r="G41" s="27"/>
      <c r="H41" s="27"/>
      <c r="I41" s="175"/>
      <c r="J41" s="175"/>
      <c r="K41" s="175"/>
      <c r="L41" s="175"/>
      <c r="M41" s="175"/>
      <c r="N41" s="175"/>
      <c r="O41" s="175"/>
      <c r="P41" s="193"/>
      <c r="Q41" s="193"/>
      <c r="R41" s="193"/>
      <c r="S41" s="193"/>
      <c r="T41" s="193"/>
      <c r="U41" s="193"/>
      <c r="V41" s="193"/>
      <c r="W41" s="263">
        <f>+(W38)*W17*W26</f>
        <v>0</v>
      </c>
      <c r="X41" s="263">
        <f>+(X38)*X17*X26</f>
        <v>0</v>
      </c>
      <c r="Y41" s="263">
        <f>+(Y38)*Y17*Y26</f>
        <v>0</v>
      </c>
      <c r="Z41" s="263">
        <f>+(Z38)*Z17*Z26</f>
        <v>0</v>
      </c>
      <c r="AA41" s="263">
        <f>+(AA38)*AA17*AA26</f>
        <v>0</v>
      </c>
      <c r="AB41" s="263">
        <f t="shared" ref="AB41:AH41" si="154">+(AB38)*AB17</f>
        <v>3806.3752066115703</v>
      </c>
      <c r="AC41" s="263">
        <f t="shared" si="154"/>
        <v>3565.1260239445496</v>
      </c>
      <c r="AD41" s="263">
        <f t="shared" si="154"/>
        <v>3434.6887435121107</v>
      </c>
      <c r="AE41" s="263">
        <f t="shared" si="154"/>
        <v>2659.5027548209364</v>
      </c>
      <c r="AF41" s="263">
        <f t="shared" si="154"/>
        <v>4158.3868935097671</v>
      </c>
      <c r="AG41" s="263">
        <f t="shared" si="154"/>
        <v>3809.8224852071003</v>
      </c>
      <c r="AH41" s="263">
        <f t="shared" si="154"/>
        <v>3948.4454732510294</v>
      </c>
      <c r="AI41" s="263">
        <f t="shared" ref="AI41:AT41" si="155">+(AI38)*AI17</f>
        <v>4344.1940828402367</v>
      </c>
      <c r="AJ41" s="263">
        <f t="shared" si="155"/>
        <v>4568.8707482993195</v>
      </c>
      <c r="AK41" s="263">
        <f t="shared" si="155"/>
        <v>4150.6549586776864</v>
      </c>
      <c r="AL41" s="263">
        <f t="shared" si="155"/>
        <v>3267.6039697542533</v>
      </c>
      <c r="AM41" s="263">
        <f t="shared" si="155"/>
        <v>3217.3525377229075</v>
      </c>
      <c r="AN41" s="263">
        <f t="shared" si="155"/>
        <v>4460.1049985636309</v>
      </c>
      <c r="AO41" s="263">
        <f t="shared" si="155"/>
        <v>4123.6762769319166</v>
      </c>
      <c r="AP41" s="263">
        <f t="shared" si="155"/>
        <v>3775.439153439153</v>
      </c>
      <c r="AQ41" s="263">
        <f t="shared" si="155"/>
        <v>4062.1518588531817</v>
      </c>
      <c r="AR41" s="263">
        <f t="shared" si="155"/>
        <v>4083.8286456278765</v>
      </c>
      <c r="AS41" s="263">
        <f t="shared" si="155"/>
        <v>4773.196357960458</v>
      </c>
      <c r="AT41" s="263">
        <f t="shared" si="155"/>
        <v>4270.3348629984403</v>
      </c>
      <c r="AU41" s="263">
        <f t="shared" ref="AU41:AV41" si="156">+(AU38)*AU17</f>
        <v>4966.173777777778</v>
      </c>
      <c r="AV41" s="263">
        <f t="shared" si="156"/>
        <v>4723.0604938271608</v>
      </c>
      <c r="AW41" s="590">
        <f t="shared" ref="AW41" si="157">+(AW38)*AW17</f>
        <v>4942.8781212841859</v>
      </c>
      <c r="AX41" s="264">
        <f t="shared" ref="AX41" si="158">+(AX38)*AX17</f>
        <v>3263.5584914245451</v>
      </c>
      <c r="AY41" s="265">
        <f t="shared" ref="AY41:CS41" si="159">+(AY38)*AY17</f>
        <v>4798.1261151713097</v>
      </c>
      <c r="AZ41" s="264">
        <f t="shared" si="159"/>
        <v>4488.5634970784904</v>
      </c>
      <c r="BA41" s="264">
        <f t="shared" si="159"/>
        <v>5502.4851204238412</v>
      </c>
      <c r="BB41" s="264">
        <f t="shared" si="159"/>
        <v>5631.068190901392</v>
      </c>
      <c r="BC41" s="264">
        <f t="shared" si="159"/>
        <v>7459.1649086624639</v>
      </c>
      <c r="BD41" s="264">
        <f t="shared" si="159"/>
        <v>6270.4055469160066</v>
      </c>
      <c r="BE41" s="264">
        <f t="shared" si="159"/>
        <v>6947.9841276556272</v>
      </c>
      <c r="BF41" s="264">
        <f t="shared" si="159"/>
        <v>6479.9611751070252</v>
      </c>
      <c r="BG41" s="264">
        <f t="shared" si="159"/>
        <v>7405.8704929539772</v>
      </c>
      <c r="BH41" s="264">
        <f t="shared" si="159"/>
        <v>4863.3663137847434</v>
      </c>
      <c r="BI41" s="264">
        <f t="shared" si="159"/>
        <v>5700.0627124899429</v>
      </c>
      <c r="BJ41" s="264">
        <f t="shared" si="159"/>
        <v>4678.3458161644412</v>
      </c>
      <c r="BK41" s="279">
        <f t="shared" si="159"/>
        <v>6207.5756615028822</v>
      </c>
      <c r="BL41" s="264">
        <f t="shared" si="159"/>
        <v>5006.6898333065019</v>
      </c>
      <c r="BM41" s="264">
        <f t="shared" si="159"/>
        <v>6295.0072310520509</v>
      </c>
      <c r="BN41" s="264">
        <f t="shared" si="159"/>
        <v>6622.9040654351584</v>
      </c>
      <c r="BO41" s="264">
        <f t="shared" si="159"/>
        <v>8188.1287520090218</v>
      </c>
      <c r="BP41" s="264">
        <f t="shared" si="159"/>
        <v>6916.4473305376532</v>
      </c>
      <c r="BQ41" s="264">
        <f t="shared" si="159"/>
        <v>7616.0595245455897</v>
      </c>
      <c r="BR41" s="264">
        <f t="shared" si="159"/>
        <v>6732.553364841333</v>
      </c>
      <c r="BS41" s="264">
        <f t="shared" si="159"/>
        <v>8437.4024544725653</v>
      </c>
      <c r="BT41" s="264">
        <f t="shared" si="159"/>
        <v>5266.1138366450414</v>
      </c>
      <c r="BU41" s="264">
        <f t="shared" si="159"/>
        <v>5961.4094613629977</v>
      </c>
      <c r="BV41" s="264">
        <f t="shared" si="159"/>
        <v>5239.7473141041719</v>
      </c>
      <c r="BW41" s="279">
        <f t="shared" si="159"/>
        <v>6724.8736332947901</v>
      </c>
      <c r="BX41" s="264">
        <f t="shared" si="159"/>
        <v>5409.4018416376766</v>
      </c>
      <c r="BY41" s="264">
        <f t="shared" si="159"/>
        <v>7130.3891838029676</v>
      </c>
      <c r="BZ41" s="264">
        <f t="shared" si="159"/>
        <v>7139.4905825390997</v>
      </c>
      <c r="CA41" s="264">
        <f t="shared" si="159"/>
        <v>8070.8087254239144</v>
      </c>
      <c r="CB41" s="264">
        <f t="shared" si="159"/>
        <v>8183.3542694486405</v>
      </c>
      <c r="CC41" s="264">
        <f t="shared" si="159"/>
        <v>8165.2175007891428</v>
      </c>
      <c r="CD41" s="264">
        <f t="shared" si="159"/>
        <v>6897.806947432895</v>
      </c>
      <c r="CE41" s="264">
        <f t="shared" si="159"/>
        <v>9474.8855619229926</v>
      </c>
      <c r="CF41" s="264">
        <f t="shared" si="159"/>
        <v>5358.05322077655</v>
      </c>
      <c r="CG41" s="264">
        <f t="shared" si="159"/>
        <v>6648.627496492345</v>
      </c>
      <c r="CH41" s="264">
        <f t="shared" si="159"/>
        <v>5599.9799419488354</v>
      </c>
      <c r="CI41" s="279">
        <f t="shared" si="159"/>
        <v>6645.4796402328129</v>
      </c>
      <c r="CJ41" s="264">
        <f t="shared" si="159"/>
        <v>6396.0462620490553</v>
      </c>
      <c r="CK41" s="264">
        <f t="shared" si="159"/>
        <v>7320.532895371045</v>
      </c>
      <c r="CL41" s="264">
        <f t="shared" si="159"/>
        <v>7356.7794263555079</v>
      </c>
      <c r="CM41" s="264">
        <f t="shared" si="159"/>
        <v>9179.058197246597</v>
      </c>
      <c r="CN41" s="264">
        <f t="shared" si="159"/>
        <v>8913.7377579835411</v>
      </c>
      <c r="CO41" s="264">
        <f t="shared" si="159"/>
        <v>8521.2500633235486</v>
      </c>
      <c r="CP41" s="264">
        <f t="shared" si="159"/>
        <v>7917.482757053408</v>
      </c>
      <c r="CQ41" s="264">
        <f t="shared" si="159"/>
        <v>10283.976913278213</v>
      </c>
      <c r="CR41" s="264">
        <f t="shared" si="159"/>
        <v>5517.9951079639086</v>
      </c>
      <c r="CS41" s="264">
        <f t="shared" si="159"/>
        <v>7598.3131426289219</v>
      </c>
      <c r="CT41" s="264">
        <f t="shared" ref="CT41:DG41" si="160">+(CT38)*CT17</f>
        <v>6086.2939895391291</v>
      </c>
      <c r="CU41" s="279">
        <f t="shared" si="160"/>
        <v>7186.0447751472748</v>
      </c>
      <c r="CV41" s="264">
        <f t="shared" si="160"/>
        <v>6991.8423522125304</v>
      </c>
      <c r="CW41" s="264">
        <f t="shared" si="160"/>
        <v>7986.0358858593218</v>
      </c>
      <c r="CX41" s="264">
        <f t="shared" si="160"/>
        <v>7653.5056851515483</v>
      </c>
      <c r="CY41" s="264">
        <f t="shared" si="160"/>
        <v>10509.084997255799</v>
      </c>
      <c r="CZ41" s="264">
        <f t="shared" si="160"/>
        <v>9696.7012096983108</v>
      </c>
      <c r="DA41" s="264">
        <f t="shared" si="160"/>
        <v>8774.3565008480109</v>
      </c>
      <c r="DB41" s="264">
        <f t="shared" si="160"/>
        <v>8872.3041861355559</v>
      </c>
      <c r="DC41" s="264">
        <f t="shared" si="160"/>
        <v>10553.226592387671</v>
      </c>
      <c r="DD41" s="264">
        <f t="shared" si="160"/>
        <v>6171.757571842244</v>
      </c>
      <c r="DE41" s="264">
        <f t="shared" si="160"/>
        <v>8188.1821892277421</v>
      </c>
      <c r="DF41" s="264">
        <f t="shared" si="160"/>
        <v>6203.5184500464302</v>
      </c>
      <c r="DG41" s="265">
        <f t="shared" si="160"/>
        <v>8133.7695208551049</v>
      </c>
    </row>
    <row r="42" spans="1:111" ht="18.75" x14ac:dyDescent="0.25">
      <c r="A42" s="37"/>
      <c r="B42" s="37"/>
      <c r="C42" s="628" t="s">
        <v>294</v>
      </c>
      <c r="D42" s="27"/>
      <c r="E42" s="27"/>
      <c r="F42" s="27"/>
      <c r="G42" s="27"/>
      <c r="H42" s="27"/>
      <c r="I42" s="27"/>
      <c r="J42" s="27"/>
      <c r="K42" s="27"/>
      <c r="L42" s="27">
        <f t="shared" ref="L42:AE42" si="161">+IFERROR(AVERAGE(L40*L39,K40*K39, J40*J39, I40*I39,H39*H40,G39*G40), 0)</f>
        <v>0</v>
      </c>
      <c r="M42" s="27">
        <f t="shared" si="161"/>
        <v>0</v>
      </c>
      <c r="N42" s="27">
        <f t="shared" si="161"/>
        <v>0</v>
      </c>
      <c r="O42" s="27">
        <f t="shared" si="161"/>
        <v>0</v>
      </c>
      <c r="P42" s="27">
        <f t="shared" si="161"/>
        <v>0</v>
      </c>
      <c r="Q42" s="27">
        <f t="shared" si="161"/>
        <v>0</v>
      </c>
      <c r="R42" s="27">
        <f t="shared" si="161"/>
        <v>0</v>
      </c>
      <c r="S42" s="27">
        <f t="shared" si="161"/>
        <v>0</v>
      </c>
      <c r="T42" s="27">
        <f t="shared" si="161"/>
        <v>0</v>
      </c>
      <c r="U42" s="27">
        <f t="shared" si="161"/>
        <v>0</v>
      </c>
      <c r="V42" s="27">
        <f t="shared" si="161"/>
        <v>0</v>
      </c>
      <c r="W42" s="27">
        <f t="shared" si="161"/>
        <v>0</v>
      </c>
      <c r="X42" s="27">
        <f t="shared" si="161"/>
        <v>0</v>
      </c>
      <c r="Y42" s="27">
        <f t="shared" si="161"/>
        <v>0</v>
      </c>
      <c r="Z42" s="27">
        <f t="shared" si="161"/>
        <v>0</v>
      </c>
      <c r="AA42" s="27">
        <f t="shared" si="161"/>
        <v>0</v>
      </c>
      <c r="AB42" s="27">
        <f t="shared" si="161"/>
        <v>0</v>
      </c>
      <c r="AC42" s="27">
        <f t="shared" si="161"/>
        <v>0</v>
      </c>
      <c r="AD42" s="27">
        <f t="shared" si="161"/>
        <v>0</v>
      </c>
      <c r="AE42" s="27">
        <f t="shared" si="161"/>
        <v>0</v>
      </c>
      <c r="AF42" s="27">
        <f>+IFERROR(AVERAGE(AF40*AF39,AE40*AE39, AD40*AD39, AC40*AC39,AB39*AB40,AA39*AA40), 0)</f>
        <v>0</v>
      </c>
      <c r="AG42" s="27">
        <f>+IFERROR(AVERAGE(AG40*AG39,AF40*AF39, AE40*AE39, AD40*AD39,AC39*AC40,AB39*AB40), 0)</f>
        <v>447.58670238724517</v>
      </c>
      <c r="AH42" s="27">
        <f t="shared" ref="AH42:CR42" si="162">+IFERROR(AVERAGE(AH40*AH39,AG40*AG39, AF40*AF39, AE40*AE39,AD39*AD40,AC39*AC40), 0)</f>
        <v>394.34186761011216</v>
      </c>
      <c r="AI42" s="27">
        <f t="shared" si="162"/>
        <v>355.12402224535617</v>
      </c>
      <c r="AJ42" s="27">
        <f t="shared" si="162"/>
        <v>311.14428571531062</v>
      </c>
      <c r="AK42" s="27">
        <f t="shared" si="162"/>
        <v>263.60359068291012</v>
      </c>
      <c r="AL42" s="27">
        <f t="shared" si="162"/>
        <v>234.50286829072141</v>
      </c>
      <c r="AM42" s="27">
        <f t="shared" si="162"/>
        <v>214.67923785302753</v>
      </c>
      <c r="AN42" s="27">
        <f t="shared" si="162"/>
        <v>204.71094826873738</v>
      </c>
      <c r="AO42" s="27">
        <f t="shared" si="162"/>
        <v>209.4113188237715</v>
      </c>
      <c r="AP42" s="27">
        <f t="shared" si="162"/>
        <v>215.09786744246978</v>
      </c>
      <c r="AQ42" s="27">
        <f t="shared" si="162"/>
        <v>228.24246898847483</v>
      </c>
      <c r="AR42" s="27">
        <f t="shared" ref="AR42:AW42" si="163">+IFERROR(AVERAGE(AR40*AR39,AQ40*AQ39, AP40*AP39, AO40*AO39,AN39*AN40,AM39*AM40), 0)</f>
        <v>231.8596492491283</v>
      </c>
      <c r="AS42" s="27">
        <f t="shared" si="163"/>
        <v>241.28742382706756</v>
      </c>
      <c r="AT42" s="27">
        <f t="shared" si="163"/>
        <v>243.98899001248103</v>
      </c>
      <c r="AU42" s="27">
        <f t="shared" si="163"/>
        <v>252.82946985310039</v>
      </c>
      <c r="AV42" s="27">
        <f t="shared" si="163"/>
        <v>249.37330834568243</v>
      </c>
      <c r="AW42" s="585">
        <f t="shared" si="163"/>
        <v>248.85309852526555</v>
      </c>
      <c r="AX42" s="28">
        <f t="shared" si="162"/>
        <v>253.08435870267985</v>
      </c>
      <c r="AY42" s="29">
        <f t="shared" si="162"/>
        <v>251.26993892341815</v>
      </c>
      <c r="AZ42" s="28">
        <f t="shared" si="162"/>
        <v>244.14240203388408</v>
      </c>
      <c r="BA42" s="28">
        <f t="shared" si="162"/>
        <v>234.22964185288879</v>
      </c>
      <c r="BB42" s="28">
        <f t="shared" si="162"/>
        <v>235.71501699023716</v>
      </c>
      <c r="BC42" s="28">
        <f t="shared" si="162"/>
        <v>231.01847337808135</v>
      </c>
      <c r="BD42" s="28">
        <f t="shared" si="162"/>
        <v>225.56387748807131</v>
      </c>
      <c r="BE42" s="28">
        <f t="shared" si="162"/>
        <v>223.65078912204578</v>
      </c>
      <c r="BF42" s="28">
        <f t="shared" si="162"/>
        <v>227.73089542176729</v>
      </c>
      <c r="BG42" s="28">
        <f t="shared" si="162"/>
        <v>232.27647041679108</v>
      </c>
      <c r="BH42" s="28">
        <f t="shared" si="162"/>
        <v>235.73811166792851</v>
      </c>
      <c r="BI42" s="28">
        <f t="shared" si="162"/>
        <v>237.75787595655106</v>
      </c>
      <c r="BJ42" s="28">
        <f t="shared" si="162"/>
        <v>251.16241603277365</v>
      </c>
      <c r="BK42" s="275">
        <f t="shared" si="162"/>
        <v>259.6667615735962</v>
      </c>
      <c r="BL42" s="28">
        <f t="shared" si="162"/>
        <v>256.96208437013416</v>
      </c>
      <c r="BM42" s="28">
        <f t="shared" si="162"/>
        <v>253.83063933410662</v>
      </c>
      <c r="BN42" s="28">
        <f t="shared" si="162"/>
        <v>253.76688940300042</v>
      </c>
      <c r="BO42" s="28">
        <f t="shared" si="162"/>
        <v>252.03868999383801</v>
      </c>
      <c r="BP42" s="28">
        <f t="shared" si="162"/>
        <v>239.61300056294314</v>
      </c>
      <c r="BQ42" s="28">
        <f t="shared" si="162"/>
        <v>233.08758170700131</v>
      </c>
      <c r="BR42" s="28">
        <f t="shared" si="162"/>
        <v>235.65768383243491</v>
      </c>
      <c r="BS42" s="28">
        <f t="shared" si="162"/>
        <v>242.01603296055268</v>
      </c>
      <c r="BT42" s="28">
        <f t="shared" si="162"/>
        <v>242.86489946038935</v>
      </c>
      <c r="BU42" s="28">
        <f t="shared" si="162"/>
        <v>243.77118142696168</v>
      </c>
      <c r="BV42" s="28">
        <f t="shared" si="162"/>
        <v>259.09649594241506</v>
      </c>
      <c r="BW42" s="275">
        <f t="shared" si="162"/>
        <v>266.93448926314096</v>
      </c>
      <c r="BX42" s="28">
        <f t="shared" si="162"/>
        <v>265.16037916764333</v>
      </c>
      <c r="BY42" s="28">
        <f t="shared" si="162"/>
        <v>261.57141971591983</v>
      </c>
      <c r="BZ42" s="28">
        <f t="shared" si="162"/>
        <v>261.85374940379495</v>
      </c>
      <c r="CA42" s="28">
        <f t="shared" si="162"/>
        <v>258.67299912743891</v>
      </c>
      <c r="CB42" s="28">
        <f t="shared" si="162"/>
        <v>246.95985841950301</v>
      </c>
      <c r="CC42" s="28">
        <f t="shared" si="162"/>
        <v>239.87639411251408</v>
      </c>
      <c r="CD42" s="28">
        <f t="shared" si="162"/>
        <v>240.95141183577519</v>
      </c>
      <c r="CE42" s="28">
        <f t="shared" si="162"/>
        <v>247.51167680135345</v>
      </c>
      <c r="CF42" s="28">
        <f t="shared" si="162"/>
        <v>246.42812101884667</v>
      </c>
      <c r="CG42" s="28">
        <f t="shared" si="162"/>
        <v>252.1089358507239</v>
      </c>
      <c r="CH42" s="28">
        <f t="shared" si="162"/>
        <v>264.60391820855943</v>
      </c>
      <c r="CI42" s="275">
        <f t="shared" si="162"/>
        <v>268.95933110963165</v>
      </c>
      <c r="CJ42" s="28">
        <f t="shared" si="162"/>
        <v>271.56441911384582</v>
      </c>
      <c r="CK42" s="28">
        <f t="shared" si="162"/>
        <v>264.28561626976114</v>
      </c>
      <c r="CL42" s="28">
        <f t="shared" si="162"/>
        <v>264.82096958736651</v>
      </c>
      <c r="CM42" s="28">
        <f t="shared" si="162"/>
        <v>261.85193915728945</v>
      </c>
      <c r="CN42" s="28">
        <f t="shared" si="162"/>
        <v>250.3983683821356</v>
      </c>
      <c r="CO42" s="28">
        <f t="shared" si="162"/>
        <v>245.73318283733985</v>
      </c>
      <c r="CP42" s="28">
        <f t="shared" si="162"/>
        <v>245.98694465337917</v>
      </c>
      <c r="CQ42" s="28">
        <f t="shared" si="162"/>
        <v>255.2548045130487</v>
      </c>
      <c r="CR42" s="28">
        <f t="shared" si="162"/>
        <v>254.34050518593153</v>
      </c>
      <c r="CS42" s="28">
        <f t="shared" ref="CS42:DG42" si="164">+IFERROR(AVERAGE(CS40*CS39,CR40*CR39, CQ40*CQ39, CP40*CP39,CO39*CO40,CN39*CN40), 0)</f>
        <v>260.54316997518214</v>
      </c>
      <c r="CT42" s="28">
        <f t="shared" si="164"/>
        <v>273.84125739095867</v>
      </c>
      <c r="CU42" s="275">
        <f t="shared" si="164"/>
        <v>280.3825015641961</v>
      </c>
      <c r="CV42" s="28">
        <f t="shared" si="164"/>
        <v>281.52454657897169</v>
      </c>
      <c r="CW42" s="28">
        <f t="shared" si="164"/>
        <v>273.86647655276414</v>
      </c>
      <c r="CX42" s="28">
        <f t="shared" si="164"/>
        <v>274.55165808042079</v>
      </c>
      <c r="CY42" s="28">
        <f t="shared" si="164"/>
        <v>271.881074514933</v>
      </c>
      <c r="CZ42" s="28">
        <f t="shared" si="164"/>
        <v>260.23932180362488</v>
      </c>
      <c r="DA42" s="28">
        <f t="shared" si="164"/>
        <v>253.43890666184947</v>
      </c>
      <c r="DB42" s="28">
        <f t="shared" si="164"/>
        <v>255.44321141854618</v>
      </c>
      <c r="DC42" s="28">
        <f t="shared" si="164"/>
        <v>262.88898798171846</v>
      </c>
      <c r="DD42" s="28">
        <f t="shared" si="164"/>
        <v>265.04195171716088</v>
      </c>
      <c r="DE42" s="28">
        <f t="shared" si="164"/>
        <v>268.98732630135783</v>
      </c>
      <c r="DF42" s="28">
        <f t="shared" si="164"/>
        <v>280.03443068607311</v>
      </c>
      <c r="DG42" s="29">
        <f t="shared" si="164"/>
        <v>289.97223559887954</v>
      </c>
    </row>
    <row r="43" spans="1:111" ht="18.75" x14ac:dyDescent="0.25">
      <c r="A43" s="37"/>
      <c r="B43" s="37"/>
      <c r="C43" s="628" t="s">
        <v>295</v>
      </c>
      <c r="D43" s="27"/>
      <c r="E43" s="27"/>
      <c r="F43" s="27"/>
      <c r="G43" s="27"/>
      <c r="H43" s="27"/>
      <c r="I43" s="27"/>
      <c r="J43" s="27"/>
      <c r="K43" s="27"/>
      <c r="L43" s="27">
        <f t="shared" ref="L43:T43" si="165">+AVERAGE(J89:L89)</f>
        <v>0</v>
      </c>
      <c r="M43" s="27">
        <f t="shared" si="165"/>
        <v>0</v>
      </c>
      <c r="N43" s="27">
        <f t="shared" si="165"/>
        <v>0</v>
      </c>
      <c r="O43" s="27">
        <f t="shared" si="165"/>
        <v>0</v>
      </c>
      <c r="P43" s="27">
        <f t="shared" si="165"/>
        <v>0</v>
      </c>
      <c r="Q43" s="27">
        <f t="shared" si="165"/>
        <v>0</v>
      </c>
      <c r="R43" s="27">
        <f t="shared" si="165"/>
        <v>0</v>
      </c>
      <c r="S43" s="27">
        <f t="shared" si="165"/>
        <v>0</v>
      </c>
      <c r="T43" s="27">
        <f t="shared" si="165"/>
        <v>0</v>
      </c>
      <c r="U43" s="27">
        <f>+AVERAGE(S89:U89)</f>
        <v>0</v>
      </c>
      <c r="V43" s="27">
        <f>+AVERAGE(T89:V89)</f>
        <v>0</v>
      </c>
      <c r="W43" s="27"/>
      <c r="X43" s="27">
        <f>+AVERAGE(V93:X93)</f>
        <v>0</v>
      </c>
      <c r="Y43" s="27">
        <f>+AVERAGE(W93:Y93)</f>
        <v>0</v>
      </c>
      <c r="Z43" s="27">
        <f>+AVERAGE(X93:Z93)</f>
        <v>0</v>
      </c>
      <c r="AA43" s="27">
        <f>+AVERAGE(Y93:AA93)</f>
        <v>0</v>
      </c>
      <c r="AB43" s="27">
        <f t="shared" ref="AB43:BG43" si="166">+AVERAGE(W93:AB93)/AB17</f>
        <v>5.0918888888888887</v>
      </c>
      <c r="AC43" s="27">
        <f t="shared" si="166"/>
        <v>10.026470588235295</v>
      </c>
      <c r="AD43" s="27">
        <f t="shared" si="166"/>
        <v>17.13388888888889</v>
      </c>
      <c r="AE43" s="27">
        <f t="shared" si="166"/>
        <v>34.362894736842101</v>
      </c>
      <c r="AF43" s="27">
        <f t="shared" si="166"/>
        <v>37.86611111111111</v>
      </c>
      <c r="AG43" s="27">
        <f t="shared" si="166"/>
        <v>54.101222222222219</v>
      </c>
      <c r="AH43" s="27">
        <f t="shared" si="166"/>
        <v>63.302241379310345</v>
      </c>
      <c r="AI43" s="27">
        <f t="shared" si="166"/>
        <v>62.410588235294107</v>
      </c>
      <c r="AJ43" s="27">
        <f t="shared" si="166"/>
        <v>62.192837837837843</v>
      </c>
      <c r="AK43" s="27">
        <f t="shared" si="166"/>
        <v>89.380632183908048</v>
      </c>
      <c r="AL43" s="27">
        <f t="shared" si="166"/>
        <v>93.409821428571419</v>
      </c>
      <c r="AM43" s="27">
        <f t="shared" si="166"/>
        <v>104.80059999999999</v>
      </c>
      <c r="AN43" s="27">
        <f t="shared" si="166"/>
        <v>75.119857142857128</v>
      </c>
      <c r="AO43" s="27">
        <f t="shared" si="166"/>
        <v>79.47604166666666</v>
      </c>
      <c r="AP43" s="27">
        <f t="shared" si="166"/>
        <v>86.670322580645163</v>
      </c>
      <c r="AQ43" s="27">
        <f t="shared" si="166"/>
        <v>88.197055555555565</v>
      </c>
      <c r="AR43" s="27">
        <f t="shared" si="166"/>
        <v>69.963026315789463</v>
      </c>
      <c r="AS43" s="27">
        <f t="shared" si="166"/>
        <v>69.487522522522525</v>
      </c>
      <c r="AT43" s="27">
        <f t="shared" si="166"/>
        <v>77.815147058823527</v>
      </c>
      <c r="AU43" s="27">
        <f t="shared" si="166"/>
        <v>84.312239583333323</v>
      </c>
      <c r="AV43" s="27">
        <f t="shared" si="166"/>
        <v>75.669444444444437</v>
      </c>
      <c r="AW43" s="585">
        <f t="shared" si="166"/>
        <v>83.716313131313143</v>
      </c>
      <c r="AX43" s="28">
        <f t="shared" si="166"/>
        <v>107.08971092995738</v>
      </c>
      <c r="AY43" s="29">
        <f t="shared" si="166"/>
        <v>97.316956177077856</v>
      </c>
      <c r="AZ43" s="28">
        <f t="shared" si="166"/>
        <v>92.788758936475702</v>
      </c>
      <c r="BA43" s="28">
        <f t="shared" si="166"/>
        <v>92.923474170864012</v>
      </c>
      <c r="BB43" s="28">
        <f t="shared" si="166"/>
        <v>96.526999323112591</v>
      </c>
      <c r="BC43" s="28">
        <f t="shared" si="166"/>
        <v>85.419050979890869</v>
      </c>
      <c r="BD43" s="28">
        <f t="shared" si="166"/>
        <v>83.015649452657556</v>
      </c>
      <c r="BE43" s="28">
        <f t="shared" si="166"/>
        <v>94.798035658723265</v>
      </c>
      <c r="BF43" s="28">
        <f t="shared" si="166"/>
        <v>103.4926818709932</v>
      </c>
      <c r="BG43" s="28">
        <f t="shared" si="166"/>
        <v>110.83953064968217</v>
      </c>
      <c r="BH43" s="28">
        <f t="shared" ref="BH43:CM43" si="167">+AVERAGE(BC93:BH93)/BH17</f>
        <v>141.78458113162981</v>
      </c>
      <c r="BI43" s="28">
        <f t="shared" si="167"/>
        <v>125.95723588334008</v>
      </c>
      <c r="BJ43" s="28">
        <f t="shared" si="167"/>
        <v>151.1030411585522</v>
      </c>
      <c r="BK43" s="275">
        <f t="shared" si="167"/>
        <v>130.19741002039689</v>
      </c>
      <c r="BL43" s="28">
        <f t="shared" si="167"/>
        <v>115.30975324523723</v>
      </c>
      <c r="BM43" s="28">
        <f t="shared" si="167"/>
        <v>107.14936778478283</v>
      </c>
      <c r="BN43" s="28">
        <f t="shared" si="167"/>
        <v>110.37949111329395</v>
      </c>
      <c r="BO43" s="28">
        <f t="shared" si="167"/>
        <v>95.745770933592013</v>
      </c>
      <c r="BP43" s="28">
        <f t="shared" si="167"/>
        <v>89.782874721379372</v>
      </c>
      <c r="BQ43" s="28">
        <f t="shared" si="167"/>
        <v>100.91143747211771</v>
      </c>
      <c r="BR43" s="28">
        <f t="shared" si="167"/>
        <v>109.99853833496196</v>
      </c>
      <c r="BS43" s="28">
        <f t="shared" si="167"/>
        <v>117.62089477810423</v>
      </c>
      <c r="BT43" s="28">
        <f t="shared" si="167"/>
        <v>149.72565458046958</v>
      </c>
      <c r="BU43" s="28">
        <f t="shared" si="167"/>
        <v>130.89571053307878</v>
      </c>
      <c r="BV43" s="28">
        <f t="shared" si="167"/>
        <v>161.36050235454951</v>
      </c>
      <c r="BW43" s="275">
        <f t="shared" si="167"/>
        <v>137.0201661612071</v>
      </c>
      <c r="BX43" s="28">
        <f t="shared" si="167"/>
        <v>122.58940340383215</v>
      </c>
      <c r="BY43" s="28">
        <f t="shared" si="167"/>
        <v>113.98459206690876</v>
      </c>
      <c r="BZ43" s="28">
        <f t="shared" si="167"/>
        <v>117.19409666907094</v>
      </c>
      <c r="CA43" s="28">
        <f t="shared" si="167"/>
        <v>99.79145132513149</v>
      </c>
      <c r="CB43" s="28">
        <f t="shared" si="167"/>
        <v>94.746227335125411</v>
      </c>
      <c r="CC43" s="28">
        <f t="shared" si="167"/>
        <v>107.08858419162259</v>
      </c>
      <c r="CD43" s="28">
        <f t="shared" si="167"/>
        <v>115.72027329550019</v>
      </c>
      <c r="CE43" s="28">
        <f t="shared" si="167"/>
        <v>123.56668295006985</v>
      </c>
      <c r="CF43" s="28">
        <f t="shared" si="167"/>
        <v>157.82446592470859</v>
      </c>
      <c r="CG43" s="28">
        <f t="shared" si="167"/>
        <v>140.64069844227322</v>
      </c>
      <c r="CH43" s="28">
        <f t="shared" si="167"/>
        <v>170.37910219953471</v>
      </c>
      <c r="CI43" s="275">
        <f t="shared" si="167"/>
        <v>141.38935866981731</v>
      </c>
      <c r="CJ43" s="28">
        <f t="shared" si="167"/>
        <v>129.22818937505298</v>
      </c>
      <c r="CK43" s="28">
        <f t="shared" si="167"/>
        <v>118.81461596246889</v>
      </c>
      <c r="CL43" s="28">
        <f t="shared" si="167"/>
        <v>122.0574633488357</v>
      </c>
      <c r="CM43" s="28">
        <f t="shared" si="167"/>
        <v>103.74022453540707</v>
      </c>
      <c r="CN43" s="28">
        <f t="shared" ref="CN43:DG43" si="168">+AVERAGE(CI93:CN93)/CN17</f>
        <v>98.043287689244195</v>
      </c>
      <c r="CO43" s="28">
        <f t="shared" si="168"/>
        <v>110.9938227482448</v>
      </c>
      <c r="CP43" s="28">
        <f t="shared" si="168"/>
        <v>119.41930299774333</v>
      </c>
      <c r="CQ43" s="28">
        <f t="shared" si="168"/>
        <v>129.40593882798044</v>
      </c>
      <c r="CR43" s="28">
        <f t="shared" si="168"/>
        <v>166.41310710811919</v>
      </c>
      <c r="CS43" s="28">
        <f t="shared" si="168"/>
        <v>146.7209482741512</v>
      </c>
      <c r="CT43" s="28">
        <f t="shared" si="168"/>
        <v>179.05554616836</v>
      </c>
      <c r="CU43" s="275">
        <f t="shared" si="168"/>
        <v>150.25944516925719</v>
      </c>
      <c r="CV43" s="28">
        <f t="shared" si="168"/>
        <v>135.03954059280596</v>
      </c>
      <c r="CW43" s="28">
        <f t="shared" si="168"/>
        <v>124.68245351029017</v>
      </c>
      <c r="CX43" s="28">
        <f t="shared" si="168"/>
        <v>127.91848235556996</v>
      </c>
      <c r="CY43" s="28">
        <f t="shared" si="168"/>
        <v>108.54636222581314</v>
      </c>
      <c r="CZ43" s="28">
        <f t="shared" si="168"/>
        <v>102.87081892360042</v>
      </c>
      <c r="DA43" s="28">
        <f t="shared" si="168"/>
        <v>116.38486008766881</v>
      </c>
      <c r="DB43" s="28">
        <f t="shared" si="168"/>
        <v>126.63499004412022</v>
      </c>
      <c r="DC43" s="28">
        <f t="shared" si="168"/>
        <v>135.84898855477888</v>
      </c>
      <c r="DD43" s="28">
        <f t="shared" si="168"/>
        <v>177.38506157901887</v>
      </c>
      <c r="DE43" s="28">
        <f t="shared" si="168"/>
        <v>153.4589884132163</v>
      </c>
      <c r="DF43" s="28">
        <f t="shared" si="168"/>
        <v>187.97228051029956</v>
      </c>
      <c r="DG43" s="29">
        <f t="shared" si="168"/>
        <v>157.87463360657284</v>
      </c>
    </row>
    <row r="44" spans="1:111" ht="18.75" x14ac:dyDescent="0.25">
      <c r="A44" s="37"/>
      <c r="B44" s="37"/>
      <c r="C44" s="628" t="s">
        <v>212</v>
      </c>
      <c r="D44" s="27"/>
      <c r="E44" s="27"/>
      <c r="F44" s="27"/>
      <c r="G44" s="27"/>
      <c r="H44" s="27"/>
      <c r="I44" s="27"/>
      <c r="J44" s="27"/>
      <c r="K44" s="186"/>
      <c r="L44" s="186" t="e">
        <f t="shared" ref="L44:T44" si="169">+L42/L43</f>
        <v>#DIV/0!</v>
      </c>
      <c r="M44" s="186" t="e">
        <f t="shared" si="169"/>
        <v>#DIV/0!</v>
      </c>
      <c r="N44" s="186" t="e">
        <f t="shared" si="169"/>
        <v>#DIV/0!</v>
      </c>
      <c r="O44" s="186" t="e">
        <f t="shared" si="169"/>
        <v>#DIV/0!</v>
      </c>
      <c r="P44" s="186" t="e">
        <f t="shared" si="169"/>
        <v>#DIV/0!</v>
      </c>
      <c r="Q44" s="186" t="e">
        <f t="shared" si="169"/>
        <v>#DIV/0!</v>
      </c>
      <c r="R44" s="186" t="e">
        <f t="shared" si="169"/>
        <v>#DIV/0!</v>
      </c>
      <c r="S44" s="186" t="e">
        <f t="shared" si="169"/>
        <v>#DIV/0!</v>
      </c>
      <c r="T44" s="186" t="e">
        <f t="shared" si="169"/>
        <v>#DIV/0!</v>
      </c>
      <c r="U44" s="187" t="e">
        <f t="shared" ref="U44:CF44" si="170">+U42/U43</f>
        <v>#DIV/0!</v>
      </c>
      <c r="V44" s="190">
        <v>0</v>
      </c>
      <c r="W44" s="187" t="e">
        <f t="shared" si="170"/>
        <v>#DIV/0!</v>
      </c>
      <c r="X44" s="187" t="e">
        <f t="shared" ref="X44:AE44" si="171">+X42/X43</f>
        <v>#DIV/0!</v>
      </c>
      <c r="Y44" s="187" t="e">
        <f t="shared" si="171"/>
        <v>#DIV/0!</v>
      </c>
      <c r="Z44" s="187" t="e">
        <f t="shared" si="171"/>
        <v>#DIV/0!</v>
      </c>
      <c r="AA44" s="187" t="e">
        <f t="shared" si="171"/>
        <v>#DIV/0!</v>
      </c>
      <c r="AB44" s="187">
        <f t="shared" si="171"/>
        <v>0</v>
      </c>
      <c r="AC44" s="187">
        <f t="shared" si="171"/>
        <v>0</v>
      </c>
      <c r="AD44" s="187">
        <f t="shared" si="171"/>
        <v>0</v>
      </c>
      <c r="AE44" s="187">
        <f t="shared" si="171"/>
        <v>0</v>
      </c>
      <c r="AF44" s="187">
        <f t="shared" ref="AF44:AT44" si="172">+AF42/AF43</f>
        <v>0</v>
      </c>
      <c r="AG44" s="187">
        <f t="shared" si="172"/>
        <v>8.2731347648445137</v>
      </c>
      <c r="AH44" s="187">
        <f t="shared" si="172"/>
        <v>6.2295087664778732</v>
      </c>
      <c r="AI44" s="187">
        <f t="shared" si="172"/>
        <v>5.6901245812089352</v>
      </c>
      <c r="AJ44" s="187">
        <f t="shared" si="172"/>
        <v>5.0028957759829353</v>
      </c>
      <c r="AK44" s="187">
        <f t="shared" si="172"/>
        <v>2.9492249522304106</v>
      </c>
      <c r="AL44" s="187">
        <f t="shared" si="172"/>
        <v>2.5104733603418881</v>
      </c>
      <c r="AM44" s="187">
        <f t="shared" si="172"/>
        <v>2.0484542822562806</v>
      </c>
      <c r="AN44" s="187">
        <f t="shared" si="172"/>
        <v>2.7251243020794615</v>
      </c>
      <c r="AO44" s="187">
        <f t="shared" si="172"/>
        <v>2.6348986994353729</v>
      </c>
      <c r="AP44" s="187">
        <f t="shared" si="172"/>
        <v>2.4817937794373051</v>
      </c>
      <c r="AQ44" s="187">
        <f t="shared" si="172"/>
        <v>2.587869487827791</v>
      </c>
      <c r="AR44" s="187">
        <f t="shared" si="172"/>
        <v>3.3140311598671013</v>
      </c>
      <c r="AS44" s="187">
        <f t="shared" si="172"/>
        <v>3.4723848982939445</v>
      </c>
      <c r="AT44" s="187">
        <f t="shared" si="172"/>
        <v>3.1354948134717286</v>
      </c>
      <c r="AU44" s="187">
        <f t="shared" ref="AU44:AV44" si="173">+AU42/AU43</f>
        <v>2.9987279557816326</v>
      </c>
      <c r="AV44" s="187">
        <f t="shared" si="173"/>
        <v>3.295561506715821</v>
      </c>
      <c r="AW44" s="581">
        <f t="shared" ref="AW44" si="174">+AW42/AW43</f>
        <v>2.9725759438895412</v>
      </c>
      <c r="AX44" s="544">
        <f t="shared" ref="AX44" si="175">+AX42/AX43</f>
        <v>2.3632929485467664</v>
      </c>
      <c r="AY44" s="189">
        <f t="shared" si="170"/>
        <v>2.5819749074992395</v>
      </c>
      <c r="AZ44" s="188">
        <f t="shared" si="170"/>
        <v>2.6311635680031769</v>
      </c>
      <c r="BA44" s="188">
        <f t="shared" si="170"/>
        <v>2.5206724559415048</v>
      </c>
      <c r="BB44" s="188">
        <f t="shared" si="170"/>
        <v>2.4419594377031166</v>
      </c>
      <c r="BC44" s="188">
        <f t="shared" si="170"/>
        <v>2.7045310235589848</v>
      </c>
      <c r="BD44" s="188">
        <f t="shared" si="170"/>
        <v>2.7171247707542978</v>
      </c>
      <c r="BE44" s="188">
        <f t="shared" si="170"/>
        <v>2.3592344247216008</v>
      </c>
      <c r="BF44" s="188">
        <f t="shared" si="170"/>
        <v>2.2004540930308565</v>
      </c>
      <c r="BG44" s="188">
        <f t="shared" si="170"/>
        <v>2.095610375245279</v>
      </c>
      <c r="BH44" s="188">
        <f t="shared" si="170"/>
        <v>1.6626498437730279</v>
      </c>
      <c r="BI44" s="188">
        <f t="shared" si="170"/>
        <v>1.8876079193795525</v>
      </c>
      <c r="BJ44" s="188">
        <f t="shared" si="170"/>
        <v>1.6621929916634126</v>
      </c>
      <c r="BK44" s="280">
        <f t="shared" si="170"/>
        <v>1.9944080418567196</v>
      </c>
      <c r="BL44" s="188">
        <f t="shared" si="170"/>
        <v>2.2284505615378007</v>
      </c>
      <c r="BM44" s="188">
        <f t="shared" si="170"/>
        <v>2.3689420160083783</v>
      </c>
      <c r="BN44" s="188">
        <f t="shared" si="170"/>
        <v>2.2990402188259145</v>
      </c>
      <c r="BO44" s="188">
        <f t="shared" si="170"/>
        <v>2.6323741251052089</v>
      </c>
      <c r="BP44" s="188">
        <f t="shared" si="170"/>
        <v>2.6688051736651039</v>
      </c>
      <c r="BQ44" s="188">
        <f t="shared" si="170"/>
        <v>2.3098232226788413</v>
      </c>
      <c r="BR44" s="188">
        <f t="shared" si="170"/>
        <v>2.1423710478299456</v>
      </c>
      <c r="BS44" s="188">
        <f t="shared" si="170"/>
        <v>2.0575938774919544</v>
      </c>
      <c r="BT44" s="188">
        <f t="shared" si="170"/>
        <v>1.6220660389890791</v>
      </c>
      <c r="BU44" s="188">
        <f t="shared" si="170"/>
        <v>1.8623313203633056</v>
      </c>
      <c r="BV44" s="188">
        <f t="shared" si="170"/>
        <v>1.6056996115016737</v>
      </c>
      <c r="BW44" s="280">
        <f t="shared" si="170"/>
        <v>1.948140166091223</v>
      </c>
      <c r="BX44" s="188">
        <f t="shared" si="170"/>
        <v>2.1629959181231677</v>
      </c>
      <c r="BY44" s="188">
        <f t="shared" si="170"/>
        <v>2.2947962963483506</v>
      </c>
      <c r="BZ44" s="188">
        <f t="shared" si="170"/>
        <v>2.234359552624988</v>
      </c>
      <c r="CA44" s="188">
        <f t="shared" si="170"/>
        <v>2.5921358562533969</v>
      </c>
      <c r="CB44" s="188">
        <f t="shared" si="170"/>
        <v>2.6065402851976907</v>
      </c>
      <c r="CC44" s="188">
        <f t="shared" si="170"/>
        <v>2.2399810019271813</v>
      </c>
      <c r="CD44" s="188">
        <f t="shared" si="170"/>
        <v>2.0821884098086092</v>
      </c>
      <c r="CE44" s="188">
        <f t="shared" si="170"/>
        <v>2.0030615930781814</v>
      </c>
      <c r="CF44" s="188">
        <f t="shared" si="170"/>
        <v>1.5614063356717276</v>
      </c>
      <c r="CG44" s="188">
        <f t="shared" ref="CG44:DG44" si="176">+CG42/CG43</f>
        <v>1.7925745438060623</v>
      </c>
      <c r="CH44" s="188">
        <f t="shared" si="176"/>
        <v>1.553030358727187</v>
      </c>
      <c r="CI44" s="280">
        <f t="shared" si="176"/>
        <v>1.9022600685085855</v>
      </c>
      <c r="CJ44" s="188">
        <f t="shared" si="176"/>
        <v>2.1014332896493428</v>
      </c>
      <c r="CK44" s="188">
        <f t="shared" si="176"/>
        <v>2.2243527374884886</v>
      </c>
      <c r="CL44" s="188">
        <f t="shared" si="176"/>
        <v>2.1696417598858173</v>
      </c>
      <c r="CM44" s="188">
        <f t="shared" si="176"/>
        <v>2.5241119375823025</v>
      </c>
      <c r="CN44" s="188">
        <f t="shared" si="176"/>
        <v>2.5539572803371575</v>
      </c>
      <c r="CO44" s="188">
        <f t="shared" si="176"/>
        <v>2.2139356655433851</v>
      </c>
      <c r="CP44" s="188">
        <f t="shared" si="176"/>
        <v>2.0598591557516257</v>
      </c>
      <c r="CQ44" s="188">
        <f t="shared" si="176"/>
        <v>1.9725122882680013</v>
      </c>
      <c r="CR44" s="188">
        <f t="shared" si="176"/>
        <v>1.5283682253506967</v>
      </c>
      <c r="CS44" s="188">
        <f t="shared" si="176"/>
        <v>1.7757734872892976</v>
      </c>
      <c r="CT44" s="188">
        <f t="shared" si="176"/>
        <v>1.5293648437645981</v>
      </c>
      <c r="CU44" s="280">
        <f t="shared" si="176"/>
        <v>1.8659891978728127</v>
      </c>
      <c r="CV44" s="188">
        <f t="shared" si="176"/>
        <v>2.0847564005558348</v>
      </c>
      <c r="CW44" s="188">
        <f t="shared" si="176"/>
        <v>2.1965117692375347</v>
      </c>
      <c r="CX44" s="188">
        <f t="shared" si="176"/>
        <v>2.146301715159975</v>
      </c>
      <c r="CY44" s="188">
        <f t="shared" si="176"/>
        <v>2.5047460729206974</v>
      </c>
      <c r="CZ44" s="188">
        <f t="shared" si="176"/>
        <v>2.5297681551159625</v>
      </c>
      <c r="DA44" s="188">
        <f t="shared" si="176"/>
        <v>2.177593429857994</v>
      </c>
      <c r="DB44" s="188">
        <f t="shared" si="176"/>
        <v>2.0171613811439366</v>
      </c>
      <c r="DC44" s="188">
        <f t="shared" si="176"/>
        <v>1.9351560197720041</v>
      </c>
      <c r="DD44" s="188">
        <f t="shared" si="176"/>
        <v>1.4941616241968263</v>
      </c>
      <c r="DE44" s="188">
        <f t="shared" si="176"/>
        <v>1.7528287465121326</v>
      </c>
      <c r="DF44" s="188">
        <f t="shared" si="176"/>
        <v>1.4897645010522134</v>
      </c>
      <c r="DG44" s="189">
        <f t="shared" si="176"/>
        <v>1.8367246781487196</v>
      </c>
    </row>
    <row r="45" spans="1:111" x14ac:dyDescent="0.25">
      <c r="A45" s="36"/>
      <c r="B45" s="36"/>
      <c r="C45" s="628" t="s">
        <v>213</v>
      </c>
      <c r="D45" s="27"/>
      <c r="E45" s="27"/>
      <c r="F45" s="27"/>
      <c r="G45" s="27"/>
      <c r="H45" s="27"/>
      <c r="I45" s="27"/>
      <c r="J45" s="27"/>
      <c r="K45" s="190"/>
      <c r="L45" s="190" t="e">
        <f t="shared" ref="L45:T45" si="177">+L43/(L38*L40)</f>
        <v>#DIV/0!</v>
      </c>
      <c r="M45" s="190" t="e">
        <f t="shared" si="177"/>
        <v>#DIV/0!</v>
      </c>
      <c r="N45" s="190" t="e">
        <f t="shared" si="177"/>
        <v>#DIV/0!</v>
      </c>
      <c r="O45" s="190" t="e">
        <f t="shared" si="177"/>
        <v>#DIV/0!</v>
      </c>
      <c r="P45" s="190" t="e">
        <f t="shared" si="177"/>
        <v>#DIV/0!</v>
      </c>
      <c r="Q45" s="190" t="e">
        <f t="shared" si="177"/>
        <v>#DIV/0!</v>
      </c>
      <c r="R45" s="190" t="e">
        <f t="shared" si="177"/>
        <v>#DIV/0!</v>
      </c>
      <c r="S45" s="190" t="e">
        <f t="shared" si="177"/>
        <v>#DIV/0!</v>
      </c>
      <c r="T45" s="190" t="e">
        <f t="shared" si="177"/>
        <v>#DIV/0!</v>
      </c>
      <c r="U45" s="190" t="e">
        <f t="shared" ref="U45:CF45" si="178">+U43/(U38*U40)</f>
        <v>#DIV/0!</v>
      </c>
      <c r="V45" s="190">
        <v>0</v>
      </c>
      <c r="W45" s="190" t="e">
        <f t="shared" ref="W45:AE45" si="179">+W43/(W38*W40)</f>
        <v>#DIV/0!</v>
      </c>
      <c r="X45" s="190" t="e">
        <f t="shared" si="179"/>
        <v>#DIV/0!</v>
      </c>
      <c r="Y45" s="190" t="e">
        <f t="shared" si="179"/>
        <v>#DIV/0!</v>
      </c>
      <c r="Z45" s="190" t="e">
        <f t="shared" si="179"/>
        <v>#DIV/0!</v>
      </c>
      <c r="AA45" s="190" t="e">
        <f t="shared" si="179"/>
        <v>#DIV/0!</v>
      </c>
      <c r="AB45" s="190">
        <f t="shared" si="179"/>
        <v>4.4001566293998137E-2</v>
      </c>
      <c r="AC45" s="190">
        <f t="shared" si="179"/>
        <v>0.10588367049743171</v>
      </c>
      <c r="AD45" s="190">
        <f t="shared" si="179"/>
        <v>0.14476770096046318</v>
      </c>
      <c r="AE45" s="190">
        <f t="shared" si="179"/>
        <v>0.25654834637969715</v>
      </c>
      <c r="AF45" s="190">
        <f t="shared" ref="AF45:AT45" si="180">+AF43/(AF38*AF40)</f>
        <v>0.33176145541469537</v>
      </c>
      <c r="AG45" s="190">
        <f t="shared" si="180"/>
        <v>0.51925365075164298</v>
      </c>
      <c r="AH45" s="190">
        <f t="shared" si="180"/>
        <v>0.52961324770108154</v>
      </c>
      <c r="AI45" s="190">
        <f t="shared" si="180"/>
        <v>0.55200912660635715</v>
      </c>
      <c r="AJ45" s="190">
        <f t="shared" si="180"/>
        <v>0.54792758917192852</v>
      </c>
      <c r="AK45" s="190">
        <f t="shared" si="180"/>
        <v>0.75833149671192412</v>
      </c>
      <c r="AL45" s="190">
        <f t="shared" si="180"/>
        <v>0.99067582289524925</v>
      </c>
      <c r="AM45" s="190">
        <f t="shared" si="180"/>
        <v>1.0179627969473362</v>
      </c>
      <c r="AN45" s="190">
        <f t="shared" si="180"/>
        <v>0.63659219001648093</v>
      </c>
      <c r="AO45" s="190">
        <f t="shared" si="180"/>
        <v>0.6965148641193204</v>
      </c>
      <c r="AP45" s="190">
        <f t="shared" si="180"/>
        <v>0.83150900486068446</v>
      </c>
      <c r="AQ45" s="190">
        <f t="shared" si="180"/>
        <v>0.70523070512828701</v>
      </c>
      <c r="AR45" s="190">
        <f t="shared" si="180"/>
        <v>0.81999669367013817</v>
      </c>
      <c r="AS45" s="190">
        <f t="shared" si="180"/>
        <v>0.5982084711928688</v>
      </c>
      <c r="AT45" s="190">
        <f t="shared" si="180"/>
        <v>0.69493865803228494</v>
      </c>
      <c r="AU45" s="190">
        <f t="shared" ref="AU45:AV45" si="181">+AU43/(AU38*AU40)</f>
        <v>0.62246825725084176</v>
      </c>
      <c r="AV45" s="190">
        <f t="shared" si="181"/>
        <v>0.70825386350169695</v>
      </c>
      <c r="AW45" s="591">
        <f t="shared" ref="AW45" si="182">+AW43/(AW38*AW40)</f>
        <v>0.63727238132380215</v>
      </c>
      <c r="AX45" s="191">
        <f t="shared" ref="AX45" si="183">+AX43/(AX38*AX40)</f>
        <v>1.011744963069295</v>
      </c>
      <c r="AY45" s="192">
        <f t="shared" si="178"/>
        <v>0.82438502436493843</v>
      </c>
      <c r="AZ45" s="191">
        <f t="shared" si="178"/>
        <v>0.90163662832115188</v>
      </c>
      <c r="BA45" s="191">
        <f t="shared" si="178"/>
        <v>0.82326174680474895</v>
      </c>
      <c r="BB45" s="191">
        <f t="shared" si="178"/>
        <v>0.89044205720801806</v>
      </c>
      <c r="BC45" s="191">
        <f t="shared" si="178"/>
        <v>0.7746265580485493</v>
      </c>
      <c r="BD45" s="191">
        <f t="shared" si="178"/>
        <v>0.99752383888571494</v>
      </c>
      <c r="BE45" s="191">
        <f t="shared" si="178"/>
        <v>0.9434406632884994</v>
      </c>
      <c r="BF45" s="191">
        <f t="shared" si="178"/>
        <v>1.0477253371269617</v>
      </c>
      <c r="BG45" s="191">
        <f t="shared" si="178"/>
        <v>0.95795144512329833</v>
      </c>
      <c r="BH45" s="191">
        <f t="shared" si="178"/>
        <v>1.3143345461512366</v>
      </c>
      <c r="BI45" s="191">
        <f t="shared" si="178"/>
        <v>1.1039891714633925</v>
      </c>
      <c r="BJ45" s="191">
        <f t="shared" si="178"/>
        <v>1.2558112340726961</v>
      </c>
      <c r="BK45" s="281">
        <f t="shared" si="178"/>
        <v>0.98970990937823033</v>
      </c>
      <c r="BL45" s="191">
        <f t="shared" si="178"/>
        <v>1.1245464472294886</v>
      </c>
      <c r="BM45" s="191">
        <f t="shared" si="178"/>
        <v>0.91045227302565257</v>
      </c>
      <c r="BN45" s="191">
        <f t="shared" si="178"/>
        <v>0.93598541831457205</v>
      </c>
      <c r="BO45" s="191">
        <f t="shared" si="178"/>
        <v>0.82249863355478348</v>
      </c>
      <c r="BP45" s="191">
        <f t="shared" si="178"/>
        <v>1.023635564795788</v>
      </c>
      <c r="BQ45" s="191">
        <f t="shared" si="178"/>
        <v>0.95215921569472539</v>
      </c>
      <c r="BR45" s="191">
        <f t="shared" si="178"/>
        <v>1.0952703566358544</v>
      </c>
      <c r="BS45" s="191">
        <f t="shared" si="178"/>
        <v>0.92486905207698933</v>
      </c>
      <c r="BT45" s="191">
        <f t="shared" si="178"/>
        <v>1.3214488543597851</v>
      </c>
      <c r="BU45" s="191">
        <f t="shared" si="178"/>
        <v>1.1343937509029427</v>
      </c>
      <c r="BV45" s="191">
        <f t="shared" si="178"/>
        <v>1.2267639881999997</v>
      </c>
      <c r="BW45" s="281">
        <f t="shared" si="178"/>
        <v>0.98695178341693879</v>
      </c>
      <c r="BX45" s="191">
        <f t="shared" si="178"/>
        <v>1.13681708038323</v>
      </c>
      <c r="BY45" s="191">
        <f t="shared" si="178"/>
        <v>0.88130579535267606</v>
      </c>
      <c r="BZ45" s="191">
        <f t="shared" si="178"/>
        <v>0.94049814789579689</v>
      </c>
      <c r="CA45" s="191">
        <f t="shared" si="178"/>
        <v>0.88040741665444078</v>
      </c>
      <c r="CB45" s="191">
        <f t="shared" si="178"/>
        <v>0.94379616703333902</v>
      </c>
      <c r="CC45" s="191">
        <f t="shared" si="178"/>
        <v>0.95479854576627743</v>
      </c>
      <c r="CD45" s="191">
        <f t="shared" si="178"/>
        <v>1.1340737031839285</v>
      </c>
      <c r="CE45" s="191">
        <f t="shared" si="178"/>
        <v>0.88289036958920808</v>
      </c>
      <c r="CF45" s="191">
        <f t="shared" si="178"/>
        <v>1.3718410468809661</v>
      </c>
      <c r="CG45" s="191">
        <f t="shared" ref="CG45:DG45" si="184">+CG43/(CG38*CG40)</f>
        <v>1.1112767091293645</v>
      </c>
      <c r="CH45" s="191">
        <f t="shared" si="184"/>
        <v>1.2287445139878805</v>
      </c>
      <c r="CI45" s="281">
        <f t="shared" si="184"/>
        <v>1.0419713007051057</v>
      </c>
      <c r="CJ45" s="191">
        <f t="shared" si="184"/>
        <v>1.0558804779994657</v>
      </c>
      <c r="CK45" s="191">
        <f t="shared" si="184"/>
        <v>0.90730977622286513</v>
      </c>
      <c r="CL45" s="191">
        <f t="shared" si="184"/>
        <v>0.9632876905627995</v>
      </c>
      <c r="CM45" s="191">
        <f t="shared" si="184"/>
        <v>0.83003125511050091</v>
      </c>
      <c r="CN45" s="191">
        <f t="shared" si="184"/>
        <v>0.92371083151621969</v>
      </c>
      <c r="CO45" s="191">
        <f t="shared" si="184"/>
        <v>0.97649563430879105</v>
      </c>
      <c r="CP45" s="191">
        <f t="shared" si="184"/>
        <v>1.0676465514706912</v>
      </c>
      <c r="CQ45" s="191">
        <f t="shared" si="184"/>
        <v>0.87426744345943141</v>
      </c>
      <c r="CR45" s="191">
        <f t="shared" si="184"/>
        <v>1.432452335763698</v>
      </c>
      <c r="CS45" s="191">
        <f t="shared" si="184"/>
        <v>1.0618466449542383</v>
      </c>
      <c r="CT45" s="191">
        <f t="shared" si="184"/>
        <v>1.2284636192953304</v>
      </c>
      <c r="CU45" s="281">
        <f t="shared" si="184"/>
        <v>1.0499677323263614</v>
      </c>
      <c r="CV45" s="191">
        <f t="shared" si="184"/>
        <v>1.0491263980509518</v>
      </c>
      <c r="CW45" s="191">
        <f t="shared" si="184"/>
        <v>0.90395677859079249</v>
      </c>
      <c r="CX45" s="191">
        <f t="shared" si="184"/>
        <v>0.99692425889295055</v>
      </c>
      <c r="CY45" s="191">
        <f t="shared" si="184"/>
        <v>0.7890160229769001</v>
      </c>
      <c r="CZ45" s="191">
        <f t="shared" si="184"/>
        <v>0.91657274580770809</v>
      </c>
      <c r="DA45" s="191">
        <f t="shared" si="184"/>
        <v>1.0116426235672686</v>
      </c>
      <c r="DB45" s="191">
        <f t="shared" si="184"/>
        <v>1.0301523666170556</v>
      </c>
      <c r="DC45" s="191">
        <f t="shared" si="184"/>
        <v>0.90188428797802866</v>
      </c>
      <c r="DD45" s="191">
        <f t="shared" si="184"/>
        <v>1.3929105437376958</v>
      </c>
      <c r="DE45" s="191">
        <f t="shared" si="184"/>
        <v>1.0529368110283737</v>
      </c>
      <c r="DF45" s="191">
        <f t="shared" si="184"/>
        <v>1.2715448111011229</v>
      </c>
      <c r="DG45" s="192">
        <f t="shared" si="184"/>
        <v>1.0044465472393056</v>
      </c>
    </row>
    <row r="46" spans="1:111" s="3" customFormat="1" ht="15.75" thickBot="1" x14ac:dyDescent="0.3">
      <c r="A46" s="142"/>
      <c r="B46" s="142"/>
      <c r="C46" s="629" t="s">
        <v>50</v>
      </c>
      <c r="D46" s="143"/>
      <c r="E46" s="144">
        <f t="shared" ref="E46:AF46" si="185">+E29/8</f>
        <v>5.4824561403508769E-4</v>
      </c>
      <c r="F46" s="144">
        <f t="shared" si="185"/>
        <v>6.793478260869565E-4</v>
      </c>
      <c r="G46" s="144">
        <f t="shared" si="185"/>
        <v>8.5034013605442174E-4</v>
      </c>
      <c r="H46" s="144">
        <f t="shared" si="185"/>
        <v>5.9523809523809518E-4</v>
      </c>
      <c r="I46" s="144">
        <f t="shared" si="185"/>
        <v>4.3706293706293706E-4</v>
      </c>
      <c r="J46" s="144">
        <f t="shared" si="185"/>
        <v>5.6818181818181826E-4</v>
      </c>
      <c r="K46" s="144">
        <f t="shared" si="185"/>
        <v>8.152173913043478E-3</v>
      </c>
      <c r="L46" s="144">
        <f t="shared" si="185"/>
        <v>1.3558201058201057E-2</v>
      </c>
      <c r="M46" s="144">
        <f t="shared" si="185"/>
        <v>2.0045518207282915E-2</v>
      </c>
      <c r="N46" s="144">
        <f t="shared" si="185"/>
        <v>1.6774891774891776E-2</v>
      </c>
      <c r="O46" s="144">
        <f t="shared" si="185"/>
        <v>1.2755102040816327E-2</v>
      </c>
      <c r="P46" s="144">
        <f t="shared" si="185"/>
        <v>1.3060515873015871E-2</v>
      </c>
      <c r="Q46" s="144">
        <f t="shared" si="185"/>
        <v>1.3980263157894737E-2</v>
      </c>
      <c r="R46" s="144">
        <f t="shared" si="185"/>
        <v>1.0733695652173914E-2</v>
      </c>
      <c r="S46" s="144">
        <f t="shared" si="185"/>
        <v>1.6294642857142858E-2</v>
      </c>
      <c r="T46" s="144">
        <f t="shared" si="185"/>
        <v>2.6041666666666668E-2</v>
      </c>
      <c r="U46" s="144">
        <f t="shared" si="185"/>
        <v>1.9649621212121212E-2</v>
      </c>
      <c r="V46" s="144">
        <f t="shared" si="185"/>
        <v>2.6875000000000002E-3</v>
      </c>
      <c r="W46" s="144">
        <f t="shared" si="185"/>
        <v>3.5387496929501351E-3</v>
      </c>
      <c r="X46" s="144">
        <f t="shared" si="185"/>
        <v>4.0330497382198953E-3</v>
      </c>
      <c r="Y46" s="144">
        <f t="shared" si="185"/>
        <v>3.6034688995215313E-3</v>
      </c>
      <c r="Z46" s="144">
        <f t="shared" si="185"/>
        <v>4.0309175531914893E-3</v>
      </c>
      <c r="AA46" s="144">
        <f t="shared" si="185"/>
        <v>4.1158148995677603E-3</v>
      </c>
      <c r="AB46" s="144">
        <f t="shared" si="185"/>
        <v>1.1406037991858888E-2</v>
      </c>
      <c r="AC46" s="144">
        <f t="shared" si="185"/>
        <v>1.2467824967824968E-2</v>
      </c>
      <c r="AD46" s="144">
        <f t="shared" si="185"/>
        <v>1.4204545454545454E-2</v>
      </c>
      <c r="AE46" s="144">
        <f t="shared" si="185"/>
        <v>1.2875145687645686E-2</v>
      </c>
      <c r="AF46" s="144">
        <f t="shared" si="185"/>
        <v>1.193001060445387E-2</v>
      </c>
      <c r="AG46" s="144">
        <f t="shared" ref="AG46:AT46" si="186">+AG29/8</f>
        <v>1.3125E-2</v>
      </c>
      <c r="AH46" s="144">
        <f t="shared" si="186"/>
        <v>1.231060606060606E-2</v>
      </c>
      <c r="AI46" s="144">
        <f t="shared" si="186"/>
        <v>1.2707309582309582E-2</v>
      </c>
      <c r="AJ46" s="144">
        <f t="shared" si="186"/>
        <v>1.1501736111111112E-2</v>
      </c>
      <c r="AK46" s="144">
        <f t="shared" si="186"/>
        <v>1.1909554482018251E-2</v>
      </c>
      <c r="AL46" s="144">
        <f t="shared" si="186"/>
        <v>1.4868421052631579E-2</v>
      </c>
      <c r="AM46" s="144">
        <f t="shared" si="186"/>
        <v>1.4559965487489215E-2</v>
      </c>
      <c r="AN46" s="144">
        <f t="shared" si="186"/>
        <v>1.1404808959156784E-2</v>
      </c>
      <c r="AO46" s="144">
        <f t="shared" si="186"/>
        <v>1.3020833333333334E-2</v>
      </c>
      <c r="AP46" s="144">
        <f t="shared" si="186"/>
        <v>1.3611694677871149E-2</v>
      </c>
      <c r="AQ46" s="144">
        <f t="shared" si="186"/>
        <v>1.1831347006651885E-2</v>
      </c>
      <c r="AR46" s="144">
        <f t="shared" si="186"/>
        <v>1.1551889375684557E-2</v>
      </c>
      <c r="AS46" s="144">
        <f t="shared" si="186"/>
        <v>1.1160714285714286E-2</v>
      </c>
      <c r="AT46" s="144">
        <f t="shared" si="186"/>
        <v>1.0915071770334928E-2</v>
      </c>
      <c r="AU46" s="144">
        <f t="shared" ref="AU46:AV46" si="187">+AU29/8</f>
        <v>1.2300228310502282E-2</v>
      </c>
      <c r="AV46" s="144">
        <f t="shared" si="187"/>
        <v>1.1363636363636364E-2</v>
      </c>
      <c r="AW46" s="255">
        <f t="shared" ref="AW46" si="188">+AW29/8</f>
        <v>1.0567632850241546E-2</v>
      </c>
      <c r="AX46" s="144">
        <f t="shared" ref="AX46" si="189">+AX29/8</f>
        <v>1.4868421052631579E-2</v>
      </c>
      <c r="AY46" s="145">
        <f t="shared" ref="AY46:BP46" si="190">+AY29/8</f>
        <v>1.4559965487489215E-2</v>
      </c>
      <c r="AZ46" s="144">
        <f t="shared" si="190"/>
        <v>1.1404808959156784E-2</v>
      </c>
      <c r="BA46" s="144">
        <f t="shared" si="190"/>
        <v>1.3020833333333334E-2</v>
      </c>
      <c r="BB46" s="144">
        <f t="shared" si="190"/>
        <v>1.3611694677871149E-2</v>
      </c>
      <c r="BC46" s="144">
        <f t="shared" si="190"/>
        <v>1.1831347006651885E-2</v>
      </c>
      <c r="BD46" s="144">
        <f t="shared" si="190"/>
        <v>1.1551889375684557E-2</v>
      </c>
      <c r="BE46" s="144">
        <f t="shared" si="190"/>
        <v>1.1160714285714286E-2</v>
      </c>
      <c r="BF46" s="144">
        <f t="shared" si="190"/>
        <v>1.0915071770334928E-2</v>
      </c>
      <c r="BG46" s="144">
        <f t="shared" si="190"/>
        <v>1.2300228310502282E-2</v>
      </c>
      <c r="BH46" s="144">
        <f t="shared" si="190"/>
        <v>1.1363636363636364E-2</v>
      </c>
      <c r="BI46" s="144">
        <f t="shared" si="190"/>
        <v>1.0567632850241546E-2</v>
      </c>
      <c r="BJ46" s="144">
        <f t="shared" si="190"/>
        <v>1.4868421052631579E-2</v>
      </c>
      <c r="BK46" s="255">
        <f t="shared" si="190"/>
        <v>1.4559965487489215E-2</v>
      </c>
      <c r="BL46" s="144">
        <f t="shared" si="190"/>
        <v>1.1404808959156784E-2</v>
      </c>
      <c r="BM46" s="144">
        <f t="shared" si="190"/>
        <v>1.3020833333333334E-2</v>
      </c>
      <c r="BN46" s="144">
        <f t="shared" si="190"/>
        <v>1.3611694677871149E-2</v>
      </c>
      <c r="BO46" s="144">
        <f t="shared" si="190"/>
        <v>1.1831347006651885E-2</v>
      </c>
      <c r="BP46" s="144">
        <f t="shared" si="190"/>
        <v>1.1551889375684557E-2</v>
      </c>
      <c r="BQ46" s="144">
        <f t="shared" ref="BQ46:CV46" si="191">+BQ29/8</f>
        <v>1.1160714285714286E-2</v>
      </c>
      <c r="BR46" s="144">
        <f t="shared" si="191"/>
        <v>1.0915071770334928E-2</v>
      </c>
      <c r="BS46" s="144">
        <f t="shared" si="191"/>
        <v>1.2300228310502282E-2</v>
      </c>
      <c r="BT46" s="144">
        <f t="shared" si="191"/>
        <v>1.1363636363636364E-2</v>
      </c>
      <c r="BU46" s="144">
        <f t="shared" si="191"/>
        <v>1.0567632850241546E-2</v>
      </c>
      <c r="BV46" s="144">
        <f t="shared" si="191"/>
        <v>1.4868421052631579E-2</v>
      </c>
      <c r="BW46" s="255">
        <f t="shared" si="191"/>
        <v>1.4559965487489215E-2</v>
      </c>
      <c r="BX46" s="144">
        <f t="shared" si="191"/>
        <v>1.1404808959156784E-2</v>
      </c>
      <c r="BY46" s="144">
        <f t="shared" si="191"/>
        <v>1.3020833333333334E-2</v>
      </c>
      <c r="BZ46" s="144">
        <f t="shared" si="191"/>
        <v>1.3611694677871149E-2</v>
      </c>
      <c r="CA46" s="144">
        <f t="shared" si="191"/>
        <v>1.1831347006651885E-2</v>
      </c>
      <c r="CB46" s="144">
        <f t="shared" si="191"/>
        <v>1.1551889375684557E-2</v>
      </c>
      <c r="CC46" s="144">
        <f t="shared" si="191"/>
        <v>1.1160714285714286E-2</v>
      </c>
      <c r="CD46" s="144">
        <f t="shared" si="191"/>
        <v>1.0915071770334928E-2</v>
      </c>
      <c r="CE46" s="144">
        <f t="shared" si="191"/>
        <v>1.2300228310502282E-2</v>
      </c>
      <c r="CF46" s="144">
        <f t="shared" si="191"/>
        <v>1.1363636363636364E-2</v>
      </c>
      <c r="CG46" s="144">
        <f t="shared" si="191"/>
        <v>1.0567632850241546E-2</v>
      </c>
      <c r="CH46" s="144">
        <f t="shared" si="191"/>
        <v>1.4868421052631579E-2</v>
      </c>
      <c r="CI46" s="255">
        <f t="shared" si="191"/>
        <v>1.4559965487489215E-2</v>
      </c>
      <c r="CJ46" s="144">
        <f t="shared" si="191"/>
        <v>1.1404808959156784E-2</v>
      </c>
      <c r="CK46" s="144">
        <f t="shared" si="191"/>
        <v>1.3020833333333334E-2</v>
      </c>
      <c r="CL46" s="144">
        <f t="shared" si="191"/>
        <v>1.3611694677871149E-2</v>
      </c>
      <c r="CM46" s="144">
        <f t="shared" si="191"/>
        <v>1.1831347006651885E-2</v>
      </c>
      <c r="CN46" s="144">
        <f t="shared" si="191"/>
        <v>1.1551889375684557E-2</v>
      </c>
      <c r="CO46" s="144">
        <f t="shared" si="191"/>
        <v>1.1160714285714286E-2</v>
      </c>
      <c r="CP46" s="144">
        <f t="shared" si="191"/>
        <v>1.0915071770334928E-2</v>
      </c>
      <c r="CQ46" s="144">
        <f t="shared" si="191"/>
        <v>1.2300228310502282E-2</v>
      </c>
      <c r="CR46" s="144">
        <f t="shared" si="191"/>
        <v>1.1363636363636364E-2</v>
      </c>
      <c r="CS46" s="144">
        <f t="shared" si="191"/>
        <v>1.0567632850241546E-2</v>
      </c>
      <c r="CT46" s="144">
        <f t="shared" si="191"/>
        <v>1.4868421052631579E-2</v>
      </c>
      <c r="CU46" s="255">
        <f t="shared" si="191"/>
        <v>1.4559965487489215E-2</v>
      </c>
      <c r="CV46" s="144">
        <f t="shared" si="191"/>
        <v>1.1404808959156784E-2</v>
      </c>
      <c r="CW46" s="144">
        <f t="shared" ref="CW46:DG46" si="192">+CW29/8</f>
        <v>1.3020833333333334E-2</v>
      </c>
      <c r="CX46" s="144">
        <f t="shared" si="192"/>
        <v>1.3611694677871149E-2</v>
      </c>
      <c r="CY46" s="144">
        <f t="shared" si="192"/>
        <v>1.1831347006651885E-2</v>
      </c>
      <c r="CZ46" s="144">
        <f t="shared" si="192"/>
        <v>1.1551889375684557E-2</v>
      </c>
      <c r="DA46" s="144">
        <f t="shared" si="192"/>
        <v>1.1160714285714286E-2</v>
      </c>
      <c r="DB46" s="144">
        <f t="shared" si="192"/>
        <v>1.0915071770334928E-2</v>
      </c>
      <c r="DC46" s="144">
        <f t="shared" si="192"/>
        <v>1.2300228310502282E-2</v>
      </c>
      <c r="DD46" s="144">
        <f t="shared" si="192"/>
        <v>1.1363636363636364E-2</v>
      </c>
      <c r="DE46" s="144">
        <f t="shared" si="192"/>
        <v>1.0567632850241546E-2</v>
      </c>
      <c r="DF46" s="144">
        <f t="shared" si="192"/>
        <v>1.4868421052631579E-2</v>
      </c>
      <c r="DG46" s="145">
        <f t="shared" si="192"/>
        <v>1.4559965487489215E-2</v>
      </c>
    </row>
    <row r="47" spans="1:111" x14ac:dyDescent="0.25">
      <c r="B47" s="1"/>
      <c r="C47" s="1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254"/>
      <c r="AX47" s="58"/>
      <c r="AY47" s="254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254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254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254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58"/>
      <c r="CU47" s="254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</row>
    <row r="48" spans="1:111" hidden="1" x14ac:dyDescent="0.25">
      <c r="B48" s="1"/>
      <c r="C48" s="1"/>
      <c r="D48" s="58"/>
      <c r="F48">
        <v>2022</v>
      </c>
      <c r="G48">
        <v>2023</v>
      </c>
      <c r="H48">
        <v>2024</v>
      </c>
      <c r="I48">
        <v>2025</v>
      </c>
      <c r="J48">
        <v>2026</v>
      </c>
      <c r="K48">
        <v>2027</v>
      </c>
      <c r="L48">
        <v>2028</v>
      </c>
      <c r="M48">
        <v>2029</v>
      </c>
      <c r="N48">
        <v>2030</v>
      </c>
      <c r="O48" s="58"/>
      <c r="Q48">
        <v>2022</v>
      </c>
      <c r="R48">
        <v>2023</v>
      </c>
      <c r="S48">
        <v>2024</v>
      </c>
      <c r="T48">
        <v>2025</v>
      </c>
      <c r="U48">
        <v>2026</v>
      </c>
      <c r="V48">
        <v>2027</v>
      </c>
      <c r="W48">
        <v>2028</v>
      </c>
      <c r="X48">
        <v>2028</v>
      </c>
      <c r="Y48">
        <v>2028</v>
      </c>
      <c r="Z48">
        <v>2028</v>
      </c>
      <c r="AA48">
        <v>2028</v>
      </c>
      <c r="AB48">
        <v>2028</v>
      </c>
      <c r="AC48">
        <v>2028</v>
      </c>
      <c r="AD48">
        <v>2028</v>
      </c>
      <c r="AE48">
        <v>2028</v>
      </c>
      <c r="AF48">
        <v>2029</v>
      </c>
      <c r="AG48">
        <v>2029</v>
      </c>
      <c r="AH48">
        <v>2029</v>
      </c>
      <c r="AI48">
        <v>2029</v>
      </c>
      <c r="AJ48">
        <v>2029</v>
      </c>
      <c r="AK48">
        <v>2029</v>
      </c>
      <c r="AL48">
        <v>2029</v>
      </c>
      <c r="AM48">
        <v>2029</v>
      </c>
      <c r="AN48">
        <v>2029</v>
      </c>
      <c r="AO48">
        <v>2029</v>
      </c>
      <c r="AP48">
        <v>2029</v>
      </c>
      <c r="AQ48">
        <v>2029</v>
      </c>
      <c r="AR48">
        <v>2029</v>
      </c>
      <c r="AS48">
        <v>2029</v>
      </c>
      <c r="AT48">
        <v>2029</v>
      </c>
      <c r="AU48">
        <v>2029</v>
      </c>
      <c r="AV48">
        <v>2029</v>
      </c>
      <c r="AW48" s="251">
        <v>2029</v>
      </c>
      <c r="AX48" s="58"/>
      <c r="AY48" s="254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254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254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254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58"/>
      <c r="CU48" s="254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</row>
    <row r="49" spans="1:111" hidden="1" x14ac:dyDescent="0.25">
      <c r="B49" s="1"/>
      <c r="C49" s="1"/>
      <c r="D49" s="58"/>
      <c r="E49" t="s">
        <v>190</v>
      </c>
      <c r="F49">
        <f>ROUNDUP(AVERAGE(F50:F52), 0)</f>
        <v>10</v>
      </c>
      <c r="G49">
        <f t="shared" ref="G49:N49" si="193">ROUNDUP(AVERAGE(G50:G52), 0)</f>
        <v>20</v>
      </c>
      <c r="H49">
        <f t="shared" si="193"/>
        <v>28</v>
      </c>
      <c r="I49">
        <f t="shared" si="193"/>
        <v>30</v>
      </c>
      <c r="J49">
        <f t="shared" si="193"/>
        <v>32</v>
      </c>
      <c r="K49">
        <f t="shared" si="193"/>
        <v>34</v>
      </c>
      <c r="L49">
        <f t="shared" si="193"/>
        <v>36</v>
      </c>
      <c r="M49">
        <f t="shared" si="193"/>
        <v>38</v>
      </c>
      <c r="N49">
        <f t="shared" si="193"/>
        <v>40</v>
      </c>
      <c r="O49" s="58"/>
      <c r="P49" t="s">
        <v>190</v>
      </c>
      <c r="Q49">
        <f>ROUNDUP(AVERAGE(Q50:Q52), 0)</f>
        <v>1</v>
      </c>
      <c r="R49">
        <f t="shared" ref="R49:W49" si="194">ROUNDUP(AVERAGE(R50:R52), 0)</f>
        <v>1</v>
      </c>
      <c r="S49">
        <f t="shared" si="194"/>
        <v>1</v>
      </c>
      <c r="T49">
        <f t="shared" si="194"/>
        <v>1</v>
      </c>
      <c r="U49">
        <f t="shared" si="194"/>
        <v>1</v>
      </c>
      <c r="V49">
        <f t="shared" si="194"/>
        <v>1</v>
      </c>
      <c r="W49">
        <f t="shared" si="194"/>
        <v>1</v>
      </c>
      <c r="X49">
        <f t="shared" ref="X49:AE49" si="195">ROUNDUP(AVERAGE(X50:X52), 0)</f>
        <v>1</v>
      </c>
      <c r="Y49">
        <f t="shared" si="195"/>
        <v>1</v>
      </c>
      <c r="Z49">
        <f t="shared" si="195"/>
        <v>1</v>
      </c>
      <c r="AA49">
        <f t="shared" si="195"/>
        <v>1</v>
      </c>
      <c r="AB49">
        <f t="shared" si="195"/>
        <v>1</v>
      </c>
      <c r="AC49">
        <f t="shared" si="195"/>
        <v>1</v>
      </c>
      <c r="AD49">
        <f t="shared" si="195"/>
        <v>1</v>
      </c>
      <c r="AE49">
        <f t="shared" si="195"/>
        <v>1</v>
      </c>
      <c r="AF49">
        <f t="shared" ref="AF49:AK49" si="196">ROUNDUP(AVERAGE(AF50:AF52), 0)</f>
        <v>1</v>
      </c>
      <c r="AG49">
        <f t="shared" si="196"/>
        <v>1</v>
      </c>
      <c r="AH49">
        <f t="shared" si="196"/>
        <v>1</v>
      </c>
      <c r="AI49">
        <f t="shared" si="196"/>
        <v>1</v>
      </c>
      <c r="AJ49">
        <f t="shared" si="196"/>
        <v>1</v>
      </c>
      <c r="AK49">
        <f t="shared" si="196"/>
        <v>1</v>
      </c>
      <c r="AL49">
        <f t="shared" ref="AL49:AT49" si="197">ROUNDUP(AVERAGE(AL50:AL52), 0)</f>
        <v>1</v>
      </c>
      <c r="AM49">
        <f t="shared" si="197"/>
        <v>1</v>
      </c>
      <c r="AN49">
        <f t="shared" si="197"/>
        <v>1</v>
      </c>
      <c r="AO49">
        <f t="shared" si="197"/>
        <v>1</v>
      </c>
      <c r="AP49">
        <f t="shared" si="197"/>
        <v>1</v>
      </c>
      <c r="AQ49">
        <f t="shared" si="197"/>
        <v>1</v>
      </c>
      <c r="AR49">
        <f t="shared" si="197"/>
        <v>1</v>
      </c>
      <c r="AS49">
        <f t="shared" si="197"/>
        <v>1</v>
      </c>
      <c r="AT49">
        <f t="shared" si="197"/>
        <v>1</v>
      </c>
      <c r="AU49">
        <f t="shared" ref="AU49:AV49" si="198">ROUNDUP(AVERAGE(AU50:AU52), 0)</f>
        <v>1</v>
      </c>
      <c r="AV49">
        <f t="shared" si="198"/>
        <v>1</v>
      </c>
      <c r="AW49" s="251">
        <f t="shared" ref="AW49" si="199">ROUNDUP(AVERAGE(AW50:AW52), 0)</f>
        <v>1</v>
      </c>
      <c r="AX49" s="58"/>
      <c r="AY49" s="254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254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254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254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58"/>
      <c r="CU49" s="254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</row>
    <row r="50" spans="1:111" hidden="1" x14ac:dyDescent="0.25">
      <c r="B50" s="1"/>
      <c r="C50" s="1"/>
      <c r="D50" s="58"/>
      <c r="E50" t="s">
        <v>187</v>
      </c>
      <c r="F50">
        <f>ROUNDUP(AVERAGEIFS($E$15:$DG$15, $H$2:$DJ$2,$E$50, $H$1:$DJ$1, F48), 0)</f>
        <v>12</v>
      </c>
      <c r="G50">
        <f t="shared" ref="G50:H52" si="200">ROUNDUP(AVERAGEIFS($H$19:$DJ$19, $H$2:$DJ$2,$E50, $H$1:$DJ$1, G$48), 0)</f>
        <v>36</v>
      </c>
      <c r="H50">
        <f t="shared" si="200"/>
        <v>42</v>
      </c>
      <c r="I50" s="209">
        <f t="shared" ref="I50" si="201">+H50+3</f>
        <v>45</v>
      </c>
      <c r="J50" s="209">
        <f>+I50+3</f>
        <v>48</v>
      </c>
      <c r="K50" s="209">
        <f t="shared" ref="K50:N50" si="202">+J50+3</f>
        <v>51</v>
      </c>
      <c r="L50" s="209">
        <f t="shared" si="202"/>
        <v>54</v>
      </c>
      <c r="M50" s="209">
        <f t="shared" si="202"/>
        <v>57</v>
      </c>
      <c r="N50" s="209">
        <f t="shared" si="202"/>
        <v>60</v>
      </c>
      <c r="O50" s="58"/>
      <c r="P50" t="s">
        <v>187</v>
      </c>
      <c r="Q50" s="180">
        <f t="shared" ref="Q50:AW50" si="203">AVERAGEIFS($E$29:$DG$29, $H$2:$DJ$2,$E$50, $H$1:$DJ$1, Q48)</f>
        <v>4.3859649122807015E-3</v>
      </c>
      <c r="R50" s="180">
        <f t="shared" si="203"/>
        <v>0.10532123165918518</v>
      </c>
      <c r="S50" s="180">
        <f t="shared" si="203"/>
        <v>0.10154242243794483</v>
      </c>
      <c r="T50" s="180">
        <f t="shared" si="203"/>
        <v>9.7702569169960479E-2</v>
      </c>
      <c r="U50" s="180">
        <f t="shared" si="203"/>
        <v>9.7702569169960479E-2</v>
      </c>
      <c r="V50" s="180">
        <f t="shared" si="203"/>
        <v>9.7702569169960479E-2</v>
      </c>
      <c r="W50" s="180">
        <f t="shared" si="203"/>
        <v>9.7702569169960479E-2</v>
      </c>
      <c r="X50" s="180">
        <f t="shared" si="203"/>
        <v>9.7702569169960479E-2</v>
      </c>
      <c r="Y50" s="180">
        <f t="shared" si="203"/>
        <v>9.7702569169960479E-2</v>
      </c>
      <c r="Z50" s="180">
        <f t="shared" si="203"/>
        <v>9.7702569169960479E-2</v>
      </c>
      <c r="AA50" s="180">
        <f t="shared" si="203"/>
        <v>9.7702569169960479E-2</v>
      </c>
      <c r="AB50" s="180">
        <f t="shared" si="203"/>
        <v>9.7702569169960479E-2</v>
      </c>
      <c r="AC50" s="180">
        <f t="shared" si="203"/>
        <v>9.7702569169960479E-2</v>
      </c>
      <c r="AD50" s="180">
        <f t="shared" si="203"/>
        <v>9.7702569169960479E-2</v>
      </c>
      <c r="AE50" s="180">
        <f t="shared" si="203"/>
        <v>9.7702569169960479E-2</v>
      </c>
      <c r="AF50" s="180">
        <f t="shared" si="203"/>
        <v>9.7702569169960479E-2</v>
      </c>
      <c r="AG50" s="180">
        <f t="shared" si="203"/>
        <v>9.7702569169960479E-2</v>
      </c>
      <c r="AH50" s="180">
        <f t="shared" si="203"/>
        <v>9.7702569169960479E-2</v>
      </c>
      <c r="AI50" s="180">
        <f t="shared" si="203"/>
        <v>9.7702569169960479E-2</v>
      </c>
      <c r="AJ50" s="180">
        <f t="shared" si="203"/>
        <v>9.7702569169960479E-2</v>
      </c>
      <c r="AK50" s="180">
        <f t="shared" si="203"/>
        <v>9.7702569169960479E-2</v>
      </c>
      <c r="AL50" s="180">
        <f t="shared" si="203"/>
        <v>9.7702569169960479E-2</v>
      </c>
      <c r="AM50" s="180">
        <f t="shared" si="203"/>
        <v>9.7702569169960479E-2</v>
      </c>
      <c r="AN50" s="180">
        <f t="shared" si="203"/>
        <v>9.7702569169960479E-2</v>
      </c>
      <c r="AO50" s="180">
        <f t="shared" si="203"/>
        <v>9.7702569169960479E-2</v>
      </c>
      <c r="AP50" s="180">
        <f t="shared" si="203"/>
        <v>9.7702569169960479E-2</v>
      </c>
      <c r="AQ50" s="180">
        <f t="shared" si="203"/>
        <v>9.7702569169960479E-2</v>
      </c>
      <c r="AR50" s="180">
        <f t="shared" si="203"/>
        <v>9.7702569169960479E-2</v>
      </c>
      <c r="AS50" s="180">
        <f t="shared" si="203"/>
        <v>9.7702569169960479E-2</v>
      </c>
      <c r="AT50" s="180">
        <f t="shared" si="203"/>
        <v>9.7702569169960479E-2</v>
      </c>
      <c r="AU50" s="180">
        <f t="shared" si="203"/>
        <v>9.7702569169960479E-2</v>
      </c>
      <c r="AV50" s="180">
        <f t="shared" si="203"/>
        <v>9.7702569169960479E-2</v>
      </c>
      <c r="AW50" s="592">
        <f t="shared" si="203"/>
        <v>9.7702569169960479E-2</v>
      </c>
      <c r="AX50" s="58"/>
      <c r="AY50" s="254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254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254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254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58"/>
      <c r="CU50" s="254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</row>
    <row r="51" spans="1:111" hidden="1" x14ac:dyDescent="0.25">
      <c r="B51" s="1"/>
      <c r="C51" s="1"/>
      <c r="D51" s="58"/>
      <c r="E51" t="s">
        <v>189</v>
      </c>
      <c r="F51">
        <f>ROUNDUP(AVERAGEIFS($E$15:$DG$15, $H$2:$DJ$2,$E$51, $H$1:$DJ$1, F48), 0)</f>
        <v>10</v>
      </c>
      <c r="G51">
        <f t="shared" si="200"/>
        <v>21</v>
      </c>
      <c r="H51" s="527">
        <f t="shared" si="200"/>
        <v>29</v>
      </c>
      <c r="I51" s="209">
        <f t="shared" ref="I51" si="204">+H51+2</f>
        <v>31</v>
      </c>
      <c r="J51" s="209">
        <f>+I51+2</f>
        <v>33</v>
      </c>
      <c r="K51" s="209">
        <f t="shared" ref="K51:N51" si="205">+J51+2</f>
        <v>35</v>
      </c>
      <c r="L51" s="209">
        <f t="shared" si="205"/>
        <v>37</v>
      </c>
      <c r="M51" s="209">
        <f t="shared" si="205"/>
        <v>39</v>
      </c>
      <c r="N51" s="209">
        <f t="shared" si="205"/>
        <v>41</v>
      </c>
      <c r="O51" s="58"/>
      <c r="P51" t="s">
        <v>189</v>
      </c>
      <c r="Q51" s="180">
        <f t="shared" ref="Q51:AW51" si="206">+AVERAGEIFS($E$29:$DG$29, $H$2:$DJ$2,$E$51, $H$1:$DJ$1, Q48)</f>
        <v>2.5749014040939506E-2</v>
      </c>
      <c r="R51" s="180">
        <f t="shared" si="206"/>
        <v>0.10712702819575362</v>
      </c>
      <c r="S51" s="180">
        <f t="shared" si="206"/>
        <v>6.8991656932682874E-2</v>
      </c>
      <c r="T51" s="180">
        <f t="shared" si="206"/>
        <v>0.10061158021631794</v>
      </c>
      <c r="U51" s="180">
        <f t="shared" si="206"/>
        <v>9.9269658584541232E-2</v>
      </c>
      <c r="V51" s="180">
        <f t="shared" si="206"/>
        <v>9.9269658584541232E-2</v>
      </c>
      <c r="W51" s="180">
        <f t="shared" si="206"/>
        <v>9.9269658584541232E-2</v>
      </c>
      <c r="X51" s="180">
        <f t="shared" si="206"/>
        <v>9.9269658584541232E-2</v>
      </c>
      <c r="Y51" s="180">
        <f t="shared" si="206"/>
        <v>9.9269658584541232E-2</v>
      </c>
      <c r="Z51" s="180">
        <f t="shared" si="206"/>
        <v>9.9269658584541232E-2</v>
      </c>
      <c r="AA51" s="180">
        <f t="shared" si="206"/>
        <v>9.9269658584541232E-2</v>
      </c>
      <c r="AB51" s="180">
        <f t="shared" si="206"/>
        <v>9.9269658584541232E-2</v>
      </c>
      <c r="AC51" s="180">
        <f t="shared" si="206"/>
        <v>9.9269658584541232E-2</v>
      </c>
      <c r="AD51" s="180">
        <f t="shared" si="206"/>
        <v>9.9269658584541232E-2</v>
      </c>
      <c r="AE51" s="180">
        <f t="shared" si="206"/>
        <v>9.9269658584541232E-2</v>
      </c>
      <c r="AF51" s="180">
        <f t="shared" si="206"/>
        <v>9.9269658584541232E-2</v>
      </c>
      <c r="AG51" s="180">
        <f t="shared" si="206"/>
        <v>9.9269658584541232E-2</v>
      </c>
      <c r="AH51" s="180">
        <f t="shared" si="206"/>
        <v>9.9269658584541232E-2</v>
      </c>
      <c r="AI51" s="180">
        <f t="shared" si="206"/>
        <v>9.9269658584541232E-2</v>
      </c>
      <c r="AJ51" s="180">
        <f t="shared" si="206"/>
        <v>9.9269658584541232E-2</v>
      </c>
      <c r="AK51" s="180">
        <f t="shared" si="206"/>
        <v>9.9269658584541232E-2</v>
      </c>
      <c r="AL51" s="180">
        <f t="shared" si="206"/>
        <v>9.9269658584541232E-2</v>
      </c>
      <c r="AM51" s="180">
        <f t="shared" si="206"/>
        <v>9.9269658584541232E-2</v>
      </c>
      <c r="AN51" s="180">
        <f t="shared" si="206"/>
        <v>9.9269658584541232E-2</v>
      </c>
      <c r="AO51" s="180">
        <f t="shared" si="206"/>
        <v>9.9269658584541232E-2</v>
      </c>
      <c r="AP51" s="180">
        <f t="shared" si="206"/>
        <v>9.9269658584541232E-2</v>
      </c>
      <c r="AQ51" s="180">
        <f t="shared" si="206"/>
        <v>9.9269658584541232E-2</v>
      </c>
      <c r="AR51" s="180">
        <f t="shared" si="206"/>
        <v>9.9269658584541232E-2</v>
      </c>
      <c r="AS51" s="180">
        <f t="shared" si="206"/>
        <v>9.9269658584541232E-2</v>
      </c>
      <c r="AT51" s="180">
        <f t="shared" si="206"/>
        <v>9.9269658584541232E-2</v>
      </c>
      <c r="AU51" s="180">
        <f t="shared" si="206"/>
        <v>9.9269658584541232E-2</v>
      </c>
      <c r="AV51" s="180">
        <f t="shared" si="206"/>
        <v>9.9269658584541232E-2</v>
      </c>
      <c r="AW51" s="592">
        <f t="shared" si="206"/>
        <v>9.9269658584541232E-2</v>
      </c>
      <c r="AX51" s="58"/>
      <c r="AY51" s="254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254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254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254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58"/>
      <c r="CU51" s="254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</row>
    <row r="52" spans="1:111" hidden="1" x14ac:dyDescent="0.25">
      <c r="B52" s="1"/>
      <c r="C52" s="1"/>
      <c r="D52" s="58"/>
      <c r="E52" t="s">
        <v>188</v>
      </c>
      <c r="F52">
        <f>ROUNDUP(AVERAGEIFS($E$15:$DG$15, $H$2:$DJ$2,$E$52, $H$1:$DJ$1, F48), 0)</f>
        <v>8</v>
      </c>
      <c r="G52">
        <f t="shared" si="200"/>
        <v>1</v>
      </c>
      <c r="H52" s="527">
        <f t="shared" si="200"/>
        <v>13</v>
      </c>
      <c r="I52" s="209">
        <f t="shared" ref="I52" si="207">+H52+1</f>
        <v>14</v>
      </c>
      <c r="J52" s="209">
        <f>+I52+1</f>
        <v>15</v>
      </c>
      <c r="K52" s="209">
        <f t="shared" ref="K52:N52" si="208">+J52+1</f>
        <v>16</v>
      </c>
      <c r="L52" s="209">
        <f t="shared" si="208"/>
        <v>17</v>
      </c>
      <c r="M52" s="209">
        <f t="shared" si="208"/>
        <v>18</v>
      </c>
      <c r="N52" s="209">
        <f t="shared" si="208"/>
        <v>19</v>
      </c>
      <c r="O52" s="58"/>
      <c r="P52" t="s">
        <v>188</v>
      </c>
      <c r="Q52" s="180">
        <f t="shared" ref="Q52:AW52" si="209">AVERAGEIFS($E$29:$DG$29, $H$2:$DJ$2,$E$52, $H$1:$DJ$1, Q48)</f>
        <v>3.4989648033126292E-2</v>
      </c>
      <c r="R52" s="180">
        <f t="shared" si="209"/>
        <v>0.10816311612364243</v>
      </c>
      <c r="S52" s="180">
        <f t="shared" si="209"/>
        <v>0.10332923832923832</v>
      </c>
      <c r="T52" s="180">
        <f t="shared" si="209"/>
        <v>9.3843770384866271E-2</v>
      </c>
      <c r="U52" s="180">
        <f t="shared" si="209"/>
        <v>9.3843770384866271E-2</v>
      </c>
      <c r="V52" s="180">
        <f t="shared" si="209"/>
        <v>9.3843770384866271E-2</v>
      </c>
      <c r="W52" s="180">
        <f t="shared" si="209"/>
        <v>9.3843770384866271E-2</v>
      </c>
      <c r="X52" s="180">
        <f t="shared" si="209"/>
        <v>9.3843770384866271E-2</v>
      </c>
      <c r="Y52" s="180">
        <f t="shared" si="209"/>
        <v>9.3843770384866271E-2</v>
      </c>
      <c r="Z52" s="180">
        <f t="shared" si="209"/>
        <v>9.3843770384866271E-2</v>
      </c>
      <c r="AA52" s="180">
        <f t="shared" si="209"/>
        <v>9.3843770384866271E-2</v>
      </c>
      <c r="AB52" s="180">
        <f t="shared" si="209"/>
        <v>9.3843770384866271E-2</v>
      </c>
      <c r="AC52" s="180">
        <f t="shared" si="209"/>
        <v>9.3843770384866271E-2</v>
      </c>
      <c r="AD52" s="180">
        <f t="shared" si="209"/>
        <v>9.3843770384866271E-2</v>
      </c>
      <c r="AE52" s="180">
        <f t="shared" si="209"/>
        <v>9.3843770384866271E-2</v>
      </c>
      <c r="AF52" s="180">
        <f t="shared" si="209"/>
        <v>9.3843770384866271E-2</v>
      </c>
      <c r="AG52" s="180">
        <f t="shared" si="209"/>
        <v>9.3843770384866271E-2</v>
      </c>
      <c r="AH52" s="180">
        <f t="shared" si="209"/>
        <v>9.3843770384866271E-2</v>
      </c>
      <c r="AI52" s="180">
        <f t="shared" si="209"/>
        <v>9.3843770384866271E-2</v>
      </c>
      <c r="AJ52" s="180">
        <f t="shared" si="209"/>
        <v>9.3843770384866271E-2</v>
      </c>
      <c r="AK52" s="180">
        <f t="shared" si="209"/>
        <v>9.3843770384866271E-2</v>
      </c>
      <c r="AL52" s="180">
        <f t="shared" si="209"/>
        <v>9.3843770384866271E-2</v>
      </c>
      <c r="AM52" s="180">
        <f t="shared" si="209"/>
        <v>9.3843770384866271E-2</v>
      </c>
      <c r="AN52" s="180">
        <f t="shared" si="209"/>
        <v>9.3843770384866271E-2</v>
      </c>
      <c r="AO52" s="180">
        <f t="shared" si="209"/>
        <v>9.3843770384866271E-2</v>
      </c>
      <c r="AP52" s="180">
        <f t="shared" si="209"/>
        <v>9.3843770384866271E-2</v>
      </c>
      <c r="AQ52" s="180">
        <f t="shared" si="209"/>
        <v>9.3843770384866271E-2</v>
      </c>
      <c r="AR52" s="180">
        <f t="shared" si="209"/>
        <v>9.3843770384866271E-2</v>
      </c>
      <c r="AS52" s="180">
        <f t="shared" si="209"/>
        <v>9.3843770384866271E-2</v>
      </c>
      <c r="AT52" s="180">
        <f t="shared" si="209"/>
        <v>9.3843770384866271E-2</v>
      </c>
      <c r="AU52" s="180">
        <f t="shared" si="209"/>
        <v>9.3843770384866271E-2</v>
      </c>
      <c r="AV52" s="180">
        <f t="shared" si="209"/>
        <v>9.3843770384866271E-2</v>
      </c>
      <c r="AW52" s="592">
        <f t="shared" si="209"/>
        <v>9.3843770384866271E-2</v>
      </c>
      <c r="AX52" s="58"/>
      <c r="AY52" s="254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254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254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254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58"/>
      <c r="CU52" s="254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</row>
    <row r="53" spans="1:111" hidden="1" x14ac:dyDescent="0.25">
      <c r="B53" s="1"/>
      <c r="C53" s="1"/>
      <c r="D53" s="58"/>
      <c r="E53" t="s">
        <v>188</v>
      </c>
      <c r="F53" s="132">
        <f>F52/F49-1</f>
        <v>-0.19999999999999996</v>
      </c>
      <c r="G53" s="132">
        <f t="shared" ref="G53:N53" si="210">G52/G49-1</f>
        <v>-0.95</v>
      </c>
      <c r="H53" s="132">
        <f t="shared" si="210"/>
        <v>-0.5357142857142857</v>
      </c>
      <c r="I53" s="132">
        <f t="shared" si="210"/>
        <v>-0.53333333333333333</v>
      </c>
      <c r="J53" s="132">
        <f t="shared" si="210"/>
        <v>-0.53125</v>
      </c>
      <c r="K53" s="132">
        <f t="shared" si="210"/>
        <v>-0.52941176470588236</v>
      </c>
      <c r="L53" s="132">
        <f t="shared" si="210"/>
        <v>-0.52777777777777779</v>
      </c>
      <c r="M53" s="132">
        <f t="shared" si="210"/>
        <v>-0.52631578947368429</v>
      </c>
      <c r="N53" s="132">
        <f t="shared" si="210"/>
        <v>-0.52500000000000002</v>
      </c>
      <c r="O53" s="58"/>
      <c r="P53" t="s">
        <v>188</v>
      </c>
      <c r="Q53" s="179">
        <f>Q52/Q49-1</f>
        <v>-0.96501035196687368</v>
      </c>
      <c r="R53" s="179">
        <f t="shared" ref="R53:W53" si="211">R52/R49-1</f>
        <v>-0.89183688387635751</v>
      </c>
      <c r="S53" s="179">
        <f t="shared" si="211"/>
        <v>-0.89667076167076165</v>
      </c>
      <c r="T53" s="179">
        <f t="shared" si="211"/>
        <v>-0.90615622961513376</v>
      </c>
      <c r="U53" s="179">
        <f t="shared" si="211"/>
        <v>-0.90615622961513376</v>
      </c>
      <c r="V53" s="179">
        <f t="shared" si="211"/>
        <v>-0.90615622961513376</v>
      </c>
      <c r="W53" s="210">
        <f t="shared" si="211"/>
        <v>-0.90615622961513376</v>
      </c>
      <c r="X53" s="210">
        <f t="shared" ref="X53:AE53" si="212">X52/X49-1</f>
        <v>-0.90615622961513376</v>
      </c>
      <c r="Y53" s="210">
        <f t="shared" si="212"/>
        <v>-0.90615622961513376</v>
      </c>
      <c r="Z53" s="210">
        <f t="shared" si="212"/>
        <v>-0.90615622961513376</v>
      </c>
      <c r="AA53" s="210">
        <f t="shared" si="212"/>
        <v>-0.90615622961513376</v>
      </c>
      <c r="AB53" s="210">
        <f t="shared" si="212"/>
        <v>-0.90615622961513376</v>
      </c>
      <c r="AC53" s="210">
        <f t="shared" si="212"/>
        <v>-0.90615622961513376</v>
      </c>
      <c r="AD53" s="210">
        <f t="shared" si="212"/>
        <v>-0.90615622961513376</v>
      </c>
      <c r="AE53" s="210">
        <f t="shared" si="212"/>
        <v>-0.90615622961513376</v>
      </c>
      <c r="AF53" s="210">
        <f t="shared" ref="AF53:AK53" si="213">AF52/AF49-1</f>
        <v>-0.90615622961513376</v>
      </c>
      <c r="AG53" s="210">
        <f t="shared" si="213"/>
        <v>-0.90615622961513376</v>
      </c>
      <c r="AH53" s="210">
        <f t="shared" si="213"/>
        <v>-0.90615622961513376</v>
      </c>
      <c r="AI53" s="210">
        <f t="shared" si="213"/>
        <v>-0.90615622961513376</v>
      </c>
      <c r="AJ53" s="210">
        <f t="shared" si="213"/>
        <v>-0.90615622961513376</v>
      </c>
      <c r="AK53" s="210">
        <f t="shared" si="213"/>
        <v>-0.90615622961513376</v>
      </c>
      <c r="AL53" s="210">
        <f t="shared" ref="AL53:AT53" si="214">AL52/AL49-1</f>
        <v>-0.90615622961513376</v>
      </c>
      <c r="AM53" s="210">
        <f t="shared" si="214"/>
        <v>-0.90615622961513376</v>
      </c>
      <c r="AN53" s="210">
        <f t="shared" si="214"/>
        <v>-0.90615622961513376</v>
      </c>
      <c r="AO53" s="210">
        <f t="shared" si="214"/>
        <v>-0.90615622961513376</v>
      </c>
      <c r="AP53" s="210">
        <f t="shared" si="214"/>
        <v>-0.90615622961513376</v>
      </c>
      <c r="AQ53" s="210">
        <f t="shared" si="214"/>
        <v>-0.90615622961513376</v>
      </c>
      <c r="AR53" s="210">
        <f t="shared" si="214"/>
        <v>-0.90615622961513376</v>
      </c>
      <c r="AS53" s="210">
        <f t="shared" si="214"/>
        <v>-0.90615622961513376</v>
      </c>
      <c r="AT53" s="210">
        <f t="shared" si="214"/>
        <v>-0.90615622961513376</v>
      </c>
      <c r="AU53" s="210">
        <f t="shared" ref="AU53:AV53" si="215">AU52/AU49-1</f>
        <v>-0.90615622961513376</v>
      </c>
      <c r="AV53" s="210">
        <f t="shared" si="215"/>
        <v>-0.90615622961513376</v>
      </c>
      <c r="AW53" s="593">
        <f t="shared" ref="AW53" si="216">AW52/AW49-1</f>
        <v>-0.90615622961513376</v>
      </c>
      <c r="AX53" s="58"/>
      <c r="AY53" s="254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254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254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254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58"/>
      <c r="CU53" s="254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</row>
    <row r="54" spans="1:111" hidden="1" x14ac:dyDescent="0.25">
      <c r="B54" s="1"/>
      <c r="C54" s="1"/>
      <c r="D54" s="58"/>
      <c r="E54" t="s">
        <v>189</v>
      </c>
      <c r="F54" s="132">
        <f>F51/F49-1</f>
        <v>0</v>
      </c>
      <c r="G54" s="132">
        <f t="shared" ref="G54:N54" si="217">G51/G49-1</f>
        <v>5.0000000000000044E-2</v>
      </c>
      <c r="H54" s="132">
        <f t="shared" si="217"/>
        <v>3.5714285714285809E-2</v>
      </c>
      <c r="I54" s="132">
        <f t="shared" si="217"/>
        <v>3.3333333333333437E-2</v>
      </c>
      <c r="J54" s="132">
        <f t="shared" si="217"/>
        <v>3.125E-2</v>
      </c>
      <c r="K54" s="132">
        <f t="shared" si="217"/>
        <v>2.9411764705882248E-2</v>
      </c>
      <c r="L54" s="132">
        <f t="shared" si="217"/>
        <v>2.7777777777777679E-2</v>
      </c>
      <c r="M54" s="132">
        <f t="shared" si="217"/>
        <v>2.6315789473684292E-2</v>
      </c>
      <c r="N54" s="132">
        <f t="shared" si="217"/>
        <v>2.4999999999999911E-2</v>
      </c>
      <c r="O54" s="58"/>
      <c r="P54" t="s">
        <v>189</v>
      </c>
      <c r="Q54" s="179">
        <f>Q51/Q49-1</f>
        <v>-0.97425098595906046</v>
      </c>
      <c r="R54" s="179">
        <f t="shared" ref="R54:W54" si="218">R51/R49-1</f>
        <v>-0.89287297180424641</v>
      </c>
      <c r="S54" s="179">
        <f t="shared" si="218"/>
        <v>-0.93100834306731717</v>
      </c>
      <c r="T54" s="179">
        <f t="shared" si="218"/>
        <v>-0.89938841978368211</v>
      </c>
      <c r="U54" s="179">
        <f t="shared" si="218"/>
        <v>-0.90073034141545882</v>
      </c>
      <c r="V54" s="179">
        <f t="shared" si="218"/>
        <v>-0.90073034141545882</v>
      </c>
      <c r="W54" s="210">
        <f t="shared" si="218"/>
        <v>-0.90073034141545882</v>
      </c>
      <c r="X54" s="210">
        <f t="shared" ref="X54:AE54" si="219">X51/X49-1</f>
        <v>-0.90073034141545882</v>
      </c>
      <c r="Y54" s="210">
        <f t="shared" si="219"/>
        <v>-0.90073034141545882</v>
      </c>
      <c r="Z54" s="210">
        <f t="shared" si="219"/>
        <v>-0.90073034141545882</v>
      </c>
      <c r="AA54" s="210">
        <f t="shared" si="219"/>
        <v>-0.90073034141545882</v>
      </c>
      <c r="AB54" s="210">
        <f t="shared" si="219"/>
        <v>-0.90073034141545882</v>
      </c>
      <c r="AC54" s="210">
        <f t="shared" si="219"/>
        <v>-0.90073034141545882</v>
      </c>
      <c r="AD54" s="210">
        <f t="shared" si="219"/>
        <v>-0.90073034141545882</v>
      </c>
      <c r="AE54" s="210">
        <f t="shared" si="219"/>
        <v>-0.90073034141545882</v>
      </c>
      <c r="AF54" s="210">
        <f t="shared" ref="AF54:AK54" si="220">AF51/AF49-1</f>
        <v>-0.90073034141545882</v>
      </c>
      <c r="AG54" s="210">
        <f t="shared" si="220"/>
        <v>-0.90073034141545882</v>
      </c>
      <c r="AH54" s="210">
        <f t="shared" si="220"/>
        <v>-0.90073034141545882</v>
      </c>
      <c r="AI54" s="210">
        <f t="shared" si="220"/>
        <v>-0.90073034141545882</v>
      </c>
      <c r="AJ54" s="210">
        <f t="shared" si="220"/>
        <v>-0.90073034141545882</v>
      </c>
      <c r="AK54" s="210">
        <f t="shared" si="220"/>
        <v>-0.90073034141545882</v>
      </c>
      <c r="AL54" s="210">
        <f t="shared" ref="AL54:AT54" si="221">AL51/AL49-1</f>
        <v>-0.90073034141545882</v>
      </c>
      <c r="AM54" s="210">
        <f t="shared" si="221"/>
        <v>-0.90073034141545882</v>
      </c>
      <c r="AN54" s="210">
        <f t="shared" si="221"/>
        <v>-0.90073034141545882</v>
      </c>
      <c r="AO54" s="210">
        <f t="shared" si="221"/>
        <v>-0.90073034141545882</v>
      </c>
      <c r="AP54" s="210">
        <f t="shared" si="221"/>
        <v>-0.90073034141545882</v>
      </c>
      <c r="AQ54" s="210">
        <f t="shared" si="221"/>
        <v>-0.90073034141545882</v>
      </c>
      <c r="AR54" s="210">
        <f t="shared" si="221"/>
        <v>-0.90073034141545882</v>
      </c>
      <c r="AS54" s="210">
        <f t="shared" si="221"/>
        <v>-0.90073034141545882</v>
      </c>
      <c r="AT54" s="210">
        <f t="shared" si="221"/>
        <v>-0.90073034141545882</v>
      </c>
      <c r="AU54" s="210">
        <f t="shared" ref="AU54:AV54" si="222">AU51/AU49-1</f>
        <v>-0.90073034141545882</v>
      </c>
      <c r="AV54" s="210">
        <f t="shared" si="222"/>
        <v>-0.90073034141545882</v>
      </c>
      <c r="AW54" s="593">
        <f t="shared" ref="AW54" si="223">AW51/AW49-1</f>
        <v>-0.90073034141545882</v>
      </c>
      <c r="AX54" s="58"/>
      <c r="AY54" s="254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254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254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254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58"/>
      <c r="CU54" s="254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</row>
    <row r="55" spans="1:111" hidden="1" x14ac:dyDescent="0.25">
      <c r="B55" s="1"/>
      <c r="C55" s="1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254"/>
      <c r="AX55" s="58"/>
      <c r="AY55" s="254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254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254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254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58"/>
      <c r="CU55" s="254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</row>
    <row r="56" spans="1:111" x14ac:dyDescent="0.25">
      <c r="B56" s="1"/>
      <c r="C56" s="1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254"/>
      <c r="AX56" s="58"/>
      <c r="AY56" s="254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254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254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254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58"/>
      <c r="CU56" s="254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</row>
    <row r="57" spans="1:111" s="116" customFormat="1" x14ac:dyDescent="0.25">
      <c r="A57"/>
      <c r="B57" s="1" t="s">
        <v>215</v>
      </c>
      <c r="C57" s="1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AW57" s="252"/>
      <c r="AY57" s="252"/>
      <c r="BK57" s="252"/>
      <c r="BW57" s="252"/>
      <c r="CI57" s="252"/>
      <c r="CU57" s="252"/>
    </row>
    <row r="58" spans="1:111" s="116" customFormat="1" x14ac:dyDescent="0.25">
      <c r="A58"/>
      <c r="B58" s="1" t="s">
        <v>233</v>
      </c>
      <c r="C58" s="1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AB58" s="116">
        <v>144.34</v>
      </c>
      <c r="AC58" s="116">
        <v>195.79</v>
      </c>
      <c r="AD58" s="116">
        <v>210.1</v>
      </c>
      <c r="AE58" s="116">
        <v>193.92</v>
      </c>
      <c r="AF58" s="116">
        <v>192.8</v>
      </c>
      <c r="AG58" s="116">
        <v>204.71</v>
      </c>
      <c r="AH58" s="116">
        <v>174.91</v>
      </c>
      <c r="AI58" s="116">
        <v>191.38</v>
      </c>
      <c r="AJ58" s="116">
        <v>128.31</v>
      </c>
      <c r="AK58" s="116">
        <v>231.31</v>
      </c>
      <c r="AL58" s="116">
        <v>160.15</v>
      </c>
      <c r="AM58" s="116">
        <v>171.4</v>
      </c>
      <c r="AN58" s="116">
        <v>197.3</v>
      </c>
      <c r="AO58" s="116">
        <v>202.11</v>
      </c>
      <c r="AP58" s="116">
        <v>214.54</v>
      </c>
      <c r="AQ58" s="116">
        <v>247.79</v>
      </c>
      <c r="AR58" s="116">
        <v>240.23</v>
      </c>
      <c r="AS58" s="116">
        <v>182.1</v>
      </c>
      <c r="AT58" s="116">
        <v>216.6</v>
      </c>
      <c r="AU58" s="116">
        <v>205.55</v>
      </c>
      <c r="AV58" s="116">
        <v>222.12</v>
      </c>
      <c r="AW58" s="252">
        <f>282</f>
        <v>282</v>
      </c>
      <c r="AX58" s="116">
        <f t="shared" ref="AX58:CC58" si="224">+AX62*AX9</f>
        <v>166.47624926994015</v>
      </c>
      <c r="AY58" s="252">
        <f t="shared" si="224"/>
        <v>235.5096126620505</v>
      </c>
      <c r="AZ58" s="116">
        <f t="shared" si="224"/>
        <v>222.47873364626102</v>
      </c>
      <c r="BA58" s="116">
        <f t="shared" si="224"/>
        <v>260.87643572685295</v>
      </c>
      <c r="BB58" s="116">
        <f t="shared" si="224"/>
        <v>289.26472625511383</v>
      </c>
      <c r="BC58" s="116">
        <f t="shared" si="224"/>
        <v>348.01543145620838</v>
      </c>
      <c r="BD58" s="116">
        <f t="shared" si="224"/>
        <v>326.72712790285078</v>
      </c>
      <c r="BE58" s="116">
        <f t="shared" si="224"/>
        <v>331.73482479407386</v>
      </c>
      <c r="BF58" s="116">
        <f t="shared" si="224"/>
        <v>316.74273956061751</v>
      </c>
      <c r="BG58" s="116">
        <f t="shared" si="224"/>
        <v>337.50293816566807</v>
      </c>
      <c r="BH58" s="116">
        <f t="shared" si="224"/>
        <v>234.86164970657819</v>
      </c>
      <c r="BI58" s="116">
        <f t="shared" si="224"/>
        <v>254.59401230880289</v>
      </c>
      <c r="BJ58" s="116">
        <f t="shared" si="224"/>
        <v>238.64547435238759</v>
      </c>
      <c r="BK58" s="252">
        <f t="shared" si="224"/>
        <v>304.6905613815278</v>
      </c>
      <c r="BL58" s="116">
        <f t="shared" si="224"/>
        <v>248.16002148541341</v>
      </c>
      <c r="BM58" s="116">
        <f t="shared" si="224"/>
        <v>298.45042982781024</v>
      </c>
      <c r="BN58" s="116">
        <f t="shared" si="224"/>
        <v>340.21476326595774</v>
      </c>
      <c r="BO58" s="116">
        <f t="shared" si="224"/>
        <v>382.02603043942872</v>
      </c>
      <c r="BP58" s="116">
        <f t="shared" si="224"/>
        <v>360.389922898902</v>
      </c>
      <c r="BQ58" s="116">
        <f t="shared" si="224"/>
        <v>363.63240410119636</v>
      </c>
      <c r="BR58" s="116">
        <f t="shared" si="224"/>
        <v>329.08953300675864</v>
      </c>
      <c r="BS58" s="116">
        <f t="shared" si="224"/>
        <v>384.51227598160034</v>
      </c>
      <c r="BT58" s="116">
        <f t="shared" si="224"/>
        <v>254.31113007290421</v>
      </c>
      <c r="BU58" s="116">
        <f t="shared" si="224"/>
        <v>266.26709745813935</v>
      </c>
      <c r="BV58" s="116">
        <f t="shared" si="224"/>
        <v>267.28293127467407</v>
      </c>
      <c r="BW58" s="252">
        <f t="shared" si="224"/>
        <v>330.0814414966552</v>
      </c>
      <c r="BX58" s="116">
        <f t="shared" si="224"/>
        <v>268.12071886576189</v>
      </c>
      <c r="BY58" s="116">
        <f t="shared" si="224"/>
        <v>338.05643721078167</v>
      </c>
      <c r="BZ58" s="116">
        <f t="shared" si="224"/>
        <v>366.75151480070241</v>
      </c>
      <c r="CA58" s="116">
        <f t="shared" si="224"/>
        <v>376.55233731554364</v>
      </c>
      <c r="CB58" s="116">
        <f t="shared" si="224"/>
        <v>426.40365396836444</v>
      </c>
      <c r="CC58" s="116">
        <f t="shared" si="224"/>
        <v>389.85221429165108</v>
      </c>
      <c r="CD58" s="116">
        <f t="shared" ref="CD58:DG58" si="225">+CD62*CD9</f>
        <v>337.16718518056092</v>
      </c>
      <c r="CE58" s="116">
        <f t="shared" si="225"/>
        <v>431.79282151570152</v>
      </c>
      <c r="CF58" s="116">
        <f t="shared" si="225"/>
        <v>258.75106612479686</v>
      </c>
      <c r="CG58" s="116">
        <f t="shared" si="225"/>
        <v>296.96177674845268</v>
      </c>
      <c r="CH58" s="116">
        <f t="shared" si="225"/>
        <v>285.65863279980795</v>
      </c>
      <c r="CI58" s="252">
        <f t="shared" si="225"/>
        <v>326.18449337463778</v>
      </c>
      <c r="CJ58" s="116">
        <f t="shared" si="225"/>
        <v>317.02442744761566</v>
      </c>
      <c r="CK58" s="116">
        <f t="shared" si="225"/>
        <v>347.07127553640237</v>
      </c>
      <c r="CL58" s="116">
        <f t="shared" si="225"/>
        <v>377.91351742507169</v>
      </c>
      <c r="CM58" s="116">
        <f t="shared" si="225"/>
        <v>428.25891879218858</v>
      </c>
      <c r="CN58" s="116">
        <f t="shared" si="225"/>
        <v>464.46117635526048</v>
      </c>
      <c r="CO58" s="116">
        <f t="shared" si="225"/>
        <v>406.85115924940089</v>
      </c>
      <c r="CP58" s="116">
        <f t="shared" si="225"/>
        <v>387.00929081594813</v>
      </c>
      <c r="CQ58" s="116">
        <f t="shared" si="225"/>
        <v>468.66501751030074</v>
      </c>
      <c r="CR58" s="116">
        <f t="shared" si="225"/>
        <v>266.47497854643257</v>
      </c>
      <c r="CS58" s="116">
        <f t="shared" si="225"/>
        <v>339.37960463518687</v>
      </c>
      <c r="CT58" s="116">
        <f t="shared" si="225"/>
        <v>310.46582985873869</v>
      </c>
      <c r="CU58" s="252">
        <f t="shared" si="225"/>
        <v>352.71741111929123</v>
      </c>
      <c r="CV58" s="116">
        <f t="shared" si="225"/>
        <v>346.55547000437986</v>
      </c>
      <c r="CW58" s="116">
        <f t="shared" si="225"/>
        <v>378.62320967607536</v>
      </c>
      <c r="CX58" s="116">
        <f t="shared" si="225"/>
        <v>393.15617425562249</v>
      </c>
      <c r="CY58" s="116">
        <f t="shared" si="225"/>
        <v>490.31276212738322</v>
      </c>
      <c r="CZ58" s="116">
        <f t="shared" si="225"/>
        <v>505.25844184592535</v>
      </c>
      <c r="DA58" s="116">
        <f t="shared" si="225"/>
        <v>418.9358471478979</v>
      </c>
      <c r="DB58" s="116">
        <f t="shared" si="225"/>
        <v>433.68129193849637</v>
      </c>
      <c r="DC58" s="116">
        <f t="shared" si="225"/>
        <v>480.93535870598635</v>
      </c>
      <c r="DD58" s="116">
        <f t="shared" si="225"/>
        <v>298.04647056986869</v>
      </c>
      <c r="DE58" s="116">
        <f t="shared" si="225"/>
        <v>365.72617920554995</v>
      </c>
      <c r="DF58" s="116">
        <f t="shared" si="225"/>
        <v>316.44552611950019</v>
      </c>
      <c r="DG58" s="116">
        <f t="shared" si="225"/>
        <v>399.23521461473405</v>
      </c>
    </row>
    <row r="59" spans="1:111" s="116" customFormat="1" x14ac:dyDescent="0.25">
      <c r="A59"/>
      <c r="B59" s="1" t="s">
        <v>234</v>
      </c>
      <c r="C59" s="1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AB59" s="116">
        <v>359.46</v>
      </c>
      <c r="AC59" s="116">
        <v>458.1</v>
      </c>
      <c r="AD59" s="116">
        <v>321.74</v>
      </c>
      <c r="AE59" s="116">
        <v>142.87</v>
      </c>
      <c r="AF59" s="116">
        <v>753.32</v>
      </c>
      <c r="AG59" s="116">
        <v>314.89999999999998</v>
      </c>
      <c r="AH59" s="116">
        <v>165.74</v>
      </c>
      <c r="AI59" s="116">
        <v>38.46</v>
      </c>
      <c r="AJ59" s="116">
        <v>28.36</v>
      </c>
      <c r="AK59" s="116">
        <v>357.18</v>
      </c>
      <c r="AL59" s="116">
        <v>356.29</v>
      </c>
      <c r="AM59" s="116">
        <v>589.19000000000005</v>
      </c>
      <c r="AN59" s="116">
        <v>249.98</v>
      </c>
      <c r="AO59" s="116">
        <v>497.5</v>
      </c>
      <c r="AP59" s="116">
        <v>810.15</v>
      </c>
      <c r="AQ59" s="116">
        <v>352.78</v>
      </c>
      <c r="AR59" s="116">
        <v>754.25</v>
      </c>
      <c r="AS59" s="116">
        <v>503.73</v>
      </c>
      <c r="AT59" s="116">
        <v>588.11</v>
      </c>
      <c r="AU59" s="116">
        <v>768.16</v>
      </c>
      <c r="AV59" s="116">
        <v>893.43</v>
      </c>
      <c r="AW59" s="252">
        <f>578.51</f>
        <v>578.51</v>
      </c>
      <c r="AX59" s="116">
        <f t="shared" ref="AX59:CC59" si="226">+AX63*AX9</f>
        <v>506.58574029274047</v>
      </c>
      <c r="AY59" s="252">
        <f t="shared" si="226"/>
        <v>716.65364879171341</v>
      </c>
      <c r="AZ59" s="116">
        <f t="shared" si="226"/>
        <v>677.00080028132345</v>
      </c>
      <c r="BA59" s="116">
        <f t="shared" si="226"/>
        <v>793.84466491270348</v>
      </c>
      <c r="BB59" s="116">
        <f t="shared" si="226"/>
        <v>880.22997955050243</v>
      </c>
      <c r="BC59" s="116">
        <f t="shared" si="226"/>
        <v>1059.0078509738171</v>
      </c>
      <c r="BD59" s="116">
        <f t="shared" si="226"/>
        <v>994.22773331470592</v>
      </c>
      <c r="BE59" s="116">
        <f t="shared" si="226"/>
        <v>1009.4661102479131</v>
      </c>
      <c r="BF59" s="116">
        <f t="shared" si="226"/>
        <v>963.84532872605484</v>
      </c>
      <c r="BG59" s="116">
        <f t="shared" si="226"/>
        <v>1027.0184277421849</v>
      </c>
      <c r="BH59" s="116">
        <f t="shared" si="226"/>
        <v>714.68190330297432</v>
      </c>
      <c r="BI59" s="116">
        <f t="shared" si="226"/>
        <v>774.72730653862811</v>
      </c>
      <c r="BJ59" s="116">
        <f t="shared" si="226"/>
        <v>726.1960479196465</v>
      </c>
      <c r="BK59" s="252">
        <f t="shared" si="226"/>
        <v>927.17065812427916</v>
      </c>
      <c r="BL59" s="116">
        <f t="shared" si="226"/>
        <v>755.14872990324034</v>
      </c>
      <c r="BM59" s="116">
        <f t="shared" si="226"/>
        <v>908.18199351580199</v>
      </c>
      <c r="BN59" s="116">
        <f t="shared" si="226"/>
        <v>1035.2704873122386</v>
      </c>
      <c r="BO59" s="116">
        <f t="shared" si="226"/>
        <v>1162.5018000462583</v>
      </c>
      <c r="BP59" s="116">
        <f t="shared" si="226"/>
        <v>1096.6633179592511</v>
      </c>
      <c r="BQ59" s="116">
        <f t="shared" si="226"/>
        <v>1106.5301593102124</v>
      </c>
      <c r="BR59" s="116">
        <f t="shared" si="226"/>
        <v>1001.4165109552567</v>
      </c>
      <c r="BS59" s="116">
        <f t="shared" si="226"/>
        <v>1170.0674230348461</v>
      </c>
      <c r="BT59" s="116">
        <f t="shared" si="226"/>
        <v>773.8664984202519</v>
      </c>
      <c r="BU59" s="116">
        <f t="shared" si="226"/>
        <v>810.24840043526092</v>
      </c>
      <c r="BV59" s="116">
        <f t="shared" si="226"/>
        <v>813.33957367000403</v>
      </c>
      <c r="BW59" s="252">
        <f t="shared" si="226"/>
        <v>1004.4348796346359</v>
      </c>
      <c r="BX59" s="116">
        <f t="shared" si="226"/>
        <v>815.88895383023998</v>
      </c>
      <c r="BY59" s="116">
        <f t="shared" si="226"/>
        <v>1028.7027203950397</v>
      </c>
      <c r="BZ59" s="116">
        <f t="shared" si="226"/>
        <v>1116.0215853225932</v>
      </c>
      <c r="CA59" s="116">
        <f t="shared" si="226"/>
        <v>1145.845400737295</v>
      </c>
      <c r="CB59" s="116">
        <f t="shared" si="226"/>
        <v>1297.5425122585182</v>
      </c>
      <c r="CC59" s="116">
        <f t="shared" si="226"/>
        <v>1186.3168076394227</v>
      </c>
      <c r="CD59" s="116">
        <f t="shared" ref="CD59:DG59" si="227">+CD63*CD9</f>
        <v>1025.9967344059769</v>
      </c>
      <c r="CE59" s="116">
        <f t="shared" si="227"/>
        <v>1313.9417009926574</v>
      </c>
      <c r="CF59" s="116">
        <f t="shared" si="227"/>
        <v>787.37718418812608</v>
      </c>
      <c r="CG59" s="116">
        <f t="shared" si="227"/>
        <v>903.65203548543718</v>
      </c>
      <c r="CH59" s="116">
        <f t="shared" si="227"/>
        <v>869.25666935981701</v>
      </c>
      <c r="CI59" s="252">
        <f t="shared" si="227"/>
        <v>992.57650128978526</v>
      </c>
      <c r="CJ59" s="116">
        <f t="shared" si="227"/>
        <v>964.70250245138948</v>
      </c>
      <c r="CK59" s="116">
        <f t="shared" si="227"/>
        <v>1056.1347929389069</v>
      </c>
      <c r="CL59" s="116">
        <f t="shared" si="227"/>
        <v>1149.9874596584982</v>
      </c>
      <c r="CM59" s="116">
        <f t="shared" si="227"/>
        <v>1303.188066554327</v>
      </c>
      <c r="CN59" s="116">
        <f t="shared" si="227"/>
        <v>1413.3512131189746</v>
      </c>
      <c r="CO59" s="116">
        <f t="shared" si="227"/>
        <v>1238.044445385837</v>
      </c>
      <c r="CP59" s="116">
        <f t="shared" si="227"/>
        <v>1177.6658168833819</v>
      </c>
      <c r="CQ59" s="116">
        <f t="shared" si="227"/>
        <v>1426.143464223491</v>
      </c>
      <c r="CR59" s="116">
        <f t="shared" si="227"/>
        <v>810.88098073105527</v>
      </c>
      <c r="CS59" s="116">
        <f t="shared" si="227"/>
        <v>1032.7291070547767</v>
      </c>
      <c r="CT59" s="116">
        <f t="shared" si="227"/>
        <v>944.74474854106427</v>
      </c>
      <c r="CU59" s="252">
        <f t="shared" si="227"/>
        <v>1073.315933111119</v>
      </c>
      <c r="CV59" s="116">
        <f t="shared" si="227"/>
        <v>1054.5652013098752</v>
      </c>
      <c r="CW59" s="116">
        <f t="shared" si="227"/>
        <v>1152.1470468424441</v>
      </c>
      <c r="CX59" s="116">
        <f t="shared" si="227"/>
        <v>1196.3707283133085</v>
      </c>
      <c r="CY59" s="116">
        <f t="shared" si="227"/>
        <v>1492.017357830566</v>
      </c>
      <c r="CZ59" s="116">
        <f t="shared" si="227"/>
        <v>1537.4969277848306</v>
      </c>
      <c r="DA59" s="116">
        <f t="shared" si="227"/>
        <v>1274.8180427735349</v>
      </c>
      <c r="DB59" s="116">
        <f t="shared" si="227"/>
        <v>1319.6882996296872</v>
      </c>
      <c r="DC59" s="116">
        <f t="shared" si="227"/>
        <v>1463.4820029370931</v>
      </c>
      <c r="DD59" s="116">
        <f t="shared" si="227"/>
        <v>906.95274910027831</v>
      </c>
      <c r="DE59" s="116">
        <f t="shared" si="227"/>
        <v>1112.9014982603444</v>
      </c>
      <c r="DF59" s="116">
        <f t="shared" si="227"/>
        <v>962.94091087814172</v>
      </c>
      <c r="DG59" s="116">
        <f t="shared" si="227"/>
        <v>1214.8691938547595</v>
      </c>
    </row>
    <row r="60" spans="1:111" x14ac:dyDescent="0.25">
      <c r="B60" s="1" t="s">
        <v>337</v>
      </c>
      <c r="C60" s="1"/>
      <c r="D60" s="116"/>
      <c r="E60" s="282"/>
      <c r="F60" s="282"/>
      <c r="G60" s="282"/>
      <c r="H60" s="282"/>
      <c r="I60" s="282"/>
      <c r="J60" s="282"/>
      <c r="K60" s="282"/>
      <c r="L60" s="282"/>
      <c r="M60" s="282"/>
      <c r="N60" s="282"/>
      <c r="O60" s="282"/>
      <c r="P60" s="282"/>
      <c r="Q60" s="282"/>
      <c r="R60" s="282"/>
      <c r="S60" s="282"/>
      <c r="T60" s="282"/>
      <c r="U60" s="282"/>
      <c r="V60" s="282"/>
      <c r="W60" s="282"/>
      <c r="X60" s="282"/>
      <c r="Y60" s="282"/>
      <c r="Z60" s="282"/>
      <c r="AA60" s="282"/>
      <c r="AB60" s="282"/>
      <c r="AC60" s="282"/>
      <c r="AD60" s="282"/>
      <c r="AE60" s="282"/>
      <c r="AF60" s="282">
        <v>475</v>
      </c>
      <c r="AG60" s="282">
        <v>765</v>
      </c>
      <c r="AH60" s="282">
        <v>394</v>
      </c>
      <c r="AI60" s="282">
        <v>610</v>
      </c>
      <c r="AJ60" s="282">
        <v>210</v>
      </c>
      <c r="AK60" s="282">
        <v>770</v>
      </c>
      <c r="AL60" s="282">
        <v>432</v>
      </c>
      <c r="AM60" s="282">
        <v>470</v>
      </c>
      <c r="AN60" s="282">
        <v>50</v>
      </c>
      <c r="AO60" s="282">
        <v>45</v>
      </c>
      <c r="AP60" s="282"/>
      <c r="AQ60" s="282"/>
      <c r="AR60" s="282">
        <v>629</v>
      </c>
      <c r="AS60" s="282"/>
      <c r="AT60" s="282"/>
      <c r="AU60" s="282"/>
      <c r="AV60" s="441">
        <v>30</v>
      </c>
      <c r="AW60" s="252"/>
      <c r="AX60" s="630">
        <f>+'People Plan'!Y13</f>
        <v>276.37607523998236</v>
      </c>
      <c r="AY60" s="283">
        <f>+'People Plan'!Z13</f>
        <v>979.69131587957099</v>
      </c>
      <c r="AZ60" s="282">
        <f>+'People Plan'!AA13</f>
        <v>759.53125133808294</v>
      </c>
      <c r="BA60" s="282">
        <f>+'People Plan'!AB13</f>
        <v>1100.3164648059337</v>
      </c>
      <c r="BB60" s="282">
        <f>+'People Plan'!AC13</f>
        <v>1352.2666889978805</v>
      </c>
      <c r="BC60" s="282">
        <f>+'People Plan'!AD13</f>
        <v>1903.6877774609197</v>
      </c>
      <c r="BD60" s="282">
        <f>+'People Plan'!AE13</f>
        <v>1714.7509745352504</v>
      </c>
      <c r="BE60" s="282">
        <f>+'People Plan'!AF13</f>
        <v>1729.1950157561523</v>
      </c>
      <c r="BF60" s="282">
        <f>+'People Plan'!AG13</f>
        <v>1596.1380699032911</v>
      </c>
      <c r="BG60" s="282">
        <f>+'People Plan'!AH13</f>
        <v>1780.3878642896339</v>
      </c>
      <c r="BH60" s="282">
        <f>+'People Plan'!AI13</f>
        <v>809.43143974291502</v>
      </c>
      <c r="BI60" s="282">
        <f>+'People Plan'!AJ13</f>
        <v>1044.559039501627</v>
      </c>
      <c r="BJ60" s="282">
        <f>+'People Plan'!AK13</f>
        <v>843.01343605458555</v>
      </c>
      <c r="BK60" s="283">
        <f>+'People Plan'!AL13</f>
        <v>1489.173228494471</v>
      </c>
      <c r="BL60" s="282">
        <f>+'People Plan'!AM13</f>
        <v>882.57755365753849</v>
      </c>
      <c r="BM60" s="282">
        <f>+'People Plan'!AN13</f>
        <v>1307.6582377736293</v>
      </c>
      <c r="BN60" s="282">
        <f>+'People Plan'!AO13</f>
        <v>1660.6721029359378</v>
      </c>
      <c r="BO60" s="282">
        <f>+'People Plan'!AP13</f>
        <v>2044.082676436416</v>
      </c>
      <c r="BP60" s="282">
        <f>+'People Plan'!AQ13</f>
        <v>1861.203043956222</v>
      </c>
      <c r="BQ60" s="282">
        <f>+'People Plan'!AR13</f>
        <v>1858.6101812838954</v>
      </c>
      <c r="BR60" s="282">
        <f>+'People Plan'!AS13</f>
        <v>1566.6358712686242</v>
      </c>
      <c r="BS60" s="282">
        <f>+'People Plan'!AT13</f>
        <v>2035.0977166952148</v>
      </c>
      <c r="BT60" s="282">
        <f>+'People Plan'!AU13</f>
        <v>874.56992223488101</v>
      </c>
      <c r="BU60" s="282">
        <f>+'People Plan'!AV13</f>
        <v>1035.6279761043872</v>
      </c>
      <c r="BV60" s="282">
        <f>+'People Plan'!AW13</f>
        <v>984.21433179155781</v>
      </c>
      <c r="BW60" s="283">
        <f>+'People Plan'!AX13</f>
        <v>1575.0199976530255</v>
      </c>
      <c r="BX60" s="282">
        <f>+'People Plan'!AY13</f>
        <v>943.37690303891623</v>
      </c>
      <c r="BY60" s="282">
        <f>+'People Plan'!AZ13</f>
        <v>1506.3607702010042</v>
      </c>
      <c r="BZ60" s="282">
        <f>+'People Plan'!BA13</f>
        <v>1737.3566923475621</v>
      </c>
      <c r="CA60" s="282">
        <f>+'People Plan'!BB13</f>
        <v>1846.2535006073076</v>
      </c>
      <c r="CB60" s="282">
        <f>+'People Plan'!BC13</f>
        <v>2247.5575509048822</v>
      </c>
      <c r="CC60" s="282">
        <f>+'People Plan'!BD13</f>
        <v>1923.317764047767</v>
      </c>
      <c r="CD60" s="282">
        <f>+'People Plan'!BE13</f>
        <v>1499.2022743893854</v>
      </c>
      <c r="CE60" s="282">
        <f>+'People Plan'!BF13</f>
        <v>2260.94045249483</v>
      </c>
      <c r="CF60" s="282">
        <f>+'People Plan'!BG13</f>
        <v>807.9510196862791</v>
      </c>
      <c r="CG60" s="282">
        <f>+'People Plan'!BH13</f>
        <v>1175.5479693278087</v>
      </c>
      <c r="CH60" s="282">
        <f>+'People Plan'!BI13</f>
        <v>1024.5574448592645</v>
      </c>
      <c r="CI60" s="283">
        <f>+'People Plan'!BJ13</f>
        <v>1410.7913957844862</v>
      </c>
      <c r="CJ60" s="282">
        <f>+'People Plan'!BK13</f>
        <v>1215.5263716984177</v>
      </c>
      <c r="CK60" s="282">
        <f>+'People Plan'!BL13</f>
        <v>1445.8860864187593</v>
      </c>
      <c r="CL60" s="282">
        <f>+'People Plan'!BM13</f>
        <v>1682.3438347261795</v>
      </c>
      <c r="CM60" s="282">
        <f>+'People Plan'!BN13</f>
        <v>2098.3261601314944</v>
      </c>
      <c r="CN60" s="282">
        <f>+'People Plan'!BO13</f>
        <v>2375.8774593499252</v>
      </c>
      <c r="CO60" s="282">
        <f>+'People Plan'!BP13</f>
        <v>1904.1996145948046</v>
      </c>
      <c r="CP60" s="282">
        <f>+'People Plan'!BQ13</f>
        <v>1752.0782626865323</v>
      </c>
      <c r="CQ60" s="282">
        <f>+'People Plan'!BR13</f>
        <v>2378.106984601397</v>
      </c>
      <c r="CR60" s="282">
        <f>+'People Plan'!BS13</f>
        <v>767.97967815711831</v>
      </c>
      <c r="CS60" s="282">
        <f>+'People Plan'!BT13</f>
        <v>1386.9164697291462</v>
      </c>
      <c r="CT60" s="282">
        <f>+'People Plan'!BU13</f>
        <v>1105.2436709946774</v>
      </c>
      <c r="CU60" s="283">
        <f>+'People Plan'!BV13</f>
        <v>1489.173228494471</v>
      </c>
      <c r="CV60" s="282">
        <f>+'People Plan'!BW13</f>
        <v>1315.4110171106813</v>
      </c>
      <c r="CW60" s="282">
        <f>+'People Plan'!BX13</f>
        <v>1549.556972902607</v>
      </c>
      <c r="CX60" s="282">
        <f>+'People Plan'!BY13</f>
        <v>1655.6709340612658</v>
      </c>
      <c r="CY60" s="282">
        <f>+'People Plan'!BZ13</f>
        <v>2395.0699238751567</v>
      </c>
      <c r="CZ60" s="282">
        <f>+'People Plan'!CA13</f>
        <v>2504.1973677949677</v>
      </c>
      <c r="DA60" s="282">
        <f>+'People Plan'!CB13</f>
        <v>1843.9039124739243</v>
      </c>
      <c r="DB60" s="282">
        <f>+'People Plan'!CC13</f>
        <v>1951.5693201209488</v>
      </c>
      <c r="DC60" s="282">
        <f>+'People Plan'!CD13</f>
        <v>2296.599831831611</v>
      </c>
      <c r="DD60" s="282">
        <f>+'People Plan'!CE13</f>
        <v>901.21748325432225</v>
      </c>
      <c r="DE60" s="282">
        <f>+'People Plan'!CF13</f>
        <v>1455.38795577465</v>
      </c>
      <c r="DF60" s="282">
        <f>+'People Plan'!CG13</f>
        <v>1035.5601120595479</v>
      </c>
      <c r="DG60" s="282">
        <f>+'People Plan'!CH13</f>
        <v>1700.0576831665728</v>
      </c>
    </row>
    <row r="61" spans="1:111" s="56" customFormat="1" x14ac:dyDescent="0.25">
      <c r="A61" s="3"/>
      <c r="B61" s="4" t="s">
        <v>218</v>
      </c>
      <c r="C61" s="4"/>
      <c r="V61" s="56">
        <f t="shared" ref="V61:AA61" si="228">+SUM(V58:V59)</f>
        <v>0</v>
      </c>
      <c r="W61" s="56">
        <f t="shared" si="228"/>
        <v>0</v>
      </c>
      <c r="X61" s="56">
        <f t="shared" si="228"/>
        <v>0</v>
      </c>
      <c r="Y61" s="56">
        <f t="shared" si="228"/>
        <v>0</v>
      </c>
      <c r="Z61" s="56">
        <f t="shared" si="228"/>
        <v>0</v>
      </c>
      <c r="AA61" s="56">
        <f t="shared" si="228"/>
        <v>0</v>
      </c>
      <c r="AB61" s="56">
        <f>SUM(AB58:AB60)</f>
        <v>503.79999999999995</v>
      </c>
      <c r="AC61" s="56">
        <f t="shared" ref="AC61:CN61" si="229">SUM(AC58:AC60)</f>
        <v>653.89</v>
      </c>
      <c r="AD61" s="56">
        <f t="shared" si="229"/>
        <v>531.84</v>
      </c>
      <c r="AE61" s="56">
        <f t="shared" si="229"/>
        <v>336.78999999999996</v>
      </c>
      <c r="AF61" s="56">
        <f t="shared" si="229"/>
        <v>1421.1200000000001</v>
      </c>
      <c r="AG61" s="56">
        <f t="shared" si="229"/>
        <v>1284.6100000000001</v>
      </c>
      <c r="AH61" s="56">
        <f t="shared" ref="AH61:AT61" si="230">SUM(AH58:AH60)</f>
        <v>734.65</v>
      </c>
      <c r="AI61" s="56">
        <f t="shared" si="230"/>
        <v>839.84</v>
      </c>
      <c r="AJ61" s="56">
        <f t="shared" si="230"/>
        <v>366.67</v>
      </c>
      <c r="AK61" s="56">
        <f t="shared" si="230"/>
        <v>1358.49</v>
      </c>
      <c r="AL61" s="56">
        <f t="shared" si="230"/>
        <v>948.44</v>
      </c>
      <c r="AM61" s="56">
        <f t="shared" si="230"/>
        <v>1230.5900000000001</v>
      </c>
      <c r="AN61" s="56">
        <f t="shared" si="230"/>
        <v>497.28</v>
      </c>
      <c r="AO61" s="56">
        <f t="shared" si="230"/>
        <v>744.61</v>
      </c>
      <c r="AP61" s="56">
        <f t="shared" si="230"/>
        <v>1024.69</v>
      </c>
      <c r="AQ61" s="56">
        <f t="shared" si="230"/>
        <v>600.56999999999994</v>
      </c>
      <c r="AR61" s="56">
        <f t="shared" si="230"/>
        <v>1623.48</v>
      </c>
      <c r="AS61" s="56">
        <f t="shared" si="230"/>
        <v>685.83</v>
      </c>
      <c r="AT61" s="56">
        <f t="shared" si="230"/>
        <v>804.71</v>
      </c>
      <c r="AU61" s="56">
        <f t="shared" ref="AU61:AV61" si="231">SUM(AU58:AU60)</f>
        <v>973.71</v>
      </c>
      <c r="AV61" s="56">
        <f t="shared" si="231"/>
        <v>1145.55</v>
      </c>
      <c r="AW61" s="253">
        <f t="shared" ref="AW61" si="232">SUM(AW58:AW60)</f>
        <v>860.51</v>
      </c>
      <c r="AX61" s="56">
        <f t="shared" ref="AX61" si="233">SUM(AX58:AX60)</f>
        <v>949.43806480266301</v>
      </c>
      <c r="AY61" s="253">
        <f t="shared" si="229"/>
        <v>1931.8545773333349</v>
      </c>
      <c r="AZ61" s="56">
        <f t="shared" si="229"/>
        <v>1659.0107852656674</v>
      </c>
      <c r="BA61" s="56">
        <f t="shared" si="229"/>
        <v>2155.0375654454901</v>
      </c>
      <c r="BB61" s="56">
        <f t="shared" si="229"/>
        <v>2521.7613948034968</v>
      </c>
      <c r="BC61" s="56">
        <f t="shared" si="229"/>
        <v>3310.7110598909453</v>
      </c>
      <c r="BD61" s="56">
        <f t="shared" si="229"/>
        <v>3035.7058357528072</v>
      </c>
      <c r="BE61" s="56">
        <f t="shared" si="229"/>
        <v>3070.395950798139</v>
      </c>
      <c r="BF61" s="56">
        <f t="shared" si="229"/>
        <v>2876.7261381899634</v>
      </c>
      <c r="BG61" s="56">
        <f t="shared" si="229"/>
        <v>3144.909230197487</v>
      </c>
      <c r="BH61" s="56">
        <f t="shared" si="229"/>
        <v>1758.9749927524676</v>
      </c>
      <c r="BI61" s="56">
        <f t="shared" si="229"/>
        <v>2073.880358349058</v>
      </c>
      <c r="BJ61" s="56">
        <f t="shared" si="229"/>
        <v>1807.8549583266197</v>
      </c>
      <c r="BK61" s="253">
        <f t="shared" si="229"/>
        <v>2721.0344480002777</v>
      </c>
      <c r="BL61" s="56">
        <f t="shared" si="229"/>
        <v>1885.8863050461923</v>
      </c>
      <c r="BM61" s="56">
        <f t="shared" si="229"/>
        <v>2514.2906611172411</v>
      </c>
      <c r="BN61" s="56">
        <f t="shared" si="229"/>
        <v>3036.1573535141342</v>
      </c>
      <c r="BO61" s="56">
        <f t="shared" si="229"/>
        <v>3588.610506922103</v>
      </c>
      <c r="BP61" s="56">
        <f t="shared" si="229"/>
        <v>3318.2562848143752</v>
      </c>
      <c r="BQ61" s="56">
        <f t="shared" si="229"/>
        <v>3328.772744695304</v>
      </c>
      <c r="BR61" s="56">
        <f t="shared" si="229"/>
        <v>2897.1419152306398</v>
      </c>
      <c r="BS61" s="56">
        <f t="shared" si="229"/>
        <v>3589.6774157116615</v>
      </c>
      <c r="BT61" s="56">
        <f t="shared" si="229"/>
        <v>1902.7475507280371</v>
      </c>
      <c r="BU61" s="56">
        <f t="shared" si="229"/>
        <v>2112.1434739977876</v>
      </c>
      <c r="BV61" s="56">
        <f t="shared" si="229"/>
        <v>2064.8368367362359</v>
      </c>
      <c r="BW61" s="253">
        <f t="shared" si="229"/>
        <v>2909.5363187843168</v>
      </c>
      <c r="BX61" s="56">
        <f t="shared" si="229"/>
        <v>2027.3865757349181</v>
      </c>
      <c r="BY61" s="56">
        <f t="shared" si="229"/>
        <v>2873.1199278068257</v>
      </c>
      <c r="BZ61" s="56">
        <f t="shared" si="229"/>
        <v>3220.1297924708579</v>
      </c>
      <c r="CA61" s="56">
        <f t="shared" si="229"/>
        <v>3368.6512386601462</v>
      </c>
      <c r="CB61" s="56">
        <f t="shared" si="229"/>
        <v>3971.5037171317649</v>
      </c>
      <c r="CC61" s="56">
        <f t="shared" si="229"/>
        <v>3499.486785978841</v>
      </c>
      <c r="CD61" s="56">
        <f t="shared" si="229"/>
        <v>2862.3661939759231</v>
      </c>
      <c r="CE61" s="56">
        <f t="shared" si="229"/>
        <v>4006.6749750031886</v>
      </c>
      <c r="CF61" s="56">
        <f t="shared" si="229"/>
        <v>1854.0792699992021</v>
      </c>
      <c r="CG61" s="56">
        <f t="shared" si="229"/>
        <v>2376.1617815616983</v>
      </c>
      <c r="CH61" s="56">
        <f t="shared" si="229"/>
        <v>2179.4727470188891</v>
      </c>
      <c r="CI61" s="253">
        <f t="shared" si="229"/>
        <v>2729.5523904489091</v>
      </c>
      <c r="CJ61" s="56">
        <f t="shared" si="229"/>
        <v>2497.2533015974232</v>
      </c>
      <c r="CK61" s="56">
        <f t="shared" si="229"/>
        <v>2849.0921548940687</v>
      </c>
      <c r="CL61" s="56">
        <f t="shared" si="229"/>
        <v>3210.2448118097491</v>
      </c>
      <c r="CM61" s="56">
        <f t="shared" si="229"/>
        <v>3829.7731454780096</v>
      </c>
      <c r="CN61" s="56">
        <f t="shared" si="229"/>
        <v>4253.6898488241604</v>
      </c>
      <c r="CO61" s="56">
        <f t="shared" ref="CO61:DG61" si="234">SUM(CO58:CO60)</f>
        <v>3549.0952192300424</v>
      </c>
      <c r="CP61" s="56">
        <f t="shared" si="234"/>
        <v>3316.7533703858626</v>
      </c>
      <c r="CQ61" s="56">
        <f t="shared" si="234"/>
        <v>4272.9154663351892</v>
      </c>
      <c r="CR61" s="56">
        <f t="shared" si="234"/>
        <v>1845.335637434606</v>
      </c>
      <c r="CS61" s="56">
        <f t="shared" si="234"/>
        <v>2759.0251814191097</v>
      </c>
      <c r="CT61" s="56">
        <f t="shared" si="234"/>
        <v>2360.45424939448</v>
      </c>
      <c r="CU61" s="253">
        <f t="shared" si="234"/>
        <v>2915.206572724881</v>
      </c>
      <c r="CV61" s="56">
        <f t="shared" si="234"/>
        <v>2716.5316884249364</v>
      </c>
      <c r="CW61" s="56">
        <f t="shared" si="234"/>
        <v>3080.3272294211265</v>
      </c>
      <c r="CX61" s="56">
        <f t="shared" si="234"/>
        <v>3245.1978366301969</v>
      </c>
      <c r="CY61" s="56">
        <f t="shared" si="234"/>
        <v>4377.4000438331059</v>
      </c>
      <c r="CZ61" s="56">
        <f t="shared" si="234"/>
        <v>4546.9527374257232</v>
      </c>
      <c r="DA61" s="56">
        <f t="shared" si="234"/>
        <v>3537.6578023953571</v>
      </c>
      <c r="DB61" s="56">
        <f t="shared" si="234"/>
        <v>3704.9389116891325</v>
      </c>
      <c r="DC61" s="56">
        <f t="shared" si="234"/>
        <v>4241.0171934746904</v>
      </c>
      <c r="DD61" s="56">
        <f t="shared" si="234"/>
        <v>2106.2167029244692</v>
      </c>
      <c r="DE61" s="56">
        <f t="shared" si="234"/>
        <v>2934.015633240544</v>
      </c>
      <c r="DF61" s="56">
        <f t="shared" si="234"/>
        <v>2314.9465490571897</v>
      </c>
      <c r="DG61" s="56">
        <f t="shared" si="234"/>
        <v>3314.1620916360662</v>
      </c>
    </row>
    <row r="62" spans="1:111" s="484" customFormat="1" x14ac:dyDescent="0.25">
      <c r="A62" s="482"/>
      <c r="B62" s="483"/>
      <c r="C62" s="483" t="s">
        <v>235</v>
      </c>
      <c r="W62" s="485" t="e">
        <f t="shared" ref="W62:AW62" si="235">+W58/W13</f>
        <v>#DIV/0!</v>
      </c>
      <c r="X62" s="485" t="e">
        <f t="shared" si="235"/>
        <v>#DIV/0!</v>
      </c>
      <c r="Y62" s="485" t="e">
        <f t="shared" si="235"/>
        <v>#DIV/0!</v>
      </c>
      <c r="Z62" s="485" t="e">
        <f t="shared" si="235"/>
        <v>#DIV/0!</v>
      </c>
      <c r="AA62" s="485" t="e">
        <f t="shared" si="235"/>
        <v>#DIV/0!</v>
      </c>
      <c r="AB62" s="485">
        <f t="shared" si="235"/>
        <v>2.5196822903028715E-2</v>
      </c>
      <c r="AC62" s="485">
        <f t="shared" si="235"/>
        <v>2.9022049286640726E-2</v>
      </c>
      <c r="AD62" s="485">
        <f t="shared" si="235"/>
        <v>2.7502699872369668E-2</v>
      </c>
      <c r="AE62" s="485">
        <f t="shared" si="235"/>
        <v>2.4807470896763464E-2</v>
      </c>
      <c r="AF62" s="485">
        <f t="shared" si="235"/>
        <v>2.3956262425447319E-2</v>
      </c>
      <c r="AG62" s="485">
        <f t="shared" si="235"/>
        <v>2.8614760972882305E-2</v>
      </c>
      <c r="AH62" s="485">
        <f t="shared" si="235"/>
        <v>2.9076552240046547E-2</v>
      </c>
      <c r="AI62" s="485">
        <f t="shared" si="235"/>
        <v>2.6234407128169979E-2</v>
      </c>
      <c r="AJ62" s="485">
        <f t="shared" si="235"/>
        <v>2.8274570295284268E-2</v>
      </c>
      <c r="AK62" s="485">
        <f t="shared" si="235"/>
        <v>3.0051968299337404E-2</v>
      </c>
      <c r="AL62" s="485">
        <f t="shared" si="235"/>
        <v>3.2427233611743864E-2</v>
      </c>
      <c r="AM62" s="485">
        <f t="shared" si="235"/>
        <v>2.7860858257477243E-2</v>
      </c>
      <c r="AN62" s="485">
        <f t="shared" si="235"/>
        <v>2.9355532245705657E-2</v>
      </c>
      <c r="AO62" s="485">
        <f t="shared" si="235"/>
        <v>3.1088393727869267E-2</v>
      </c>
      <c r="AP62" s="485">
        <f t="shared" si="235"/>
        <v>3.0180769501301257E-2</v>
      </c>
      <c r="AQ62" s="485">
        <f t="shared" si="235"/>
        <v>3.1518427830953669E-2</v>
      </c>
      <c r="AR62" s="485">
        <f t="shared" si="235"/>
        <v>3.0495251103759766E-2</v>
      </c>
      <c r="AS62" s="485">
        <f t="shared" si="235"/>
        <v>2.6439393389425695E-2</v>
      </c>
      <c r="AT62" s="485">
        <f t="shared" si="235"/>
        <v>2.9197080291970802E-2</v>
      </c>
      <c r="AU62" s="485">
        <f t="shared" si="235"/>
        <v>2.685751990958208E-2</v>
      </c>
      <c r="AV62" s="485">
        <f t="shared" si="235"/>
        <v>3.599737458370135E-2</v>
      </c>
      <c r="AW62" s="486">
        <f t="shared" si="235"/>
        <v>4.0295788232772481E-2</v>
      </c>
      <c r="AX62" s="537">
        <f>+AVERAGE(AR62:AW62)</f>
        <v>3.1547067918535364E-2</v>
      </c>
      <c r="AY62" s="486">
        <f t="shared" ref="AY62:CT62" si="236">+AX62</f>
        <v>3.1547067918535364E-2</v>
      </c>
      <c r="AZ62" s="485">
        <f t="shared" si="236"/>
        <v>3.1547067918535364E-2</v>
      </c>
      <c r="BA62" s="485">
        <f t="shared" si="236"/>
        <v>3.1547067918535364E-2</v>
      </c>
      <c r="BB62" s="485">
        <f t="shared" si="236"/>
        <v>3.1547067918535364E-2</v>
      </c>
      <c r="BC62" s="485">
        <f t="shared" si="236"/>
        <v>3.1547067918535364E-2</v>
      </c>
      <c r="BD62" s="485">
        <f t="shared" si="236"/>
        <v>3.1547067918535364E-2</v>
      </c>
      <c r="BE62" s="485">
        <f t="shared" si="236"/>
        <v>3.1547067918535364E-2</v>
      </c>
      <c r="BF62" s="485">
        <f t="shared" si="236"/>
        <v>3.1547067918535364E-2</v>
      </c>
      <c r="BG62" s="485">
        <f t="shared" si="236"/>
        <v>3.1547067918535364E-2</v>
      </c>
      <c r="BH62" s="485">
        <f t="shared" si="236"/>
        <v>3.1547067918535364E-2</v>
      </c>
      <c r="BI62" s="485">
        <f t="shared" si="236"/>
        <v>3.1547067918535364E-2</v>
      </c>
      <c r="BJ62" s="485">
        <f t="shared" si="236"/>
        <v>3.1547067918535364E-2</v>
      </c>
      <c r="BK62" s="486">
        <f t="shared" si="236"/>
        <v>3.1547067918535364E-2</v>
      </c>
      <c r="BL62" s="485">
        <f t="shared" si="236"/>
        <v>3.1547067918535364E-2</v>
      </c>
      <c r="BM62" s="485">
        <f t="shared" si="236"/>
        <v>3.1547067918535364E-2</v>
      </c>
      <c r="BN62" s="485">
        <f t="shared" si="236"/>
        <v>3.1547067918535364E-2</v>
      </c>
      <c r="BO62" s="485">
        <f t="shared" si="236"/>
        <v>3.1547067918535364E-2</v>
      </c>
      <c r="BP62" s="485">
        <f t="shared" si="236"/>
        <v>3.1547067918535364E-2</v>
      </c>
      <c r="BQ62" s="485">
        <f t="shared" si="236"/>
        <v>3.1547067918535364E-2</v>
      </c>
      <c r="BR62" s="485">
        <f t="shared" si="236"/>
        <v>3.1547067918535364E-2</v>
      </c>
      <c r="BS62" s="485">
        <f t="shared" si="236"/>
        <v>3.1547067918535364E-2</v>
      </c>
      <c r="BT62" s="485">
        <f t="shared" si="236"/>
        <v>3.1547067918535364E-2</v>
      </c>
      <c r="BU62" s="485">
        <f t="shared" si="236"/>
        <v>3.1547067918535364E-2</v>
      </c>
      <c r="BV62" s="485">
        <f t="shared" si="236"/>
        <v>3.1547067918535364E-2</v>
      </c>
      <c r="BW62" s="486">
        <f t="shared" si="236"/>
        <v>3.1547067918535364E-2</v>
      </c>
      <c r="BX62" s="485">
        <f t="shared" si="236"/>
        <v>3.1547067918535364E-2</v>
      </c>
      <c r="BY62" s="485">
        <f t="shared" si="236"/>
        <v>3.1547067918535364E-2</v>
      </c>
      <c r="BZ62" s="485">
        <f t="shared" si="236"/>
        <v>3.1547067918535364E-2</v>
      </c>
      <c r="CA62" s="485">
        <f t="shared" si="236"/>
        <v>3.1547067918535364E-2</v>
      </c>
      <c r="CB62" s="485">
        <f t="shared" si="236"/>
        <v>3.1547067918535364E-2</v>
      </c>
      <c r="CC62" s="485">
        <f t="shared" si="236"/>
        <v>3.1547067918535364E-2</v>
      </c>
      <c r="CD62" s="485">
        <f t="shared" si="236"/>
        <v>3.1547067918535364E-2</v>
      </c>
      <c r="CE62" s="485">
        <f t="shared" si="236"/>
        <v>3.1547067918535364E-2</v>
      </c>
      <c r="CF62" s="485">
        <f t="shared" si="236"/>
        <v>3.1547067918535364E-2</v>
      </c>
      <c r="CG62" s="485">
        <f t="shared" si="236"/>
        <v>3.1547067918535364E-2</v>
      </c>
      <c r="CH62" s="485">
        <f t="shared" si="236"/>
        <v>3.1547067918535364E-2</v>
      </c>
      <c r="CI62" s="486">
        <f t="shared" si="236"/>
        <v>3.1547067918535364E-2</v>
      </c>
      <c r="CJ62" s="485">
        <f t="shared" si="236"/>
        <v>3.1547067918535364E-2</v>
      </c>
      <c r="CK62" s="485">
        <f t="shared" si="236"/>
        <v>3.1547067918535364E-2</v>
      </c>
      <c r="CL62" s="485">
        <f t="shared" si="236"/>
        <v>3.1547067918535364E-2</v>
      </c>
      <c r="CM62" s="485">
        <f t="shared" si="236"/>
        <v>3.1547067918535364E-2</v>
      </c>
      <c r="CN62" s="485">
        <f t="shared" si="236"/>
        <v>3.1547067918535364E-2</v>
      </c>
      <c r="CO62" s="485">
        <f t="shared" si="236"/>
        <v>3.1547067918535364E-2</v>
      </c>
      <c r="CP62" s="485">
        <f t="shared" si="236"/>
        <v>3.1547067918535364E-2</v>
      </c>
      <c r="CQ62" s="485">
        <f t="shared" si="236"/>
        <v>3.1547067918535364E-2</v>
      </c>
      <c r="CR62" s="485">
        <f t="shared" si="236"/>
        <v>3.1547067918535364E-2</v>
      </c>
      <c r="CS62" s="485">
        <f t="shared" si="236"/>
        <v>3.1547067918535364E-2</v>
      </c>
      <c r="CT62" s="485">
        <f t="shared" si="236"/>
        <v>3.1547067918535364E-2</v>
      </c>
      <c r="CU62" s="486">
        <f t="shared" ref="CU62:DG62" si="237">+CT62</f>
        <v>3.1547067918535364E-2</v>
      </c>
      <c r="CV62" s="485">
        <f t="shared" si="237"/>
        <v>3.1547067918535364E-2</v>
      </c>
      <c r="CW62" s="485">
        <f t="shared" si="237"/>
        <v>3.1547067918535364E-2</v>
      </c>
      <c r="CX62" s="485">
        <f t="shared" si="237"/>
        <v>3.1547067918535364E-2</v>
      </c>
      <c r="CY62" s="485">
        <f t="shared" si="237"/>
        <v>3.1547067918535364E-2</v>
      </c>
      <c r="CZ62" s="485">
        <f t="shared" si="237"/>
        <v>3.1547067918535364E-2</v>
      </c>
      <c r="DA62" s="485">
        <f t="shared" si="237"/>
        <v>3.1547067918535364E-2</v>
      </c>
      <c r="DB62" s="485">
        <f t="shared" si="237"/>
        <v>3.1547067918535364E-2</v>
      </c>
      <c r="DC62" s="485">
        <f t="shared" si="237"/>
        <v>3.1547067918535364E-2</v>
      </c>
      <c r="DD62" s="485">
        <f t="shared" si="237"/>
        <v>3.1547067918535364E-2</v>
      </c>
      <c r="DE62" s="485">
        <f t="shared" si="237"/>
        <v>3.1547067918535364E-2</v>
      </c>
      <c r="DF62" s="485">
        <f t="shared" si="237"/>
        <v>3.1547067918535364E-2</v>
      </c>
      <c r="DG62" s="485">
        <f t="shared" si="237"/>
        <v>3.1547067918535364E-2</v>
      </c>
    </row>
    <row r="63" spans="1:111" s="484" customFormat="1" x14ac:dyDescent="0.25">
      <c r="A63" s="482"/>
      <c r="B63" s="483"/>
      <c r="C63" s="483" t="s">
        <v>236</v>
      </c>
      <c r="W63" s="485" t="e">
        <f t="shared" ref="W63:AW63" si="238">+W59/W13</f>
        <v>#DIV/0!</v>
      </c>
      <c r="X63" s="485" t="e">
        <f t="shared" si="238"/>
        <v>#DIV/0!</v>
      </c>
      <c r="Y63" s="485" t="e">
        <f t="shared" si="238"/>
        <v>#DIV/0!</v>
      </c>
      <c r="Z63" s="485" t="e">
        <f t="shared" si="238"/>
        <v>#DIV/0!</v>
      </c>
      <c r="AA63" s="485" t="e">
        <f t="shared" si="238"/>
        <v>#DIV/0!</v>
      </c>
      <c r="AB63" s="485">
        <f t="shared" si="238"/>
        <v>6.2749410840534162E-2</v>
      </c>
      <c r="AC63" s="485">
        <f t="shared" si="238"/>
        <v>6.7904391328515848E-2</v>
      </c>
      <c r="AD63" s="485">
        <f t="shared" si="238"/>
        <v>4.211669993782112E-2</v>
      </c>
      <c r="AE63" s="485">
        <f t="shared" si="238"/>
        <v>1.8276832544454395E-2</v>
      </c>
      <c r="AF63" s="485">
        <f t="shared" si="238"/>
        <v>9.3603379721669988E-2</v>
      </c>
      <c r="AG63" s="485">
        <f t="shared" si="238"/>
        <v>4.4017332960581489E-2</v>
      </c>
      <c r="AH63" s="485">
        <f t="shared" si="238"/>
        <v>2.7552156927936167E-2</v>
      </c>
      <c r="AI63" s="485">
        <f t="shared" si="238"/>
        <v>5.2721041809458535E-3</v>
      </c>
      <c r="AJ63" s="485">
        <f t="shared" si="238"/>
        <v>6.2494490965182897E-3</v>
      </c>
      <c r="AK63" s="485">
        <f t="shared" si="238"/>
        <v>4.6405092893335068E-2</v>
      </c>
      <c r="AL63" s="485">
        <f t="shared" si="238"/>
        <v>7.2141736269298914E-2</v>
      </c>
      <c r="AM63" s="485">
        <f t="shared" si="238"/>
        <v>9.5772106631989609E-2</v>
      </c>
      <c r="AN63" s="485">
        <f t="shared" si="238"/>
        <v>3.7193593262957424E-2</v>
      </c>
      <c r="AO63" s="485">
        <f t="shared" si="238"/>
        <v>7.6525040223714605E-2</v>
      </c>
      <c r="AP63" s="485">
        <f t="shared" si="238"/>
        <v>0.11396919181261869</v>
      </c>
      <c r="AQ63" s="485">
        <f t="shared" si="238"/>
        <v>4.4872960854771514E-2</v>
      </c>
      <c r="AR63" s="485">
        <f t="shared" si="238"/>
        <v>9.5745923261086469E-2</v>
      </c>
      <c r="AS63" s="485">
        <f t="shared" si="238"/>
        <v>7.3137373048080212E-2</v>
      </c>
      <c r="AT63" s="485">
        <f t="shared" si="238"/>
        <v>7.9275599679182587E-2</v>
      </c>
      <c r="AU63" s="485">
        <f t="shared" si="238"/>
        <v>0.10036911940522776</v>
      </c>
      <c r="AV63" s="485">
        <f t="shared" si="238"/>
        <v>0.14479170887050377</v>
      </c>
      <c r="AW63" s="486">
        <f t="shared" si="238"/>
        <v>8.2664951952273788E-2</v>
      </c>
      <c r="AX63" s="537">
        <f>+AVERAGE(AR63:AW63)</f>
        <v>9.5997446036059086E-2</v>
      </c>
      <c r="AY63" s="486">
        <f t="shared" ref="AY63:CT63" si="239">+AX63</f>
        <v>9.5997446036059086E-2</v>
      </c>
      <c r="AZ63" s="485">
        <f t="shared" si="239"/>
        <v>9.5997446036059086E-2</v>
      </c>
      <c r="BA63" s="485">
        <f t="shared" si="239"/>
        <v>9.5997446036059086E-2</v>
      </c>
      <c r="BB63" s="485">
        <f t="shared" si="239"/>
        <v>9.5997446036059086E-2</v>
      </c>
      <c r="BC63" s="485">
        <f t="shared" si="239"/>
        <v>9.5997446036059086E-2</v>
      </c>
      <c r="BD63" s="485">
        <f t="shared" si="239"/>
        <v>9.5997446036059086E-2</v>
      </c>
      <c r="BE63" s="485">
        <f t="shared" si="239"/>
        <v>9.5997446036059086E-2</v>
      </c>
      <c r="BF63" s="485">
        <f t="shared" si="239"/>
        <v>9.5997446036059086E-2</v>
      </c>
      <c r="BG63" s="485">
        <f t="shared" si="239"/>
        <v>9.5997446036059086E-2</v>
      </c>
      <c r="BH63" s="485">
        <f t="shared" si="239"/>
        <v>9.5997446036059086E-2</v>
      </c>
      <c r="BI63" s="485">
        <f t="shared" si="239"/>
        <v>9.5997446036059086E-2</v>
      </c>
      <c r="BJ63" s="485">
        <f t="shared" si="239"/>
        <v>9.5997446036059086E-2</v>
      </c>
      <c r="BK63" s="486">
        <f t="shared" si="239"/>
        <v>9.5997446036059086E-2</v>
      </c>
      <c r="BL63" s="485">
        <f t="shared" si="239"/>
        <v>9.5997446036059086E-2</v>
      </c>
      <c r="BM63" s="485">
        <f t="shared" si="239"/>
        <v>9.5997446036059086E-2</v>
      </c>
      <c r="BN63" s="485">
        <f t="shared" si="239"/>
        <v>9.5997446036059086E-2</v>
      </c>
      <c r="BO63" s="485">
        <f t="shared" si="239"/>
        <v>9.5997446036059086E-2</v>
      </c>
      <c r="BP63" s="485">
        <f t="shared" si="239"/>
        <v>9.5997446036059086E-2</v>
      </c>
      <c r="BQ63" s="485">
        <f t="shared" si="239"/>
        <v>9.5997446036059086E-2</v>
      </c>
      <c r="BR63" s="485">
        <f t="shared" si="239"/>
        <v>9.5997446036059086E-2</v>
      </c>
      <c r="BS63" s="485">
        <f t="shared" si="239"/>
        <v>9.5997446036059086E-2</v>
      </c>
      <c r="BT63" s="485">
        <f t="shared" si="239"/>
        <v>9.5997446036059086E-2</v>
      </c>
      <c r="BU63" s="485">
        <f t="shared" si="239"/>
        <v>9.5997446036059086E-2</v>
      </c>
      <c r="BV63" s="485">
        <f t="shared" si="239"/>
        <v>9.5997446036059086E-2</v>
      </c>
      <c r="BW63" s="486">
        <f t="shared" si="239"/>
        <v>9.5997446036059086E-2</v>
      </c>
      <c r="BX63" s="485">
        <f t="shared" si="239"/>
        <v>9.5997446036059086E-2</v>
      </c>
      <c r="BY63" s="485">
        <f t="shared" si="239"/>
        <v>9.5997446036059086E-2</v>
      </c>
      <c r="BZ63" s="485">
        <f t="shared" si="239"/>
        <v>9.5997446036059086E-2</v>
      </c>
      <c r="CA63" s="485">
        <f t="shared" si="239"/>
        <v>9.5997446036059086E-2</v>
      </c>
      <c r="CB63" s="485">
        <f t="shared" si="239"/>
        <v>9.5997446036059086E-2</v>
      </c>
      <c r="CC63" s="485">
        <f t="shared" si="239"/>
        <v>9.5997446036059086E-2</v>
      </c>
      <c r="CD63" s="485">
        <f t="shared" si="239"/>
        <v>9.5997446036059086E-2</v>
      </c>
      <c r="CE63" s="485">
        <f t="shared" si="239"/>
        <v>9.5997446036059086E-2</v>
      </c>
      <c r="CF63" s="485">
        <f t="shared" si="239"/>
        <v>9.5997446036059086E-2</v>
      </c>
      <c r="CG63" s="485">
        <f t="shared" si="239"/>
        <v>9.5997446036059086E-2</v>
      </c>
      <c r="CH63" s="485">
        <f t="shared" si="239"/>
        <v>9.5997446036059086E-2</v>
      </c>
      <c r="CI63" s="486">
        <f t="shared" si="239"/>
        <v>9.5997446036059086E-2</v>
      </c>
      <c r="CJ63" s="485">
        <f t="shared" si="239"/>
        <v>9.5997446036059086E-2</v>
      </c>
      <c r="CK63" s="485">
        <f t="shared" si="239"/>
        <v>9.5997446036059086E-2</v>
      </c>
      <c r="CL63" s="485">
        <f t="shared" si="239"/>
        <v>9.5997446036059086E-2</v>
      </c>
      <c r="CM63" s="485">
        <f t="shared" si="239"/>
        <v>9.5997446036059086E-2</v>
      </c>
      <c r="CN63" s="485">
        <f t="shared" si="239"/>
        <v>9.5997446036059086E-2</v>
      </c>
      <c r="CO63" s="485">
        <f t="shared" si="239"/>
        <v>9.5997446036059086E-2</v>
      </c>
      <c r="CP63" s="485">
        <f t="shared" si="239"/>
        <v>9.5997446036059086E-2</v>
      </c>
      <c r="CQ63" s="485">
        <f t="shared" si="239"/>
        <v>9.5997446036059086E-2</v>
      </c>
      <c r="CR63" s="485">
        <f t="shared" si="239"/>
        <v>9.5997446036059086E-2</v>
      </c>
      <c r="CS63" s="485">
        <f t="shared" si="239"/>
        <v>9.5997446036059086E-2</v>
      </c>
      <c r="CT63" s="485">
        <f t="shared" si="239"/>
        <v>9.5997446036059086E-2</v>
      </c>
      <c r="CU63" s="486">
        <f t="shared" ref="CU63:DG63" si="240">+CT63</f>
        <v>9.5997446036059086E-2</v>
      </c>
      <c r="CV63" s="485">
        <f t="shared" si="240"/>
        <v>9.5997446036059086E-2</v>
      </c>
      <c r="CW63" s="485">
        <f t="shared" si="240"/>
        <v>9.5997446036059086E-2</v>
      </c>
      <c r="CX63" s="485">
        <f t="shared" si="240"/>
        <v>9.5997446036059086E-2</v>
      </c>
      <c r="CY63" s="485">
        <f t="shared" si="240"/>
        <v>9.5997446036059086E-2</v>
      </c>
      <c r="CZ63" s="485">
        <f t="shared" si="240"/>
        <v>9.5997446036059086E-2</v>
      </c>
      <c r="DA63" s="485">
        <f t="shared" si="240"/>
        <v>9.5997446036059086E-2</v>
      </c>
      <c r="DB63" s="485">
        <f t="shared" si="240"/>
        <v>9.5997446036059086E-2</v>
      </c>
      <c r="DC63" s="485">
        <f t="shared" si="240"/>
        <v>9.5997446036059086E-2</v>
      </c>
      <c r="DD63" s="485">
        <f t="shared" si="240"/>
        <v>9.5997446036059086E-2</v>
      </c>
      <c r="DE63" s="485">
        <f t="shared" si="240"/>
        <v>9.5997446036059086E-2</v>
      </c>
      <c r="DF63" s="485">
        <f t="shared" si="240"/>
        <v>9.5997446036059086E-2</v>
      </c>
      <c r="DG63" s="485">
        <f t="shared" si="240"/>
        <v>9.5997446036059086E-2</v>
      </c>
    </row>
    <row r="64" spans="1:111" x14ac:dyDescent="0.25">
      <c r="B64" s="1"/>
      <c r="C64" s="1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254"/>
      <c r="AX64" s="58"/>
      <c r="AY64" s="254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254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254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254"/>
      <c r="CJ64" s="58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254"/>
      <c r="CV64" s="58"/>
      <c r="CW64" s="58"/>
      <c r="CX64" s="58"/>
      <c r="CY64" s="58"/>
      <c r="CZ64" s="58"/>
      <c r="DA64" s="58"/>
      <c r="DB64" s="58"/>
      <c r="DC64" s="58"/>
      <c r="DD64" s="58"/>
      <c r="DE64" s="58"/>
      <c r="DF64" s="58"/>
      <c r="DG64" s="58"/>
    </row>
    <row r="65" spans="1:111" s="56" customFormat="1" x14ac:dyDescent="0.25">
      <c r="A65" s="3"/>
      <c r="B65" s="4" t="s">
        <v>3</v>
      </c>
      <c r="C65" s="4"/>
      <c r="D65" s="56">
        <f t="shared" ref="D65:J65" si="241">(D13)-(0)</f>
        <v>0</v>
      </c>
      <c r="E65" s="56">
        <f t="shared" si="241"/>
        <v>0</v>
      </c>
      <c r="F65" s="56">
        <f t="shared" si="241"/>
        <v>0</v>
      </c>
      <c r="G65" s="56">
        <f t="shared" si="241"/>
        <v>0</v>
      </c>
      <c r="H65" s="56">
        <f t="shared" si="241"/>
        <v>0</v>
      </c>
      <c r="I65" s="56">
        <f t="shared" si="241"/>
        <v>0</v>
      </c>
      <c r="J65" s="56">
        <f t="shared" si="241"/>
        <v>0</v>
      </c>
      <c r="K65" s="56">
        <f t="shared" ref="K65:U65" si="242">K13</f>
        <v>0</v>
      </c>
      <c r="L65" s="56">
        <f t="shared" si="242"/>
        <v>0</v>
      </c>
      <c r="M65" s="56">
        <f t="shared" si="242"/>
        <v>0</v>
      </c>
      <c r="N65" s="56">
        <f t="shared" si="242"/>
        <v>0</v>
      </c>
      <c r="O65" s="56">
        <f t="shared" si="242"/>
        <v>0</v>
      </c>
      <c r="P65" s="56">
        <f t="shared" si="242"/>
        <v>0</v>
      </c>
      <c r="Q65" s="56">
        <f t="shared" si="242"/>
        <v>0</v>
      </c>
      <c r="R65" s="56">
        <f t="shared" si="242"/>
        <v>0</v>
      </c>
      <c r="S65" s="56">
        <f t="shared" si="242"/>
        <v>0</v>
      </c>
      <c r="T65" s="56">
        <f t="shared" si="242"/>
        <v>0</v>
      </c>
      <c r="U65" s="56">
        <f t="shared" si="242"/>
        <v>0</v>
      </c>
      <c r="V65" s="56">
        <f t="shared" ref="V65:BA65" si="243">V13-V61</f>
        <v>0</v>
      </c>
      <c r="W65" s="56">
        <f t="shared" si="243"/>
        <v>0</v>
      </c>
      <c r="X65" s="56">
        <f t="shared" si="243"/>
        <v>0</v>
      </c>
      <c r="Y65" s="56">
        <f t="shared" si="243"/>
        <v>0</v>
      </c>
      <c r="Z65" s="56">
        <f t="shared" si="243"/>
        <v>0</v>
      </c>
      <c r="AA65" s="56">
        <f t="shared" si="243"/>
        <v>0</v>
      </c>
      <c r="AB65" s="56">
        <f t="shared" si="243"/>
        <v>5224.7</v>
      </c>
      <c r="AC65" s="56">
        <f t="shared" si="243"/>
        <v>6092.36</v>
      </c>
      <c r="AD65" s="56">
        <f t="shared" si="243"/>
        <v>7107.41</v>
      </c>
      <c r="AE65" s="56">
        <f t="shared" si="243"/>
        <v>7480.21</v>
      </c>
      <c r="AF65" s="56">
        <f t="shared" si="243"/>
        <v>6626.88</v>
      </c>
      <c r="AG65" s="56">
        <f t="shared" si="243"/>
        <v>5869.3899999999994</v>
      </c>
      <c r="AH65" s="56">
        <f t="shared" si="243"/>
        <v>5280.85</v>
      </c>
      <c r="AI65" s="56">
        <f t="shared" si="243"/>
        <v>6455.16</v>
      </c>
      <c r="AJ65" s="56">
        <f t="shared" si="243"/>
        <v>4171.33</v>
      </c>
      <c r="AK65" s="56">
        <f t="shared" si="243"/>
        <v>6338.51</v>
      </c>
      <c r="AL65" s="56">
        <f t="shared" si="243"/>
        <v>3990.31</v>
      </c>
      <c r="AM65" s="56">
        <f t="shared" si="243"/>
        <v>4921.41</v>
      </c>
      <c r="AN65" s="56">
        <f t="shared" si="243"/>
        <v>6223.77</v>
      </c>
      <c r="AO65" s="56">
        <f t="shared" si="243"/>
        <v>5756.5300000000007</v>
      </c>
      <c r="AP65" s="56">
        <f t="shared" si="243"/>
        <v>6083.8099999999995</v>
      </c>
      <c r="AQ65" s="56">
        <f t="shared" si="243"/>
        <v>7261.18</v>
      </c>
      <c r="AR65" s="56">
        <f t="shared" si="243"/>
        <v>6254.1399999999994</v>
      </c>
      <c r="AS65" s="56">
        <f t="shared" si="243"/>
        <v>6201.62</v>
      </c>
      <c r="AT65" s="56">
        <f t="shared" si="243"/>
        <v>6613.84</v>
      </c>
      <c r="AU65" s="56">
        <f t="shared" si="243"/>
        <v>6679.64</v>
      </c>
      <c r="AV65" s="56">
        <f t="shared" si="243"/>
        <v>5024.8999999999996</v>
      </c>
      <c r="AW65" s="253">
        <f t="shared" si="243"/>
        <v>6137.74</v>
      </c>
      <c r="AX65" s="56">
        <f t="shared" si="243"/>
        <v>4327.637120118965</v>
      </c>
      <c r="AY65" s="253">
        <f t="shared" si="243"/>
        <v>5533.486203946617</v>
      </c>
      <c r="AZ65" s="56">
        <f t="shared" si="243"/>
        <v>5393.2685016960368</v>
      </c>
      <c r="BA65" s="56">
        <f t="shared" si="243"/>
        <v>6114.3976923895489</v>
      </c>
      <c r="BB65" s="56">
        <f t="shared" ref="BB65:CG65" si="244">BB13-BB61</f>
        <v>6647.5448304878055</v>
      </c>
      <c r="BC65" s="56">
        <f t="shared" si="244"/>
        <v>7720.9142041397936</v>
      </c>
      <c r="BD65" s="56">
        <f t="shared" si="244"/>
        <v>7321.108583468811</v>
      </c>
      <c r="BE65" s="56">
        <f t="shared" si="244"/>
        <v>7445.155784492109</v>
      </c>
      <c r="BF65" s="56">
        <f t="shared" si="244"/>
        <v>7163.5964800181291</v>
      </c>
      <c r="BG65" s="56">
        <f t="shared" si="244"/>
        <v>7553.4840099352823</v>
      </c>
      <c r="BH65" s="56">
        <f t="shared" si="244"/>
        <v>5685.8262265895719</v>
      </c>
      <c r="BI65" s="56">
        <f t="shared" si="244"/>
        <v>5996.410451758753</v>
      </c>
      <c r="BJ65" s="56">
        <f t="shared" si="244"/>
        <v>5756.8884583562449</v>
      </c>
      <c r="BK65" s="253">
        <f t="shared" si="244"/>
        <v>6937.2501877806599</v>
      </c>
      <c r="BL65" s="56">
        <f t="shared" si="244"/>
        <v>5980.4555726282115</v>
      </c>
      <c r="BM65" s="56">
        <f t="shared" si="244"/>
        <v>6946.190122659712</v>
      </c>
      <c r="BN65" s="56">
        <f t="shared" si="244"/>
        <v>7748.1971273682502</v>
      </c>
      <c r="BO65" s="56">
        <f t="shared" si="244"/>
        <v>8521.1054079116402</v>
      </c>
      <c r="BP65" s="56">
        <f t="shared" si="244"/>
        <v>8105.6238624482557</v>
      </c>
      <c r="BQ65" s="56">
        <f t="shared" si="244"/>
        <v>8197.8897343728531</v>
      </c>
      <c r="BR65" s="56">
        <f t="shared" si="244"/>
        <v>7534.5575966407405</v>
      </c>
      <c r="BS65" s="56">
        <f t="shared" si="244"/>
        <v>8598.8491685824556</v>
      </c>
      <c r="BT65" s="56">
        <f t="shared" si="244"/>
        <v>6158.5762695907652</v>
      </c>
      <c r="BU65" s="56">
        <f t="shared" si="244"/>
        <v>6328.1685748343343</v>
      </c>
      <c r="BV65" s="56">
        <f t="shared" si="244"/>
        <v>6407.675789948571</v>
      </c>
      <c r="BW65" s="253">
        <f t="shared" si="244"/>
        <v>7553.605369978367</v>
      </c>
      <c r="BX65" s="56">
        <f t="shared" si="244"/>
        <v>6471.6828007959048</v>
      </c>
      <c r="BY65" s="56">
        <f t="shared" si="244"/>
        <v>7842.8184942282023</v>
      </c>
      <c r="BZ65" s="56">
        <f t="shared" si="244"/>
        <v>8405.4043379203504</v>
      </c>
      <c r="CA65" s="56">
        <f t="shared" si="244"/>
        <v>8567.5559007140237</v>
      </c>
      <c r="CB65" s="56">
        <f t="shared" si="244"/>
        <v>9544.9237071054176</v>
      </c>
      <c r="CC65" s="56">
        <f t="shared" si="244"/>
        <v>8858.3087244747585</v>
      </c>
      <c r="CD65" s="56">
        <f t="shared" si="244"/>
        <v>7825.3841240959382</v>
      </c>
      <c r="CE65" s="56">
        <f t="shared" si="244"/>
        <v>9680.5818765916702</v>
      </c>
      <c r="CF65" s="56">
        <f t="shared" si="244"/>
        <v>6347.9846046206203</v>
      </c>
      <c r="CG65" s="56">
        <f t="shared" si="244"/>
        <v>7037.1306840107964</v>
      </c>
      <c r="CH65" s="56">
        <f t="shared" ref="CH65:DG65" si="245">CH13-CH61</f>
        <v>6875.5251227505005</v>
      </c>
      <c r="CI65" s="253">
        <f t="shared" si="245"/>
        <v>7610.0612375735309</v>
      </c>
      <c r="CJ65" s="56">
        <f t="shared" si="245"/>
        <v>7551.9984471316284</v>
      </c>
      <c r="CK65" s="56">
        <f t="shared" si="245"/>
        <v>8152.6046250618883</v>
      </c>
      <c r="CL65" s="56">
        <f t="shared" si="245"/>
        <v>8769.1099225498892</v>
      </c>
      <c r="CM65" s="56">
        <f t="shared" si="245"/>
        <v>9745.463700560751</v>
      </c>
      <c r="CN65" s="56">
        <f t="shared" si="245"/>
        <v>10469.110303464098</v>
      </c>
      <c r="CO65" s="56">
        <f t="shared" si="245"/>
        <v>9347.5441863724336</v>
      </c>
      <c r="CP65" s="56">
        <f t="shared" si="245"/>
        <v>8950.9252555748808</v>
      </c>
      <c r="CQ65" s="56">
        <f t="shared" si="245"/>
        <v>10583.140846744174</v>
      </c>
      <c r="CR65" s="56">
        <f t="shared" si="245"/>
        <v>6601.5659647858083</v>
      </c>
      <c r="CS65" s="56">
        <f t="shared" si="245"/>
        <v>7998.8558841548356</v>
      </c>
      <c r="CT65" s="56">
        <f t="shared" si="245"/>
        <v>7480.8986985390939</v>
      </c>
      <c r="CU65" s="253">
        <f t="shared" si="245"/>
        <v>8265.46517877103</v>
      </c>
      <c r="CV65" s="56">
        <f t="shared" si="245"/>
        <v>8268.814743747369</v>
      </c>
      <c r="CW65" s="56">
        <f t="shared" si="245"/>
        <v>8921.5238032581001</v>
      </c>
      <c r="CX65" s="56">
        <f t="shared" si="245"/>
        <v>9217.3288004213882</v>
      </c>
      <c r="CY65" s="56">
        <f t="shared" si="245"/>
        <v>11164.860916631678</v>
      </c>
      <c r="CZ65" s="56">
        <f t="shared" si="245"/>
        <v>11469.066347158128</v>
      </c>
      <c r="DA65" s="56">
        <f t="shared" si="245"/>
        <v>9742.0501004032321</v>
      </c>
      <c r="DB65" s="56">
        <f t="shared" si="245"/>
        <v>10042.179934930795</v>
      </c>
      <c r="DC65" s="56">
        <f t="shared" si="245"/>
        <v>11003.992578841251</v>
      </c>
      <c r="DD65" s="56">
        <f t="shared" si="245"/>
        <v>7341.4591108633658</v>
      </c>
      <c r="DE65" s="56">
        <f t="shared" si="245"/>
        <v>8659.0167255819015</v>
      </c>
      <c r="DF65" s="56">
        <f t="shared" si="245"/>
        <v>7715.9547992603129</v>
      </c>
      <c r="DG65" s="56">
        <f t="shared" si="245"/>
        <v>9341.0620212890171</v>
      </c>
    </row>
    <row r="66" spans="1:111" s="246" customFormat="1" x14ac:dyDescent="0.25">
      <c r="A66" s="244"/>
      <c r="B66" s="245"/>
      <c r="C66" s="245" t="s">
        <v>304</v>
      </c>
      <c r="W66" s="247"/>
      <c r="X66" s="247"/>
      <c r="Y66" s="247"/>
      <c r="Z66" s="247"/>
      <c r="AA66" s="247"/>
      <c r="AB66" s="247">
        <f t="shared" ref="AB66:BG66" si="246">+AB65/AB13</f>
        <v>0.91205376625643708</v>
      </c>
      <c r="AC66" s="247">
        <f t="shared" si="246"/>
        <v>0.90307355938484335</v>
      </c>
      <c r="AD66" s="247">
        <f t="shared" si="246"/>
        <v>0.93038060018980917</v>
      </c>
      <c r="AE66" s="247">
        <f t="shared" si="246"/>
        <v>0.95691569655878217</v>
      </c>
      <c r="AF66" s="247">
        <f t="shared" si="246"/>
        <v>0.82341948310139168</v>
      </c>
      <c r="AG66" s="247">
        <f t="shared" si="246"/>
        <v>0.82043472183393895</v>
      </c>
      <c r="AH66" s="247">
        <f t="shared" si="246"/>
        <v>0.87787382594963015</v>
      </c>
      <c r="AI66" s="247">
        <f t="shared" si="246"/>
        <v>0.88487457162440031</v>
      </c>
      <c r="AJ66" s="247">
        <f t="shared" si="246"/>
        <v>0.919200088144557</v>
      </c>
      <c r="AK66" s="247">
        <f t="shared" si="246"/>
        <v>0.82350396258282454</v>
      </c>
      <c r="AL66" s="247">
        <f t="shared" si="246"/>
        <v>0.80795950392305749</v>
      </c>
      <c r="AM66" s="247">
        <f t="shared" si="246"/>
        <v>0.7999691157347204</v>
      </c>
      <c r="AN66" s="247">
        <f t="shared" si="246"/>
        <v>0.92601156069364166</v>
      </c>
      <c r="AO66" s="247">
        <f t="shared" si="246"/>
        <v>0.88546470311360781</v>
      </c>
      <c r="AP66" s="247">
        <f t="shared" si="246"/>
        <v>0.85585003868608001</v>
      </c>
      <c r="AQ66" s="247">
        <f t="shared" si="246"/>
        <v>0.92360861131427485</v>
      </c>
      <c r="AR66" s="247">
        <f t="shared" si="246"/>
        <v>0.79391237454967356</v>
      </c>
      <c r="AS66" s="247">
        <f t="shared" si="246"/>
        <v>0.9004232335624941</v>
      </c>
      <c r="AT66" s="247">
        <f t="shared" si="246"/>
        <v>0.8915273200288466</v>
      </c>
      <c r="AU66" s="247">
        <f t="shared" si="246"/>
        <v>0.87277336068519018</v>
      </c>
      <c r="AV66" s="247">
        <f t="shared" si="246"/>
        <v>0.81434903451125928</v>
      </c>
      <c r="AW66" s="256">
        <f t="shared" si="246"/>
        <v>0.87703925981495368</v>
      </c>
      <c r="AX66" s="545">
        <f t="shared" si="246"/>
        <v>0.82008252080328026</v>
      </c>
      <c r="AY66" s="256">
        <f t="shared" si="246"/>
        <v>0.74122352429273652</v>
      </c>
      <c r="AZ66" s="247">
        <f t="shared" si="246"/>
        <v>0.76475537655848991</v>
      </c>
      <c r="BA66" s="247">
        <f t="shared" si="246"/>
        <v>0.73939725044661819</v>
      </c>
      <c r="BB66" s="247">
        <f t="shared" si="246"/>
        <v>0.72497795003859389</v>
      </c>
      <c r="BC66" s="247">
        <f t="shared" si="246"/>
        <v>0.69988909334278127</v>
      </c>
      <c r="BD66" s="247">
        <f t="shared" si="246"/>
        <v>0.7068880726375939</v>
      </c>
      <c r="BE66" s="247">
        <f t="shared" si="246"/>
        <v>0.70801380392681879</v>
      </c>
      <c r="BF66" s="247">
        <f t="shared" si="246"/>
        <v>0.71348269895500871</v>
      </c>
      <c r="BG66" s="247">
        <f t="shared" si="246"/>
        <v>0.70603910703150985</v>
      </c>
      <c r="BH66" s="247">
        <f t="shared" ref="BH66:CM66" si="247">+BH65/BH13</f>
        <v>0.76373110027672131</v>
      </c>
      <c r="BI66" s="247">
        <f t="shared" si="247"/>
        <v>0.74302284674158436</v>
      </c>
      <c r="BJ66" s="247">
        <f t="shared" si="247"/>
        <v>0.76101569362687482</v>
      </c>
      <c r="BK66" s="256">
        <f t="shared" si="247"/>
        <v>0.71826938730717338</v>
      </c>
      <c r="BL66" s="247">
        <f t="shared" si="247"/>
        <v>0.760258791904461</v>
      </c>
      <c r="BM66" s="247">
        <f t="shared" si="247"/>
        <v>0.73423225324564856</v>
      </c>
      <c r="BN66" s="247">
        <f t="shared" si="247"/>
        <v>0.71846647299137056</v>
      </c>
      <c r="BO66" s="247">
        <f t="shared" si="247"/>
        <v>0.70365857199620596</v>
      </c>
      <c r="BP66" s="247">
        <f t="shared" si="247"/>
        <v>0.7095333422585417</v>
      </c>
      <c r="BQ66" s="247">
        <f t="shared" si="247"/>
        <v>0.71121105083625136</v>
      </c>
      <c r="BR66" s="247">
        <f t="shared" si="247"/>
        <v>0.72227517559016507</v>
      </c>
      <c r="BS66" s="247">
        <f t="shared" si="247"/>
        <v>0.70548717345891132</v>
      </c>
      <c r="BT66" s="247">
        <f t="shared" si="247"/>
        <v>0.76396587047748832</v>
      </c>
      <c r="BU66" s="247">
        <f t="shared" si="247"/>
        <v>0.7497552860868405</v>
      </c>
      <c r="BV66" s="247">
        <f t="shared" si="247"/>
        <v>0.75628990740800084</v>
      </c>
      <c r="BW66" s="256">
        <f t="shared" si="247"/>
        <v>0.7219251726363286</v>
      </c>
      <c r="BX66" s="247">
        <f t="shared" si="247"/>
        <v>0.76145781544820579</v>
      </c>
      <c r="BY66" s="247">
        <f t="shared" si="247"/>
        <v>0.73188349777198503</v>
      </c>
      <c r="BZ66" s="247">
        <f t="shared" si="247"/>
        <v>0.72301231441462399</v>
      </c>
      <c r="CA66" s="247">
        <f t="shared" si="247"/>
        <v>0.71777875506634603</v>
      </c>
      <c r="CB66" s="247">
        <f t="shared" si="247"/>
        <v>0.70617208286782907</v>
      </c>
      <c r="CC66" s="247">
        <f t="shared" si="247"/>
        <v>0.7168194939770135</v>
      </c>
      <c r="CD66" s="247">
        <f t="shared" si="247"/>
        <v>0.73218253525852273</v>
      </c>
      <c r="CE66" s="247">
        <f t="shared" si="247"/>
        <v>0.70726968753155783</v>
      </c>
      <c r="CF66" s="247">
        <f t="shared" si="247"/>
        <v>0.77394966701778567</v>
      </c>
      <c r="CG66" s="247">
        <f t="shared" si="247"/>
        <v>0.74757378565978871</v>
      </c>
      <c r="CH66" s="247">
        <f t="shared" si="247"/>
        <v>0.75930720488679748</v>
      </c>
      <c r="CI66" s="256">
        <f t="shared" si="247"/>
        <v>0.73601021385835241</v>
      </c>
      <c r="CJ66" s="247">
        <f t="shared" si="247"/>
        <v>0.75149858277624937</v>
      </c>
      <c r="CK66" s="247">
        <f t="shared" si="247"/>
        <v>0.74103156886810018</v>
      </c>
      <c r="CL66" s="247">
        <f t="shared" si="247"/>
        <v>0.73201855333643273</v>
      </c>
      <c r="CM66" s="247">
        <f t="shared" si="247"/>
        <v>0.71788535338920934</v>
      </c>
      <c r="CN66" s="247">
        <f t="shared" ref="CN66:DG66" si="248">+CN65/CN13</f>
        <v>0.71108146515436876</v>
      </c>
      <c r="CO66" s="247">
        <f t="shared" si="248"/>
        <v>0.72480464812497836</v>
      </c>
      <c r="CP66" s="247">
        <f t="shared" si="248"/>
        <v>0.72963480121112878</v>
      </c>
      <c r="CQ66" s="247">
        <f t="shared" si="248"/>
        <v>0.7123788860053466</v>
      </c>
      <c r="CR66" s="247">
        <f t="shared" si="248"/>
        <v>0.78153697955360013</v>
      </c>
      <c r="CS66" s="247">
        <f t="shared" si="248"/>
        <v>0.74353451533795034</v>
      </c>
      <c r="CT66" s="247">
        <f t="shared" si="248"/>
        <v>0.76014941625580923</v>
      </c>
      <c r="CU66" s="256">
        <f t="shared" si="248"/>
        <v>0.73926373678443402</v>
      </c>
      <c r="CV66" s="247">
        <f t="shared" si="248"/>
        <v>0.75271315245287584</v>
      </c>
      <c r="CW66" s="247">
        <f t="shared" si="248"/>
        <v>0.74334565384673901</v>
      </c>
      <c r="CX66" s="247">
        <f t="shared" si="248"/>
        <v>0.73960353858084482</v>
      </c>
      <c r="CY66" s="247">
        <f t="shared" si="248"/>
        <v>0.71835500285524723</v>
      </c>
      <c r="CZ66" s="247">
        <f t="shared" si="248"/>
        <v>0.71609969285049291</v>
      </c>
      <c r="DA66" s="247">
        <f t="shared" si="248"/>
        <v>0.73360424579445571</v>
      </c>
      <c r="DB66" s="247">
        <f t="shared" si="248"/>
        <v>0.7304934253478077</v>
      </c>
      <c r="DC66" s="247">
        <f t="shared" si="248"/>
        <v>0.7218094801633953</v>
      </c>
      <c r="DD66" s="247">
        <f t="shared" si="248"/>
        <v>0.77706509575077931</v>
      </c>
      <c r="DE66" s="247">
        <f t="shared" si="248"/>
        <v>0.74691560047206107</v>
      </c>
      <c r="DF66" s="247">
        <f t="shared" si="248"/>
        <v>0.76921849107353857</v>
      </c>
      <c r="DG66" s="247">
        <f t="shared" si="248"/>
        <v>0.73811905170045677</v>
      </c>
    </row>
    <row r="67" spans="1:111" s="56" customFormat="1" x14ac:dyDescent="0.25">
      <c r="A67"/>
      <c r="B67" s="1" t="s">
        <v>4</v>
      </c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594"/>
      <c r="AX67"/>
      <c r="AY67" s="251"/>
      <c r="AZ67"/>
      <c r="BA67"/>
      <c r="BB67"/>
      <c r="BC67"/>
      <c r="BD67"/>
      <c r="BE67"/>
      <c r="BF67"/>
      <c r="BG67"/>
      <c r="BH67"/>
      <c r="BI67"/>
      <c r="BJ67"/>
      <c r="BK67" s="251"/>
      <c r="BL67"/>
      <c r="BM67"/>
      <c r="BN67"/>
      <c r="BO67"/>
      <c r="BP67"/>
      <c r="BQ67"/>
      <c r="BR67"/>
      <c r="BS67"/>
      <c r="BT67"/>
      <c r="BU67"/>
      <c r="BV67"/>
      <c r="BW67" s="251"/>
      <c r="BX67"/>
      <c r="BY67"/>
      <c r="BZ67"/>
      <c r="CA67"/>
      <c r="CB67"/>
      <c r="CC67"/>
      <c r="CD67"/>
      <c r="CE67"/>
      <c r="CF67"/>
      <c r="CG67"/>
      <c r="CH67"/>
      <c r="CI67" s="251"/>
      <c r="CJ67"/>
      <c r="CK67"/>
      <c r="CL67"/>
      <c r="CM67"/>
      <c r="CN67"/>
      <c r="CO67"/>
      <c r="CP67"/>
      <c r="CQ67"/>
      <c r="CR67"/>
      <c r="CS67"/>
      <c r="CT67"/>
      <c r="CU67" s="251"/>
      <c r="CV67"/>
      <c r="CW67"/>
      <c r="CX67"/>
      <c r="CY67"/>
      <c r="CZ67"/>
      <c r="DA67"/>
      <c r="DB67"/>
      <c r="DC67"/>
      <c r="DD67"/>
      <c r="DE67"/>
      <c r="DF67"/>
      <c r="DG67"/>
    </row>
    <row r="68" spans="1:111" x14ac:dyDescent="0.25">
      <c r="B68" s="1" t="s">
        <v>360</v>
      </c>
      <c r="C68" s="1"/>
      <c r="D68" s="116"/>
      <c r="E68" s="282"/>
      <c r="F68" s="282"/>
      <c r="G68" s="282"/>
      <c r="H68" s="282"/>
      <c r="I68" s="282"/>
      <c r="J68" s="282"/>
      <c r="K68" s="282"/>
      <c r="L68" s="282"/>
      <c r="M68" s="282"/>
      <c r="N68" s="282"/>
      <c r="O68" s="282"/>
      <c r="P68" s="282"/>
      <c r="Q68" s="282"/>
      <c r="R68" s="282"/>
      <c r="S68" s="282"/>
      <c r="T68" s="282"/>
      <c r="U68" s="282"/>
      <c r="V68" s="282"/>
      <c r="W68" s="282"/>
      <c r="X68" s="282"/>
      <c r="Y68" s="282"/>
      <c r="Z68" s="282"/>
      <c r="AA68" s="282"/>
      <c r="AB68" s="282"/>
      <c r="AC68" s="282"/>
      <c r="AD68" s="282"/>
      <c r="AE68" s="282"/>
      <c r="AF68" s="282"/>
      <c r="AG68" s="282"/>
      <c r="AH68" s="282"/>
      <c r="AI68" s="282"/>
      <c r="AJ68" s="282"/>
      <c r="AK68" s="282"/>
      <c r="AL68" s="282"/>
      <c r="AM68" s="282"/>
      <c r="AN68" s="282"/>
      <c r="AO68" s="282">
        <v>1300</v>
      </c>
      <c r="AP68" s="282">
        <v>1430</v>
      </c>
      <c r="AQ68" s="282">
        <v>1950</v>
      </c>
      <c r="AR68" s="282">
        <v>1365</v>
      </c>
      <c r="AS68" s="282">
        <v>650</v>
      </c>
      <c r="AT68" s="282">
        <v>650</v>
      </c>
      <c r="AU68" s="282">
        <v>715</v>
      </c>
      <c r="AV68" s="282">
        <v>438.75</v>
      </c>
      <c r="AW68" s="283">
        <v>650</v>
      </c>
      <c r="AX68" s="630">
        <f>+'People Plan'!Y18</f>
        <v>1950</v>
      </c>
      <c r="AY68" s="283">
        <f>+'People Plan'!Z18</f>
        <v>1950</v>
      </c>
      <c r="AZ68" s="282">
        <f>+'People Plan'!AA18</f>
        <v>2047.5</v>
      </c>
      <c r="BA68" s="282">
        <f>+'People Plan'!AB18</f>
        <v>2047.5</v>
      </c>
      <c r="BB68" s="282">
        <f>+'People Plan'!AC18</f>
        <v>2047.5</v>
      </c>
      <c r="BC68" s="282">
        <f>+'People Plan'!AD18</f>
        <v>2047.5</v>
      </c>
      <c r="BD68" s="282">
        <f>+'People Plan'!AE18</f>
        <v>2047.5</v>
      </c>
      <c r="BE68" s="282">
        <f>+'People Plan'!AF18</f>
        <v>2047.5</v>
      </c>
      <c r="BF68" s="282">
        <f>+'People Plan'!AG18</f>
        <v>2047.5</v>
      </c>
      <c r="BG68" s="282">
        <f>+'People Plan'!AH18</f>
        <v>2047.5</v>
      </c>
      <c r="BH68" s="282">
        <f>+'People Plan'!AI18</f>
        <v>2047.5</v>
      </c>
      <c r="BI68" s="282">
        <f>+'People Plan'!AJ18</f>
        <v>2047.5</v>
      </c>
      <c r="BJ68" s="282">
        <f>+'People Plan'!AK18</f>
        <v>2047.5</v>
      </c>
      <c r="BK68" s="283">
        <f>+'People Plan'!AL18</f>
        <v>2047.5</v>
      </c>
      <c r="BL68" s="282">
        <f>+'People Plan'!AM18</f>
        <v>2149.875</v>
      </c>
      <c r="BM68" s="282">
        <f>+'People Plan'!AN18</f>
        <v>2149.875</v>
      </c>
      <c r="BN68" s="282">
        <f>+'People Plan'!AO18</f>
        <v>2149.875</v>
      </c>
      <c r="BO68" s="282">
        <f>+'People Plan'!AP18</f>
        <v>2149.875</v>
      </c>
      <c r="BP68" s="282">
        <f>+'People Plan'!AQ18</f>
        <v>2149.875</v>
      </c>
      <c r="BQ68" s="282">
        <f>+'People Plan'!AR18</f>
        <v>2149.875</v>
      </c>
      <c r="BR68" s="282">
        <f>+'People Plan'!AS18</f>
        <v>2149.875</v>
      </c>
      <c r="BS68" s="282">
        <f>+'People Plan'!AT18</f>
        <v>2149.875</v>
      </c>
      <c r="BT68" s="282">
        <f>+'People Plan'!AU18</f>
        <v>2149.875</v>
      </c>
      <c r="BU68" s="282">
        <f>+'People Plan'!AV18</f>
        <v>2149.875</v>
      </c>
      <c r="BV68" s="282">
        <f>+'People Plan'!AW18</f>
        <v>2149.875</v>
      </c>
      <c r="BW68" s="283">
        <f>+'People Plan'!AX18</f>
        <v>2149.875</v>
      </c>
      <c r="BX68" s="282">
        <f>+'People Plan'!AY18</f>
        <v>2257.3687500000001</v>
      </c>
      <c r="BY68" s="282">
        <f>+'People Plan'!AZ18</f>
        <v>2257.3687500000001</v>
      </c>
      <c r="BZ68" s="282">
        <f>+'People Plan'!BA18</f>
        <v>2257.3687500000001</v>
      </c>
      <c r="CA68" s="282">
        <f>+'People Plan'!BB18</f>
        <v>2257.3687500000001</v>
      </c>
      <c r="CB68" s="282">
        <f>+'People Plan'!BC18</f>
        <v>2257.3687500000001</v>
      </c>
      <c r="CC68" s="282">
        <f>+'People Plan'!BD18</f>
        <v>2257.3687500000001</v>
      </c>
      <c r="CD68" s="282">
        <f>+'People Plan'!BE18</f>
        <v>2257.3687500000001</v>
      </c>
      <c r="CE68" s="282">
        <f>+'People Plan'!BF18</f>
        <v>2257.3687500000001</v>
      </c>
      <c r="CF68" s="282">
        <f>+'People Plan'!BG18</f>
        <v>2257.3687500000001</v>
      </c>
      <c r="CG68" s="282">
        <f>+'People Plan'!BH18</f>
        <v>2257.3687500000001</v>
      </c>
      <c r="CH68" s="282">
        <f>+'People Plan'!BI18</f>
        <v>2257.3687500000001</v>
      </c>
      <c r="CI68" s="283">
        <f>+'People Plan'!BJ18</f>
        <v>2257.3687500000001</v>
      </c>
      <c r="CJ68" s="282">
        <f>+'People Plan'!BK18</f>
        <v>2370.2371875000003</v>
      </c>
      <c r="CK68" s="282">
        <f>+'People Plan'!BL18</f>
        <v>2370.2371875000003</v>
      </c>
      <c r="CL68" s="282">
        <f>+'People Plan'!BM18</f>
        <v>2370.2371875000003</v>
      </c>
      <c r="CM68" s="282">
        <f>+'People Plan'!BN18</f>
        <v>2370.2371875000003</v>
      </c>
      <c r="CN68" s="282">
        <f>+'People Plan'!BO18</f>
        <v>2370.2371875000003</v>
      </c>
      <c r="CO68" s="282">
        <f>+'People Plan'!BP18</f>
        <v>2370.2371875000003</v>
      </c>
      <c r="CP68" s="282">
        <f>+'People Plan'!BQ18</f>
        <v>2370.2371875000003</v>
      </c>
      <c r="CQ68" s="282">
        <f>+'People Plan'!BR18</f>
        <v>2370.2371875000003</v>
      </c>
      <c r="CR68" s="282">
        <f>+'People Plan'!BS18</f>
        <v>2370.2371875000003</v>
      </c>
      <c r="CS68" s="282">
        <f>+'People Plan'!BT18</f>
        <v>2370.2371875000003</v>
      </c>
      <c r="CT68" s="282">
        <f>+'People Plan'!BU18</f>
        <v>2370.2371875000003</v>
      </c>
      <c r="CU68" s="283">
        <f>+'People Plan'!BV18</f>
        <v>2370.2371875000003</v>
      </c>
      <c r="CV68" s="282">
        <f>+'People Plan'!BW18</f>
        <v>2488.7490468750007</v>
      </c>
      <c r="CW68" s="282">
        <f>+'People Plan'!BX18</f>
        <v>2488.7490468750007</v>
      </c>
      <c r="CX68" s="282">
        <f>+'People Plan'!BY18</f>
        <v>2488.7490468750007</v>
      </c>
      <c r="CY68" s="282">
        <f>+'People Plan'!BZ18</f>
        <v>2488.7490468750007</v>
      </c>
      <c r="CZ68" s="282">
        <f>+'People Plan'!CA18</f>
        <v>2488.7490468750007</v>
      </c>
      <c r="DA68" s="282">
        <f>+'People Plan'!CB18</f>
        <v>2488.7490468750007</v>
      </c>
      <c r="DB68" s="282">
        <f>+'People Plan'!CC18</f>
        <v>2488.7490468750007</v>
      </c>
      <c r="DC68" s="282">
        <f>+'People Plan'!CD18</f>
        <v>2488.7490468750007</v>
      </c>
      <c r="DD68" s="282">
        <f>+'People Plan'!CE18</f>
        <v>2488.7490468750007</v>
      </c>
      <c r="DE68" s="282">
        <f>+'People Plan'!CF18</f>
        <v>2488.7490468750007</v>
      </c>
      <c r="DF68" s="282">
        <f>+'People Plan'!CG18</f>
        <v>2488.7490468750007</v>
      </c>
      <c r="DG68" s="282">
        <f>+'People Plan'!CH18</f>
        <v>2488.7490468750007</v>
      </c>
    </row>
    <row r="69" spans="1:111" x14ac:dyDescent="0.25">
      <c r="B69" s="1" t="s">
        <v>361</v>
      </c>
      <c r="C69" s="1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  <c r="AD69" s="116"/>
      <c r="AE69" s="116"/>
      <c r="AF69" s="116"/>
      <c r="AG69" s="116"/>
      <c r="AH69" s="116"/>
      <c r="AI69" s="116"/>
      <c r="AJ69" s="116"/>
      <c r="AK69" s="116"/>
      <c r="AL69" s="116"/>
      <c r="AM69" s="116"/>
      <c r="AN69" s="116"/>
      <c r="AO69" s="116">
        <v>117.31</v>
      </c>
      <c r="AP69" s="116">
        <v>90.58</v>
      </c>
      <c r="AQ69" s="116">
        <v>146.47</v>
      </c>
      <c r="AR69" s="116">
        <v>85.27</v>
      </c>
      <c r="AS69" s="116">
        <v>15.88</v>
      </c>
      <c r="AT69" s="116">
        <v>65.98</v>
      </c>
      <c r="AU69" s="116">
        <v>61.61</v>
      </c>
      <c r="AV69" s="116">
        <v>33.57</v>
      </c>
      <c r="AW69" s="252">
        <v>49.74</v>
      </c>
      <c r="AX69" s="631">
        <f>+AX68*AX72</f>
        <v>155.48242424242426</v>
      </c>
      <c r="AY69" s="252">
        <f t="shared" ref="AY69:DF69" si="249">+AY68*AY72</f>
        <v>155.48242424242426</v>
      </c>
      <c r="AZ69" s="116">
        <f t="shared" si="249"/>
        <v>163.25654545454546</v>
      </c>
      <c r="BA69" s="116">
        <f t="shared" si="249"/>
        <v>163.25654545454546</v>
      </c>
      <c r="BB69" s="116">
        <f t="shared" si="249"/>
        <v>163.25654545454546</v>
      </c>
      <c r="BC69" s="116">
        <f t="shared" si="249"/>
        <v>163.25654545454546</v>
      </c>
      <c r="BD69" s="116">
        <f t="shared" si="249"/>
        <v>163.25654545454546</v>
      </c>
      <c r="BE69" s="116">
        <f t="shared" si="249"/>
        <v>163.25654545454546</v>
      </c>
      <c r="BF69" s="116">
        <f t="shared" si="249"/>
        <v>163.25654545454546</v>
      </c>
      <c r="BG69" s="116">
        <f t="shared" si="249"/>
        <v>163.25654545454546</v>
      </c>
      <c r="BH69" s="116">
        <f t="shared" si="249"/>
        <v>163.25654545454546</v>
      </c>
      <c r="BI69" s="116">
        <f t="shared" si="249"/>
        <v>163.25654545454546</v>
      </c>
      <c r="BJ69" s="116">
        <f t="shared" si="249"/>
        <v>163.25654545454546</v>
      </c>
      <c r="BK69" s="252">
        <f t="shared" si="249"/>
        <v>163.25654545454546</v>
      </c>
      <c r="BL69" s="116">
        <f t="shared" si="249"/>
        <v>171.41937272727273</v>
      </c>
      <c r="BM69" s="116">
        <f t="shared" si="249"/>
        <v>171.41937272727273</v>
      </c>
      <c r="BN69" s="116">
        <f t="shared" si="249"/>
        <v>171.41937272727273</v>
      </c>
      <c r="BO69" s="116">
        <f t="shared" si="249"/>
        <v>171.41937272727273</v>
      </c>
      <c r="BP69" s="116">
        <f t="shared" si="249"/>
        <v>171.41937272727273</v>
      </c>
      <c r="BQ69" s="116">
        <f t="shared" si="249"/>
        <v>171.41937272727273</v>
      </c>
      <c r="BR69" s="116">
        <f t="shared" si="249"/>
        <v>171.41937272727273</v>
      </c>
      <c r="BS69" s="116">
        <f t="shared" si="249"/>
        <v>171.41937272727273</v>
      </c>
      <c r="BT69" s="116">
        <f t="shared" si="249"/>
        <v>171.41937272727273</v>
      </c>
      <c r="BU69" s="116">
        <f t="shared" si="249"/>
        <v>171.41937272727273</v>
      </c>
      <c r="BV69" s="116">
        <f t="shared" si="249"/>
        <v>171.41937272727273</v>
      </c>
      <c r="BW69" s="252">
        <f t="shared" si="249"/>
        <v>171.41937272727273</v>
      </c>
      <c r="BX69" s="116">
        <f t="shared" si="249"/>
        <v>179.99034136363639</v>
      </c>
      <c r="BY69" s="116">
        <f t="shared" si="249"/>
        <v>179.99034136363639</v>
      </c>
      <c r="BZ69" s="116">
        <f t="shared" si="249"/>
        <v>179.99034136363639</v>
      </c>
      <c r="CA69" s="116">
        <f t="shared" si="249"/>
        <v>179.99034136363639</v>
      </c>
      <c r="CB69" s="116">
        <f t="shared" si="249"/>
        <v>179.99034136363639</v>
      </c>
      <c r="CC69" s="116">
        <f t="shared" si="249"/>
        <v>179.99034136363639</v>
      </c>
      <c r="CD69" s="116">
        <f t="shared" si="249"/>
        <v>179.99034136363639</v>
      </c>
      <c r="CE69" s="116">
        <f t="shared" si="249"/>
        <v>179.99034136363639</v>
      </c>
      <c r="CF69" s="116">
        <f t="shared" si="249"/>
        <v>179.99034136363639</v>
      </c>
      <c r="CG69" s="116">
        <f t="shared" si="249"/>
        <v>179.99034136363639</v>
      </c>
      <c r="CH69" s="116">
        <f t="shared" si="249"/>
        <v>179.99034136363639</v>
      </c>
      <c r="CI69" s="252">
        <f t="shared" si="249"/>
        <v>179.99034136363639</v>
      </c>
      <c r="CJ69" s="116">
        <f t="shared" si="249"/>
        <v>188.98985843181822</v>
      </c>
      <c r="CK69" s="116">
        <f t="shared" si="249"/>
        <v>188.98985843181822</v>
      </c>
      <c r="CL69" s="116">
        <f t="shared" si="249"/>
        <v>188.98985843181822</v>
      </c>
      <c r="CM69" s="116">
        <f t="shared" si="249"/>
        <v>188.98985843181822</v>
      </c>
      <c r="CN69" s="116">
        <f t="shared" si="249"/>
        <v>188.98985843181822</v>
      </c>
      <c r="CO69" s="116">
        <f t="shared" si="249"/>
        <v>188.98985843181822</v>
      </c>
      <c r="CP69" s="116">
        <f t="shared" si="249"/>
        <v>188.98985843181822</v>
      </c>
      <c r="CQ69" s="116">
        <f t="shared" si="249"/>
        <v>188.98985843181822</v>
      </c>
      <c r="CR69" s="116">
        <f t="shared" si="249"/>
        <v>188.98985843181822</v>
      </c>
      <c r="CS69" s="116">
        <f t="shared" si="249"/>
        <v>188.98985843181822</v>
      </c>
      <c r="CT69" s="116">
        <f t="shared" si="249"/>
        <v>188.98985843181822</v>
      </c>
      <c r="CU69" s="252">
        <f t="shared" si="249"/>
        <v>188.98985843181822</v>
      </c>
      <c r="CV69" s="116">
        <f t="shared" si="249"/>
        <v>198.43935135340914</v>
      </c>
      <c r="CW69" s="116">
        <f t="shared" si="249"/>
        <v>198.43935135340914</v>
      </c>
      <c r="CX69" s="116">
        <f t="shared" si="249"/>
        <v>198.43935135340914</v>
      </c>
      <c r="CY69" s="116">
        <f t="shared" si="249"/>
        <v>198.43935135340914</v>
      </c>
      <c r="CZ69" s="116">
        <f t="shared" si="249"/>
        <v>198.43935135340914</v>
      </c>
      <c r="DA69" s="116">
        <f t="shared" si="249"/>
        <v>198.43935135340914</v>
      </c>
      <c r="DB69" s="116">
        <f t="shared" si="249"/>
        <v>198.43935135340914</v>
      </c>
      <c r="DC69" s="116">
        <f t="shared" si="249"/>
        <v>198.43935135340914</v>
      </c>
      <c r="DD69" s="116">
        <f t="shared" si="249"/>
        <v>198.43935135340914</v>
      </c>
      <c r="DE69" s="116">
        <f t="shared" si="249"/>
        <v>198.43935135340914</v>
      </c>
      <c r="DF69" s="116">
        <f t="shared" si="249"/>
        <v>198.43935135340914</v>
      </c>
      <c r="DG69" s="116">
        <f>+DG68*DG72</f>
        <v>198.43935135340914</v>
      </c>
    </row>
    <row r="70" spans="1:111" x14ac:dyDescent="0.25">
      <c r="B70" s="1" t="s">
        <v>362</v>
      </c>
      <c r="C70" s="1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  <c r="AH70" s="116"/>
      <c r="AI70" s="116"/>
      <c r="AJ70" s="116"/>
      <c r="AK70" s="116"/>
      <c r="AL70" s="116"/>
      <c r="AM70" s="116"/>
      <c r="AN70" s="116"/>
      <c r="AO70" s="116"/>
      <c r="AP70" s="116"/>
      <c r="AQ70" s="116">
        <v>500</v>
      </c>
      <c r="AR70" s="116">
        <v>500</v>
      </c>
      <c r="AS70" s="116">
        <v>500</v>
      </c>
      <c r="AT70" s="116">
        <v>500</v>
      </c>
      <c r="AU70" s="116">
        <v>500</v>
      </c>
      <c r="AV70" s="116">
        <v>500</v>
      </c>
      <c r="AW70" s="252">
        <v>500</v>
      </c>
      <c r="AX70" s="631">
        <f>+AW70</f>
        <v>500</v>
      </c>
      <c r="AY70" s="252">
        <f t="shared" ref="AY70:DE70" si="250">+AX70</f>
        <v>500</v>
      </c>
      <c r="AZ70" s="116">
        <f t="shared" si="250"/>
        <v>500</v>
      </c>
      <c r="BA70" s="116">
        <f t="shared" si="250"/>
        <v>500</v>
      </c>
      <c r="BB70" s="116">
        <f t="shared" si="250"/>
        <v>500</v>
      </c>
      <c r="BC70" s="116">
        <f t="shared" si="250"/>
        <v>500</v>
      </c>
      <c r="BD70" s="116">
        <f t="shared" si="250"/>
        <v>500</v>
      </c>
      <c r="BE70" s="116">
        <f t="shared" si="250"/>
        <v>500</v>
      </c>
      <c r="BF70" s="116">
        <f t="shared" si="250"/>
        <v>500</v>
      </c>
      <c r="BG70" s="116">
        <f t="shared" si="250"/>
        <v>500</v>
      </c>
      <c r="BH70" s="116">
        <f t="shared" si="250"/>
        <v>500</v>
      </c>
      <c r="BI70" s="116">
        <f t="shared" si="250"/>
        <v>500</v>
      </c>
      <c r="BJ70" s="116">
        <f t="shared" si="250"/>
        <v>500</v>
      </c>
      <c r="BK70" s="252">
        <f t="shared" si="250"/>
        <v>500</v>
      </c>
      <c r="BL70" s="116">
        <f t="shared" si="250"/>
        <v>500</v>
      </c>
      <c r="BM70" s="116">
        <f t="shared" si="250"/>
        <v>500</v>
      </c>
      <c r="BN70" s="116">
        <f t="shared" si="250"/>
        <v>500</v>
      </c>
      <c r="BO70" s="116">
        <f t="shared" si="250"/>
        <v>500</v>
      </c>
      <c r="BP70" s="116">
        <f t="shared" si="250"/>
        <v>500</v>
      </c>
      <c r="BQ70" s="116">
        <f t="shared" si="250"/>
        <v>500</v>
      </c>
      <c r="BR70" s="116">
        <f t="shared" si="250"/>
        <v>500</v>
      </c>
      <c r="BS70" s="116">
        <f t="shared" si="250"/>
        <v>500</v>
      </c>
      <c r="BT70" s="116">
        <f t="shared" si="250"/>
        <v>500</v>
      </c>
      <c r="BU70" s="116">
        <f t="shared" si="250"/>
        <v>500</v>
      </c>
      <c r="BV70" s="116">
        <f t="shared" si="250"/>
        <v>500</v>
      </c>
      <c r="BW70" s="252">
        <f t="shared" si="250"/>
        <v>500</v>
      </c>
      <c r="BX70" s="116">
        <f t="shared" si="250"/>
        <v>500</v>
      </c>
      <c r="BY70" s="116">
        <f t="shared" si="250"/>
        <v>500</v>
      </c>
      <c r="BZ70" s="116">
        <f t="shared" si="250"/>
        <v>500</v>
      </c>
      <c r="CA70" s="116">
        <f t="shared" si="250"/>
        <v>500</v>
      </c>
      <c r="CB70" s="116">
        <f t="shared" si="250"/>
        <v>500</v>
      </c>
      <c r="CC70" s="116">
        <f t="shared" si="250"/>
        <v>500</v>
      </c>
      <c r="CD70" s="116">
        <f t="shared" si="250"/>
        <v>500</v>
      </c>
      <c r="CE70" s="116">
        <f t="shared" si="250"/>
        <v>500</v>
      </c>
      <c r="CF70" s="116">
        <f t="shared" si="250"/>
        <v>500</v>
      </c>
      <c r="CG70" s="116">
        <f t="shared" si="250"/>
        <v>500</v>
      </c>
      <c r="CH70" s="116">
        <f t="shared" si="250"/>
        <v>500</v>
      </c>
      <c r="CI70" s="252">
        <f t="shared" si="250"/>
        <v>500</v>
      </c>
      <c r="CJ70" s="116">
        <f t="shared" si="250"/>
        <v>500</v>
      </c>
      <c r="CK70" s="116">
        <f t="shared" si="250"/>
        <v>500</v>
      </c>
      <c r="CL70" s="116">
        <f t="shared" si="250"/>
        <v>500</v>
      </c>
      <c r="CM70" s="116">
        <f t="shared" si="250"/>
        <v>500</v>
      </c>
      <c r="CN70" s="116">
        <f t="shared" si="250"/>
        <v>500</v>
      </c>
      <c r="CO70" s="116">
        <f t="shared" si="250"/>
        <v>500</v>
      </c>
      <c r="CP70" s="116">
        <f t="shared" si="250"/>
        <v>500</v>
      </c>
      <c r="CQ70" s="116">
        <f t="shared" si="250"/>
        <v>500</v>
      </c>
      <c r="CR70" s="116">
        <f t="shared" si="250"/>
        <v>500</v>
      </c>
      <c r="CS70" s="116">
        <f t="shared" si="250"/>
        <v>500</v>
      </c>
      <c r="CT70" s="116">
        <f t="shared" si="250"/>
        <v>500</v>
      </c>
      <c r="CU70" s="252">
        <f t="shared" si="250"/>
        <v>500</v>
      </c>
      <c r="CV70" s="116">
        <f t="shared" si="250"/>
        <v>500</v>
      </c>
      <c r="CW70" s="116">
        <f t="shared" si="250"/>
        <v>500</v>
      </c>
      <c r="CX70" s="116">
        <f t="shared" si="250"/>
        <v>500</v>
      </c>
      <c r="CY70" s="116">
        <f t="shared" si="250"/>
        <v>500</v>
      </c>
      <c r="CZ70" s="116">
        <f t="shared" si="250"/>
        <v>500</v>
      </c>
      <c r="DA70" s="116">
        <f t="shared" si="250"/>
        <v>500</v>
      </c>
      <c r="DB70" s="116">
        <f t="shared" si="250"/>
        <v>500</v>
      </c>
      <c r="DC70" s="116">
        <f t="shared" si="250"/>
        <v>500</v>
      </c>
      <c r="DD70" s="116">
        <f t="shared" si="250"/>
        <v>500</v>
      </c>
      <c r="DE70" s="116">
        <f t="shared" si="250"/>
        <v>500</v>
      </c>
      <c r="DF70" s="116">
        <f>+DE70</f>
        <v>500</v>
      </c>
      <c r="DG70" s="116">
        <f>+DF70</f>
        <v>500</v>
      </c>
    </row>
    <row r="71" spans="1:111" s="56" customFormat="1" x14ac:dyDescent="0.25">
      <c r="A71" s="3"/>
      <c r="B71" s="4" t="s">
        <v>363</v>
      </c>
      <c r="C71" s="4"/>
      <c r="T71" s="56">
        <f>SUM(T68:T70)</f>
        <v>0</v>
      </c>
      <c r="U71" s="56">
        <f t="shared" ref="U71:AD71" si="251">SUM(U68:U70)</f>
        <v>0</v>
      </c>
      <c r="V71" s="56">
        <f t="shared" si="251"/>
        <v>0</v>
      </c>
      <c r="W71" s="56">
        <f t="shared" si="251"/>
        <v>0</v>
      </c>
      <c r="X71" s="56">
        <f t="shared" si="251"/>
        <v>0</v>
      </c>
      <c r="Y71" s="56">
        <f t="shared" si="251"/>
        <v>0</v>
      </c>
      <c r="Z71" s="56">
        <f t="shared" si="251"/>
        <v>0</v>
      </c>
      <c r="AA71" s="56">
        <f t="shared" si="251"/>
        <v>0</v>
      </c>
      <c r="AB71" s="56">
        <f t="shared" si="251"/>
        <v>0</v>
      </c>
      <c r="AC71" s="56">
        <f t="shared" si="251"/>
        <v>0</v>
      </c>
      <c r="AD71" s="56">
        <f t="shared" si="251"/>
        <v>0</v>
      </c>
      <c r="AE71" s="56">
        <f t="shared" ref="AE71:AL71" si="252">SUM(AE68:AE70)</f>
        <v>0</v>
      </c>
      <c r="AF71" s="56">
        <f t="shared" si="252"/>
        <v>0</v>
      </c>
      <c r="AG71" s="56">
        <f t="shared" si="252"/>
        <v>0</v>
      </c>
      <c r="AH71" s="56">
        <f t="shared" si="252"/>
        <v>0</v>
      </c>
      <c r="AI71" s="56">
        <f t="shared" si="252"/>
        <v>0</v>
      </c>
      <c r="AJ71" s="56">
        <f t="shared" si="252"/>
        <v>0</v>
      </c>
      <c r="AK71" s="56">
        <f t="shared" si="252"/>
        <v>0</v>
      </c>
      <c r="AL71" s="56">
        <f t="shared" si="252"/>
        <v>0</v>
      </c>
      <c r="AM71" s="56">
        <f t="shared" ref="AM71:AT71" si="253">SUM(AM68:AM70)</f>
        <v>0</v>
      </c>
      <c r="AN71" s="56">
        <f t="shared" si="253"/>
        <v>0</v>
      </c>
      <c r="AO71" s="56">
        <f t="shared" si="253"/>
        <v>1417.31</v>
      </c>
      <c r="AP71" s="56">
        <f t="shared" si="253"/>
        <v>1520.58</v>
      </c>
      <c r="AQ71" s="56">
        <f t="shared" si="253"/>
        <v>2596.4699999999998</v>
      </c>
      <c r="AR71" s="56">
        <f t="shared" si="253"/>
        <v>1950.27</v>
      </c>
      <c r="AS71" s="56">
        <f t="shared" si="253"/>
        <v>1165.8800000000001</v>
      </c>
      <c r="AT71" s="56">
        <f t="shared" si="253"/>
        <v>1215.98</v>
      </c>
      <c r="AU71" s="56">
        <f t="shared" ref="AU71:AV71" si="254">SUM(AU68:AU70)</f>
        <v>1276.6100000000001</v>
      </c>
      <c r="AV71" s="56">
        <f t="shared" si="254"/>
        <v>972.31999999999994</v>
      </c>
      <c r="AW71" s="253">
        <f t="shared" ref="AW71" si="255">SUM(AW68:AW70)</f>
        <v>1199.74</v>
      </c>
      <c r="AX71" s="56">
        <f t="shared" ref="AX71" si="256">SUM(AX68:AX70)</f>
        <v>2605.4824242424243</v>
      </c>
      <c r="AY71" s="253">
        <f t="shared" ref="AY71:DF71" si="257">SUM(AY68:AY70)</f>
        <v>2605.4824242424243</v>
      </c>
      <c r="AZ71" s="56">
        <f t="shared" si="257"/>
        <v>2710.7565454545456</v>
      </c>
      <c r="BA71" s="56">
        <f t="shared" si="257"/>
        <v>2710.7565454545456</v>
      </c>
      <c r="BB71" s="56">
        <f t="shared" si="257"/>
        <v>2710.7565454545456</v>
      </c>
      <c r="BC71" s="56">
        <f t="shared" si="257"/>
        <v>2710.7565454545456</v>
      </c>
      <c r="BD71" s="56">
        <f t="shared" si="257"/>
        <v>2710.7565454545456</v>
      </c>
      <c r="BE71" s="56">
        <f t="shared" si="257"/>
        <v>2710.7565454545456</v>
      </c>
      <c r="BF71" s="56">
        <f t="shared" si="257"/>
        <v>2710.7565454545456</v>
      </c>
      <c r="BG71" s="56">
        <f t="shared" si="257"/>
        <v>2710.7565454545456</v>
      </c>
      <c r="BH71" s="56">
        <f t="shared" si="257"/>
        <v>2710.7565454545456</v>
      </c>
      <c r="BI71" s="56">
        <f t="shared" si="257"/>
        <v>2710.7565454545456</v>
      </c>
      <c r="BJ71" s="56">
        <f t="shared" si="257"/>
        <v>2710.7565454545456</v>
      </c>
      <c r="BK71" s="253">
        <f t="shared" si="257"/>
        <v>2710.7565454545456</v>
      </c>
      <c r="BL71" s="56">
        <f t="shared" si="257"/>
        <v>2821.2943727272727</v>
      </c>
      <c r="BM71" s="56">
        <f t="shared" si="257"/>
        <v>2821.2943727272727</v>
      </c>
      <c r="BN71" s="56">
        <f t="shared" si="257"/>
        <v>2821.2943727272727</v>
      </c>
      <c r="BO71" s="56">
        <f t="shared" si="257"/>
        <v>2821.2943727272727</v>
      </c>
      <c r="BP71" s="56">
        <f t="shared" si="257"/>
        <v>2821.2943727272727</v>
      </c>
      <c r="BQ71" s="56">
        <f t="shared" si="257"/>
        <v>2821.2943727272727</v>
      </c>
      <c r="BR71" s="56">
        <f t="shared" si="257"/>
        <v>2821.2943727272727</v>
      </c>
      <c r="BS71" s="56">
        <f t="shared" si="257"/>
        <v>2821.2943727272727</v>
      </c>
      <c r="BT71" s="56">
        <f t="shared" si="257"/>
        <v>2821.2943727272727</v>
      </c>
      <c r="BU71" s="56">
        <f t="shared" si="257"/>
        <v>2821.2943727272727</v>
      </c>
      <c r="BV71" s="56">
        <f t="shared" si="257"/>
        <v>2821.2943727272727</v>
      </c>
      <c r="BW71" s="253">
        <f t="shared" si="257"/>
        <v>2821.2943727272727</v>
      </c>
      <c r="BX71" s="56">
        <f t="shared" si="257"/>
        <v>2937.3590913636363</v>
      </c>
      <c r="BY71" s="56">
        <f t="shared" si="257"/>
        <v>2937.3590913636363</v>
      </c>
      <c r="BZ71" s="56">
        <f t="shared" si="257"/>
        <v>2937.3590913636363</v>
      </c>
      <c r="CA71" s="56">
        <f t="shared" si="257"/>
        <v>2937.3590913636363</v>
      </c>
      <c r="CB71" s="56">
        <f t="shared" si="257"/>
        <v>2937.3590913636363</v>
      </c>
      <c r="CC71" s="56">
        <f t="shared" si="257"/>
        <v>2937.3590913636363</v>
      </c>
      <c r="CD71" s="56">
        <f t="shared" si="257"/>
        <v>2937.3590913636363</v>
      </c>
      <c r="CE71" s="56">
        <f t="shared" si="257"/>
        <v>2937.3590913636363</v>
      </c>
      <c r="CF71" s="56">
        <f t="shared" si="257"/>
        <v>2937.3590913636363</v>
      </c>
      <c r="CG71" s="56">
        <f t="shared" si="257"/>
        <v>2937.3590913636363</v>
      </c>
      <c r="CH71" s="56">
        <f t="shared" si="257"/>
        <v>2937.3590913636363</v>
      </c>
      <c r="CI71" s="253">
        <f t="shared" si="257"/>
        <v>2937.3590913636363</v>
      </c>
      <c r="CJ71" s="56">
        <f t="shared" si="257"/>
        <v>3059.2270459318188</v>
      </c>
      <c r="CK71" s="56">
        <f t="shared" si="257"/>
        <v>3059.2270459318188</v>
      </c>
      <c r="CL71" s="56">
        <f t="shared" si="257"/>
        <v>3059.2270459318188</v>
      </c>
      <c r="CM71" s="56">
        <f t="shared" si="257"/>
        <v>3059.2270459318188</v>
      </c>
      <c r="CN71" s="56">
        <f t="shared" si="257"/>
        <v>3059.2270459318188</v>
      </c>
      <c r="CO71" s="56">
        <f t="shared" si="257"/>
        <v>3059.2270459318188</v>
      </c>
      <c r="CP71" s="56">
        <f t="shared" si="257"/>
        <v>3059.2270459318188</v>
      </c>
      <c r="CQ71" s="56">
        <f t="shared" si="257"/>
        <v>3059.2270459318188</v>
      </c>
      <c r="CR71" s="56">
        <f t="shared" si="257"/>
        <v>3059.2270459318188</v>
      </c>
      <c r="CS71" s="56">
        <f t="shared" si="257"/>
        <v>3059.2270459318188</v>
      </c>
      <c r="CT71" s="56">
        <f t="shared" si="257"/>
        <v>3059.2270459318188</v>
      </c>
      <c r="CU71" s="253">
        <f t="shared" si="257"/>
        <v>3059.2270459318188</v>
      </c>
      <c r="CV71" s="56">
        <f t="shared" si="257"/>
        <v>3187.1883982284098</v>
      </c>
      <c r="CW71" s="56">
        <f t="shared" si="257"/>
        <v>3187.1883982284098</v>
      </c>
      <c r="CX71" s="56">
        <f t="shared" si="257"/>
        <v>3187.1883982284098</v>
      </c>
      <c r="CY71" s="56">
        <f t="shared" si="257"/>
        <v>3187.1883982284098</v>
      </c>
      <c r="CZ71" s="56">
        <f t="shared" si="257"/>
        <v>3187.1883982284098</v>
      </c>
      <c r="DA71" s="56">
        <f t="shared" si="257"/>
        <v>3187.1883982284098</v>
      </c>
      <c r="DB71" s="56">
        <f t="shared" si="257"/>
        <v>3187.1883982284098</v>
      </c>
      <c r="DC71" s="56">
        <f t="shared" si="257"/>
        <v>3187.1883982284098</v>
      </c>
      <c r="DD71" s="56">
        <f t="shared" si="257"/>
        <v>3187.1883982284098</v>
      </c>
      <c r="DE71" s="56">
        <f t="shared" si="257"/>
        <v>3187.1883982284098</v>
      </c>
      <c r="DF71" s="56">
        <f t="shared" si="257"/>
        <v>3187.1883982284098</v>
      </c>
      <c r="DG71" s="56">
        <f>SUM(DG68:DG70)</f>
        <v>3187.1883982284098</v>
      </c>
    </row>
    <row r="72" spans="1:111" s="484" customFormat="1" x14ac:dyDescent="0.25">
      <c r="A72" s="482"/>
      <c r="B72" s="483"/>
      <c r="C72" s="483" t="s">
        <v>364</v>
      </c>
      <c r="W72" s="485"/>
      <c r="X72" s="485"/>
      <c r="Y72" s="485"/>
      <c r="Z72" s="485"/>
      <c r="AA72" s="485"/>
      <c r="AB72" s="485"/>
      <c r="AC72" s="485"/>
      <c r="AD72" s="485"/>
      <c r="AE72" s="485"/>
      <c r="AF72" s="485"/>
      <c r="AG72" s="485"/>
      <c r="AH72" s="485"/>
      <c r="AI72" s="485"/>
      <c r="AJ72" s="485"/>
      <c r="AK72" s="485"/>
      <c r="AL72" s="485"/>
      <c r="AM72" s="485"/>
      <c r="AN72" s="485"/>
      <c r="AO72" s="485">
        <f t="shared" ref="AO72:AT72" si="258">+AO69/AO68</f>
        <v>9.0238461538461545E-2</v>
      </c>
      <c r="AP72" s="485">
        <f t="shared" si="258"/>
        <v>6.3342657342657344E-2</v>
      </c>
      <c r="AQ72" s="485">
        <f t="shared" si="258"/>
        <v>7.5112820512820519E-2</v>
      </c>
      <c r="AR72" s="485">
        <f t="shared" si="258"/>
        <v>6.2468864468864467E-2</v>
      </c>
      <c r="AS72" s="485">
        <f t="shared" si="258"/>
        <v>2.4430769230769232E-2</v>
      </c>
      <c r="AT72" s="485">
        <f t="shared" si="258"/>
        <v>0.10150769230769231</v>
      </c>
      <c r="AU72" s="485">
        <f t="shared" ref="AU72:AV72" si="259">+AU69/AU68</f>
        <v>8.6167832167832165E-2</v>
      </c>
      <c r="AV72" s="485">
        <f t="shared" si="259"/>
        <v>7.6512820512820517E-2</v>
      </c>
      <c r="AW72" s="486">
        <f t="shared" ref="AW72" si="260">+AW69/AW68</f>
        <v>7.652307692307693E-2</v>
      </c>
      <c r="AX72" s="537">
        <f>+AVERAGE(AU72:AW72)</f>
        <v>7.9734576534576537E-2</v>
      </c>
      <c r="AY72" s="486">
        <f t="shared" ref="AY72:CA72" si="261">+AX72</f>
        <v>7.9734576534576537E-2</v>
      </c>
      <c r="AZ72" s="485">
        <f t="shared" si="261"/>
        <v>7.9734576534576537E-2</v>
      </c>
      <c r="BA72" s="485">
        <f t="shared" si="261"/>
        <v>7.9734576534576537E-2</v>
      </c>
      <c r="BB72" s="485">
        <f t="shared" si="261"/>
        <v>7.9734576534576537E-2</v>
      </c>
      <c r="BC72" s="485">
        <f t="shared" si="261"/>
        <v>7.9734576534576537E-2</v>
      </c>
      <c r="BD72" s="485">
        <f t="shared" si="261"/>
        <v>7.9734576534576537E-2</v>
      </c>
      <c r="BE72" s="485">
        <f t="shared" si="261"/>
        <v>7.9734576534576537E-2</v>
      </c>
      <c r="BF72" s="485">
        <f t="shared" si="261"/>
        <v>7.9734576534576537E-2</v>
      </c>
      <c r="BG72" s="485">
        <f t="shared" si="261"/>
        <v>7.9734576534576537E-2</v>
      </c>
      <c r="BH72" s="485">
        <f t="shared" si="261"/>
        <v>7.9734576534576537E-2</v>
      </c>
      <c r="BI72" s="485">
        <f t="shared" si="261"/>
        <v>7.9734576534576537E-2</v>
      </c>
      <c r="BJ72" s="485">
        <f t="shared" si="261"/>
        <v>7.9734576534576537E-2</v>
      </c>
      <c r="BK72" s="486">
        <f t="shared" si="261"/>
        <v>7.9734576534576537E-2</v>
      </c>
      <c r="BL72" s="485">
        <f t="shared" si="261"/>
        <v>7.9734576534576537E-2</v>
      </c>
      <c r="BM72" s="485">
        <f t="shared" si="261"/>
        <v>7.9734576534576537E-2</v>
      </c>
      <c r="BN72" s="485">
        <f t="shared" si="261"/>
        <v>7.9734576534576537E-2</v>
      </c>
      <c r="BO72" s="485">
        <f t="shared" si="261"/>
        <v>7.9734576534576537E-2</v>
      </c>
      <c r="BP72" s="485">
        <f t="shared" si="261"/>
        <v>7.9734576534576537E-2</v>
      </c>
      <c r="BQ72" s="485">
        <f t="shared" si="261"/>
        <v>7.9734576534576537E-2</v>
      </c>
      <c r="BR72" s="485">
        <f t="shared" si="261"/>
        <v>7.9734576534576537E-2</v>
      </c>
      <c r="BS72" s="485">
        <f t="shared" si="261"/>
        <v>7.9734576534576537E-2</v>
      </c>
      <c r="BT72" s="485">
        <f t="shared" si="261"/>
        <v>7.9734576534576537E-2</v>
      </c>
      <c r="BU72" s="485">
        <f t="shared" si="261"/>
        <v>7.9734576534576537E-2</v>
      </c>
      <c r="BV72" s="485">
        <f t="shared" si="261"/>
        <v>7.9734576534576537E-2</v>
      </c>
      <c r="BW72" s="486">
        <f t="shared" si="261"/>
        <v>7.9734576534576537E-2</v>
      </c>
      <c r="BX72" s="485">
        <f t="shared" si="261"/>
        <v>7.9734576534576537E-2</v>
      </c>
      <c r="BY72" s="485">
        <f t="shared" si="261"/>
        <v>7.9734576534576537E-2</v>
      </c>
      <c r="BZ72" s="485">
        <f t="shared" si="261"/>
        <v>7.9734576534576537E-2</v>
      </c>
      <c r="CA72" s="485">
        <f t="shared" si="261"/>
        <v>7.9734576534576537E-2</v>
      </c>
      <c r="CB72" s="485">
        <f t="shared" ref="CB72:DG72" si="262">+CA72</f>
        <v>7.9734576534576537E-2</v>
      </c>
      <c r="CC72" s="485">
        <f t="shared" si="262"/>
        <v>7.9734576534576537E-2</v>
      </c>
      <c r="CD72" s="485">
        <f t="shared" si="262"/>
        <v>7.9734576534576537E-2</v>
      </c>
      <c r="CE72" s="485">
        <f t="shared" si="262"/>
        <v>7.9734576534576537E-2</v>
      </c>
      <c r="CF72" s="485">
        <f t="shared" si="262"/>
        <v>7.9734576534576537E-2</v>
      </c>
      <c r="CG72" s="485">
        <f t="shared" si="262"/>
        <v>7.9734576534576537E-2</v>
      </c>
      <c r="CH72" s="485">
        <f t="shared" si="262"/>
        <v>7.9734576534576537E-2</v>
      </c>
      <c r="CI72" s="486">
        <f t="shared" si="262"/>
        <v>7.9734576534576537E-2</v>
      </c>
      <c r="CJ72" s="485">
        <f t="shared" si="262"/>
        <v>7.9734576534576537E-2</v>
      </c>
      <c r="CK72" s="485">
        <f t="shared" si="262"/>
        <v>7.9734576534576537E-2</v>
      </c>
      <c r="CL72" s="485">
        <f t="shared" si="262"/>
        <v>7.9734576534576537E-2</v>
      </c>
      <c r="CM72" s="485">
        <f t="shared" si="262"/>
        <v>7.9734576534576537E-2</v>
      </c>
      <c r="CN72" s="485">
        <f t="shared" si="262"/>
        <v>7.9734576534576537E-2</v>
      </c>
      <c r="CO72" s="485">
        <f t="shared" si="262"/>
        <v>7.9734576534576537E-2</v>
      </c>
      <c r="CP72" s="485">
        <f t="shared" si="262"/>
        <v>7.9734576534576537E-2</v>
      </c>
      <c r="CQ72" s="485">
        <f t="shared" si="262"/>
        <v>7.9734576534576537E-2</v>
      </c>
      <c r="CR72" s="485">
        <f t="shared" si="262"/>
        <v>7.9734576534576537E-2</v>
      </c>
      <c r="CS72" s="485">
        <f t="shared" si="262"/>
        <v>7.9734576534576537E-2</v>
      </c>
      <c r="CT72" s="485">
        <f t="shared" si="262"/>
        <v>7.9734576534576537E-2</v>
      </c>
      <c r="CU72" s="486">
        <f t="shared" si="262"/>
        <v>7.9734576534576537E-2</v>
      </c>
      <c r="CV72" s="485">
        <f t="shared" si="262"/>
        <v>7.9734576534576537E-2</v>
      </c>
      <c r="CW72" s="485">
        <f t="shared" si="262"/>
        <v>7.9734576534576537E-2</v>
      </c>
      <c r="CX72" s="485">
        <f t="shared" si="262"/>
        <v>7.9734576534576537E-2</v>
      </c>
      <c r="CY72" s="485">
        <f t="shared" si="262"/>
        <v>7.9734576534576537E-2</v>
      </c>
      <c r="CZ72" s="485">
        <f t="shared" si="262"/>
        <v>7.9734576534576537E-2</v>
      </c>
      <c r="DA72" s="485">
        <f t="shared" si="262"/>
        <v>7.9734576534576537E-2</v>
      </c>
      <c r="DB72" s="485">
        <f t="shared" si="262"/>
        <v>7.9734576534576537E-2</v>
      </c>
      <c r="DC72" s="485">
        <f t="shared" si="262"/>
        <v>7.9734576534576537E-2</v>
      </c>
      <c r="DD72" s="485">
        <f t="shared" si="262"/>
        <v>7.9734576534576537E-2</v>
      </c>
      <c r="DE72" s="485">
        <f t="shared" si="262"/>
        <v>7.9734576534576537E-2</v>
      </c>
      <c r="DF72" s="485">
        <f t="shared" si="262"/>
        <v>7.9734576534576537E-2</v>
      </c>
      <c r="DG72" s="485">
        <f t="shared" si="262"/>
        <v>7.9734576534576537E-2</v>
      </c>
    </row>
    <row r="73" spans="1:111" s="484" customFormat="1" x14ac:dyDescent="0.25">
      <c r="A73" s="482"/>
      <c r="B73" s="483"/>
      <c r="C73" s="483" t="s">
        <v>365</v>
      </c>
      <c r="W73" s="485"/>
      <c r="X73" s="485"/>
      <c r="Y73" s="485"/>
      <c r="Z73" s="485"/>
      <c r="AA73" s="485"/>
      <c r="AB73" s="485"/>
      <c r="AC73" s="485"/>
      <c r="AD73" s="485"/>
      <c r="AE73" s="485"/>
      <c r="AF73" s="485"/>
      <c r="AG73" s="485"/>
      <c r="AH73" s="485"/>
      <c r="AI73" s="485"/>
      <c r="AJ73" s="485"/>
      <c r="AK73" s="485"/>
      <c r="AL73" s="485"/>
      <c r="AM73" s="485"/>
      <c r="AN73" s="485"/>
      <c r="AO73" s="485"/>
      <c r="AP73" s="485"/>
      <c r="AQ73" s="485"/>
      <c r="AR73" s="485"/>
      <c r="AS73" s="485"/>
      <c r="AT73" s="485"/>
      <c r="AU73" s="485"/>
      <c r="AV73" s="485"/>
      <c r="AW73" s="486"/>
      <c r="AX73" s="537">
        <v>4.4999999999999998E-2</v>
      </c>
      <c r="AY73" s="486">
        <f t="shared" ref="AY73:BV73" si="263">+AX73</f>
        <v>4.4999999999999998E-2</v>
      </c>
      <c r="AZ73" s="485">
        <f t="shared" si="263"/>
        <v>4.4999999999999998E-2</v>
      </c>
      <c r="BA73" s="485">
        <f t="shared" si="263"/>
        <v>4.4999999999999998E-2</v>
      </c>
      <c r="BB73" s="485">
        <f t="shared" si="263"/>
        <v>4.4999999999999998E-2</v>
      </c>
      <c r="BC73" s="485">
        <f t="shared" si="263"/>
        <v>4.4999999999999998E-2</v>
      </c>
      <c r="BD73" s="485">
        <f t="shared" si="263"/>
        <v>4.4999999999999998E-2</v>
      </c>
      <c r="BE73" s="485">
        <f t="shared" si="263"/>
        <v>4.4999999999999998E-2</v>
      </c>
      <c r="BF73" s="485">
        <f t="shared" si="263"/>
        <v>4.4999999999999998E-2</v>
      </c>
      <c r="BG73" s="485">
        <f t="shared" si="263"/>
        <v>4.4999999999999998E-2</v>
      </c>
      <c r="BH73" s="485">
        <f t="shared" si="263"/>
        <v>4.4999999999999998E-2</v>
      </c>
      <c r="BI73" s="485">
        <f t="shared" si="263"/>
        <v>4.4999999999999998E-2</v>
      </c>
      <c r="BJ73" s="485">
        <f t="shared" si="263"/>
        <v>4.4999999999999998E-2</v>
      </c>
      <c r="BK73" s="486">
        <f t="shared" si="263"/>
        <v>4.4999999999999998E-2</v>
      </c>
      <c r="BL73" s="485">
        <f t="shared" si="263"/>
        <v>4.4999999999999998E-2</v>
      </c>
      <c r="BM73" s="485">
        <f t="shared" si="263"/>
        <v>4.4999999999999998E-2</v>
      </c>
      <c r="BN73" s="485">
        <f t="shared" si="263"/>
        <v>4.4999999999999998E-2</v>
      </c>
      <c r="BO73" s="485">
        <f t="shared" si="263"/>
        <v>4.4999999999999998E-2</v>
      </c>
      <c r="BP73" s="485">
        <f t="shared" si="263"/>
        <v>4.4999999999999998E-2</v>
      </c>
      <c r="BQ73" s="485">
        <f t="shared" si="263"/>
        <v>4.4999999999999998E-2</v>
      </c>
      <c r="BR73" s="485">
        <f t="shared" si="263"/>
        <v>4.4999999999999998E-2</v>
      </c>
      <c r="BS73" s="485">
        <f t="shared" si="263"/>
        <v>4.4999999999999998E-2</v>
      </c>
      <c r="BT73" s="485">
        <f t="shared" si="263"/>
        <v>4.4999999999999998E-2</v>
      </c>
      <c r="BU73" s="485">
        <f t="shared" si="263"/>
        <v>4.4999999999999998E-2</v>
      </c>
      <c r="BV73" s="485">
        <f t="shared" si="263"/>
        <v>4.4999999999999998E-2</v>
      </c>
      <c r="BW73" s="486">
        <v>0.15</v>
      </c>
      <c r="BX73" s="485">
        <f t="shared" ref="BX73:CH73" si="264">+BW73</f>
        <v>0.15</v>
      </c>
      <c r="BY73" s="485">
        <f t="shared" si="264"/>
        <v>0.15</v>
      </c>
      <c r="BZ73" s="485">
        <f t="shared" si="264"/>
        <v>0.15</v>
      </c>
      <c r="CA73" s="485">
        <f t="shared" si="264"/>
        <v>0.15</v>
      </c>
      <c r="CB73" s="485">
        <f t="shared" si="264"/>
        <v>0.15</v>
      </c>
      <c r="CC73" s="485">
        <f t="shared" si="264"/>
        <v>0.15</v>
      </c>
      <c r="CD73" s="485">
        <f t="shared" si="264"/>
        <v>0.15</v>
      </c>
      <c r="CE73" s="485">
        <f t="shared" si="264"/>
        <v>0.15</v>
      </c>
      <c r="CF73" s="485">
        <f t="shared" si="264"/>
        <v>0.15</v>
      </c>
      <c r="CG73" s="485">
        <f t="shared" si="264"/>
        <v>0.15</v>
      </c>
      <c r="CH73" s="485">
        <f t="shared" si="264"/>
        <v>0.15</v>
      </c>
      <c r="CI73" s="486">
        <v>0.2</v>
      </c>
      <c r="CJ73" s="485">
        <f t="shared" ref="CJ73:DG73" si="265">+CI73</f>
        <v>0.2</v>
      </c>
      <c r="CK73" s="485">
        <f t="shared" si="265"/>
        <v>0.2</v>
      </c>
      <c r="CL73" s="485">
        <f t="shared" si="265"/>
        <v>0.2</v>
      </c>
      <c r="CM73" s="485">
        <f t="shared" si="265"/>
        <v>0.2</v>
      </c>
      <c r="CN73" s="485">
        <f t="shared" si="265"/>
        <v>0.2</v>
      </c>
      <c r="CO73" s="485">
        <f t="shared" si="265"/>
        <v>0.2</v>
      </c>
      <c r="CP73" s="485">
        <f t="shared" si="265"/>
        <v>0.2</v>
      </c>
      <c r="CQ73" s="485">
        <f t="shared" si="265"/>
        <v>0.2</v>
      </c>
      <c r="CR73" s="485">
        <f t="shared" si="265"/>
        <v>0.2</v>
      </c>
      <c r="CS73" s="485">
        <f t="shared" si="265"/>
        <v>0.2</v>
      </c>
      <c r="CT73" s="485">
        <f t="shared" si="265"/>
        <v>0.2</v>
      </c>
      <c r="CU73" s="486">
        <f t="shared" si="265"/>
        <v>0.2</v>
      </c>
      <c r="CV73" s="485">
        <f t="shared" si="265"/>
        <v>0.2</v>
      </c>
      <c r="CW73" s="485">
        <f t="shared" si="265"/>
        <v>0.2</v>
      </c>
      <c r="CX73" s="485">
        <f t="shared" si="265"/>
        <v>0.2</v>
      </c>
      <c r="CY73" s="485">
        <f t="shared" si="265"/>
        <v>0.2</v>
      </c>
      <c r="CZ73" s="485">
        <f t="shared" si="265"/>
        <v>0.2</v>
      </c>
      <c r="DA73" s="485">
        <f t="shared" si="265"/>
        <v>0.2</v>
      </c>
      <c r="DB73" s="485">
        <f t="shared" si="265"/>
        <v>0.2</v>
      </c>
      <c r="DC73" s="485">
        <f t="shared" si="265"/>
        <v>0.2</v>
      </c>
      <c r="DD73" s="485">
        <f t="shared" si="265"/>
        <v>0.2</v>
      </c>
      <c r="DE73" s="485">
        <f t="shared" si="265"/>
        <v>0.2</v>
      </c>
      <c r="DF73" s="485">
        <f t="shared" si="265"/>
        <v>0.2</v>
      </c>
      <c r="DG73" s="485">
        <f t="shared" si="265"/>
        <v>0.2</v>
      </c>
    </row>
    <row r="74" spans="1:111" x14ac:dyDescent="0.25">
      <c r="B74" s="1" t="s">
        <v>316</v>
      </c>
      <c r="C74" s="1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  <c r="AI74" s="116"/>
      <c r="AJ74" s="116"/>
      <c r="AK74" s="116"/>
      <c r="AL74" s="116"/>
      <c r="AM74" s="116"/>
      <c r="AN74" s="116">
        <v>0</v>
      </c>
      <c r="AO74" s="116">
        <v>0</v>
      </c>
      <c r="AP74" s="116">
        <v>0</v>
      </c>
      <c r="AQ74" s="116">
        <v>0</v>
      </c>
      <c r="AR74" s="116">
        <v>0</v>
      </c>
      <c r="AS74" s="116">
        <v>0</v>
      </c>
      <c r="AT74" s="116">
        <v>0</v>
      </c>
      <c r="AU74" s="116">
        <v>0</v>
      </c>
      <c r="AV74" s="116">
        <v>0</v>
      </c>
      <c r="AW74" s="252">
        <v>0</v>
      </c>
      <c r="AX74" s="631">
        <f>+AVERAGE(AU74:AW74)</f>
        <v>0</v>
      </c>
      <c r="AY74" s="252">
        <f t="shared" ref="AY74:CA74" si="266">AX74</f>
        <v>0</v>
      </c>
      <c r="AZ74" s="116">
        <f t="shared" si="266"/>
        <v>0</v>
      </c>
      <c r="BA74" s="116">
        <f t="shared" si="266"/>
        <v>0</v>
      </c>
      <c r="BB74" s="116">
        <f t="shared" si="266"/>
        <v>0</v>
      </c>
      <c r="BC74" s="116">
        <f t="shared" si="266"/>
        <v>0</v>
      </c>
      <c r="BD74" s="116">
        <f t="shared" si="266"/>
        <v>0</v>
      </c>
      <c r="BE74" s="116">
        <f t="shared" si="266"/>
        <v>0</v>
      </c>
      <c r="BF74" s="116">
        <f t="shared" si="266"/>
        <v>0</v>
      </c>
      <c r="BG74" s="116">
        <f t="shared" si="266"/>
        <v>0</v>
      </c>
      <c r="BH74" s="116">
        <f t="shared" si="266"/>
        <v>0</v>
      </c>
      <c r="BI74" s="116">
        <f t="shared" si="266"/>
        <v>0</v>
      </c>
      <c r="BJ74" s="116">
        <f t="shared" si="266"/>
        <v>0</v>
      </c>
      <c r="BK74" s="252">
        <f t="shared" si="266"/>
        <v>0</v>
      </c>
      <c r="BL74" s="116">
        <f t="shared" si="266"/>
        <v>0</v>
      </c>
      <c r="BM74" s="116">
        <f t="shared" si="266"/>
        <v>0</v>
      </c>
      <c r="BN74" s="116">
        <f t="shared" si="266"/>
        <v>0</v>
      </c>
      <c r="BO74" s="116">
        <f t="shared" si="266"/>
        <v>0</v>
      </c>
      <c r="BP74" s="116">
        <f t="shared" si="266"/>
        <v>0</v>
      </c>
      <c r="BQ74" s="116">
        <f t="shared" si="266"/>
        <v>0</v>
      </c>
      <c r="BR74" s="116">
        <f t="shared" si="266"/>
        <v>0</v>
      </c>
      <c r="BS74" s="116">
        <f t="shared" si="266"/>
        <v>0</v>
      </c>
      <c r="BT74" s="116">
        <f t="shared" si="266"/>
        <v>0</v>
      </c>
      <c r="BU74" s="116">
        <f t="shared" si="266"/>
        <v>0</v>
      </c>
      <c r="BV74" s="116">
        <f t="shared" si="266"/>
        <v>0</v>
      </c>
      <c r="BW74" s="252">
        <f t="shared" si="266"/>
        <v>0</v>
      </c>
      <c r="BX74" s="116">
        <f t="shared" si="266"/>
        <v>0</v>
      </c>
      <c r="BY74" s="116">
        <f t="shared" si="266"/>
        <v>0</v>
      </c>
      <c r="BZ74" s="116">
        <f t="shared" si="266"/>
        <v>0</v>
      </c>
      <c r="CA74" s="116">
        <f t="shared" si="266"/>
        <v>0</v>
      </c>
      <c r="CB74" s="116">
        <f t="shared" ref="CB74:DG74" si="267">CA74</f>
        <v>0</v>
      </c>
      <c r="CC74" s="116">
        <f t="shared" si="267"/>
        <v>0</v>
      </c>
      <c r="CD74" s="116">
        <f t="shared" si="267"/>
        <v>0</v>
      </c>
      <c r="CE74" s="116">
        <f t="shared" si="267"/>
        <v>0</v>
      </c>
      <c r="CF74" s="116">
        <f t="shared" si="267"/>
        <v>0</v>
      </c>
      <c r="CG74" s="116">
        <f t="shared" si="267"/>
        <v>0</v>
      </c>
      <c r="CH74" s="116">
        <f t="shared" si="267"/>
        <v>0</v>
      </c>
      <c r="CI74" s="252">
        <f t="shared" si="267"/>
        <v>0</v>
      </c>
      <c r="CJ74" s="116">
        <f t="shared" si="267"/>
        <v>0</v>
      </c>
      <c r="CK74" s="116">
        <f t="shared" si="267"/>
        <v>0</v>
      </c>
      <c r="CL74" s="116">
        <f t="shared" si="267"/>
        <v>0</v>
      </c>
      <c r="CM74" s="116">
        <f t="shared" si="267"/>
        <v>0</v>
      </c>
      <c r="CN74" s="116">
        <f t="shared" si="267"/>
        <v>0</v>
      </c>
      <c r="CO74" s="116">
        <f t="shared" si="267"/>
        <v>0</v>
      </c>
      <c r="CP74" s="116">
        <f t="shared" si="267"/>
        <v>0</v>
      </c>
      <c r="CQ74" s="116">
        <f t="shared" si="267"/>
        <v>0</v>
      </c>
      <c r="CR74" s="116">
        <f t="shared" si="267"/>
        <v>0</v>
      </c>
      <c r="CS74" s="116">
        <f t="shared" si="267"/>
        <v>0</v>
      </c>
      <c r="CT74" s="116">
        <f t="shared" si="267"/>
        <v>0</v>
      </c>
      <c r="CU74" s="252">
        <f t="shared" si="267"/>
        <v>0</v>
      </c>
      <c r="CV74" s="116">
        <f t="shared" si="267"/>
        <v>0</v>
      </c>
      <c r="CW74" s="116">
        <f t="shared" si="267"/>
        <v>0</v>
      </c>
      <c r="CX74" s="116">
        <f t="shared" si="267"/>
        <v>0</v>
      </c>
      <c r="CY74" s="116">
        <f t="shared" si="267"/>
        <v>0</v>
      </c>
      <c r="CZ74" s="116">
        <f t="shared" si="267"/>
        <v>0</v>
      </c>
      <c r="DA74" s="116">
        <f t="shared" si="267"/>
        <v>0</v>
      </c>
      <c r="DB74" s="116">
        <f t="shared" si="267"/>
        <v>0</v>
      </c>
      <c r="DC74" s="116">
        <f t="shared" si="267"/>
        <v>0</v>
      </c>
      <c r="DD74" s="116">
        <f t="shared" si="267"/>
        <v>0</v>
      </c>
      <c r="DE74" s="116">
        <f t="shared" si="267"/>
        <v>0</v>
      </c>
      <c r="DF74" s="116">
        <f t="shared" si="267"/>
        <v>0</v>
      </c>
      <c r="DG74" s="116">
        <f t="shared" si="267"/>
        <v>0</v>
      </c>
    </row>
    <row r="75" spans="1:111" x14ac:dyDescent="0.25">
      <c r="B75" s="1" t="s">
        <v>317</v>
      </c>
      <c r="C75" s="1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>
        <v>264.52999999999997</v>
      </c>
      <c r="AC75" s="116"/>
      <c r="AD75" s="116"/>
      <c r="AE75" s="116">
        <v>238.31</v>
      </c>
      <c r="AF75" s="116"/>
      <c r="AG75" s="116"/>
      <c r="AH75" s="116"/>
      <c r="AI75" s="116">
        <v>8</v>
      </c>
      <c r="AJ75" s="116"/>
      <c r="AK75" s="116"/>
      <c r="AL75" s="116">
        <v>168.97</v>
      </c>
      <c r="AM75" s="116"/>
      <c r="AN75" s="116"/>
      <c r="AO75" s="116"/>
      <c r="AP75" s="116"/>
      <c r="AQ75" s="116"/>
      <c r="AR75" s="116"/>
      <c r="AS75" s="116"/>
      <c r="AT75" s="116"/>
      <c r="AU75" s="116"/>
      <c r="AV75" s="116"/>
      <c r="AW75" s="252"/>
      <c r="AX75" s="631">
        <v>50</v>
      </c>
      <c r="AY75" s="252">
        <f t="shared" ref="AY75:CA75" si="268">AX75</f>
        <v>50</v>
      </c>
      <c r="AZ75" s="116">
        <f t="shared" si="268"/>
        <v>50</v>
      </c>
      <c r="BA75" s="116">
        <f t="shared" si="268"/>
        <v>50</v>
      </c>
      <c r="BB75" s="116">
        <f t="shared" si="268"/>
        <v>50</v>
      </c>
      <c r="BC75" s="116">
        <f t="shared" si="268"/>
        <v>50</v>
      </c>
      <c r="BD75" s="116">
        <f t="shared" si="268"/>
        <v>50</v>
      </c>
      <c r="BE75" s="116">
        <f t="shared" si="268"/>
        <v>50</v>
      </c>
      <c r="BF75" s="116">
        <f t="shared" si="268"/>
        <v>50</v>
      </c>
      <c r="BG75" s="116">
        <f t="shared" si="268"/>
        <v>50</v>
      </c>
      <c r="BH75" s="116">
        <f t="shared" si="268"/>
        <v>50</v>
      </c>
      <c r="BI75" s="116">
        <f t="shared" si="268"/>
        <v>50</v>
      </c>
      <c r="BJ75" s="116">
        <f t="shared" si="268"/>
        <v>50</v>
      </c>
      <c r="BK75" s="252">
        <f t="shared" si="268"/>
        <v>50</v>
      </c>
      <c r="BL75" s="116">
        <f t="shared" si="268"/>
        <v>50</v>
      </c>
      <c r="BM75" s="116">
        <f t="shared" si="268"/>
        <v>50</v>
      </c>
      <c r="BN75" s="116">
        <f t="shared" si="268"/>
        <v>50</v>
      </c>
      <c r="BO75" s="116">
        <f t="shared" si="268"/>
        <v>50</v>
      </c>
      <c r="BP75" s="116">
        <f t="shared" si="268"/>
        <v>50</v>
      </c>
      <c r="BQ75" s="116">
        <f t="shared" si="268"/>
        <v>50</v>
      </c>
      <c r="BR75" s="116">
        <f t="shared" si="268"/>
        <v>50</v>
      </c>
      <c r="BS75" s="116">
        <f t="shared" si="268"/>
        <v>50</v>
      </c>
      <c r="BT75" s="116">
        <f t="shared" si="268"/>
        <v>50</v>
      </c>
      <c r="BU75" s="116">
        <f t="shared" si="268"/>
        <v>50</v>
      </c>
      <c r="BV75" s="116">
        <f t="shared" si="268"/>
        <v>50</v>
      </c>
      <c r="BW75" s="252">
        <f t="shared" si="268"/>
        <v>50</v>
      </c>
      <c r="BX75" s="116">
        <f t="shared" si="268"/>
        <v>50</v>
      </c>
      <c r="BY75" s="116">
        <f t="shared" si="268"/>
        <v>50</v>
      </c>
      <c r="BZ75" s="116">
        <f t="shared" si="268"/>
        <v>50</v>
      </c>
      <c r="CA75" s="116">
        <f t="shared" si="268"/>
        <v>50</v>
      </c>
      <c r="CB75" s="116">
        <f t="shared" ref="CB75:DG75" si="269">CA75</f>
        <v>50</v>
      </c>
      <c r="CC75" s="116">
        <f t="shared" si="269"/>
        <v>50</v>
      </c>
      <c r="CD75" s="116">
        <f t="shared" si="269"/>
        <v>50</v>
      </c>
      <c r="CE75" s="116">
        <f t="shared" si="269"/>
        <v>50</v>
      </c>
      <c r="CF75" s="116">
        <f t="shared" si="269"/>
        <v>50</v>
      </c>
      <c r="CG75" s="116">
        <f t="shared" si="269"/>
        <v>50</v>
      </c>
      <c r="CH75" s="116">
        <f t="shared" si="269"/>
        <v>50</v>
      </c>
      <c r="CI75" s="252">
        <f t="shared" si="269"/>
        <v>50</v>
      </c>
      <c r="CJ75" s="116">
        <f t="shared" si="269"/>
        <v>50</v>
      </c>
      <c r="CK75" s="116">
        <f t="shared" si="269"/>
        <v>50</v>
      </c>
      <c r="CL75" s="116">
        <f t="shared" si="269"/>
        <v>50</v>
      </c>
      <c r="CM75" s="116">
        <f t="shared" si="269"/>
        <v>50</v>
      </c>
      <c r="CN75" s="116">
        <f t="shared" si="269"/>
        <v>50</v>
      </c>
      <c r="CO75" s="116">
        <f t="shared" si="269"/>
        <v>50</v>
      </c>
      <c r="CP75" s="116">
        <f t="shared" si="269"/>
        <v>50</v>
      </c>
      <c r="CQ75" s="116">
        <f t="shared" si="269"/>
        <v>50</v>
      </c>
      <c r="CR75" s="116">
        <f t="shared" si="269"/>
        <v>50</v>
      </c>
      <c r="CS75" s="116">
        <f t="shared" si="269"/>
        <v>50</v>
      </c>
      <c r="CT75" s="116">
        <f t="shared" si="269"/>
        <v>50</v>
      </c>
      <c r="CU75" s="252">
        <f t="shared" si="269"/>
        <v>50</v>
      </c>
      <c r="CV75" s="116">
        <f t="shared" si="269"/>
        <v>50</v>
      </c>
      <c r="CW75" s="116">
        <f t="shared" si="269"/>
        <v>50</v>
      </c>
      <c r="CX75" s="116">
        <f t="shared" si="269"/>
        <v>50</v>
      </c>
      <c r="CY75" s="116">
        <f t="shared" si="269"/>
        <v>50</v>
      </c>
      <c r="CZ75" s="116">
        <f t="shared" si="269"/>
        <v>50</v>
      </c>
      <c r="DA75" s="116">
        <f t="shared" si="269"/>
        <v>50</v>
      </c>
      <c r="DB75" s="116">
        <f t="shared" si="269"/>
        <v>50</v>
      </c>
      <c r="DC75" s="116">
        <f t="shared" si="269"/>
        <v>50</v>
      </c>
      <c r="DD75" s="116">
        <f t="shared" si="269"/>
        <v>50</v>
      </c>
      <c r="DE75" s="116">
        <f t="shared" si="269"/>
        <v>50</v>
      </c>
      <c r="DF75" s="116">
        <f t="shared" si="269"/>
        <v>50</v>
      </c>
      <c r="DG75" s="116">
        <f t="shared" si="269"/>
        <v>50</v>
      </c>
    </row>
    <row r="76" spans="1:111" s="5" customFormat="1" x14ac:dyDescent="0.25">
      <c r="A76"/>
      <c r="B76" s="1" t="s">
        <v>318</v>
      </c>
      <c r="C76" s="1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  <c r="AA76" s="116"/>
      <c r="AB76" s="116"/>
      <c r="AC76" s="116"/>
      <c r="AD76" s="116"/>
      <c r="AE76" s="116">
        <v>23.82</v>
      </c>
      <c r="AF76" s="116"/>
      <c r="AG76" s="116"/>
      <c r="AH76" s="116"/>
      <c r="AI76" s="116"/>
      <c r="AJ76" s="116"/>
      <c r="AK76" s="116"/>
      <c r="AL76" s="116"/>
      <c r="AM76" s="116"/>
      <c r="AN76" s="116"/>
      <c r="AO76" s="116"/>
      <c r="AP76" s="116">
        <v>26.9</v>
      </c>
      <c r="AQ76" s="116">
        <v>0</v>
      </c>
      <c r="AR76" s="116">
        <v>0</v>
      </c>
      <c r="AS76" s="116">
        <v>0</v>
      </c>
      <c r="AT76" s="116">
        <v>5</v>
      </c>
      <c r="AU76" s="116">
        <v>0</v>
      </c>
      <c r="AV76" s="116">
        <v>0</v>
      </c>
      <c r="AW76" s="252">
        <v>0</v>
      </c>
      <c r="AX76" s="631">
        <f t="shared" ref="AX76:CC76" si="270">+IF(AX1&lt;&gt;AW1, AW76*1.1, AW76)</f>
        <v>0</v>
      </c>
      <c r="AY76" s="252">
        <f t="shared" si="270"/>
        <v>0</v>
      </c>
      <c r="AZ76" s="116">
        <f t="shared" si="270"/>
        <v>0</v>
      </c>
      <c r="BA76" s="116">
        <f t="shared" si="270"/>
        <v>0</v>
      </c>
      <c r="BB76" s="116">
        <f t="shared" si="270"/>
        <v>0</v>
      </c>
      <c r="BC76" s="116">
        <f t="shared" si="270"/>
        <v>0</v>
      </c>
      <c r="BD76" s="116">
        <f t="shared" si="270"/>
        <v>0</v>
      </c>
      <c r="BE76" s="116">
        <f t="shared" si="270"/>
        <v>0</v>
      </c>
      <c r="BF76" s="116">
        <f t="shared" si="270"/>
        <v>0</v>
      </c>
      <c r="BG76" s="116">
        <f t="shared" si="270"/>
        <v>0</v>
      </c>
      <c r="BH76" s="116">
        <f t="shared" si="270"/>
        <v>0</v>
      </c>
      <c r="BI76" s="116">
        <f t="shared" si="270"/>
        <v>0</v>
      </c>
      <c r="BJ76" s="116">
        <f t="shared" si="270"/>
        <v>0</v>
      </c>
      <c r="BK76" s="252">
        <f t="shared" si="270"/>
        <v>0</v>
      </c>
      <c r="BL76" s="116">
        <f t="shared" si="270"/>
        <v>0</v>
      </c>
      <c r="BM76" s="116">
        <f t="shared" si="270"/>
        <v>0</v>
      </c>
      <c r="BN76" s="116">
        <f t="shared" si="270"/>
        <v>0</v>
      </c>
      <c r="BO76" s="116">
        <f t="shared" si="270"/>
        <v>0</v>
      </c>
      <c r="BP76" s="116">
        <f t="shared" si="270"/>
        <v>0</v>
      </c>
      <c r="BQ76" s="116">
        <f t="shared" si="270"/>
        <v>0</v>
      </c>
      <c r="BR76" s="116">
        <f t="shared" si="270"/>
        <v>0</v>
      </c>
      <c r="BS76" s="116">
        <f t="shared" si="270"/>
        <v>0</v>
      </c>
      <c r="BT76" s="116">
        <f t="shared" si="270"/>
        <v>0</v>
      </c>
      <c r="BU76" s="116">
        <f t="shared" si="270"/>
        <v>0</v>
      </c>
      <c r="BV76" s="116">
        <f t="shared" si="270"/>
        <v>0</v>
      </c>
      <c r="BW76" s="252">
        <f t="shared" si="270"/>
        <v>0</v>
      </c>
      <c r="BX76" s="116">
        <f t="shared" si="270"/>
        <v>0</v>
      </c>
      <c r="BY76" s="116">
        <f t="shared" si="270"/>
        <v>0</v>
      </c>
      <c r="BZ76" s="116">
        <f t="shared" si="270"/>
        <v>0</v>
      </c>
      <c r="CA76" s="116">
        <f t="shared" si="270"/>
        <v>0</v>
      </c>
      <c r="CB76" s="116">
        <f t="shared" si="270"/>
        <v>0</v>
      </c>
      <c r="CC76" s="116">
        <f t="shared" si="270"/>
        <v>0</v>
      </c>
      <c r="CD76" s="116">
        <f t="shared" ref="CD76:DG76" si="271">+IF(CD1&lt;&gt;CC1, CC76*1.1, CC76)</f>
        <v>0</v>
      </c>
      <c r="CE76" s="116">
        <f t="shared" si="271"/>
        <v>0</v>
      </c>
      <c r="CF76" s="116">
        <f t="shared" si="271"/>
        <v>0</v>
      </c>
      <c r="CG76" s="116">
        <f t="shared" si="271"/>
        <v>0</v>
      </c>
      <c r="CH76" s="116">
        <f t="shared" si="271"/>
        <v>0</v>
      </c>
      <c r="CI76" s="252">
        <f t="shared" si="271"/>
        <v>0</v>
      </c>
      <c r="CJ76" s="116">
        <f t="shared" si="271"/>
        <v>0</v>
      </c>
      <c r="CK76" s="116">
        <f t="shared" si="271"/>
        <v>0</v>
      </c>
      <c r="CL76" s="116">
        <f t="shared" si="271"/>
        <v>0</v>
      </c>
      <c r="CM76" s="116">
        <f t="shared" si="271"/>
        <v>0</v>
      </c>
      <c r="CN76" s="116">
        <f t="shared" si="271"/>
        <v>0</v>
      </c>
      <c r="CO76" s="116">
        <f t="shared" si="271"/>
        <v>0</v>
      </c>
      <c r="CP76" s="116">
        <f t="shared" si="271"/>
        <v>0</v>
      </c>
      <c r="CQ76" s="116">
        <f t="shared" si="271"/>
        <v>0</v>
      </c>
      <c r="CR76" s="116">
        <f t="shared" si="271"/>
        <v>0</v>
      </c>
      <c r="CS76" s="116">
        <f t="shared" si="271"/>
        <v>0</v>
      </c>
      <c r="CT76" s="116">
        <f t="shared" si="271"/>
        <v>0</v>
      </c>
      <c r="CU76" s="252">
        <f t="shared" si="271"/>
        <v>0</v>
      </c>
      <c r="CV76" s="116">
        <f t="shared" si="271"/>
        <v>0</v>
      </c>
      <c r="CW76" s="116">
        <f t="shared" si="271"/>
        <v>0</v>
      </c>
      <c r="CX76" s="116">
        <f t="shared" si="271"/>
        <v>0</v>
      </c>
      <c r="CY76" s="116">
        <f t="shared" si="271"/>
        <v>0</v>
      </c>
      <c r="CZ76" s="116">
        <f t="shared" si="271"/>
        <v>0</v>
      </c>
      <c r="DA76" s="116">
        <f t="shared" si="271"/>
        <v>0</v>
      </c>
      <c r="DB76" s="116">
        <f t="shared" si="271"/>
        <v>0</v>
      </c>
      <c r="DC76" s="116">
        <f t="shared" si="271"/>
        <v>0</v>
      </c>
      <c r="DD76" s="116">
        <f t="shared" si="271"/>
        <v>0</v>
      </c>
      <c r="DE76" s="116">
        <f t="shared" si="271"/>
        <v>0</v>
      </c>
      <c r="DF76" s="116">
        <f t="shared" si="271"/>
        <v>0</v>
      </c>
      <c r="DG76" s="116">
        <f t="shared" si="271"/>
        <v>0</v>
      </c>
    </row>
    <row r="77" spans="1:111" s="5" customFormat="1" x14ac:dyDescent="0.25">
      <c r="A77"/>
      <c r="B77" s="1" t="s">
        <v>319</v>
      </c>
      <c r="C77" s="1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>
        <v>90.45</v>
      </c>
      <c r="AE77" s="116">
        <v>25.46</v>
      </c>
      <c r="AF77" s="116">
        <v>25.46</v>
      </c>
      <c r="AG77" s="116">
        <v>25.46</v>
      </c>
      <c r="AH77" s="116">
        <v>42.22</v>
      </c>
      <c r="AI77" s="116">
        <v>29.48</v>
      </c>
      <c r="AJ77" s="116">
        <v>14.41</v>
      </c>
      <c r="AK77" s="116">
        <v>43.23</v>
      </c>
      <c r="AL77" s="116">
        <v>14.41</v>
      </c>
      <c r="AM77" s="116">
        <v>28.82</v>
      </c>
      <c r="AN77" s="116">
        <v>14.41</v>
      </c>
      <c r="AO77" s="116">
        <v>14.41</v>
      </c>
      <c r="AP77" s="116">
        <v>14.41</v>
      </c>
      <c r="AQ77" s="116">
        <v>14.41</v>
      </c>
      <c r="AR77" s="116">
        <v>28.82</v>
      </c>
      <c r="AS77" s="116">
        <v>14.41</v>
      </c>
      <c r="AT77" s="116">
        <v>28.82</v>
      </c>
      <c r="AU77" s="116">
        <v>28.82</v>
      </c>
      <c r="AV77" s="116">
        <v>14.41</v>
      </c>
      <c r="AW77" s="252">
        <v>28.82</v>
      </c>
      <c r="AX77" s="631">
        <f t="shared" ref="AX77:CC77" si="272">+IF(AX1&lt;&gt;AW1, AW77*1.1, AW77)</f>
        <v>28.82</v>
      </c>
      <c r="AY77" s="252">
        <f t="shared" si="272"/>
        <v>28.82</v>
      </c>
      <c r="AZ77" s="116">
        <f t="shared" si="272"/>
        <v>31.702000000000002</v>
      </c>
      <c r="BA77" s="116">
        <f t="shared" si="272"/>
        <v>31.702000000000002</v>
      </c>
      <c r="BB77" s="116">
        <f t="shared" si="272"/>
        <v>31.702000000000002</v>
      </c>
      <c r="BC77" s="116">
        <f t="shared" si="272"/>
        <v>31.702000000000002</v>
      </c>
      <c r="BD77" s="116">
        <f t="shared" si="272"/>
        <v>31.702000000000002</v>
      </c>
      <c r="BE77" s="116">
        <f t="shared" si="272"/>
        <v>31.702000000000002</v>
      </c>
      <c r="BF77" s="116">
        <f t="shared" si="272"/>
        <v>31.702000000000002</v>
      </c>
      <c r="BG77" s="116">
        <f t="shared" si="272"/>
        <v>31.702000000000002</v>
      </c>
      <c r="BH77" s="116">
        <f t="shared" si="272"/>
        <v>31.702000000000002</v>
      </c>
      <c r="BI77" s="116">
        <f t="shared" si="272"/>
        <v>31.702000000000002</v>
      </c>
      <c r="BJ77" s="116">
        <f t="shared" si="272"/>
        <v>31.702000000000002</v>
      </c>
      <c r="BK77" s="252">
        <f t="shared" si="272"/>
        <v>31.702000000000002</v>
      </c>
      <c r="BL77" s="116">
        <f t="shared" si="272"/>
        <v>34.872200000000007</v>
      </c>
      <c r="BM77" s="116">
        <f t="shared" si="272"/>
        <v>34.872200000000007</v>
      </c>
      <c r="BN77" s="116">
        <f t="shared" si="272"/>
        <v>34.872200000000007</v>
      </c>
      <c r="BO77" s="116">
        <f t="shared" si="272"/>
        <v>34.872200000000007</v>
      </c>
      <c r="BP77" s="116">
        <f t="shared" si="272"/>
        <v>34.872200000000007</v>
      </c>
      <c r="BQ77" s="116">
        <f t="shared" si="272"/>
        <v>34.872200000000007</v>
      </c>
      <c r="BR77" s="116">
        <f t="shared" si="272"/>
        <v>34.872200000000007</v>
      </c>
      <c r="BS77" s="116">
        <f t="shared" si="272"/>
        <v>34.872200000000007</v>
      </c>
      <c r="BT77" s="116">
        <f t="shared" si="272"/>
        <v>34.872200000000007</v>
      </c>
      <c r="BU77" s="116">
        <f t="shared" si="272"/>
        <v>34.872200000000007</v>
      </c>
      <c r="BV77" s="116">
        <f t="shared" si="272"/>
        <v>34.872200000000007</v>
      </c>
      <c r="BW77" s="252">
        <f t="shared" si="272"/>
        <v>34.872200000000007</v>
      </c>
      <c r="BX77" s="116">
        <f t="shared" si="272"/>
        <v>38.359420000000007</v>
      </c>
      <c r="BY77" s="116">
        <f t="shared" si="272"/>
        <v>38.359420000000007</v>
      </c>
      <c r="BZ77" s="116">
        <f t="shared" si="272"/>
        <v>38.359420000000007</v>
      </c>
      <c r="CA77" s="116">
        <f t="shared" si="272"/>
        <v>38.359420000000007</v>
      </c>
      <c r="CB77" s="116">
        <f t="shared" si="272"/>
        <v>38.359420000000007</v>
      </c>
      <c r="CC77" s="116">
        <f t="shared" si="272"/>
        <v>38.359420000000007</v>
      </c>
      <c r="CD77" s="116">
        <f t="shared" ref="CD77:DG77" si="273">+IF(CD1&lt;&gt;CC1, CC77*1.1, CC77)</f>
        <v>38.359420000000007</v>
      </c>
      <c r="CE77" s="116">
        <f t="shared" si="273"/>
        <v>38.359420000000007</v>
      </c>
      <c r="CF77" s="116">
        <f t="shared" si="273"/>
        <v>38.359420000000007</v>
      </c>
      <c r="CG77" s="116">
        <f t="shared" si="273"/>
        <v>38.359420000000007</v>
      </c>
      <c r="CH77" s="116">
        <f t="shared" si="273"/>
        <v>38.359420000000007</v>
      </c>
      <c r="CI77" s="252">
        <f t="shared" si="273"/>
        <v>38.359420000000007</v>
      </c>
      <c r="CJ77" s="116">
        <f t="shared" si="273"/>
        <v>42.19536200000001</v>
      </c>
      <c r="CK77" s="116">
        <f t="shared" si="273"/>
        <v>42.19536200000001</v>
      </c>
      <c r="CL77" s="116">
        <f t="shared" si="273"/>
        <v>42.19536200000001</v>
      </c>
      <c r="CM77" s="116">
        <f t="shared" si="273"/>
        <v>42.19536200000001</v>
      </c>
      <c r="CN77" s="116">
        <f t="shared" si="273"/>
        <v>42.19536200000001</v>
      </c>
      <c r="CO77" s="116">
        <f t="shared" si="273"/>
        <v>42.19536200000001</v>
      </c>
      <c r="CP77" s="116">
        <f t="shared" si="273"/>
        <v>42.19536200000001</v>
      </c>
      <c r="CQ77" s="116">
        <f t="shared" si="273"/>
        <v>42.19536200000001</v>
      </c>
      <c r="CR77" s="116">
        <f t="shared" si="273"/>
        <v>42.19536200000001</v>
      </c>
      <c r="CS77" s="116">
        <f t="shared" si="273"/>
        <v>42.19536200000001</v>
      </c>
      <c r="CT77" s="116">
        <f t="shared" si="273"/>
        <v>42.19536200000001</v>
      </c>
      <c r="CU77" s="252">
        <f t="shared" si="273"/>
        <v>42.19536200000001</v>
      </c>
      <c r="CV77" s="116">
        <f t="shared" si="273"/>
        <v>46.414898200000017</v>
      </c>
      <c r="CW77" s="116">
        <f t="shared" si="273"/>
        <v>46.414898200000017</v>
      </c>
      <c r="CX77" s="116">
        <f t="shared" si="273"/>
        <v>46.414898200000017</v>
      </c>
      <c r="CY77" s="116">
        <f t="shared" si="273"/>
        <v>46.414898200000017</v>
      </c>
      <c r="CZ77" s="116">
        <f t="shared" si="273"/>
        <v>46.414898200000017</v>
      </c>
      <c r="DA77" s="116">
        <f t="shared" si="273"/>
        <v>46.414898200000017</v>
      </c>
      <c r="DB77" s="116">
        <f t="shared" si="273"/>
        <v>46.414898200000017</v>
      </c>
      <c r="DC77" s="116">
        <f t="shared" si="273"/>
        <v>46.414898200000017</v>
      </c>
      <c r="DD77" s="116">
        <f t="shared" si="273"/>
        <v>46.414898200000017</v>
      </c>
      <c r="DE77" s="116">
        <f t="shared" si="273"/>
        <v>46.414898200000017</v>
      </c>
      <c r="DF77" s="116">
        <f t="shared" si="273"/>
        <v>46.414898200000017</v>
      </c>
      <c r="DG77" s="116">
        <f t="shared" si="273"/>
        <v>46.414898200000017</v>
      </c>
    </row>
    <row r="78" spans="1:111" x14ac:dyDescent="0.25">
      <c r="B78" s="4" t="s">
        <v>320</v>
      </c>
      <c r="C78" s="4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>
        <f>SUM(AB75:AB77)</f>
        <v>264.52999999999997</v>
      </c>
      <c r="AC78" s="56">
        <f t="shared" ref="AC78:CN78" si="274">SUM(AC75:AC77)</f>
        <v>0</v>
      </c>
      <c r="AD78" s="56">
        <f t="shared" si="274"/>
        <v>90.45</v>
      </c>
      <c r="AE78" s="56">
        <f t="shared" si="274"/>
        <v>287.58999999999997</v>
      </c>
      <c r="AF78" s="56">
        <f t="shared" si="274"/>
        <v>25.46</v>
      </c>
      <c r="AG78" s="56">
        <f t="shared" si="274"/>
        <v>25.46</v>
      </c>
      <c r="AH78" s="56">
        <f t="shared" si="274"/>
        <v>42.22</v>
      </c>
      <c r="AI78" s="56">
        <f t="shared" si="274"/>
        <v>37.480000000000004</v>
      </c>
      <c r="AJ78" s="56">
        <f t="shared" ref="AJ78:AT78" si="275">SUM(AJ75:AJ77)</f>
        <v>14.41</v>
      </c>
      <c r="AK78" s="56">
        <f t="shared" si="275"/>
        <v>43.23</v>
      </c>
      <c r="AL78" s="56">
        <f t="shared" si="275"/>
        <v>183.38</v>
      </c>
      <c r="AM78" s="56">
        <f t="shared" si="275"/>
        <v>28.82</v>
      </c>
      <c r="AN78" s="56">
        <f t="shared" si="275"/>
        <v>14.41</v>
      </c>
      <c r="AO78" s="56">
        <f t="shared" si="275"/>
        <v>14.41</v>
      </c>
      <c r="AP78" s="56">
        <f t="shared" si="275"/>
        <v>41.31</v>
      </c>
      <c r="AQ78" s="56">
        <f t="shared" si="275"/>
        <v>14.41</v>
      </c>
      <c r="AR78" s="56">
        <f t="shared" si="275"/>
        <v>28.82</v>
      </c>
      <c r="AS78" s="56">
        <f t="shared" si="275"/>
        <v>14.41</v>
      </c>
      <c r="AT78" s="56">
        <f t="shared" si="275"/>
        <v>33.82</v>
      </c>
      <c r="AU78" s="56">
        <f t="shared" ref="AU78:AV78" si="276">SUM(AU75:AU77)</f>
        <v>28.82</v>
      </c>
      <c r="AV78" s="56">
        <f t="shared" si="276"/>
        <v>14.41</v>
      </c>
      <c r="AW78" s="253">
        <f t="shared" ref="AW78" si="277">SUM(AW75:AW77)</f>
        <v>28.82</v>
      </c>
      <c r="AX78" s="56">
        <f t="shared" ref="AX78" si="278">SUM(AX75:AX77)</f>
        <v>78.819999999999993</v>
      </c>
      <c r="AY78" s="253">
        <f t="shared" si="274"/>
        <v>78.819999999999993</v>
      </c>
      <c r="AZ78" s="56">
        <f t="shared" si="274"/>
        <v>81.701999999999998</v>
      </c>
      <c r="BA78" s="56">
        <f t="shared" si="274"/>
        <v>81.701999999999998</v>
      </c>
      <c r="BB78" s="56">
        <f t="shared" si="274"/>
        <v>81.701999999999998</v>
      </c>
      <c r="BC78" s="56">
        <f t="shared" si="274"/>
        <v>81.701999999999998</v>
      </c>
      <c r="BD78" s="56">
        <f t="shared" si="274"/>
        <v>81.701999999999998</v>
      </c>
      <c r="BE78" s="56">
        <f t="shared" si="274"/>
        <v>81.701999999999998</v>
      </c>
      <c r="BF78" s="56">
        <f t="shared" si="274"/>
        <v>81.701999999999998</v>
      </c>
      <c r="BG78" s="56">
        <f t="shared" si="274"/>
        <v>81.701999999999998</v>
      </c>
      <c r="BH78" s="56">
        <f t="shared" si="274"/>
        <v>81.701999999999998</v>
      </c>
      <c r="BI78" s="56">
        <f t="shared" si="274"/>
        <v>81.701999999999998</v>
      </c>
      <c r="BJ78" s="56">
        <f t="shared" si="274"/>
        <v>81.701999999999998</v>
      </c>
      <c r="BK78" s="253">
        <f t="shared" si="274"/>
        <v>81.701999999999998</v>
      </c>
      <c r="BL78" s="56">
        <f t="shared" si="274"/>
        <v>84.872200000000007</v>
      </c>
      <c r="BM78" s="56">
        <f t="shared" si="274"/>
        <v>84.872200000000007</v>
      </c>
      <c r="BN78" s="56">
        <f t="shared" si="274"/>
        <v>84.872200000000007</v>
      </c>
      <c r="BO78" s="56">
        <f t="shared" si="274"/>
        <v>84.872200000000007</v>
      </c>
      <c r="BP78" s="56">
        <f t="shared" si="274"/>
        <v>84.872200000000007</v>
      </c>
      <c r="BQ78" s="56">
        <f t="shared" si="274"/>
        <v>84.872200000000007</v>
      </c>
      <c r="BR78" s="56">
        <f t="shared" si="274"/>
        <v>84.872200000000007</v>
      </c>
      <c r="BS78" s="56">
        <f t="shared" si="274"/>
        <v>84.872200000000007</v>
      </c>
      <c r="BT78" s="56">
        <f t="shared" si="274"/>
        <v>84.872200000000007</v>
      </c>
      <c r="BU78" s="56">
        <f t="shared" si="274"/>
        <v>84.872200000000007</v>
      </c>
      <c r="BV78" s="56">
        <f t="shared" si="274"/>
        <v>84.872200000000007</v>
      </c>
      <c r="BW78" s="253">
        <f t="shared" si="274"/>
        <v>84.872200000000007</v>
      </c>
      <c r="BX78" s="56">
        <f t="shared" si="274"/>
        <v>88.35942</v>
      </c>
      <c r="BY78" s="56">
        <f t="shared" si="274"/>
        <v>88.35942</v>
      </c>
      <c r="BZ78" s="56">
        <f t="shared" si="274"/>
        <v>88.35942</v>
      </c>
      <c r="CA78" s="56">
        <f t="shared" si="274"/>
        <v>88.35942</v>
      </c>
      <c r="CB78" s="56">
        <f t="shared" si="274"/>
        <v>88.35942</v>
      </c>
      <c r="CC78" s="56">
        <f t="shared" si="274"/>
        <v>88.35942</v>
      </c>
      <c r="CD78" s="56">
        <f t="shared" si="274"/>
        <v>88.35942</v>
      </c>
      <c r="CE78" s="56">
        <f t="shared" si="274"/>
        <v>88.35942</v>
      </c>
      <c r="CF78" s="56">
        <f t="shared" si="274"/>
        <v>88.35942</v>
      </c>
      <c r="CG78" s="56">
        <f t="shared" si="274"/>
        <v>88.35942</v>
      </c>
      <c r="CH78" s="56">
        <f t="shared" si="274"/>
        <v>88.35942</v>
      </c>
      <c r="CI78" s="253">
        <f t="shared" si="274"/>
        <v>88.35942</v>
      </c>
      <c r="CJ78" s="56">
        <f t="shared" si="274"/>
        <v>92.195362000000017</v>
      </c>
      <c r="CK78" s="56">
        <f t="shared" si="274"/>
        <v>92.195362000000017</v>
      </c>
      <c r="CL78" s="56">
        <f t="shared" si="274"/>
        <v>92.195362000000017</v>
      </c>
      <c r="CM78" s="56">
        <f t="shared" si="274"/>
        <v>92.195362000000017</v>
      </c>
      <c r="CN78" s="56">
        <f t="shared" si="274"/>
        <v>92.195362000000017</v>
      </c>
      <c r="CO78" s="56">
        <f t="shared" ref="CO78:DG78" si="279">SUM(CO75:CO77)</f>
        <v>92.195362000000017</v>
      </c>
      <c r="CP78" s="56">
        <f t="shared" si="279"/>
        <v>92.195362000000017</v>
      </c>
      <c r="CQ78" s="56">
        <f t="shared" si="279"/>
        <v>92.195362000000017</v>
      </c>
      <c r="CR78" s="56">
        <f t="shared" si="279"/>
        <v>92.195362000000017</v>
      </c>
      <c r="CS78" s="56">
        <f t="shared" si="279"/>
        <v>92.195362000000017</v>
      </c>
      <c r="CT78" s="56">
        <f t="shared" si="279"/>
        <v>92.195362000000017</v>
      </c>
      <c r="CU78" s="253">
        <f t="shared" si="279"/>
        <v>92.195362000000017</v>
      </c>
      <c r="CV78" s="56">
        <f t="shared" si="279"/>
        <v>96.41489820000001</v>
      </c>
      <c r="CW78" s="56">
        <f t="shared" si="279"/>
        <v>96.41489820000001</v>
      </c>
      <c r="CX78" s="56">
        <f t="shared" si="279"/>
        <v>96.41489820000001</v>
      </c>
      <c r="CY78" s="56">
        <f t="shared" si="279"/>
        <v>96.41489820000001</v>
      </c>
      <c r="CZ78" s="56">
        <f t="shared" si="279"/>
        <v>96.41489820000001</v>
      </c>
      <c r="DA78" s="56">
        <f t="shared" si="279"/>
        <v>96.41489820000001</v>
      </c>
      <c r="DB78" s="56">
        <f t="shared" si="279"/>
        <v>96.41489820000001</v>
      </c>
      <c r="DC78" s="56">
        <f t="shared" si="279"/>
        <v>96.41489820000001</v>
      </c>
      <c r="DD78" s="56">
        <f t="shared" si="279"/>
        <v>96.41489820000001</v>
      </c>
      <c r="DE78" s="56">
        <f t="shared" si="279"/>
        <v>96.41489820000001</v>
      </c>
      <c r="DF78" s="56">
        <f t="shared" si="279"/>
        <v>96.41489820000001</v>
      </c>
      <c r="DG78" s="56">
        <f t="shared" si="279"/>
        <v>96.41489820000001</v>
      </c>
    </row>
    <row r="79" spans="1:111" x14ac:dyDescent="0.25">
      <c r="B79" s="1" t="s">
        <v>334</v>
      </c>
      <c r="C79" s="1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254"/>
      <c r="AX79" s="58"/>
      <c r="AY79" s="254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254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254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254"/>
      <c r="CJ79" s="58"/>
      <c r="CK79" s="58"/>
      <c r="CL79" s="58"/>
      <c r="CM79" s="58"/>
      <c r="CN79" s="58"/>
      <c r="CO79" s="58"/>
      <c r="CP79" s="58"/>
      <c r="CQ79" s="58"/>
      <c r="CR79" s="58"/>
      <c r="CS79" s="58"/>
      <c r="CT79" s="58"/>
      <c r="CU79" s="254"/>
      <c r="CV79" s="58"/>
      <c r="CW79" s="58"/>
      <c r="CX79" s="58"/>
      <c r="CY79" s="58"/>
      <c r="CZ79" s="58"/>
      <c r="DA79" s="58"/>
      <c r="DB79" s="58"/>
      <c r="DC79" s="58"/>
      <c r="DD79" s="58"/>
      <c r="DE79" s="58"/>
      <c r="DF79" s="58"/>
      <c r="DG79" s="58"/>
    </row>
    <row r="80" spans="1:111" x14ac:dyDescent="0.25">
      <c r="B80" s="1" t="s">
        <v>335</v>
      </c>
      <c r="C80" s="1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116">
        <v>400</v>
      </c>
      <c r="AK80" s="116">
        <v>284.47000000000003</v>
      </c>
      <c r="AL80" s="116">
        <v>330.08</v>
      </c>
      <c r="AM80" s="116">
        <v>280.5</v>
      </c>
      <c r="AN80" s="116">
        <v>211.67</v>
      </c>
      <c r="AO80" s="116">
        <v>368.33</v>
      </c>
      <c r="AP80" s="116">
        <v>353.33</v>
      </c>
      <c r="AQ80" s="116">
        <v>330</v>
      </c>
      <c r="AR80" s="116">
        <v>297.5</v>
      </c>
      <c r="AS80" s="116">
        <v>276.25</v>
      </c>
      <c r="AT80" s="116">
        <v>382.5</v>
      </c>
      <c r="AU80" s="116">
        <v>297.5</v>
      </c>
      <c r="AV80" s="116">
        <v>318.75</v>
      </c>
      <c r="AW80" s="252">
        <v>383.75</v>
      </c>
      <c r="AX80" s="631">
        <v>350</v>
      </c>
      <c r="AY80" s="252">
        <f t="shared" ref="AY80:CZ80" si="280">+IF(AX$1&lt;&gt;AY$1, AX80*1.1, AX80)</f>
        <v>350</v>
      </c>
      <c r="AZ80" s="116">
        <f t="shared" si="280"/>
        <v>385.00000000000006</v>
      </c>
      <c r="BA80" s="116">
        <f t="shared" si="280"/>
        <v>385.00000000000006</v>
      </c>
      <c r="BB80" s="116">
        <f t="shared" si="280"/>
        <v>385.00000000000006</v>
      </c>
      <c r="BC80" s="116">
        <f t="shared" si="280"/>
        <v>385.00000000000006</v>
      </c>
      <c r="BD80" s="116">
        <f t="shared" si="280"/>
        <v>385.00000000000006</v>
      </c>
      <c r="BE80" s="116">
        <f t="shared" si="280"/>
        <v>385.00000000000006</v>
      </c>
      <c r="BF80" s="116">
        <f t="shared" si="280"/>
        <v>385.00000000000006</v>
      </c>
      <c r="BG80" s="116">
        <f t="shared" si="280"/>
        <v>385.00000000000006</v>
      </c>
      <c r="BH80" s="116">
        <f t="shared" si="280"/>
        <v>385.00000000000006</v>
      </c>
      <c r="BI80" s="116">
        <f t="shared" si="280"/>
        <v>385.00000000000006</v>
      </c>
      <c r="BJ80" s="116">
        <f t="shared" si="280"/>
        <v>385.00000000000006</v>
      </c>
      <c r="BK80" s="252">
        <f t="shared" si="280"/>
        <v>385.00000000000006</v>
      </c>
      <c r="BL80" s="116">
        <f t="shared" si="280"/>
        <v>423.50000000000011</v>
      </c>
      <c r="BM80" s="116">
        <f t="shared" si="280"/>
        <v>423.50000000000011</v>
      </c>
      <c r="BN80" s="116">
        <f t="shared" si="280"/>
        <v>423.50000000000011</v>
      </c>
      <c r="BO80" s="116">
        <f t="shared" si="280"/>
        <v>423.50000000000011</v>
      </c>
      <c r="BP80" s="116">
        <f t="shared" si="280"/>
        <v>423.50000000000011</v>
      </c>
      <c r="BQ80" s="116">
        <f t="shared" si="280"/>
        <v>423.50000000000011</v>
      </c>
      <c r="BR80" s="116">
        <f t="shared" si="280"/>
        <v>423.50000000000011</v>
      </c>
      <c r="BS80" s="116">
        <f t="shared" si="280"/>
        <v>423.50000000000011</v>
      </c>
      <c r="BT80" s="116">
        <f t="shared" si="280"/>
        <v>423.50000000000011</v>
      </c>
      <c r="BU80" s="116">
        <f t="shared" si="280"/>
        <v>423.50000000000011</v>
      </c>
      <c r="BV80" s="116">
        <f t="shared" si="280"/>
        <v>423.50000000000011</v>
      </c>
      <c r="BW80" s="252">
        <f t="shared" si="280"/>
        <v>423.50000000000011</v>
      </c>
      <c r="BX80" s="116">
        <f t="shared" si="280"/>
        <v>465.85000000000014</v>
      </c>
      <c r="BY80" s="116">
        <f t="shared" si="280"/>
        <v>465.85000000000014</v>
      </c>
      <c r="BZ80" s="116">
        <f t="shared" si="280"/>
        <v>465.85000000000014</v>
      </c>
      <c r="CA80" s="116">
        <f t="shared" si="280"/>
        <v>465.85000000000014</v>
      </c>
      <c r="CB80" s="116">
        <f t="shared" si="280"/>
        <v>465.85000000000014</v>
      </c>
      <c r="CC80" s="116">
        <f t="shared" si="280"/>
        <v>465.85000000000014</v>
      </c>
      <c r="CD80" s="116">
        <f t="shared" si="280"/>
        <v>465.85000000000014</v>
      </c>
      <c r="CE80" s="116">
        <f t="shared" si="280"/>
        <v>465.85000000000014</v>
      </c>
      <c r="CF80" s="116">
        <f t="shared" si="280"/>
        <v>465.85000000000014</v>
      </c>
      <c r="CG80" s="116">
        <f t="shared" si="280"/>
        <v>465.85000000000014</v>
      </c>
      <c r="CH80" s="116">
        <f t="shared" si="280"/>
        <v>465.85000000000014</v>
      </c>
      <c r="CI80" s="252">
        <f t="shared" si="280"/>
        <v>465.85000000000014</v>
      </c>
      <c r="CJ80" s="116">
        <f t="shared" si="280"/>
        <v>512.43500000000017</v>
      </c>
      <c r="CK80" s="116">
        <f t="shared" si="280"/>
        <v>512.43500000000017</v>
      </c>
      <c r="CL80" s="116">
        <f t="shared" si="280"/>
        <v>512.43500000000017</v>
      </c>
      <c r="CM80" s="116">
        <f t="shared" si="280"/>
        <v>512.43500000000017</v>
      </c>
      <c r="CN80" s="116">
        <f t="shared" si="280"/>
        <v>512.43500000000017</v>
      </c>
      <c r="CO80" s="116">
        <f t="shared" si="280"/>
        <v>512.43500000000017</v>
      </c>
      <c r="CP80" s="116">
        <f t="shared" si="280"/>
        <v>512.43500000000017</v>
      </c>
      <c r="CQ80" s="116">
        <f t="shared" si="280"/>
        <v>512.43500000000017</v>
      </c>
      <c r="CR80" s="116">
        <f t="shared" si="280"/>
        <v>512.43500000000017</v>
      </c>
      <c r="CS80" s="116">
        <f t="shared" si="280"/>
        <v>512.43500000000017</v>
      </c>
      <c r="CT80" s="116">
        <f t="shared" si="280"/>
        <v>512.43500000000017</v>
      </c>
      <c r="CU80" s="252">
        <f t="shared" si="280"/>
        <v>512.43500000000017</v>
      </c>
      <c r="CV80" s="116">
        <f t="shared" si="280"/>
        <v>563.67850000000021</v>
      </c>
      <c r="CW80" s="116">
        <f t="shared" si="280"/>
        <v>563.67850000000021</v>
      </c>
      <c r="CX80" s="116">
        <f t="shared" si="280"/>
        <v>563.67850000000021</v>
      </c>
      <c r="CY80" s="116">
        <f t="shared" si="280"/>
        <v>563.67850000000021</v>
      </c>
      <c r="CZ80" s="116">
        <f t="shared" si="280"/>
        <v>563.67850000000021</v>
      </c>
      <c r="DA80" s="116">
        <f t="shared" ref="DA80:DG80" si="281">+IF(CZ$1&lt;&gt;DA$1, CZ80*1.1, CZ80)</f>
        <v>563.67850000000021</v>
      </c>
      <c r="DB80" s="116">
        <f t="shared" si="281"/>
        <v>563.67850000000021</v>
      </c>
      <c r="DC80" s="116">
        <f t="shared" si="281"/>
        <v>563.67850000000021</v>
      </c>
      <c r="DD80" s="116">
        <f t="shared" si="281"/>
        <v>563.67850000000021</v>
      </c>
      <c r="DE80" s="116">
        <f t="shared" si="281"/>
        <v>563.67850000000021</v>
      </c>
      <c r="DF80" s="116">
        <f t="shared" si="281"/>
        <v>563.67850000000021</v>
      </c>
      <c r="DG80" s="116">
        <f t="shared" si="281"/>
        <v>563.67850000000021</v>
      </c>
    </row>
    <row r="81" spans="1:111" x14ac:dyDescent="0.25">
      <c r="B81" s="1" t="s">
        <v>388</v>
      </c>
      <c r="C81" s="1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116"/>
      <c r="AK81" s="116"/>
      <c r="AL81" s="116"/>
      <c r="AM81" s="116"/>
      <c r="AN81" s="116"/>
      <c r="AO81" s="116"/>
      <c r="AP81" s="116"/>
      <c r="AQ81" s="116"/>
      <c r="AR81" s="116">
        <v>75.510000000000005</v>
      </c>
      <c r="AS81" s="116">
        <v>0</v>
      </c>
      <c r="AT81" s="116">
        <v>0</v>
      </c>
      <c r="AU81" s="116">
        <v>0</v>
      </c>
      <c r="AV81" s="116">
        <v>0</v>
      </c>
      <c r="AW81" s="252">
        <v>0</v>
      </c>
      <c r="AX81" s="631">
        <f t="shared" ref="AX81:AZ81" si="282">+AL81</f>
        <v>0</v>
      </c>
      <c r="AY81" s="252">
        <f t="shared" si="282"/>
        <v>0</v>
      </c>
      <c r="AZ81" s="116">
        <f t="shared" si="282"/>
        <v>0</v>
      </c>
      <c r="BA81" s="116">
        <f t="shared" ref="BA81:DG81" si="283">+AO81</f>
        <v>0</v>
      </c>
      <c r="BB81" s="116">
        <f t="shared" si="283"/>
        <v>0</v>
      </c>
      <c r="BC81" s="116">
        <f t="shared" si="283"/>
        <v>0</v>
      </c>
      <c r="BD81" s="116">
        <f t="shared" si="283"/>
        <v>75.510000000000005</v>
      </c>
      <c r="BE81" s="116">
        <f t="shared" si="283"/>
        <v>0</v>
      </c>
      <c r="BF81" s="116">
        <f t="shared" si="283"/>
        <v>0</v>
      </c>
      <c r="BG81" s="116">
        <f t="shared" si="283"/>
        <v>0</v>
      </c>
      <c r="BH81" s="116">
        <f t="shared" si="283"/>
        <v>0</v>
      </c>
      <c r="BI81" s="116">
        <f t="shared" si="283"/>
        <v>0</v>
      </c>
      <c r="BJ81" s="116">
        <f t="shared" si="283"/>
        <v>0</v>
      </c>
      <c r="BK81" s="252">
        <f t="shared" si="283"/>
        <v>0</v>
      </c>
      <c r="BL81" s="116">
        <f t="shared" si="283"/>
        <v>0</v>
      </c>
      <c r="BM81" s="116">
        <f t="shared" si="283"/>
        <v>0</v>
      </c>
      <c r="BN81" s="116">
        <f t="shared" si="283"/>
        <v>0</v>
      </c>
      <c r="BO81" s="116">
        <f t="shared" si="283"/>
        <v>0</v>
      </c>
      <c r="BP81" s="116">
        <f t="shared" si="283"/>
        <v>75.510000000000005</v>
      </c>
      <c r="BQ81" s="116">
        <f t="shared" si="283"/>
        <v>0</v>
      </c>
      <c r="BR81" s="116">
        <f t="shared" si="283"/>
        <v>0</v>
      </c>
      <c r="BS81" s="116">
        <f t="shared" si="283"/>
        <v>0</v>
      </c>
      <c r="BT81" s="116">
        <f t="shared" si="283"/>
        <v>0</v>
      </c>
      <c r="BU81" s="116">
        <f t="shared" si="283"/>
        <v>0</v>
      </c>
      <c r="BV81" s="116">
        <f t="shared" si="283"/>
        <v>0</v>
      </c>
      <c r="BW81" s="252">
        <f t="shared" si="283"/>
        <v>0</v>
      </c>
      <c r="BX81" s="116">
        <f t="shared" si="283"/>
        <v>0</v>
      </c>
      <c r="BY81" s="116">
        <f t="shared" si="283"/>
        <v>0</v>
      </c>
      <c r="BZ81" s="116">
        <f t="shared" si="283"/>
        <v>0</v>
      </c>
      <c r="CA81" s="116">
        <f t="shared" si="283"/>
        <v>0</v>
      </c>
      <c r="CB81" s="116">
        <f t="shared" si="283"/>
        <v>75.510000000000005</v>
      </c>
      <c r="CC81" s="116">
        <f t="shared" si="283"/>
        <v>0</v>
      </c>
      <c r="CD81" s="116">
        <f t="shared" si="283"/>
        <v>0</v>
      </c>
      <c r="CE81" s="116">
        <f t="shared" si="283"/>
        <v>0</v>
      </c>
      <c r="CF81" s="116">
        <f t="shared" si="283"/>
        <v>0</v>
      </c>
      <c r="CG81" s="116">
        <f t="shared" si="283"/>
        <v>0</v>
      </c>
      <c r="CH81" s="116">
        <f t="shared" si="283"/>
        <v>0</v>
      </c>
      <c r="CI81" s="252">
        <f t="shared" si="283"/>
        <v>0</v>
      </c>
      <c r="CJ81" s="116">
        <f t="shared" si="283"/>
        <v>0</v>
      </c>
      <c r="CK81" s="116">
        <f t="shared" si="283"/>
        <v>0</v>
      </c>
      <c r="CL81" s="116">
        <f t="shared" si="283"/>
        <v>0</v>
      </c>
      <c r="CM81" s="116">
        <f t="shared" si="283"/>
        <v>0</v>
      </c>
      <c r="CN81" s="116">
        <f t="shared" si="283"/>
        <v>75.510000000000005</v>
      </c>
      <c r="CO81" s="116">
        <f t="shared" si="283"/>
        <v>0</v>
      </c>
      <c r="CP81" s="116">
        <f t="shared" si="283"/>
        <v>0</v>
      </c>
      <c r="CQ81" s="116">
        <f t="shared" si="283"/>
        <v>0</v>
      </c>
      <c r="CR81" s="116">
        <f t="shared" si="283"/>
        <v>0</v>
      </c>
      <c r="CS81" s="116">
        <f t="shared" si="283"/>
        <v>0</v>
      </c>
      <c r="CT81" s="116">
        <f t="shared" si="283"/>
        <v>0</v>
      </c>
      <c r="CU81" s="252">
        <f t="shared" si="283"/>
        <v>0</v>
      </c>
      <c r="CV81" s="116">
        <f t="shared" si="283"/>
        <v>0</v>
      </c>
      <c r="CW81" s="116">
        <f t="shared" si="283"/>
        <v>0</v>
      </c>
      <c r="CX81" s="116">
        <f t="shared" si="283"/>
        <v>0</v>
      </c>
      <c r="CY81" s="116">
        <f t="shared" si="283"/>
        <v>0</v>
      </c>
      <c r="CZ81" s="116">
        <f t="shared" si="283"/>
        <v>75.510000000000005</v>
      </c>
      <c r="DA81" s="116">
        <f t="shared" si="283"/>
        <v>0</v>
      </c>
      <c r="DB81" s="116">
        <f t="shared" si="283"/>
        <v>0</v>
      </c>
      <c r="DC81" s="116">
        <f t="shared" si="283"/>
        <v>0</v>
      </c>
      <c r="DD81" s="116">
        <f t="shared" si="283"/>
        <v>0</v>
      </c>
      <c r="DE81" s="116">
        <f t="shared" si="283"/>
        <v>0</v>
      </c>
      <c r="DF81" s="116">
        <f t="shared" si="283"/>
        <v>0</v>
      </c>
      <c r="DG81" s="116">
        <f t="shared" si="283"/>
        <v>0</v>
      </c>
    </row>
    <row r="82" spans="1:111" x14ac:dyDescent="0.25">
      <c r="B82" s="4" t="s">
        <v>336</v>
      </c>
      <c r="C82" s="4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>
        <f t="shared" ref="AB82:AJ82" si="284">SUM(AB79:AB80)</f>
        <v>0</v>
      </c>
      <c r="AC82" s="56">
        <f t="shared" si="284"/>
        <v>0</v>
      </c>
      <c r="AD82" s="56">
        <f t="shared" si="284"/>
        <v>0</v>
      </c>
      <c r="AE82" s="56">
        <f t="shared" si="284"/>
        <v>0</v>
      </c>
      <c r="AF82" s="56">
        <f t="shared" si="284"/>
        <v>0</v>
      </c>
      <c r="AG82" s="56">
        <f t="shared" si="284"/>
        <v>0</v>
      </c>
      <c r="AH82" s="56">
        <f t="shared" si="284"/>
        <v>0</v>
      </c>
      <c r="AI82" s="56">
        <f t="shared" si="284"/>
        <v>0</v>
      </c>
      <c r="AJ82" s="56">
        <f t="shared" si="284"/>
        <v>400</v>
      </c>
      <c r="AK82" s="56">
        <f>SUM(AK79:AK80)</f>
        <v>284.47000000000003</v>
      </c>
      <c r="AL82" s="56">
        <f>SUM(AL79:AL80)</f>
        <v>330.08</v>
      </c>
      <c r="AM82" s="56">
        <f>SUM(AM79:AM80)</f>
        <v>280.5</v>
      </c>
      <c r="AN82" s="56">
        <f t="shared" ref="AN82:AT82" si="285">SUM(AN79:AN81)</f>
        <v>211.67</v>
      </c>
      <c r="AO82" s="56">
        <f t="shared" si="285"/>
        <v>368.33</v>
      </c>
      <c r="AP82" s="56">
        <f t="shared" si="285"/>
        <v>353.33</v>
      </c>
      <c r="AQ82" s="56">
        <f t="shared" si="285"/>
        <v>330</v>
      </c>
      <c r="AR82" s="56">
        <f t="shared" si="285"/>
        <v>373.01</v>
      </c>
      <c r="AS82" s="56">
        <f t="shared" si="285"/>
        <v>276.25</v>
      </c>
      <c r="AT82" s="56">
        <f t="shared" si="285"/>
        <v>382.5</v>
      </c>
      <c r="AU82" s="56">
        <f t="shared" ref="AU82:AV82" si="286">SUM(AU79:AU81)</f>
        <v>297.5</v>
      </c>
      <c r="AV82" s="56">
        <f t="shared" si="286"/>
        <v>318.75</v>
      </c>
      <c r="AW82" s="253">
        <f t="shared" ref="AW82" si="287">SUM(AW79:AW81)</f>
        <v>383.75</v>
      </c>
      <c r="AX82" s="56">
        <f t="shared" ref="AX82" si="288">SUM(AX79:AX81)</f>
        <v>350</v>
      </c>
      <c r="AY82" s="253">
        <f t="shared" ref="AY82:DD82" si="289">SUM(AY79:AY81)</f>
        <v>350</v>
      </c>
      <c r="AZ82" s="56">
        <f t="shared" si="289"/>
        <v>385.00000000000006</v>
      </c>
      <c r="BA82" s="56">
        <f t="shared" si="289"/>
        <v>385.00000000000006</v>
      </c>
      <c r="BB82" s="56">
        <f t="shared" si="289"/>
        <v>385.00000000000006</v>
      </c>
      <c r="BC82" s="56">
        <f t="shared" si="289"/>
        <v>385.00000000000006</v>
      </c>
      <c r="BD82" s="56">
        <f t="shared" si="289"/>
        <v>460.51000000000005</v>
      </c>
      <c r="BE82" s="56">
        <f t="shared" si="289"/>
        <v>385.00000000000006</v>
      </c>
      <c r="BF82" s="56">
        <f t="shared" si="289"/>
        <v>385.00000000000006</v>
      </c>
      <c r="BG82" s="56">
        <f t="shared" si="289"/>
        <v>385.00000000000006</v>
      </c>
      <c r="BH82" s="56">
        <f t="shared" si="289"/>
        <v>385.00000000000006</v>
      </c>
      <c r="BI82" s="56">
        <f t="shared" si="289"/>
        <v>385.00000000000006</v>
      </c>
      <c r="BJ82" s="56">
        <f t="shared" si="289"/>
        <v>385.00000000000006</v>
      </c>
      <c r="BK82" s="253">
        <f t="shared" si="289"/>
        <v>385.00000000000006</v>
      </c>
      <c r="BL82" s="56">
        <f t="shared" si="289"/>
        <v>423.50000000000011</v>
      </c>
      <c r="BM82" s="56">
        <f t="shared" si="289"/>
        <v>423.50000000000011</v>
      </c>
      <c r="BN82" s="56">
        <f t="shared" si="289"/>
        <v>423.50000000000011</v>
      </c>
      <c r="BO82" s="56">
        <f t="shared" si="289"/>
        <v>423.50000000000011</v>
      </c>
      <c r="BP82" s="56">
        <f t="shared" si="289"/>
        <v>499.0100000000001</v>
      </c>
      <c r="BQ82" s="56">
        <f t="shared" si="289"/>
        <v>423.50000000000011</v>
      </c>
      <c r="BR82" s="56">
        <f t="shared" si="289"/>
        <v>423.50000000000011</v>
      </c>
      <c r="BS82" s="56">
        <f t="shared" si="289"/>
        <v>423.50000000000011</v>
      </c>
      <c r="BT82" s="56">
        <f t="shared" si="289"/>
        <v>423.50000000000011</v>
      </c>
      <c r="BU82" s="56">
        <f t="shared" si="289"/>
        <v>423.50000000000011</v>
      </c>
      <c r="BV82" s="56">
        <f t="shared" si="289"/>
        <v>423.50000000000011</v>
      </c>
      <c r="BW82" s="253">
        <f t="shared" si="289"/>
        <v>423.50000000000011</v>
      </c>
      <c r="BX82" s="56">
        <f t="shared" si="289"/>
        <v>465.85000000000014</v>
      </c>
      <c r="BY82" s="56">
        <f t="shared" si="289"/>
        <v>465.85000000000014</v>
      </c>
      <c r="BZ82" s="56">
        <f t="shared" si="289"/>
        <v>465.85000000000014</v>
      </c>
      <c r="CA82" s="56">
        <f t="shared" si="289"/>
        <v>465.85000000000014</v>
      </c>
      <c r="CB82" s="56">
        <f t="shared" si="289"/>
        <v>541.36000000000013</v>
      </c>
      <c r="CC82" s="56">
        <f t="shared" si="289"/>
        <v>465.85000000000014</v>
      </c>
      <c r="CD82" s="56">
        <f t="shared" si="289"/>
        <v>465.85000000000014</v>
      </c>
      <c r="CE82" s="56">
        <f t="shared" si="289"/>
        <v>465.85000000000014</v>
      </c>
      <c r="CF82" s="56">
        <f t="shared" si="289"/>
        <v>465.85000000000014</v>
      </c>
      <c r="CG82" s="56">
        <f t="shared" si="289"/>
        <v>465.85000000000014</v>
      </c>
      <c r="CH82" s="56">
        <f t="shared" si="289"/>
        <v>465.85000000000014</v>
      </c>
      <c r="CI82" s="253">
        <f t="shared" si="289"/>
        <v>465.85000000000014</v>
      </c>
      <c r="CJ82" s="56">
        <f t="shared" si="289"/>
        <v>512.43500000000017</v>
      </c>
      <c r="CK82" s="56">
        <f t="shared" si="289"/>
        <v>512.43500000000017</v>
      </c>
      <c r="CL82" s="56">
        <f t="shared" si="289"/>
        <v>512.43500000000017</v>
      </c>
      <c r="CM82" s="56">
        <f t="shared" si="289"/>
        <v>512.43500000000017</v>
      </c>
      <c r="CN82" s="56">
        <f t="shared" si="289"/>
        <v>587.94500000000016</v>
      </c>
      <c r="CO82" s="56">
        <f t="shared" si="289"/>
        <v>512.43500000000017</v>
      </c>
      <c r="CP82" s="56">
        <f t="shared" si="289"/>
        <v>512.43500000000017</v>
      </c>
      <c r="CQ82" s="56">
        <f t="shared" si="289"/>
        <v>512.43500000000017</v>
      </c>
      <c r="CR82" s="56">
        <f t="shared" si="289"/>
        <v>512.43500000000017</v>
      </c>
      <c r="CS82" s="56">
        <f t="shared" si="289"/>
        <v>512.43500000000017</v>
      </c>
      <c r="CT82" s="56">
        <f t="shared" si="289"/>
        <v>512.43500000000017</v>
      </c>
      <c r="CU82" s="253">
        <f t="shared" si="289"/>
        <v>512.43500000000017</v>
      </c>
      <c r="CV82" s="56">
        <f t="shared" si="289"/>
        <v>563.67850000000021</v>
      </c>
      <c r="CW82" s="56">
        <f t="shared" si="289"/>
        <v>563.67850000000021</v>
      </c>
      <c r="CX82" s="56">
        <f t="shared" si="289"/>
        <v>563.67850000000021</v>
      </c>
      <c r="CY82" s="56">
        <f t="shared" si="289"/>
        <v>563.67850000000021</v>
      </c>
      <c r="CZ82" s="56">
        <f t="shared" si="289"/>
        <v>639.1885000000002</v>
      </c>
      <c r="DA82" s="56">
        <f t="shared" si="289"/>
        <v>563.67850000000021</v>
      </c>
      <c r="DB82" s="56">
        <f t="shared" si="289"/>
        <v>563.67850000000021</v>
      </c>
      <c r="DC82" s="56">
        <f t="shared" si="289"/>
        <v>563.67850000000021</v>
      </c>
      <c r="DD82" s="56">
        <f t="shared" si="289"/>
        <v>563.67850000000021</v>
      </c>
      <c r="DE82" s="56">
        <f>SUM(DE79:DE81)</f>
        <v>563.67850000000021</v>
      </c>
      <c r="DF82" s="56">
        <f>SUM(DF79:DF81)</f>
        <v>563.67850000000021</v>
      </c>
      <c r="DG82" s="56">
        <f>SUM(DG79:DG81)</f>
        <v>563.67850000000021</v>
      </c>
    </row>
    <row r="83" spans="1:111" x14ac:dyDescent="0.25">
      <c r="B83" s="1" t="s">
        <v>321</v>
      </c>
      <c r="C83" s="1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  <c r="AB83" s="116">
        <v>547.22</v>
      </c>
      <c r="AC83" s="116">
        <v>375.07</v>
      </c>
      <c r="AD83" s="116">
        <v>593.53</v>
      </c>
      <c r="AE83" s="116">
        <v>398.74</v>
      </c>
      <c r="AF83" s="116">
        <v>1137.21</v>
      </c>
      <c r="AG83" s="116">
        <v>529.98</v>
      </c>
      <c r="AH83" s="116">
        <v>364.08</v>
      </c>
      <c r="AI83" s="116">
        <v>622.52</v>
      </c>
      <c r="AJ83" s="116">
        <v>373.8</v>
      </c>
      <c r="AK83" s="116">
        <v>181.44</v>
      </c>
      <c r="AL83" s="116">
        <v>265.57</v>
      </c>
      <c r="AM83" s="116">
        <v>123</v>
      </c>
      <c r="AN83" s="116">
        <v>174.52</v>
      </c>
      <c r="AO83" s="116">
        <v>221.82</v>
      </c>
      <c r="AP83" s="116">
        <v>103.99</v>
      </c>
      <c r="AQ83" s="116">
        <v>171.41</v>
      </c>
      <c r="AR83" s="116">
        <v>149.99</v>
      </c>
      <c r="AS83" s="116">
        <v>149.99</v>
      </c>
      <c r="AT83" s="116">
        <v>165.59</v>
      </c>
      <c r="AU83" s="116">
        <v>277.13</v>
      </c>
      <c r="AV83" s="116">
        <v>159.99</v>
      </c>
      <c r="AW83" s="252">
        <f>205.51</f>
        <v>205.51</v>
      </c>
      <c r="AX83" s="631">
        <f t="shared" ref="AX83:CC83" si="290">+IF(AX1&lt;&gt;AW1, AW83*1.1, AW83)</f>
        <v>205.51</v>
      </c>
      <c r="AY83" s="252">
        <f t="shared" si="290"/>
        <v>205.51</v>
      </c>
      <c r="AZ83" s="116">
        <f t="shared" si="290"/>
        <v>226.06100000000001</v>
      </c>
      <c r="BA83" s="116">
        <f t="shared" si="290"/>
        <v>226.06100000000001</v>
      </c>
      <c r="BB83" s="116">
        <f t="shared" si="290"/>
        <v>226.06100000000001</v>
      </c>
      <c r="BC83" s="116">
        <f t="shared" si="290"/>
        <v>226.06100000000001</v>
      </c>
      <c r="BD83" s="116">
        <f t="shared" si="290"/>
        <v>226.06100000000001</v>
      </c>
      <c r="BE83" s="116">
        <f t="shared" si="290"/>
        <v>226.06100000000001</v>
      </c>
      <c r="BF83" s="116">
        <f t="shared" si="290"/>
        <v>226.06100000000001</v>
      </c>
      <c r="BG83" s="116">
        <f t="shared" si="290"/>
        <v>226.06100000000001</v>
      </c>
      <c r="BH83" s="116">
        <f t="shared" si="290"/>
        <v>226.06100000000001</v>
      </c>
      <c r="BI83" s="116">
        <f t="shared" si="290"/>
        <v>226.06100000000001</v>
      </c>
      <c r="BJ83" s="116">
        <f t="shared" si="290"/>
        <v>226.06100000000001</v>
      </c>
      <c r="BK83" s="252">
        <f t="shared" si="290"/>
        <v>226.06100000000001</v>
      </c>
      <c r="BL83" s="116">
        <f t="shared" si="290"/>
        <v>248.66710000000003</v>
      </c>
      <c r="BM83" s="116">
        <f t="shared" si="290"/>
        <v>248.66710000000003</v>
      </c>
      <c r="BN83" s="116">
        <f t="shared" si="290"/>
        <v>248.66710000000003</v>
      </c>
      <c r="BO83" s="116">
        <f t="shared" si="290"/>
        <v>248.66710000000003</v>
      </c>
      <c r="BP83" s="116">
        <f t="shared" si="290"/>
        <v>248.66710000000003</v>
      </c>
      <c r="BQ83" s="116">
        <f t="shared" si="290"/>
        <v>248.66710000000003</v>
      </c>
      <c r="BR83" s="116">
        <f t="shared" si="290"/>
        <v>248.66710000000003</v>
      </c>
      <c r="BS83" s="116">
        <f t="shared" si="290"/>
        <v>248.66710000000003</v>
      </c>
      <c r="BT83" s="116">
        <f t="shared" si="290"/>
        <v>248.66710000000003</v>
      </c>
      <c r="BU83" s="116">
        <f t="shared" si="290"/>
        <v>248.66710000000003</v>
      </c>
      <c r="BV83" s="116">
        <f t="shared" si="290"/>
        <v>248.66710000000003</v>
      </c>
      <c r="BW83" s="252">
        <f t="shared" si="290"/>
        <v>248.66710000000003</v>
      </c>
      <c r="BX83" s="116">
        <f t="shared" si="290"/>
        <v>273.53381000000007</v>
      </c>
      <c r="BY83" s="116">
        <f t="shared" si="290"/>
        <v>273.53381000000007</v>
      </c>
      <c r="BZ83" s="116">
        <f t="shared" si="290"/>
        <v>273.53381000000007</v>
      </c>
      <c r="CA83" s="116">
        <f t="shared" si="290"/>
        <v>273.53381000000007</v>
      </c>
      <c r="CB83" s="116">
        <f t="shared" si="290"/>
        <v>273.53381000000007</v>
      </c>
      <c r="CC83" s="116">
        <f t="shared" si="290"/>
        <v>273.53381000000007</v>
      </c>
      <c r="CD83" s="116">
        <f t="shared" ref="CD83:DG83" si="291">+IF(CD1&lt;&gt;CC1, CC83*1.1, CC83)</f>
        <v>273.53381000000007</v>
      </c>
      <c r="CE83" s="116">
        <f t="shared" si="291"/>
        <v>273.53381000000007</v>
      </c>
      <c r="CF83" s="116">
        <f t="shared" si="291"/>
        <v>273.53381000000007</v>
      </c>
      <c r="CG83" s="116">
        <f t="shared" si="291"/>
        <v>273.53381000000007</v>
      </c>
      <c r="CH83" s="116">
        <f t="shared" si="291"/>
        <v>273.53381000000007</v>
      </c>
      <c r="CI83" s="252">
        <f t="shared" si="291"/>
        <v>273.53381000000007</v>
      </c>
      <c r="CJ83" s="116">
        <f t="shared" si="291"/>
        <v>300.88719100000009</v>
      </c>
      <c r="CK83" s="116">
        <f t="shared" si="291"/>
        <v>300.88719100000009</v>
      </c>
      <c r="CL83" s="116">
        <f t="shared" si="291"/>
        <v>300.88719100000009</v>
      </c>
      <c r="CM83" s="116">
        <f t="shared" si="291"/>
        <v>300.88719100000009</v>
      </c>
      <c r="CN83" s="116">
        <f t="shared" si="291"/>
        <v>300.88719100000009</v>
      </c>
      <c r="CO83" s="116">
        <f t="shared" si="291"/>
        <v>300.88719100000009</v>
      </c>
      <c r="CP83" s="116">
        <f t="shared" si="291"/>
        <v>300.88719100000009</v>
      </c>
      <c r="CQ83" s="116">
        <f t="shared" si="291"/>
        <v>300.88719100000009</v>
      </c>
      <c r="CR83" s="116">
        <f t="shared" si="291"/>
        <v>300.88719100000009</v>
      </c>
      <c r="CS83" s="116">
        <f t="shared" si="291"/>
        <v>300.88719100000009</v>
      </c>
      <c r="CT83" s="116">
        <f t="shared" si="291"/>
        <v>300.88719100000009</v>
      </c>
      <c r="CU83" s="252">
        <f t="shared" si="291"/>
        <v>300.88719100000009</v>
      </c>
      <c r="CV83" s="116">
        <f t="shared" si="291"/>
        <v>330.97591010000014</v>
      </c>
      <c r="CW83" s="116">
        <f t="shared" si="291"/>
        <v>330.97591010000014</v>
      </c>
      <c r="CX83" s="116">
        <f t="shared" si="291"/>
        <v>330.97591010000014</v>
      </c>
      <c r="CY83" s="116">
        <f t="shared" si="291"/>
        <v>330.97591010000014</v>
      </c>
      <c r="CZ83" s="116">
        <f t="shared" si="291"/>
        <v>330.97591010000014</v>
      </c>
      <c r="DA83" s="116">
        <f t="shared" si="291"/>
        <v>330.97591010000014</v>
      </c>
      <c r="DB83" s="116">
        <f t="shared" si="291"/>
        <v>330.97591010000014</v>
      </c>
      <c r="DC83" s="116">
        <f t="shared" si="291"/>
        <v>330.97591010000014</v>
      </c>
      <c r="DD83" s="116">
        <f t="shared" si="291"/>
        <v>330.97591010000014</v>
      </c>
      <c r="DE83" s="116">
        <f t="shared" si="291"/>
        <v>330.97591010000014</v>
      </c>
      <c r="DF83" s="116">
        <f t="shared" si="291"/>
        <v>330.97591010000014</v>
      </c>
      <c r="DG83" s="116">
        <f t="shared" si="291"/>
        <v>330.97591010000014</v>
      </c>
    </row>
    <row r="84" spans="1:111" x14ac:dyDescent="0.25">
      <c r="B84" s="1" t="s">
        <v>338</v>
      </c>
      <c r="C84" s="1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  <c r="AA84" s="116"/>
      <c r="AB84" s="116"/>
      <c r="AC84" s="116"/>
      <c r="AD84" s="116"/>
      <c r="AE84" s="116">
        <v>5</v>
      </c>
      <c r="AF84" s="116">
        <v>10</v>
      </c>
      <c r="AG84" s="116">
        <v>10</v>
      </c>
      <c r="AH84" s="116">
        <v>10</v>
      </c>
      <c r="AI84" s="116">
        <v>70</v>
      </c>
      <c r="AJ84" s="116">
        <v>20</v>
      </c>
      <c r="AK84" s="116">
        <v>15.31</v>
      </c>
      <c r="AL84" s="116">
        <v>25.99</v>
      </c>
      <c r="AM84" s="116">
        <v>171</v>
      </c>
      <c r="AN84" s="116">
        <v>25</v>
      </c>
      <c r="AO84" s="116">
        <v>25</v>
      </c>
      <c r="AP84" s="116">
        <v>25</v>
      </c>
      <c r="AQ84" s="116">
        <v>25</v>
      </c>
      <c r="AR84" s="116">
        <v>25</v>
      </c>
      <c r="AS84" s="116">
        <v>25</v>
      </c>
      <c r="AT84" s="116">
        <v>25</v>
      </c>
      <c r="AU84" s="116">
        <v>25</v>
      </c>
      <c r="AV84" s="116">
        <v>15</v>
      </c>
      <c r="AW84" s="252">
        <f>30</f>
        <v>30</v>
      </c>
      <c r="AX84" s="631">
        <f t="shared" ref="AX84:CC84" si="292">+IF(AX1&lt;&gt;AW1, AW84*1.1, AW84)</f>
        <v>30</v>
      </c>
      <c r="AY84" s="252">
        <f t="shared" si="292"/>
        <v>30</v>
      </c>
      <c r="AZ84" s="116">
        <f t="shared" si="292"/>
        <v>33</v>
      </c>
      <c r="BA84" s="116">
        <f t="shared" si="292"/>
        <v>33</v>
      </c>
      <c r="BB84" s="116">
        <f t="shared" si="292"/>
        <v>33</v>
      </c>
      <c r="BC84" s="116">
        <f t="shared" si="292"/>
        <v>33</v>
      </c>
      <c r="BD84" s="116">
        <f t="shared" si="292"/>
        <v>33</v>
      </c>
      <c r="BE84" s="116">
        <f t="shared" si="292"/>
        <v>33</v>
      </c>
      <c r="BF84" s="116">
        <f t="shared" si="292"/>
        <v>33</v>
      </c>
      <c r="BG84" s="116">
        <f t="shared" si="292"/>
        <v>33</v>
      </c>
      <c r="BH84" s="116">
        <f t="shared" si="292"/>
        <v>33</v>
      </c>
      <c r="BI84" s="116">
        <f t="shared" si="292"/>
        <v>33</v>
      </c>
      <c r="BJ84" s="116">
        <f t="shared" si="292"/>
        <v>33</v>
      </c>
      <c r="BK84" s="252">
        <f t="shared" si="292"/>
        <v>33</v>
      </c>
      <c r="BL84" s="116">
        <f t="shared" si="292"/>
        <v>36.300000000000004</v>
      </c>
      <c r="BM84" s="116">
        <f t="shared" si="292"/>
        <v>36.300000000000004</v>
      </c>
      <c r="BN84" s="116">
        <f t="shared" si="292"/>
        <v>36.300000000000004</v>
      </c>
      <c r="BO84" s="116">
        <f t="shared" si="292"/>
        <v>36.300000000000004</v>
      </c>
      <c r="BP84" s="116">
        <f t="shared" si="292"/>
        <v>36.300000000000004</v>
      </c>
      <c r="BQ84" s="116">
        <f t="shared" si="292"/>
        <v>36.300000000000004</v>
      </c>
      <c r="BR84" s="116">
        <f t="shared" si="292"/>
        <v>36.300000000000004</v>
      </c>
      <c r="BS84" s="116">
        <f t="shared" si="292"/>
        <v>36.300000000000004</v>
      </c>
      <c r="BT84" s="116">
        <f t="shared" si="292"/>
        <v>36.300000000000004</v>
      </c>
      <c r="BU84" s="116">
        <f t="shared" si="292"/>
        <v>36.300000000000004</v>
      </c>
      <c r="BV84" s="116">
        <f t="shared" si="292"/>
        <v>36.300000000000004</v>
      </c>
      <c r="BW84" s="252">
        <f t="shared" si="292"/>
        <v>36.300000000000004</v>
      </c>
      <c r="BX84" s="116">
        <f t="shared" si="292"/>
        <v>39.930000000000007</v>
      </c>
      <c r="BY84" s="116">
        <f t="shared" si="292"/>
        <v>39.930000000000007</v>
      </c>
      <c r="BZ84" s="116">
        <f t="shared" si="292"/>
        <v>39.930000000000007</v>
      </c>
      <c r="CA84" s="116">
        <f t="shared" si="292"/>
        <v>39.930000000000007</v>
      </c>
      <c r="CB84" s="116">
        <f t="shared" si="292"/>
        <v>39.930000000000007</v>
      </c>
      <c r="CC84" s="116">
        <f t="shared" si="292"/>
        <v>39.930000000000007</v>
      </c>
      <c r="CD84" s="116">
        <f t="shared" ref="CD84:DG84" si="293">+IF(CD1&lt;&gt;CC1, CC84*1.1, CC84)</f>
        <v>39.930000000000007</v>
      </c>
      <c r="CE84" s="116">
        <f t="shared" si="293"/>
        <v>39.930000000000007</v>
      </c>
      <c r="CF84" s="116">
        <f t="shared" si="293"/>
        <v>39.930000000000007</v>
      </c>
      <c r="CG84" s="116">
        <f t="shared" si="293"/>
        <v>39.930000000000007</v>
      </c>
      <c r="CH84" s="116">
        <f t="shared" si="293"/>
        <v>39.930000000000007</v>
      </c>
      <c r="CI84" s="252">
        <f t="shared" si="293"/>
        <v>39.930000000000007</v>
      </c>
      <c r="CJ84" s="116">
        <f t="shared" si="293"/>
        <v>43.923000000000009</v>
      </c>
      <c r="CK84" s="116">
        <f t="shared" si="293"/>
        <v>43.923000000000009</v>
      </c>
      <c r="CL84" s="116">
        <f t="shared" si="293"/>
        <v>43.923000000000009</v>
      </c>
      <c r="CM84" s="116">
        <f t="shared" si="293"/>
        <v>43.923000000000009</v>
      </c>
      <c r="CN84" s="116">
        <f t="shared" si="293"/>
        <v>43.923000000000009</v>
      </c>
      <c r="CO84" s="116">
        <f t="shared" si="293"/>
        <v>43.923000000000009</v>
      </c>
      <c r="CP84" s="116">
        <f t="shared" si="293"/>
        <v>43.923000000000009</v>
      </c>
      <c r="CQ84" s="116">
        <f t="shared" si="293"/>
        <v>43.923000000000009</v>
      </c>
      <c r="CR84" s="116">
        <f t="shared" si="293"/>
        <v>43.923000000000009</v>
      </c>
      <c r="CS84" s="116">
        <f t="shared" si="293"/>
        <v>43.923000000000009</v>
      </c>
      <c r="CT84" s="116">
        <f t="shared" si="293"/>
        <v>43.923000000000009</v>
      </c>
      <c r="CU84" s="252">
        <f t="shared" si="293"/>
        <v>43.923000000000009</v>
      </c>
      <c r="CV84" s="116">
        <f t="shared" si="293"/>
        <v>48.315300000000015</v>
      </c>
      <c r="CW84" s="116">
        <f t="shared" si="293"/>
        <v>48.315300000000015</v>
      </c>
      <c r="CX84" s="116">
        <f t="shared" si="293"/>
        <v>48.315300000000015</v>
      </c>
      <c r="CY84" s="116">
        <f t="shared" si="293"/>
        <v>48.315300000000015</v>
      </c>
      <c r="CZ84" s="116">
        <f t="shared" si="293"/>
        <v>48.315300000000015</v>
      </c>
      <c r="DA84" s="116">
        <f t="shared" si="293"/>
        <v>48.315300000000015</v>
      </c>
      <c r="DB84" s="116">
        <f t="shared" si="293"/>
        <v>48.315300000000015</v>
      </c>
      <c r="DC84" s="116">
        <f t="shared" si="293"/>
        <v>48.315300000000015</v>
      </c>
      <c r="DD84" s="116">
        <f t="shared" si="293"/>
        <v>48.315300000000015</v>
      </c>
      <c r="DE84" s="116">
        <f t="shared" si="293"/>
        <v>48.315300000000015</v>
      </c>
      <c r="DF84" s="116">
        <f t="shared" si="293"/>
        <v>48.315300000000015</v>
      </c>
      <c r="DG84" s="116">
        <f t="shared" si="293"/>
        <v>48.315300000000015</v>
      </c>
    </row>
    <row r="85" spans="1:111" x14ac:dyDescent="0.25">
      <c r="B85" s="1" t="s">
        <v>322</v>
      </c>
      <c r="C85" s="1"/>
      <c r="D85" s="116"/>
      <c r="E85" s="282"/>
      <c r="F85" s="282"/>
      <c r="G85" s="282"/>
      <c r="H85" s="282"/>
      <c r="I85" s="282"/>
      <c r="J85" s="282"/>
      <c r="K85" s="282"/>
      <c r="L85" s="282"/>
      <c r="M85" s="282"/>
      <c r="N85" s="282"/>
      <c r="O85" s="282"/>
      <c r="P85" s="282"/>
      <c r="Q85" s="282"/>
      <c r="R85" s="282"/>
      <c r="S85" s="282"/>
      <c r="T85" s="282"/>
      <c r="U85" s="282"/>
      <c r="V85" s="282"/>
      <c r="W85" s="282"/>
      <c r="X85" s="282"/>
      <c r="Y85" s="282"/>
      <c r="Z85" s="282"/>
      <c r="AA85" s="282"/>
      <c r="AB85" s="116">
        <v>108</v>
      </c>
      <c r="AC85" s="116">
        <v>108</v>
      </c>
      <c r="AD85" s="116">
        <v>108</v>
      </c>
      <c r="AE85" s="116">
        <v>108</v>
      </c>
      <c r="AF85" s="116">
        <v>1408.55</v>
      </c>
      <c r="AG85" s="116">
        <v>1372.64</v>
      </c>
      <c r="AH85" s="116">
        <v>1372.64</v>
      </c>
      <c r="AI85" s="116">
        <v>1682.55</v>
      </c>
      <c r="AJ85" s="116">
        <v>1372.64</v>
      </c>
      <c r="AK85" s="116">
        <v>1372.64</v>
      </c>
      <c r="AL85" s="116">
        <v>1711.17</v>
      </c>
      <c r="AM85" s="116">
        <v>1414.26</v>
      </c>
      <c r="AN85" s="116">
        <v>1684.72</v>
      </c>
      <c r="AO85" s="116">
        <v>1374.5</v>
      </c>
      <c r="AP85" s="116">
        <v>1373.88</v>
      </c>
      <c r="AQ85" s="116">
        <v>1635.01</v>
      </c>
      <c r="AR85" s="116">
        <v>1411.37</v>
      </c>
      <c r="AS85" s="116">
        <v>1507.24</v>
      </c>
      <c r="AT85" s="116">
        <v>1680.57</v>
      </c>
      <c r="AU85" s="116">
        <v>1424.48</v>
      </c>
      <c r="AV85" s="116">
        <v>1441.35</v>
      </c>
      <c r="AW85" s="252">
        <f>1761.79</f>
        <v>1761.79</v>
      </c>
      <c r="AX85" s="631">
        <f>+AVERAGE(AR85:AW85)</f>
        <v>1537.8</v>
      </c>
      <c r="AY85" s="442">
        <f t="shared" ref="AY85:CD85" si="294">IF(AY1&lt;&gt;AX1, AX85*1.1,AX85)</f>
        <v>1537.8</v>
      </c>
      <c r="AZ85" s="441">
        <f t="shared" si="294"/>
        <v>1691.5800000000002</v>
      </c>
      <c r="BA85" s="441">
        <f t="shared" si="294"/>
        <v>1691.5800000000002</v>
      </c>
      <c r="BB85" s="441">
        <f t="shared" si="294"/>
        <v>1691.5800000000002</v>
      </c>
      <c r="BC85" s="441">
        <f t="shared" si="294"/>
        <v>1691.5800000000002</v>
      </c>
      <c r="BD85" s="441">
        <f t="shared" si="294"/>
        <v>1691.5800000000002</v>
      </c>
      <c r="BE85" s="441">
        <f t="shared" si="294"/>
        <v>1691.5800000000002</v>
      </c>
      <c r="BF85" s="441">
        <f t="shared" si="294"/>
        <v>1691.5800000000002</v>
      </c>
      <c r="BG85" s="441">
        <f t="shared" si="294"/>
        <v>1691.5800000000002</v>
      </c>
      <c r="BH85" s="441">
        <f t="shared" si="294"/>
        <v>1691.5800000000002</v>
      </c>
      <c r="BI85" s="441">
        <f t="shared" si="294"/>
        <v>1691.5800000000002</v>
      </c>
      <c r="BJ85" s="441">
        <f t="shared" si="294"/>
        <v>1691.5800000000002</v>
      </c>
      <c r="BK85" s="442">
        <f t="shared" si="294"/>
        <v>1691.5800000000002</v>
      </c>
      <c r="BL85" s="441">
        <f t="shared" si="294"/>
        <v>1860.7380000000003</v>
      </c>
      <c r="BM85" s="441">
        <f t="shared" si="294"/>
        <v>1860.7380000000003</v>
      </c>
      <c r="BN85" s="441">
        <f t="shared" si="294"/>
        <v>1860.7380000000003</v>
      </c>
      <c r="BO85" s="441">
        <f t="shared" si="294"/>
        <v>1860.7380000000003</v>
      </c>
      <c r="BP85" s="441">
        <f t="shared" si="294"/>
        <v>1860.7380000000003</v>
      </c>
      <c r="BQ85" s="441">
        <f t="shared" si="294"/>
        <v>1860.7380000000003</v>
      </c>
      <c r="BR85" s="441">
        <f t="shared" si="294"/>
        <v>1860.7380000000003</v>
      </c>
      <c r="BS85" s="441">
        <f t="shared" si="294"/>
        <v>1860.7380000000003</v>
      </c>
      <c r="BT85" s="441">
        <f t="shared" si="294"/>
        <v>1860.7380000000003</v>
      </c>
      <c r="BU85" s="441">
        <f t="shared" si="294"/>
        <v>1860.7380000000003</v>
      </c>
      <c r="BV85" s="441">
        <f t="shared" si="294"/>
        <v>1860.7380000000003</v>
      </c>
      <c r="BW85" s="442">
        <f t="shared" si="294"/>
        <v>1860.7380000000003</v>
      </c>
      <c r="BX85" s="441">
        <f t="shared" si="294"/>
        <v>2046.8118000000004</v>
      </c>
      <c r="BY85" s="441">
        <f t="shared" si="294"/>
        <v>2046.8118000000004</v>
      </c>
      <c r="BZ85" s="441">
        <f t="shared" si="294"/>
        <v>2046.8118000000004</v>
      </c>
      <c r="CA85" s="441">
        <f t="shared" si="294"/>
        <v>2046.8118000000004</v>
      </c>
      <c r="CB85" s="441">
        <f t="shared" si="294"/>
        <v>2046.8118000000004</v>
      </c>
      <c r="CC85" s="441">
        <f t="shared" si="294"/>
        <v>2046.8118000000004</v>
      </c>
      <c r="CD85" s="441">
        <f t="shared" si="294"/>
        <v>2046.8118000000004</v>
      </c>
      <c r="CE85" s="441">
        <f t="shared" ref="CE85:DG85" si="295">IF(CE1&lt;&gt;CD1, CD85*1.1,CD85)</f>
        <v>2046.8118000000004</v>
      </c>
      <c r="CF85" s="441">
        <f t="shared" si="295"/>
        <v>2046.8118000000004</v>
      </c>
      <c r="CG85" s="441">
        <f t="shared" si="295"/>
        <v>2046.8118000000004</v>
      </c>
      <c r="CH85" s="441">
        <f t="shared" si="295"/>
        <v>2046.8118000000004</v>
      </c>
      <c r="CI85" s="442">
        <f t="shared" si="295"/>
        <v>2046.8118000000004</v>
      </c>
      <c r="CJ85" s="441">
        <f t="shared" si="295"/>
        <v>2251.4929800000004</v>
      </c>
      <c r="CK85" s="441">
        <f t="shared" si="295"/>
        <v>2251.4929800000004</v>
      </c>
      <c r="CL85" s="441">
        <f t="shared" si="295"/>
        <v>2251.4929800000004</v>
      </c>
      <c r="CM85" s="441">
        <f t="shared" si="295"/>
        <v>2251.4929800000004</v>
      </c>
      <c r="CN85" s="441">
        <f t="shared" si="295"/>
        <v>2251.4929800000004</v>
      </c>
      <c r="CO85" s="441">
        <f t="shared" si="295"/>
        <v>2251.4929800000004</v>
      </c>
      <c r="CP85" s="441">
        <f t="shared" si="295"/>
        <v>2251.4929800000004</v>
      </c>
      <c r="CQ85" s="441">
        <f t="shared" si="295"/>
        <v>2251.4929800000004</v>
      </c>
      <c r="CR85" s="441">
        <f t="shared" si="295"/>
        <v>2251.4929800000004</v>
      </c>
      <c r="CS85" s="441">
        <f t="shared" si="295"/>
        <v>2251.4929800000004</v>
      </c>
      <c r="CT85" s="441">
        <f t="shared" si="295"/>
        <v>2251.4929800000004</v>
      </c>
      <c r="CU85" s="442">
        <f t="shared" si="295"/>
        <v>2251.4929800000004</v>
      </c>
      <c r="CV85" s="441">
        <f t="shared" si="295"/>
        <v>2476.6422780000007</v>
      </c>
      <c r="CW85" s="441">
        <f t="shared" si="295"/>
        <v>2476.6422780000007</v>
      </c>
      <c r="CX85" s="441">
        <f t="shared" si="295"/>
        <v>2476.6422780000007</v>
      </c>
      <c r="CY85" s="441">
        <f t="shared" si="295"/>
        <v>2476.6422780000007</v>
      </c>
      <c r="CZ85" s="441">
        <f t="shared" si="295"/>
        <v>2476.6422780000007</v>
      </c>
      <c r="DA85" s="441">
        <f t="shared" si="295"/>
        <v>2476.6422780000007</v>
      </c>
      <c r="DB85" s="441">
        <f t="shared" si="295"/>
        <v>2476.6422780000007</v>
      </c>
      <c r="DC85" s="441">
        <f t="shared" si="295"/>
        <v>2476.6422780000007</v>
      </c>
      <c r="DD85" s="441">
        <f t="shared" si="295"/>
        <v>2476.6422780000007</v>
      </c>
      <c r="DE85" s="441">
        <f t="shared" si="295"/>
        <v>2476.6422780000007</v>
      </c>
      <c r="DF85" s="441">
        <f t="shared" si="295"/>
        <v>2476.6422780000007</v>
      </c>
      <c r="DG85" s="441">
        <f t="shared" si="295"/>
        <v>2476.6422780000007</v>
      </c>
    </row>
    <row r="86" spans="1:111" x14ac:dyDescent="0.25">
      <c r="B86" s="1" t="s">
        <v>323</v>
      </c>
      <c r="C86" s="1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6"/>
      <c r="AB86" s="116">
        <v>40.21</v>
      </c>
      <c r="AC86" s="116">
        <v>366.97</v>
      </c>
      <c r="AD86" s="116"/>
      <c r="AE86" s="116">
        <v>409.3</v>
      </c>
      <c r="AF86" s="116">
        <v>43.4</v>
      </c>
      <c r="AG86" s="116">
        <v>239.61</v>
      </c>
      <c r="AH86" s="116">
        <v>43.4</v>
      </c>
      <c r="AI86" s="116">
        <v>286.16000000000003</v>
      </c>
      <c r="AJ86" s="116">
        <v>51.62</v>
      </c>
      <c r="AK86" s="116">
        <v>112.74</v>
      </c>
      <c r="AL86" s="116">
        <v>196.16</v>
      </c>
      <c r="AM86" s="116">
        <v>275.89</v>
      </c>
      <c r="AN86" s="116">
        <v>51.58</v>
      </c>
      <c r="AO86" s="116">
        <v>196.74</v>
      </c>
      <c r="AP86" s="116">
        <v>226.74</v>
      </c>
      <c r="AQ86" s="116">
        <v>391.9</v>
      </c>
      <c r="AR86" s="116">
        <v>51.58</v>
      </c>
      <c r="AS86" s="116">
        <v>216.74</v>
      </c>
      <c r="AT86" s="116">
        <v>176.95</v>
      </c>
      <c r="AU86" s="116">
        <v>216.91</v>
      </c>
      <c r="AV86" s="116">
        <v>221.96</v>
      </c>
      <c r="AW86" s="252">
        <f>222</f>
        <v>222</v>
      </c>
      <c r="AX86" s="631">
        <f>+AVERAGE(AU86:AW86)</f>
        <v>220.29</v>
      </c>
      <c r="AY86" s="252">
        <f t="shared" ref="AY86:CD86" si="296">IF(AY1&lt;&gt;AX1, AX86*1.1,AX86)</f>
        <v>220.29</v>
      </c>
      <c r="AZ86" s="116">
        <f t="shared" si="296"/>
        <v>242.31900000000002</v>
      </c>
      <c r="BA86" s="116">
        <f t="shared" si="296"/>
        <v>242.31900000000002</v>
      </c>
      <c r="BB86" s="116">
        <f t="shared" si="296"/>
        <v>242.31900000000002</v>
      </c>
      <c r="BC86" s="116">
        <f t="shared" si="296"/>
        <v>242.31900000000002</v>
      </c>
      <c r="BD86" s="116">
        <f t="shared" si="296"/>
        <v>242.31900000000002</v>
      </c>
      <c r="BE86" s="116">
        <f t="shared" si="296"/>
        <v>242.31900000000002</v>
      </c>
      <c r="BF86" s="116">
        <f t="shared" si="296"/>
        <v>242.31900000000002</v>
      </c>
      <c r="BG86" s="116">
        <f t="shared" si="296"/>
        <v>242.31900000000002</v>
      </c>
      <c r="BH86" s="116">
        <f t="shared" si="296"/>
        <v>242.31900000000002</v>
      </c>
      <c r="BI86" s="116">
        <f t="shared" si="296"/>
        <v>242.31900000000002</v>
      </c>
      <c r="BJ86" s="116">
        <f t="shared" si="296"/>
        <v>242.31900000000002</v>
      </c>
      <c r="BK86" s="252">
        <f t="shared" si="296"/>
        <v>242.31900000000002</v>
      </c>
      <c r="BL86" s="116">
        <f t="shared" si="296"/>
        <v>266.55090000000001</v>
      </c>
      <c r="BM86" s="116">
        <f t="shared" si="296"/>
        <v>266.55090000000001</v>
      </c>
      <c r="BN86" s="116">
        <f t="shared" si="296"/>
        <v>266.55090000000001</v>
      </c>
      <c r="BO86" s="116">
        <f t="shared" si="296"/>
        <v>266.55090000000001</v>
      </c>
      <c r="BP86" s="116">
        <f t="shared" si="296"/>
        <v>266.55090000000001</v>
      </c>
      <c r="BQ86" s="116">
        <f t="shared" si="296"/>
        <v>266.55090000000001</v>
      </c>
      <c r="BR86" s="116">
        <f t="shared" si="296"/>
        <v>266.55090000000001</v>
      </c>
      <c r="BS86" s="116">
        <f t="shared" si="296"/>
        <v>266.55090000000001</v>
      </c>
      <c r="BT86" s="116">
        <f t="shared" si="296"/>
        <v>266.55090000000001</v>
      </c>
      <c r="BU86" s="116">
        <f t="shared" si="296"/>
        <v>266.55090000000001</v>
      </c>
      <c r="BV86" s="116">
        <f t="shared" si="296"/>
        <v>266.55090000000001</v>
      </c>
      <c r="BW86" s="252">
        <f t="shared" si="296"/>
        <v>266.55090000000001</v>
      </c>
      <c r="BX86" s="116">
        <f t="shared" si="296"/>
        <v>293.20599000000004</v>
      </c>
      <c r="BY86" s="116">
        <f t="shared" si="296"/>
        <v>293.20599000000004</v>
      </c>
      <c r="BZ86" s="116">
        <f t="shared" si="296"/>
        <v>293.20599000000004</v>
      </c>
      <c r="CA86" s="116">
        <f t="shared" si="296"/>
        <v>293.20599000000004</v>
      </c>
      <c r="CB86" s="116">
        <f t="shared" si="296"/>
        <v>293.20599000000004</v>
      </c>
      <c r="CC86" s="116">
        <f t="shared" si="296"/>
        <v>293.20599000000004</v>
      </c>
      <c r="CD86" s="116">
        <f t="shared" si="296"/>
        <v>293.20599000000004</v>
      </c>
      <c r="CE86" s="116">
        <f t="shared" ref="CE86:DG86" si="297">IF(CE1&lt;&gt;CD1, CD86*1.1,CD86)</f>
        <v>293.20599000000004</v>
      </c>
      <c r="CF86" s="116">
        <f t="shared" si="297"/>
        <v>293.20599000000004</v>
      </c>
      <c r="CG86" s="116">
        <f t="shared" si="297"/>
        <v>293.20599000000004</v>
      </c>
      <c r="CH86" s="116">
        <f t="shared" si="297"/>
        <v>293.20599000000004</v>
      </c>
      <c r="CI86" s="252">
        <f t="shared" si="297"/>
        <v>293.20599000000004</v>
      </c>
      <c r="CJ86" s="116">
        <f t="shared" si="297"/>
        <v>322.52658900000006</v>
      </c>
      <c r="CK86" s="116">
        <f t="shared" si="297"/>
        <v>322.52658900000006</v>
      </c>
      <c r="CL86" s="116">
        <f t="shared" si="297"/>
        <v>322.52658900000006</v>
      </c>
      <c r="CM86" s="116">
        <f t="shared" si="297"/>
        <v>322.52658900000006</v>
      </c>
      <c r="CN86" s="116">
        <f t="shared" si="297"/>
        <v>322.52658900000006</v>
      </c>
      <c r="CO86" s="116">
        <f t="shared" si="297"/>
        <v>322.52658900000006</v>
      </c>
      <c r="CP86" s="116">
        <f t="shared" si="297"/>
        <v>322.52658900000006</v>
      </c>
      <c r="CQ86" s="116">
        <f t="shared" si="297"/>
        <v>322.52658900000006</v>
      </c>
      <c r="CR86" s="116">
        <f t="shared" si="297"/>
        <v>322.52658900000006</v>
      </c>
      <c r="CS86" s="116">
        <f t="shared" si="297"/>
        <v>322.52658900000006</v>
      </c>
      <c r="CT86" s="116">
        <f t="shared" si="297"/>
        <v>322.52658900000006</v>
      </c>
      <c r="CU86" s="252">
        <f t="shared" si="297"/>
        <v>322.52658900000006</v>
      </c>
      <c r="CV86" s="116">
        <f t="shared" si="297"/>
        <v>354.77924790000009</v>
      </c>
      <c r="CW86" s="116">
        <f t="shared" si="297"/>
        <v>354.77924790000009</v>
      </c>
      <c r="CX86" s="116">
        <f t="shared" si="297"/>
        <v>354.77924790000009</v>
      </c>
      <c r="CY86" s="116">
        <f t="shared" si="297"/>
        <v>354.77924790000009</v>
      </c>
      <c r="CZ86" s="116">
        <f t="shared" si="297"/>
        <v>354.77924790000009</v>
      </c>
      <c r="DA86" s="116">
        <f t="shared" si="297"/>
        <v>354.77924790000009</v>
      </c>
      <c r="DB86" s="116">
        <f t="shared" si="297"/>
        <v>354.77924790000009</v>
      </c>
      <c r="DC86" s="116">
        <f t="shared" si="297"/>
        <v>354.77924790000009</v>
      </c>
      <c r="DD86" s="116">
        <f t="shared" si="297"/>
        <v>354.77924790000009</v>
      </c>
      <c r="DE86" s="116">
        <f t="shared" si="297"/>
        <v>354.77924790000009</v>
      </c>
      <c r="DF86" s="116">
        <f t="shared" si="297"/>
        <v>354.77924790000009</v>
      </c>
      <c r="DG86" s="116">
        <f t="shared" si="297"/>
        <v>354.77924790000009</v>
      </c>
    </row>
    <row r="87" spans="1:111" x14ac:dyDescent="0.25">
      <c r="B87" s="1" t="s">
        <v>324</v>
      </c>
      <c r="C87" s="1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>
        <v>40</v>
      </c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  <c r="AS87" s="116"/>
      <c r="AT87" s="116"/>
      <c r="AU87" s="116"/>
      <c r="AV87" s="116"/>
      <c r="AW87" s="252"/>
      <c r="AX87" s="631">
        <v>10</v>
      </c>
      <c r="AY87" s="252">
        <f t="shared" ref="AY87:CD87" si="298">IF(AY1&lt;&gt;AX1, AX87*1.1,AX87)</f>
        <v>10</v>
      </c>
      <c r="AZ87" s="116">
        <f t="shared" si="298"/>
        <v>11</v>
      </c>
      <c r="BA87" s="116">
        <f t="shared" si="298"/>
        <v>11</v>
      </c>
      <c r="BB87" s="116">
        <f t="shared" si="298"/>
        <v>11</v>
      </c>
      <c r="BC87" s="116">
        <f t="shared" si="298"/>
        <v>11</v>
      </c>
      <c r="BD87" s="116">
        <f t="shared" si="298"/>
        <v>11</v>
      </c>
      <c r="BE87" s="116">
        <f t="shared" si="298"/>
        <v>11</v>
      </c>
      <c r="BF87" s="116">
        <f t="shared" si="298"/>
        <v>11</v>
      </c>
      <c r="BG87" s="116">
        <f t="shared" si="298"/>
        <v>11</v>
      </c>
      <c r="BH87" s="116">
        <f t="shared" si="298"/>
        <v>11</v>
      </c>
      <c r="BI87" s="116">
        <f t="shared" si="298"/>
        <v>11</v>
      </c>
      <c r="BJ87" s="116">
        <f t="shared" si="298"/>
        <v>11</v>
      </c>
      <c r="BK87" s="252">
        <f t="shared" si="298"/>
        <v>11</v>
      </c>
      <c r="BL87" s="116">
        <f t="shared" si="298"/>
        <v>12.100000000000001</v>
      </c>
      <c r="BM87" s="116">
        <f t="shared" si="298"/>
        <v>12.100000000000001</v>
      </c>
      <c r="BN87" s="116">
        <f t="shared" si="298"/>
        <v>12.100000000000001</v>
      </c>
      <c r="BO87" s="116">
        <f t="shared" si="298"/>
        <v>12.100000000000001</v>
      </c>
      <c r="BP87" s="116">
        <f t="shared" si="298"/>
        <v>12.100000000000001</v>
      </c>
      <c r="BQ87" s="116">
        <f t="shared" si="298"/>
        <v>12.100000000000001</v>
      </c>
      <c r="BR87" s="116">
        <f t="shared" si="298"/>
        <v>12.100000000000001</v>
      </c>
      <c r="BS87" s="116">
        <f t="shared" si="298"/>
        <v>12.100000000000001</v>
      </c>
      <c r="BT87" s="116">
        <f t="shared" si="298"/>
        <v>12.100000000000001</v>
      </c>
      <c r="BU87" s="116">
        <f t="shared" si="298"/>
        <v>12.100000000000001</v>
      </c>
      <c r="BV87" s="116">
        <f t="shared" si="298"/>
        <v>12.100000000000001</v>
      </c>
      <c r="BW87" s="252">
        <f t="shared" si="298"/>
        <v>12.100000000000001</v>
      </c>
      <c r="BX87" s="116">
        <f t="shared" si="298"/>
        <v>13.310000000000002</v>
      </c>
      <c r="BY87" s="116">
        <f t="shared" si="298"/>
        <v>13.310000000000002</v>
      </c>
      <c r="BZ87" s="116">
        <f t="shared" si="298"/>
        <v>13.310000000000002</v>
      </c>
      <c r="CA87" s="116">
        <f t="shared" si="298"/>
        <v>13.310000000000002</v>
      </c>
      <c r="CB87" s="116">
        <f t="shared" si="298"/>
        <v>13.310000000000002</v>
      </c>
      <c r="CC87" s="116">
        <f t="shared" si="298"/>
        <v>13.310000000000002</v>
      </c>
      <c r="CD87" s="116">
        <f t="shared" si="298"/>
        <v>13.310000000000002</v>
      </c>
      <c r="CE87" s="116">
        <f t="shared" ref="CE87:DG87" si="299">IF(CE1&lt;&gt;CD1, CD87*1.1,CD87)</f>
        <v>13.310000000000002</v>
      </c>
      <c r="CF87" s="116">
        <f t="shared" si="299"/>
        <v>13.310000000000002</v>
      </c>
      <c r="CG87" s="116">
        <f t="shared" si="299"/>
        <v>13.310000000000002</v>
      </c>
      <c r="CH87" s="116">
        <f t="shared" si="299"/>
        <v>13.310000000000002</v>
      </c>
      <c r="CI87" s="252">
        <f t="shared" si="299"/>
        <v>13.310000000000002</v>
      </c>
      <c r="CJ87" s="116">
        <f t="shared" si="299"/>
        <v>14.641000000000004</v>
      </c>
      <c r="CK87" s="116">
        <f t="shared" si="299"/>
        <v>14.641000000000004</v>
      </c>
      <c r="CL87" s="116">
        <f t="shared" si="299"/>
        <v>14.641000000000004</v>
      </c>
      <c r="CM87" s="116">
        <f t="shared" si="299"/>
        <v>14.641000000000004</v>
      </c>
      <c r="CN87" s="116">
        <f t="shared" si="299"/>
        <v>14.641000000000004</v>
      </c>
      <c r="CO87" s="116">
        <f t="shared" si="299"/>
        <v>14.641000000000004</v>
      </c>
      <c r="CP87" s="116">
        <f t="shared" si="299"/>
        <v>14.641000000000004</v>
      </c>
      <c r="CQ87" s="116">
        <f t="shared" si="299"/>
        <v>14.641000000000004</v>
      </c>
      <c r="CR87" s="116">
        <f t="shared" si="299"/>
        <v>14.641000000000004</v>
      </c>
      <c r="CS87" s="116">
        <f t="shared" si="299"/>
        <v>14.641000000000004</v>
      </c>
      <c r="CT87" s="116">
        <f t="shared" si="299"/>
        <v>14.641000000000004</v>
      </c>
      <c r="CU87" s="252">
        <f t="shared" si="299"/>
        <v>14.641000000000004</v>
      </c>
      <c r="CV87" s="116">
        <f t="shared" si="299"/>
        <v>16.105100000000004</v>
      </c>
      <c r="CW87" s="116">
        <f t="shared" si="299"/>
        <v>16.105100000000004</v>
      </c>
      <c r="CX87" s="116">
        <f t="shared" si="299"/>
        <v>16.105100000000004</v>
      </c>
      <c r="CY87" s="116">
        <f t="shared" si="299"/>
        <v>16.105100000000004</v>
      </c>
      <c r="CZ87" s="116">
        <f t="shared" si="299"/>
        <v>16.105100000000004</v>
      </c>
      <c r="DA87" s="116">
        <f t="shared" si="299"/>
        <v>16.105100000000004</v>
      </c>
      <c r="DB87" s="116">
        <f t="shared" si="299"/>
        <v>16.105100000000004</v>
      </c>
      <c r="DC87" s="116">
        <f t="shared" si="299"/>
        <v>16.105100000000004</v>
      </c>
      <c r="DD87" s="116">
        <f t="shared" si="299"/>
        <v>16.105100000000004</v>
      </c>
      <c r="DE87" s="116">
        <f t="shared" si="299"/>
        <v>16.105100000000004</v>
      </c>
      <c r="DF87" s="116">
        <f t="shared" si="299"/>
        <v>16.105100000000004</v>
      </c>
      <c r="DG87" s="116">
        <f t="shared" si="299"/>
        <v>16.105100000000004</v>
      </c>
    </row>
    <row r="88" spans="1:111" x14ac:dyDescent="0.25">
      <c r="B88" s="1" t="s">
        <v>339</v>
      </c>
      <c r="C88" s="1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116"/>
      <c r="AE88" s="116"/>
      <c r="AF88" s="116"/>
      <c r="AG88" s="116">
        <v>50</v>
      </c>
      <c r="AH88" s="116"/>
      <c r="AI88" s="116"/>
      <c r="AJ88" s="116"/>
      <c r="AK88" s="116">
        <v>105</v>
      </c>
      <c r="AL88" s="116"/>
      <c r="AM88" s="116"/>
      <c r="AN88" s="116"/>
      <c r="AO88" s="116"/>
      <c r="AP88" s="116"/>
      <c r="AQ88" s="116"/>
      <c r="AR88" s="116"/>
      <c r="AS88" s="116"/>
      <c r="AT88" s="116"/>
      <c r="AU88" s="116">
        <v>62.81</v>
      </c>
      <c r="AV88" s="116">
        <v>0</v>
      </c>
      <c r="AW88" s="252">
        <v>0</v>
      </c>
      <c r="AX88" s="631">
        <f>+AL88</f>
        <v>0</v>
      </c>
      <c r="AY88" s="252">
        <f t="shared" ref="AY88:CZ88" si="300">+AM88</f>
        <v>0</v>
      </c>
      <c r="AZ88" s="116">
        <f t="shared" si="300"/>
        <v>0</v>
      </c>
      <c r="BA88" s="116">
        <f t="shared" si="300"/>
        <v>0</v>
      </c>
      <c r="BB88" s="116">
        <f t="shared" si="300"/>
        <v>0</v>
      </c>
      <c r="BC88" s="116">
        <f t="shared" si="300"/>
        <v>0</v>
      </c>
      <c r="BD88" s="116">
        <f t="shared" si="300"/>
        <v>0</v>
      </c>
      <c r="BE88" s="116">
        <f t="shared" si="300"/>
        <v>0</v>
      </c>
      <c r="BF88" s="116">
        <f t="shared" si="300"/>
        <v>0</v>
      </c>
      <c r="BG88" s="116">
        <f t="shared" si="300"/>
        <v>62.81</v>
      </c>
      <c r="BH88" s="116">
        <f t="shared" si="300"/>
        <v>0</v>
      </c>
      <c r="BI88" s="116">
        <f t="shared" si="300"/>
        <v>0</v>
      </c>
      <c r="BJ88" s="116">
        <f t="shared" si="300"/>
        <v>0</v>
      </c>
      <c r="BK88" s="252">
        <f t="shared" si="300"/>
        <v>0</v>
      </c>
      <c r="BL88" s="116">
        <f t="shared" si="300"/>
        <v>0</v>
      </c>
      <c r="BM88" s="116">
        <f t="shared" si="300"/>
        <v>0</v>
      </c>
      <c r="BN88" s="116">
        <f t="shared" si="300"/>
        <v>0</v>
      </c>
      <c r="BO88" s="116">
        <f t="shared" si="300"/>
        <v>0</v>
      </c>
      <c r="BP88" s="116">
        <f t="shared" si="300"/>
        <v>0</v>
      </c>
      <c r="BQ88" s="116">
        <f t="shared" si="300"/>
        <v>0</v>
      </c>
      <c r="BR88" s="116">
        <f t="shared" si="300"/>
        <v>0</v>
      </c>
      <c r="BS88" s="116">
        <f t="shared" si="300"/>
        <v>62.81</v>
      </c>
      <c r="BT88" s="116">
        <f t="shared" si="300"/>
        <v>0</v>
      </c>
      <c r="BU88" s="116">
        <f t="shared" si="300"/>
        <v>0</v>
      </c>
      <c r="BV88" s="116">
        <f t="shared" si="300"/>
        <v>0</v>
      </c>
      <c r="BW88" s="252">
        <f t="shared" si="300"/>
        <v>0</v>
      </c>
      <c r="BX88" s="116">
        <f t="shared" si="300"/>
        <v>0</v>
      </c>
      <c r="BY88" s="116">
        <f t="shared" si="300"/>
        <v>0</v>
      </c>
      <c r="BZ88" s="116">
        <f t="shared" si="300"/>
        <v>0</v>
      </c>
      <c r="CA88" s="116">
        <f t="shared" si="300"/>
        <v>0</v>
      </c>
      <c r="CB88" s="116">
        <f t="shared" si="300"/>
        <v>0</v>
      </c>
      <c r="CC88" s="116">
        <f t="shared" si="300"/>
        <v>0</v>
      </c>
      <c r="CD88" s="116">
        <f t="shared" si="300"/>
        <v>0</v>
      </c>
      <c r="CE88" s="116">
        <f t="shared" si="300"/>
        <v>62.81</v>
      </c>
      <c r="CF88" s="116">
        <f t="shared" si="300"/>
        <v>0</v>
      </c>
      <c r="CG88" s="116">
        <f t="shared" si="300"/>
        <v>0</v>
      </c>
      <c r="CH88" s="116">
        <f t="shared" si="300"/>
        <v>0</v>
      </c>
      <c r="CI88" s="252">
        <f t="shared" si="300"/>
        <v>0</v>
      </c>
      <c r="CJ88" s="116">
        <f t="shared" si="300"/>
        <v>0</v>
      </c>
      <c r="CK88" s="116">
        <f t="shared" si="300"/>
        <v>0</v>
      </c>
      <c r="CL88" s="116">
        <f t="shared" si="300"/>
        <v>0</v>
      </c>
      <c r="CM88" s="116">
        <f t="shared" si="300"/>
        <v>0</v>
      </c>
      <c r="CN88" s="116">
        <f t="shared" si="300"/>
        <v>0</v>
      </c>
      <c r="CO88" s="116">
        <f t="shared" si="300"/>
        <v>0</v>
      </c>
      <c r="CP88" s="116">
        <f t="shared" si="300"/>
        <v>0</v>
      </c>
      <c r="CQ88" s="116">
        <f t="shared" si="300"/>
        <v>62.81</v>
      </c>
      <c r="CR88" s="116">
        <f t="shared" si="300"/>
        <v>0</v>
      </c>
      <c r="CS88" s="116">
        <f t="shared" si="300"/>
        <v>0</v>
      </c>
      <c r="CT88" s="116">
        <f t="shared" si="300"/>
        <v>0</v>
      </c>
      <c r="CU88" s="252">
        <f t="shared" si="300"/>
        <v>0</v>
      </c>
      <c r="CV88" s="116">
        <f t="shared" si="300"/>
        <v>0</v>
      </c>
      <c r="CW88" s="116">
        <f t="shared" si="300"/>
        <v>0</v>
      </c>
      <c r="CX88" s="116">
        <f t="shared" si="300"/>
        <v>0</v>
      </c>
      <c r="CY88" s="116">
        <f t="shared" si="300"/>
        <v>0</v>
      </c>
      <c r="CZ88" s="116">
        <f t="shared" si="300"/>
        <v>0</v>
      </c>
      <c r="DA88" s="116">
        <f t="shared" ref="DA88:DG88" si="301">+CO88</f>
        <v>0</v>
      </c>
      <c r="DB88" s="116">
        <f t="shared" si="301"/>
        <v>0</v>
      </c>
      <c r="DC88" s="116">
        <f t="shared" si="301"/>
        <v>62.81</v>
      </c>
      <c r="DD88" s="116">
        <f t="shared" si="301"/>
        <v>0</v>
      </c>
      <c r="DE88" s="116">
        <f t="shared" si="301"/>
        <v>0</v>
      </c>
      <c r="DF88" s="116">
        <f t="shared" si="301"/>
        <v>0</v>
      </c>
      <c r="DG88" s="116">
        <f t="shared" si="301"/>
        <v>0</v>
      </c>
    </row>
    <row r="89" spans="1:111" x14ac:dyDescent="0.25">
      <c r="B89" s="4" t="s">
        <v>186</v>
      </c>
      <c r="C89" s="4"/>
      <c r="D89" s="56">
        <f t="shared" ref="D89:U89" si="302">SUM(D74:D78)</f>
        <v>0</v>
      </c>
      <c r="E89" s="56">
        <f t="shared" si="302"/>
        <v>0</v>
      </c>
      <c r="F89" s="56">
        <f t="shared" si="302"/>
        <v>0</v>
      </c>
      <c r="G89" s="56">
        <f t="shared" si="302"/>
        <v>0</v>
      </c>
      <c r="H89" s="56">
        <f t="shared" si="302"/>
        <v>0</v>
      </c>
      <c r="I89" s="56">
        <f t="shared" si="302"/>
        <v>0</v>
      </c>
      <c r="J89" s="56">
        <f t="shared" si="302"/>
        <v>0</v>
      </c>
      <c r="K89" s="56">
        <f t="shared" si="302"/>
        <v>0</v>
      </c>
      <c r="L89" s="56">
        <f t="shared" si="302"/>
        <v>0</v>
      </c>
      <c r="M89" s="56">
        <f t="shared" si="302"/>
        <v>0</v>
      </c>
      <c r="N89" s="56">
        <f t="shared" si="302"/>
        <v>0</v>
      </c>
      <c r="O89" s="56">
        <f t="shared" si="302"/>
        <v>0</v>
      </c>
      <c r="P89" s="56">
        <f t="shared" si="302"/>
        <v>0</v>
      </c>
      <c r="Q89" s="56">
        <f t="shared" si="302"/>
        <v>0</v>
      </c>
      <c r="R89" s="56">
        <f t="shared" si="302"/>
        <v>0</v>
      </c>
      <c r="S89" s="56">
        <f t="shared" si="302"/>
        <v>0</v>
      </c>
      <c r="T89" s="56">
        <f t="shared" si="302"/>
        <v>0</v>
      </c>
      <c r="U89" s="56">
        <f t="shared" si="302"/>
        <v>0</v>
      </c>
      <c r="V89" s="56">
        <f t="shared" ref="V89:AA89" si="303">SUM(V74:V86)</f>
        <v>0</v>
      </c>
      <c r="W89" s="56">
        <f t="shared" si="303"/>
        <v>0</v>
      </c>
      <c r="X89" s="56">
        <f t="shared" si="303"/>
        <v>0</v>
      </c>
      <c r="Y89" s="56">
        <f t="shared" si="303"/>
        <v>0</v>
      </c>
      <c r="Z89" s="56">
        <f t="shared" si="303"/>
        <v>0</v>
      </c>
      <c r="AA89" s="56">
        <f t="shared" si="303"/>
        <v>0</v>
      </c>
      <c r="AB89" s="56">
        <f t="shared" ref="AB89:AM89" si="304">+SUM(AB71, AB78, AB82:AB88)</f>
        <v>959.96</v>
      </c>
      <c r="AC89" s="56">
        <f t="shared" si="304"/>
        <v>850.04</v>
      </c>
      <c r="AD89" s="56">
        <f t="shared" si="304"/>
        <v>791.98</v>
      </c>
      <c r="AE89" s="56">
        <f t="shared" si="304"/>
        <v>1208.6299999999999</v>
      </c>
      <c r="AF89" s="56">
        <f t="shared" si="304"/>
        <v>2664.6200000000003</v>
      </c>
      <c r="AG89" s="56">
        <f t="shared" si="304"/>
        <v>2227.69</v>
      </c>
      <c r="AH89" s="56">
        <f t="shared" si="304"/>
        <v>1832.3400000000001</v>
      </c>
      <c r="AI89" s="56">
        <f t="shared" si="304"/>
        <v>2698.71</v>
      </c>
      <c r="AJ89" s="56">
        <f t="shared" si="304"/>
        <v>2232.4700000000003</v>
      </c>
      <c r="AK89" s="56">
        <f t="shared" si="304"/>
        <v>2114.83</v>
      </c>
      <c r="AL89" s="56">
        <f t="shared" si="304"/>
        <v>2712.35</v>
      </c>
      <c r="AM89" s="56">
        <f t="shared" si="304"/>
        <v>2293.4699999999998</v>
      </c>
      <c r="AN89" s="56">
        <f t="shared" ref="AN89:AT89" si="305">+SUM(AN71, AN78, AN82:AN88)</f>
        <v>2161.9</v>
      </c>
      <c r="AO89" s="56">
        <f t="shared" si="305"/>
        <v>3618.1099999999997</v>
      </c>
      <c r="AP89" s="56">
        <f t="shared" si="305"/>
        <v>3644.83</v>
      </c>
      <c r="AQ89" s="56">
        <f t="shared" si="305"/>
        <v>5164.1999999999989</v>
      </c>
      <c r="AR89" s="56">
        <f t="shared" si="305"/>
        <v>3990.04</v>
      </c>
      <c r="AS89" s="56">
        <f t="shared" si="305"/>
        <v>3355.51</v>
      </c>
      <c r="AT89" s="56">
        <f t="shared" si="305"/>
        <v>3680.41</v>
      </c>
      <c r="AU89" s="56">
        <f t="shared" ref="AU89:AV89" si="306">+SUM(AU71, AU78, AU82:AU88)</f>
        <v>3609.2599999999998</v>
      </c>
      <c r="AV89" s="56">
        <f t="shared" si="306"/>
        <v>3143.7799999999997</v>
      </c>
      <c r="AW89" s="253">
        <f t="shared" ref="AW89" si="307">+SUM(AW71, AW78, AW82:AW88)</f>
        <v>3831.6099999999997</v>
      </c>
      <c r="AX89" s="56">
        <f t="shared" ref="AX89" si="308">+SUM(AX71, AX78, AX82:AX88)</f>
        <v>5037.9024242424248</v>
      </c>
      <c r="AY89" s="253">
        <f t="shared" ref="AY89:BX89" si="309">+SUM(AY71, AY78, AY82:AY88)</f>
        <v>5037.9024242424248</v>
      </c>
      <c r="AZ89" s="56">
        <f t="shared" si="309"/>
        <v>5381.4185454545468</v>
      </c>
      <c r="BA89" s="56">
        <f t="shared" si="309"/>
        <v>5381.4185454545468</v>
      </c>
      <c r="BB89" s="56">
        <f t="shared" si="309"/>
        <v>5381.4185454545468</v>
      </c>
      <c r="BC89" s="56">
        <f t="shared" si="309"/>
        <v>5381.4185454545468</v>
      </c>
      <c r="BD89" s="56">
        <f t="shared" si="309"/>
        <v>5456.928545454547</v>
      </c>
      <c r="BE89" s="56">
        <f t="shared" si="309"/>
        <v>5381.4185454545468</v>
      </c>
      <c r="BF89" s="56">
        <f t="shared" si="309"/>
        <v>5381.4185454545468</v>
      </c>
      <c r="BG89" s="56">
        <f t="shared" si="309"/>
        <v>5444.2285454545472</v>
      </c>
      <c r="BH89" s="56">
        <f t="shared" si="309"/>
        <v>5381.4185454545468</v>
      </c>
      <c r="BI89" s="56">
        <f t="shared" si="309"/>
        <v>5381.4185454545468</v>
      </c>
      <c r="BJ89" s="56">
        <f t="shared" si="309"/>
        <v>5381.4185454545468</v>
      </c>
      <c r="BK89" s="253">
        <f t="shared" si="309"/>
        <v>5381.4185454545468</v>
      </c>
      <c r="BL89" s="56">
        <f t="shared" si="309"/>
        <v>5754.0225727272737</v>
      </c>
      <c r="BM89" s="56">
        <f t="shared" si="309"/>
        <v>5754.0225727272737</v>
      </c>
      <c r="BN89" s="56">
        <f t="shared" si="309"/>
        <v>5754.0225727272737</v>
      </c>
      <c r="BO89" s="56">
        <f t="shared" si="309"/>
        <v>5754.0225727272737</v>
      </c>
      <c r="BP89" s="56">
        <f t="shared" si="309"/>
        <v>5829.5325727272739</v>
      </c>
      <c r="BQ89" s="56">
        <f t="shared" si="309"/>
        <v>5754.0225727272737</v>
      </c>
      <c r="BR89" s="56">
        <f t="shared" si="309"/>
        <v>5754.0225727272737</v>
      </c>
      <c r="BS89" s="56">
        <f t="shared" si="309"/>
        <v>5816.8325727272741</v>
      </c>
      <c r="BT89" s="56">
        <f t="shared" si="309"/>
        <v>5754.0225727272737</v>
      </c>
      <c r="BU89" s="56">
        <f t="shared" si="309"/>
        <v>5754.0225727272737</v>
      </c>
      <c r="BV89" s="56">
        <f t="shared" si="309"/>
        <v>5754.0225727272737</v>
      </c>
      <c r="BW89" s="253">
        <f t="shared" si="309"/>
        <v>5754.0225727272737</v>
      </c>
      <c r="BX89" s="56">
        <f t="shared" si="309"/>
        <v>6158.3601113636369</v>
      </c>
      <c r="BY89" s="56">
        <f t="shared" ref="BY89:CZ89" si="310">+SUM(BY71, BY78, BY82:BY88)</f>
        <v>6158.3601113636369</v>
      </c>
      <c r="BZ89" s="56">
        <f t="shared" si="310"/>
        <v>6158.3601113636369</v>
      </c>
      <c r="CA89" s="56">
        <f t="shared" si="310"/>
        <v>6158.3601113636369</v>
      </c>
      <c r="CB89" s="56">
        <f t="shared" si="310"/>
        <v>6233.8701113636371</v>
      </c>
      <c r="CC89" s="56">
        <f t="shared" si="310"/>
        <v>6158.3601113636369</v>
      </c>
      <c r="CD89" s="56">
        <f t="shared" si="310"/>
        <v>6158.3601113636369</v>
      </c>
      <c r="CE89" s="56">
        <f t="shared" si="310"/>
        <v>6221.1701113636373</v>
      </c>
      <c r="CF89" s="56">
        <f t="shared" si="310"/>
        <v>6158.3601113636369</v>
      </c>
      <c r="CG89" s="56">
        <f t="shared" si="310"/>
        <v>6158.3601113636369</v>
      </c>
      <c r="CH89" s="56">
        <f t="shared" si="310"/>
        <v>6158.3601113636369</v>
      </c>
      <c r="CI89" s="253">
        <f t="shared" si="310"/>
        <v>6158.3601113636369</v>
      </c>
      <c r="CJ89" s="56">
        <f t="shared" si="310"/>
        <v>6597.3281679318197</v>
      </c>
      <c r="CK89" s="56">
        <f t="shared" si="310"/>
        <v>6597.3281679318197</v>
      </c>
      <c r="CL89" s="56">
        <f t="shared" si="310"/>
        <v>6597.3281679318197</v>
      </c>
      <c r="CM89" s="56">
        <f t="shared" si="310"/>
        <v>6597.3281679318197</v>
      </c>
      <c r="CN89" s="56">
        <f t="shared" si="310"/>
        <v>6672.83816793182</v>
      </c>
      <c r="CO89" s="56">
        <f t="shared" si="310"/>
        <v>6597.3281679318197</v>
      </c>
      <c r="CP89" s="56">
        <f t="shared" si="310"/>
        <v>6597.3281679318197</v>
      </c>
      <c r="CQ89" s="56">
        <f t="shared" si="310"/>
        <v>6660.1381679318201</v>
      </c>
      <c r="CR89" s="56">
        <f t="shared" si="310"/>
        <v>6597.3281679318197</v>
      </c>
      <c r="CS89" s="56">
        <f t="shared" si="310"/>
        <v>6597.3281679318197</v>
      </c>
      <c r="CT89" s="56">
        <f t="shared" si="310"/>
        <v>6597.3281679318197</v>
      </c>
      <c r="CU89" s="253">
        <f t="shared" si="310"/>
        <v>6597.3281679318197</v>
      </c>
      <c r="CV89" s="56">
        <f t="shared" si="310"/>
        <v>7074.0996324284106</v>
      </c>
      <c r="CW89" s="56">
        <f t="shared" si="310"/>
        <v>7074.0996324284106</v>
      </c>
      <c r="CX89" s="56">
        <f t="shared" si="310"/>
        <v>7074.0996324284106</v>
      </c>
      <c r="CY89" s="56">
        <f t="shared" si="310"/>
        <v>7074.0996324284106</v>
      </c>
      <c r="CZ89" s="56">
        <f t="shared" si="310"/>
        <v>7149.6096324284108</v>
      </c>
      <c r="DA89" s="56">
        <f t="shared" ref="DA89:DG89" si="311">+SUM(DA71, DA78, DA82:DA88)</f>
        <v>7074.0996324284106</v>
      </c>
      <c r="DB89" s="56">
        <f t="shared" si="311"/>
        <v>7074.0996324284106</v>
      </c>
      <c r="DC89" s="56">
        <f t="shared" si="311"/>
        <v>7136.909632428411</v>
      </c>
      <c r="DD89" s="56">
        <f t="shared" si="311"/>
        <v>7074.0996324284106</v>
      </c>
      <c r="DE89" s="56">
        <f t="shared" si="311"/>
        <v>7074.0996324284106</v>
      </c>
      <c r="DF89" s="56">
        <f t="shared" si="311"/>
        <v>7074.0996324284106</v>
      </c>
      <c r="DG89" s="56">
        <f t="shared" si="311"/>
        <v>7074.0996324284106</v>
      </c>
    </row>
    <row r="90" spans="1:111" x14ac:dyDescent="0.25">
      <c r="B90" s="4" t="s">
        <v>392</v>
      </c>
      <c r="C90" s="4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252">
        <v>16.13</v>
      </c>
      <c r="AX90" s="56"/>
      <c r="AY90" s="253"/>
      <c r="AZ90" s="56"/>
      <c r="BA90" s="56"/>
      <c r="BB90" s="56"/>
      <c r="BC90" s="56"/>
      <c r="BD90" s="56"/>
      <c r="BE90" s="56"/>
      <c r="BF90" s="56"/>
      <c r="BG90" s="56"/>
      <c r="BH90" s="56"/>
      <c r="BI90" s="56"/>
      <c r="BJ90" s="56"/>
      <c r="BK90" s="253"/>
      <c r="BL90" s="56"/>
      <c r="BM90" s="56"/>
      <c r="BN90" s="56"/>
      <c r="BO90" s="56"/>
      <c r="BP90" s="56"/>
      <c r="BQ90" s="56"/>
      <c r="BR90" s="56"/>
      <c r="BS90" s="56"/>
      <c r="BT90" s="56"/>
      <c r="BU90" s="56"/>
      <c r="BV90" s="56"/>
      <c r="BW90" s="253"/>
      <c r="BX90" s="56"/>
      <c r="BY90" s="56"/>
      <c r="BZ90" s="56"/>
      <c r="CA90" s="56"/>
      <c r="CB90" s="56"/>
      <c r="CC90" s="56"/>
      <c r="CD90" s="56"/>
      <c r="CE90" s="56"/>
      <c r="CF90" s="56"/>
      <c r="CG90" s="56"/>
      <c r="CH90" s="56"/>
      <c r="CI90" s="253"/>
      <c r="CJ90" s="56"/>
      <c r="CK90" s="56"/>
      <c r="CL90" s="56"/>
      <c r="CM90" s="56"/>
      <c r="CN90" s="56"/>
      <c r="CO90" s="56"/>
      <c r="CP90" s="56"/>
      <c r="CQ90" s="56"/>
      <c r="CR90" s="56"/>
      <c r="CS90" s="56"/>
      <c r="CT90" s="56"/>
      <c r="CU90" s="253"/>
      <c r="CV90" s="56"/>
      <c r="CW90" s="56"/>
      <c r="CX90" s="56"/>
      <c r="CY90" s="56"/>
      <c r="CZ90" s="56"/>
      <c r="DA90" s="56"/>
      <c r="DB90" s="56"/>
      <c r="DC90" s="56"/>
      <c r="DD90" s="56"/>
      <c r="DE90" s="56"/>
      <c r="DF90" s="56"/>
      <c r="DG90" s="56"/>
    </row>
    <row r="91" spans="1:111" x14ac:dyDescent="0.25">
      <c r="A91" s="5"/>
      <c r="B91" s="6" t="s">
        <v>5</v>
      </c>
      <c r="C91" s="6"/>
      <c r="D91" s="56">
        <f t="shared" ref="D91:AI91" si="312">SUM(D89:D89)</f>
        <v>0</v>
      </c>
      <c r="E91" s="56">
        <f t="shared" si="312"/>
        <v>0</v>
      </c>
      <c r="F91" s="56">
        <f t="shared" si="312"/>
        <v>0</v>
      </c>
      <c r="G91" s="56">
        <f t="shared" si="312"/>
        <v>0</v>
      </c>
      <c r="H91" s="56">
        <f t="shared" si="312"/>
        <v>0</v>
      </c>
      <c r="I91" s="56">
        <f t="shared" si="312"/>
        <v>0</v>
      </c>
      <c r="J91" s="56">
        <f t="shared" si="312"/>
        <v>0</v>
      </c>
      <c r="K91" s="56">
        <f t="shared" si="312"/>
        <v>0</v>
      </c>
      <c r="L91" s="56">
        <f t="shared" si="312"/>
        <v>0</v>
      </c>
      <c r="M91" s="56">
        <f t="shared" si="312"/>
        <v>0</v>
      </c>
      <c r="N91" s="56">
        <f t="shared" si="312"/>
        <v>0</v>
      </c>
      <c r="O91" s="56">
        <f t="shared" si="312"/>
        <v>0</v>
      </c>
      <c r="P91" s="56">
        <f t="shared" si="312"/>
        <v>0</v>
      </c>
      <c r="Q91" s="56">
        <f t="shared" si="312"/>
        <v>0</v>
      </c>
      <c r="R91" s="56">
        <f t="shared" si="312"/>
        <v>0</v>
      </c>
      <c r="S91" s="56">
        <f t="shared" si="312"/>
        <v>0</v>
      </c>
      <c r="T91" s="56">
        <f t="shared" si="312"/>
        <v>0</v>
      </c>
      <c r="U91" s="56">
        <f t="shared" si="312"/>
        <v>0</v>
      </c>
      <c r="V91" s="56">
        <f t="shared" si="312"/>
        <v>0</v>
      </c>
      <c r="W91" s="56">
        <f t="shared" si="312"/>
        <v>0</v>
      </c>
      <c r="X91" s="56">
        <f t="shared" si="312"/>
        <v>0</v>
      </c>
      <c r="Y91" s="56">
        <f t="shared" si="312"/>
        <v>0</v>
      </c>
      <c r="Z91" s="56">
        <f t="shared" si="312"/>
        <v>0</v>
      </c>
      <c r="AA91" s="56">
        <f t="shared" si="312"/>
        <v>0</v>
      </c>
      <c r="AB91" s="56">
        <f t="shared" si="312"/>
        <v>959.96</v>
      </c>
      <c r="AC91" s="56">
        <f t="shared" si="312"/>
        <v>850.04</v>
      </c>
      <c r="AD91" s="56">
        <f t="shared" si="312"/>
        <v>791.98</v>
      </c>
      <c r="AE91" s="56">
        <f t="shared" si="312"/>
        <v>1208.6299999999999</v>
      </c>
      <c r="AF91" s="56">
        <f t="shared" si="312"/>
        <v>2664.6200000000003</v>
      </c>
      <c r="AG91" s="56">
        <f t="shared" si="312"/>
        <v>2227.69</v>
      </c>
      <c r="AH91" s="56">
        <f t="shared" si="312"/>
        <v>1832.3400000000001</v>
      </c>
      <c r="AI91" s="56">
        <f t="shared" si="312"/>
        <v>2698.71</v>
      </c>
      <c r="AJ91" s="56">
        <f t="shared" ref="AJ91" si="313">SUM(AJ89:AJ89)</f>
        <v>2232.4700000000003</v>
      </c>
      <c r="AK91" s="56">
        <f t="shared" ref="AK91:AT91" si="314">SUM(AK89:AK89)</f>
        <v>2114.83</v>
      </c>
      <c r="AL91" s="56">
        <f t="shared" si="314"/>
        <v>2712.35</v>
      </c>
      <c r="AM91" s="56">
        <f t="shared" si="314"/>
        <v>2293.4699999999998</v>
      </c>
      <c r="AN91" s="56">
        <f t="shared" si="314"/>
        <v>2161.9</v>
      </c>
      <c r="AO91" s="56">
        <f t="shared" si="314"/>
        <v>3618.1099999999997</v>
      </c>
      <c r="AP91" s="56">
        <f t="shared" si="314"/>
        <v>3644.83</v>
      </c>
      <c r="AQ91" s="56">
        <f t="shared" si="314"/>
        <v>5164.1999999999989</v>
      </c>
      <c r="AR91" s="56">
        <f t="shared" si="314"/>
        <v>3990.04</v>
      </c>
      <c r="AS91" s="56">
        <f t="shared" si="314"/>
        <v>3355.51</v>
      </c>
      <c r="AT91" s="56">
        <f t="shared" si="314"/>
        <v>3680.41</v>
      </c>
      <c r="AU91" s="56">
        <f t="shared" ref="AU91:AV91" si="315">SUM(AU89:AU89)</f>
        <v>3609.2599999999998</v>
      </c>
      <c r="AV91" s="56">
        <f t="shared" si="315"/>
        <v>3143.7799999999997</v>
      </c>
      <c r="AW91" s="253">
        <f>SUM(AW89:AW89)+AW90</f>
        <v>3847.74</v>
      </c>
      <c r="AX91" s="56">
        <f t="shared" ref="AX91:DG91" si="316">SUM(AX89:AX89)+AX90</f>
        <v>5037.9024242424248</v>
      </c>
      <c r="AY91" s="253">
        <f t="shared" si="316"/>
        <v>5037.9024242424248</v>
      </c>
      <c r="AZ91" s="56">
        <f t="shared" si="316"/>
        <v>5381.4185454545468</v>
      </c>
      <c r="BA91" s="56">
        <f t="shared" si="316"/>
        <v>5381.4185454545468</v>
      </c>
      <c r="BB91" s="56">
        <f t="shared" si="316"/>
        <v>5381.4185454545468</v>
      </c>
      <c r="BC91" s="56">
        <f t="shared" si="316"/>
        <v>5381.4185454545468</v>
      </c>
      <c r="BD91" s="56">
        <f t="shared" si="316"/>
        <v>5456.928545454547</v>
      </c>
      <c r="BE91" s="56">
        <f t="shared" si="316"/>
        <v>5381.4185454545468</v>
      </c>
      <c r="BF91" s="56">
        <f t="shared" si="316"/>
        <v>5381.4185454545468</v>
      </c>
      <c r="BG91" s="56">
        <f t="shared" si="316"/>
        <v>5444.2285454545472</v>
      </c>
      <c r="BH91" s="56">
        <f t="shared" si="316"/>
        <v>5381.4185454545468</v>
      </c>
      <c r="BI91" s="56">
        <f t="shared" si="316"/>
        <v>5381.4185454545468</v>
      </c>
      <c r="BJ91" s="56">
        <f t="shared" si="316"/>
        <v>5381.4185454545468</v>
      </c>
      <c r="BK91" s="253">
        <f t="shared" si="316"/>
        <v>5381.4185454545468</v>
      </c>
      <c r="BL91" s="56">
        <f t="shared" si="316"/>
        <v>5754.0225727272737</v>
      </c>
      <c r="BM91" s="56">
        <f t="shared" si="316"/>
        <v>5754.0225727272737</v>
      </c>
      <c r="BN91" s="56">
        <f t="shared" si="316"/>
        <v>5754.0225727272737</v>
      </c>
      <c r="BO91" s="56">
        <f t="shared" si="316"/>
        <v>5754.0225727272737</v>
      </c>
      <c r="BP91" s="56">
        <f t="shared" si="316"/>
        <v>5829.5325727272739</v>
      </c>
      <c r="BQ91" s="56">
        <f t="shared" si="316"/>
        <v>5754.0225727272737</v>
      </c>
      <c r="BR91" s="56">
        <f t="shared" si="316"/>
        <v>5754.0225727272737</v>
      </c>
      <c r="BS91" s="56">
        <f t="shared" si="316"/>
        <v>5816.8325727272741</v>
      </c>
      <c r="BT91" s="56">
        <f t="shared" si="316"/>
        <v>5754.0225727272737</v>
      </c>
      <c r="BU91" s="56">
        <f t="shared" si="316"/>
        <v>5754.0225727272737</v>
      </c>
      <c r="BV91" s="56">
        <f t="shared" si="316"/>
        <v>5754.0225727272737</v>
      </c>
      <c r="BW91" s="253">
        <f t="shared" si="316"/>
        <v>5754.0225727272737</v>
      </c>
      <c r="BX91" s="56">
        <f t="shared" si="316"/>
        <v>6158.3601113636369</v>
      </c>
      <c r="BY91" s="56">
        <f t="shared" si="316"/>
        <v>6158.3601113636369</v>
      </c>
      <c r="BZ91" s="56">
        <f t="shared" si="316"/>
        <v>6158.3601113636369</v>
      </c>
      <c r="CA91" s="56">
        <f t="shared" si="316"/>
        <v>6158.3601113636369</v>
      </c>
      <c r="CB91" s="56">
        <f t="shared" si="316"/>
        <v>6233.8701113636371</v>
      </c>
      <c r="CC91" s="56">
        <f t="shared" si="316"/>
        <v>6158.3601113636369</v>
      </c>
      <c r="CD91" s="56">
        <f t="shared" si="316"/>
        <v>6158.3601113636369</v>
      </c>
      <c r="CE91" s="56">
        <f t="shared" si="316"/>
        <v>6221.1701113636373</v>
      </c>
      <c r="CF91" s="56">
        <f t="shared" si="316"/>
        <v>6158.3601113636369</v>
      </c>
      <c r="CG91" s="56">
        <f t="shared" si="316"/>
        <v>6158.3601113636369</v>
      </c>
      <c r="CH91" s="56">
        <f t="shared" si="316"/>
        <v>6158.3601113636369</v>
      </c>
      <c r="CI91" s="253">
        <f t="shared" si="316"/>
        <v>6158.3601113636369</v>
      </c>
      <c r="CJ91" s="56">
        <f t="shared" si="316"/>
        <v>6597.3281679318197</v>
      </c>
      <c r="CK91" s="56">
        <f t="shared" si="316"/>
        <v>6597.3281679318197</v>
      </c>
      <c r="CL91" s="56">
        <f t="shared" si="316"/>
        <v>6597.3281679318197</v>
      </c>
      <c r="CM91" s="56">
        <f t="shared" si="316"/>
        <v>6597.3281679318197</v>
      </c>
      <c r="CN91" s="56">
        <f t="shared" si="316"/>
        <v>6672.83816793182</v>
      </c>
      <c r="CO91" s="56">
        <f t="shared" si="316"/>
        <v>6597.3281679318197</v>
      </c>
      <c r="CP91" s="56">
        <f t="shared" si="316"/>
        <v>6597.3281679318197</v>
      </c>
      <c r="CQ91" s="56">
        <f t="shared" si="316"/>
        <v>6660.1381679318201</v>
      </c>
      <c r="CR91" s="56">
        <f t="shared" si="316"/>
        <v>6597.3281679318197</v>
      </c>
      <c r="CS91" s="56">
        <f t="shared" si="316"/>
        <v>6597.3281679318197</v>
      </c>
      <c r="CT91" s="56">
        <f t="shared" si="316"/>
        <v>6597.3281679318197</v>
      </c>
      <c r="CU91" s="253">
        <f t="shared" si="316"/>
        <v>6597.3281679318197</v>
      </c>
      <c r="CV91" s="56">
        <f t="shared" si="316"/>
        <v>7074.0996324284106</v>
      </c>
      <c r="CW91" s="56">
        <f t="shared" si="316"/>
        <v>7074.0996324284106</v>
      </c>
      <c r="CX91" s="56">
        <f t="shared" si="316"/>
        <v>7074.0996324284106</v>
      </c>
      <c r="CY91" s="56">
        <f t="shared" si="316"/>
        <v>7074.0996324284106</v>
      </c>
      <c r="CZ91" s="56">
        <f t="shared" si="316"/>
        <v>7149.6096324284108</v>
      </c>
      <c r="DA91" s="56">
        <f t="shared" si="316"/>
        <v>7074.0996324284106</v>
      </c>
      <c r="DB91" s="56">
        <f t="shared" si="316"/>
        <v>7074.0996324284106</v>
      </c>
      <c r="DC91" s="56">
        <f t="shared" si="316"/>
        <v>7136.909632428411</v>
      </c>
      <c r="DD91" s="56">
        <f t="shared" si="316"/>
        <v>7074.0996324284106</v>
      </c>
      <c r="DE91" s="56">
        <f t="shared" si="316"/>
        <v>7074.0996324284106</v>
      </c>
      <c r="DF91" s="56">
        <f t="shared" si="316"/>
        <v>7074.0996324284106</v>
      </c>
      <c r="DG91" s="56">
        <f t="shared" si="316"/>
        <v>7074.0996324284106</v>
      </c>
    </row>
    <row r="92" spans="1:111" x14ac:dyDescent="0.25">
      <c r="A92" s="3"/>
      <c r="B92" s="4" t="s">
        <v>6</v>
      </c>
      <c r="C92" s="4"/>
      <c r="D92" s="56">
        <f t="shared" ref="D92:AI92" si="317">D65-D91</f>
        <v>0</v>
      </c>
      <c r="E92" s="56">
        <f t="shared" si="317"/>
        <v>0</v>
      </c>
      <c r="F92" s="56">
        <f t="shared" si="317"/>
        <v>0</v>
      </c>
      <c r="G92" s="56">
        <f t="shared" si="317"/>
        <v>0</v>
      </c>
      <c r="H92" s="56">
        <f t="shared" si="317"/>
        <v>0</v>
      </c>
      <c r="I92" s="56">
        <f t="shared" si="317"/>
        <v>0</v>
      </c>
      <c r="J92" s="56">
        <f t="shared" si="317"/>
        <v>0</v>
      </c>
      <c r="K92" s="56">
        <f t="shared" si="317"/>
        <v>0</v>
      </c>
      <c r="L92" s="56">
        <f t="shared" si="317"/>
        <v>0</v>
      </c>
      <c r="M92" s="56">
        <f t="shared" si="317"/>
        <v>0</v>
      </c>
      <c r="N92" s="56">
        <f t="shared" si="317"/>
        <v>0</v>
      </c>
      <c r="O92" s="56">
        <f t="shared" si="317"/>
        <v>0</v>
      </c>
      <c r="P92" s="56">
        <f t="shared" si="317"/>
        <v>0</v>
      </c>
      <c r="Q92" s="56">
        <f t="shared" si="317"/>
        <v>0</v>
      </c>
      <c r="R92" s="56">
        <f t="shared" si="317"/>
        <v>0</v>
      </c>
      <c r="S92" s="56">
        <f t="shared" si="317"/>
        <v>0</v>
      </c>
      <c r="T92" s="56">
        <f t="shared" si="317"/>
        <v>0</v>
      </c>
      <c r="U92" s="56">
        <f t="shared" si="317"/>
        <v>0</v>
      </c>
      <c r="V92" s="56">
        <f t="shared" si="317"/>
        <v>0</v>
      </c>
      <c r="W92" s="243">
        <f t="shared" si="317"/>
        <v>0</v>
      </c>
      <c r="X92" s="56">
        <f t="shared" si="317"/>
        <v>0</v>
      </c>
      <c r="Y92" s="56">
        <f t="shared" si="317"/>
        <v>0</v>
      </c>
      <c r="Z92" s="56">
        <f t="shared" si="317"/>
        <v>0</v>
      </c>
      <c r="AA92" s="56">
        <f t="shared" si="317"/>
        <v>0</v>
      </c>
      <c r="AB92" s="56">
        <f t="shared" si="317"/>
        <v>4264.74</v>
      </c>
      <c r="AC92" s="56">
        <f t="shared" si="317"/>
        <v>5242.32</v>
      </c>
      <c r="AD92" s="56">
        <f t="shared" si="317"/>
        <v>6315.43</v>
      </c>
      <c r="AE92" s="56">
        <f t="shared" si="317"/>
        <v>6271.58</v>
      </c>
      <c r="AF92" s="56">
        <f t="shared" si="317"/>
        <v>3962.2599999999998</v>
      </c>
      <c r="AG92" s="56">
        <f t="shared" si="317"/>
        <v>3641.6999999999994</v>
      </c>
      <c r="AH92" s="56">
        <f t="shared" si="317"/>
        <v>3448.51</v>
      </c>
      <c r="AI92" s="56">
        <f t="shared" si="317"/>
        <v>3756.45</v>
      </c>
      <c r="AJ92" s="56">
        <f t="shared" ref="AJ92:AT92" si="318">AJ65-AJ91</f>
        <v>1938.8599999999997</v>
      </c>
      <c r="AK92" s="56">
        <f t="shared" si="318"/>
        <v>4223.68</v>
      </c>
      <c r="AL92" s="56">
        <f t="shared" si="318"/>
        <v>1277.96</v>
      </c>
      <c r="AM92" s="56">
        <f t="shared" si="318"/>
        <v>2627.94</v>
      </c>
      <c r="AN92" s="56">
        <f t="shared" si="318"/>
        <v>4061.8700000000003</v>
      </c>
      <c r="AO92" s="56">
        <f t="shared" si="318"/>
        <v>2138.420000000001</v>
      </c>
      <c r="AP92" s="56">
        <f t="shared" si="318"/>
        <v>2438.9799999999996</v>
      </c>
      <c r="AQ92" s="56">
        <f t="shared" si="318"/>
        <v>2096.9800000000014</v>
      </c>
      <c r="AR92" s="56">
        <f t="shared" si="318"/>
        <v>2264.0999999999995</v>
      </c>
      <c r="AS92" s="56">
        <f t="shared" si="318"/>
        <v>2846.1099999999997</v>
      </c>
      <c r="AT92" s="56">
        <f t="shared" si="318"/>
        <v>2933.4300000000003</v>
      </c>
      <c r="AU92" s="56">
        <f t="shared" ref="AU92:AV92" si="319">AU65-AU91</f>
        <v>3070.3800000000006</v>
      </c>
      <c r="AV92" s="56">
        <f t="shared" si="319"/>
        <v>1881.12</v>
      </c>
      <c r="AW92" s="253">
        <f>AW65-AW91</f>
        <v>2290</v>
      </c>
      <c r="AX92" s="56">
        <f t="shared" ref="AX92" si="320">AX65-AX91</f>
        <v>-710.26530412345983</v>
      </c>
      <c r="AY92" s="253">
        <f t="shared" ref="AY92:BO92" si="321">AY65-AY91</f>
        <v>495.58377970419224</v>
      </c>
      <c r="AZ92" s="56">
        <f t="shared" si="321"/>
        <v>11.849956241489963</v>
      </c>
      <c r="BA92" s="56">
        <f t="shared" si="321"/>
        <v>732.97914693500206</v>
      </c>
      <c r="BB92" s="56">
        <f t="shared" si="321"/>
        <v>1266.1262850332587</v>
      </c>
      <c r="BC92" s="56">
        <f t="shared" si="321"/>
        <v>2339.4956586852468</v>
      </c>
      <c r="BD92" s="56">
        <f t="shared" si="321"/>
        <v>1864.180038014264</v>
      </c>
      <c r="BE92" s="56">
        <f t="shared" si="321"/>
        <v>2063.7372390375622</v>
      </c>
      <c r="BF92" s="56">
        <f t="shared" si="321"/>
        <v>1782.1779345635823</v>
      </c>
      <c r="BG92" s="56">
        <f t="shared" si="321"/>
        <v>2109.2554644807351</v>
      </c>
      <c r="BH92" s="56">
        <f t="shared" si="321"/>
        <v>304.40768113502509</v>
      </c>
      <c r="BI92" s="56">
        <f t="shared" si="321"/>
        <v>614.99190630420617</v>
      </c>
      <c r="BJ92" s="56">
        <f t="shared" si="321"/>
        <v>375.46991290169808</v>
      </c>
      <c r="BK92" s="253">
        <f t="shared" si="321"/>
        <v>1555.8316423261131</v>
      </c>
      <c r="BL92" s="56">
        <f t="shared" si="321"/>
        <v>226.43299990093783</v>
      </c>
      <c r="BM92" s="56">
        <f t="shared" si="321"/>
        <v>1192.1675499324383</v>
      </c>
      <c r="BN92" s="56">
        <f t="shared" si="321"/>
        <v>1994.1745546409766</v>
      </c>
      <c r="BO92" s="56">
        <f t="shared" si="321"/>
        <v>2767.0828351843666</v>
      </c>
      <c r="BP92" s="56">
        <f t="shared" ref="BP92:CU92" si="322">BP65-BP91</f>
        <v>2276.0912897209819</v>
      </c>
      <c r="BQ92" s="56">
        <f t="shared" si="322"/>
        <v>2443.8671616455795</v>
      </c>
      <c r="BR92" s="56">
        <f t="shared" si="322"/>
        <v>1780.5350239134668</v>
      </c>
      <c r="BS92" s="56">
        <f t="shared" si="322"/>
        <v>2782.0165958551815</v>
      </c>
      <c r="BT92" s="56">
        <f t="shared" si="322"/>
        <v>404.5536968634915</v>
      </c>
      <c r="BU92" s="56">
        <f t="shared" si="322"/>
        <v>574.14600210706067</v>
      </c>
      <c r="BV92" s="56">
        <f t="shared" si="322"/>
        <v>653.65321722129738</v>
      </c>
      <c r="BW92" s="253">
        <f t="shared" si="322"/>
        <v>1799.5827972510933</v>
      </c>
      <c r="BX92" s="56">
        <f t="shared" si="322"/>
        <v>313.32268943226791</v>
      </c>
      <c r="BY92" s="56">
        <f t="shared" si="322"/>
        <v>1684.4583828645655</v>
      </c>
      <c r="BZ92" s="56">
        <f t="shared" si="322"/>
        <v>2247.0442265567135</v>
      </c>
      <c r="CA92" s="56">
        <f t="shared" si="322"/>
        <v>2409.1957893503868</v>
      </c>
      <c r="CB92" s="56">
        <f t="shared" si="322"/>
        <v>3311.0535957417806</v>
      </c>
      <c r="CC92" s="56">
        <f t="shared" si="322"/>
        <v>2699.9486131111216</v>
      </c>
      <c r="CD92" s="56">
        <f t="shared" si="322"/>
        <v>1667.0240127323013</v>
      </c>
      <c r="CE92" s="56">
        <f t="shared" si="322"/>
        <v>3459.4117652280329</v>
      </c>
      <c r="CF92" s="56">
        <f t="shared" si="322"/>
        <v>189.62449325698344</v>
      </c>
      <c r="CG92" s="56">
        <f t="shared" si="322"/>
        <v>878.7705726471595</v>
      </c>
      <c r="CH92" s="56">
        <f t="shared" si="322"/>
        <v>717.16501138686363</v>
      </c>
      <c r="CI92" s="253">
        <f t="shared" si="322"/>
        <v>1451.701126209894</v>
      </c>
      <c r="CJ92" s="56">
        <f t="shared" si="322"/>
        <v>954.67027919980865</v>
      </c>
      <c r="CK92" s="56">
        <f t="shared" si="322"/>
        <v>1555.2764571300686</v>
      </c>
      <c r="CL92" s="56">
        <f t="shared" si="322"/>
        <v>2171.7817546180695</v>
      </c>
      <c r="CM92" s="56">
        <f t="shared" si="322"/>
        <v>3148.1355326289313</v>
      </c>
      <c r="CN92" s="56">
        <f t="shared" si="322"/>
        <v>3796.2721355322783</v>
      </c>
      <c r="CO92" s="56">
        <f t="shared" si="322"/>
        <v>2750.2160184406139</v>
      </c>
      <c r="CP92" s="56">
        <f t="shared" si="322"/>
        <v>2353.5970876430611</v>
      </c>
      <c r="CQ92" s="56">
        <f t="shared" si="322"/>
        <v>3923.0026788123541</v>
      </c>
      <c r="CR92" s="56">
        <f t="shared" si="322"/>
        <v>4.2377968539885842</v>
      </c>
      <c r="CS92" s="56">
        <f t="shared" si="322"/>
        <v>1401.5277162230159</v>
      </c>
      <c r="CT92" s="56">
        <f t="shared" si="322"/>
        <v>883.57053060727412</v>
      </c>
      <c r="CU92" s="253">
        <f t="shared" si="322"/>
        <v>1668.1370108392102</v>
      </c>
      <c r="CV92" s="56">
        <f t="shared" ref="CV92:DG92" si="323">CV65-CV91</f>
        <v>1194.7151113189584</v>
      </c>
      <c r="CW92" s="56">
        <f t="shared" si="323"/>
        <v>1847.4241708296895</v>
      </c>
      <c r="CX92" s="56">
        <f t="shared" si="323"/>
        <v>2143.2291679929776</v>
      </c>
      <c r="CY92" s="56">
        <f t="shared" si="323"/>
        <v>4090.7612842032677</v>
      </c>
      <c r="CZ92" s="56">
        <f t="shared" si="323"/>
        <v>4319.4567147297175</v>
      </c>
      <c r="DA92" s="56">
        <f t="shared" si="323"/>
        <v>2667.9504679748215</v>
      </c>
      <c r="DB92" s="56">
        <f t="shared" si="323"/>
        <v>2968.0803025023843</v>
      </c>
      <c r="DC92" s="56">
        <f t="shared" si="323"/>
        <v>3867.0829464128401</v>
      </c>
      <c r="DD92" s="56">
        <f t="shared" si="323"/>
        <v>267.35947843495524</v>
      </c>
      <c r="DE92" s="56">
        <f t="shared" si="323"/>
        <v>1584.9170931534909</v>
      </c>
      <c r="DF92" s="56">
        <f t="shared" si="323"/>
        <v>641.85516683190235</v>
      </c>
      <c r="DG92" s="56">
        <f t="shared" si="323"/>
        <v>2266.9623888606066</v>
      </c>
    </row>
    <row r="93" spans="1:111" s="169" customFormat="1" x14ac:dyDescent="0.25">
      <c r="B93" s="284"/>
      <c r="C93" s="284" t="s">
        <v>275</v>
      </c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5"/>
      <c r="P93" s="285"/>
      <c r="Q93" s="285"/>
      <c r="R93" s="285"/>
      <c r="S93" s="285"/>
      <c r="T93" s="285"/>
      <c r="U93" s="285"/>
      <c r="V93" s="285"/>
      <c r="W93" s="313">
        <f>+SUM(W75:W77,W61)</f>
        <v>0</v>
      </c>
      <c r="X93" s="314">
        <f>+SUM(X75:X77,X61)</f>
        <v>0</v>
      </c>
      <c r="Y93" s="314">
        <f>+SUM(Y75:Y77,Y61)</f>
        <v>0</v>
      </c>
      <c r="Z93" s="314">
        <f>+SUM(Z75:Z77,Z61)</f>
        <v>0</v>
      </c>
      <c r="AA93" s="314">
        <f>+SUM(AA75:AA77,AA61)</f>
        <v>0</v>
      </c>
      <c r="AB93" s="314">
        <f t="shared" ref="AB93:AJ93" si="324">+SUM(AB75:AB77,AB61, AB85:AB86)</f>
        <v>916.54</v>
      </c>
      <c r="AC93" s="314">
        <f t="shared" si="324"/>
        <v>1128.8600000000001</v>
      </c>
      <c r="AD93" s="314">
        <f t="shared" si="324"/>
        <v>730.29000000000008</v>
      </c>
      <c r="AE93" s="314">
        <f t="shared" si="324"/>
        <v>1141.6799999999998</v>
      </c>
      <c r="AF93" s="314">
        <f t="shared" si="324"/>
        <v>2898.53</v>
      </c>
      <c r="AG93" s="314">
        <f t="shared" si="324"/>
        <v>2922.32</v>
      </c>
      <c r="AH93" s="314">
        <f t="shared" si="324"/>
        <v>2192.9100000000003</v>
      </c>
      <c r="AI93" s="314">
        <f t="shared" si="324"/>
        <v>2846.0299999999997</v>
      </c>
      <c r="AJ93" s="314">
        <f t="shared" si="324"/>
        <v>1805.3400000000001</v>
      </c>
      <c r="AK93" s="314">
        <f t="shared" ref="AK93:AQ93" si="325">+SUM(AK75:AK77,AK61, AK85:AK86)</f>
        <v>2887.1</v>
      </c>
      <c r="AL93" s="314">
        <f t="shared" si="325"/>
        <v>3039.15</v>
      </c>
      <c r="AM93" s="314">
        <f t="shared" si="325"/>
        <v>2949.56</v>
      </c>
      <c r="AN93" s="314">
        <f t="shared" si="325"/>
        <v>2247.9899999999998</v>
      </c>
      <c r="AO93" s="314">
        <f t="shared" si="325"/>
        <v>2330.2600000000002</v>
      </c>
      <c r="AP93" s="314">
        <f t="shared" si="325"/>
        <v>2666.62</v>
      </c>
      <c r="AQ93" s="314">
        <f t="shared" si="325"/>
        <v>2641.89</v>
      </c>
      <c r="AR93" s="314">
        <f t="shared" ref="AR93:BG93" si="326">+SUM(AR75:AR77,AR61, AR85:AR86)</f>
        <v>3115.25</v>
      </c>
      <c r="AS93" s="314">
        <f t="shared" ref="AS93:AX93" si="327">+SUM(AS75:AS77,AS61, AS85:AS86)</f>
        <v>2424.2200000000003</v>
      </c>
      <c r="AT93" s="314">
        <f t="shared" si="327"/>
        <v>2696.0499999999997</v>
      </c>
      <c r="AU93" s="314">
        <f t="shared" si="327"/>
        <v>2643.92</v>
      </c>
      <c r="AV93" s="314">
        <f t="shared" si="327"/>
        <v>2823.27</v>
      </c>
      <c r="AW93" s="315">
        <f t="shared" si="327"/>
        <v>2873.12</v>
      </c>
      <c r="AX93" s="314">
        <f t="shared" si="327"/>
        <v>2786.348064802663</v>
      </c>
      <c r="AY93" s="315">
        <f t="shared" si="326"/>
        <v>3768.7645773333347</v>
      </c>
      <c r="AZ93" s="314">
        <f t="shared" si="326"/>
        <v>3674.6117852656675</v>
      </c>
      <c r="BA93" s="314">
        <f t="shared" si="326"/>
        <v>4170.6385654454907</v>
      </c>
      <c r="BB93" s="314">
        <f t="shared" si="326"/>
        <v>4537.3623948034974</v>
      </c>
      <c r="BC93" s="314">
        <f t="shared" si="326"/>
        <v>5326.3120598909454</v>
      </c>
      <c r="BD93" s="314">
        <f t="shared" si="326"/>
        <v>5051.3068357528073</v>
      </c>
      <c r="BE93" s="314">
        <f t="shared" si="326"/>
        <v>5085.9969507981396</v>
      </c>
      <c r="BF93" s="314">
        <f t="shared" si="326"/>
        <v>4892.327138189964</v>
      </c>
      <c r="BG93" s="314">
        <f t="shared" si="326"/>
        <v>5160.5102301974875</v>
      </c>
      <c r="BH93" s="314">
        <f t="shared" ref="BH93:CM93" si="328">+SUM(BH75:BH77,BH61, BH85:BH86)</f>
        <v>3774.5759927524678</v>
      </c>
      <c r="BI93" s="314">
        <f t="shared" si="328"/>
        <v>4089.4813583490582</v>
      </c>
      <c r="BJ93" s="314">
        <f t="shared" si="328"/>
        <v>3823.4559583266196</v>
      </c>
      <c r="BK93" s="315">
        <f t="shared" si="328"/>
        <v>4736.6354480002783</v>
      </c>
      <c r="BL93" s="314">
        <f t="shared" si="328"/>
        <v>4098.0474050461926</v>
      </c>
      <c r="BM93" s="314">
        <f t="shared" si="328"/>
        <v>4726.4517611172414</v>
      </c>
      <c r="BN93" s="314">
        <f t="shared" si="328"/>
        <v>5248.3184535141345</v>
      </c>
      <c r="BO93" s="314">
        <f t="shared" si="328"/>
        <v>5800.7716069221033</v>
      </c>
      <c r="BP93" s="314">
        <f t="shared" si="328"/>
        <v>5530.4173848143755</v>
      </c>
      <c r="BQ93" s="314">
        <f t="shared" si="328"/>
        <v>5540.9338446953043</v>
      </c>
      <c r="BR93" s="314">
        <f t="shared" si="328"/>
        <v>5109.3030152306401</v>
      </c>
      <c r="BS93" s="314">
        <f t="shared" si="328"/>
        <v>5801.8385157116618</v>
      </c>
      <c r="BT93" s="314">
        <f t="shared" si="328"/>
        <v>4114.9086507280372</v>
      </c>
      <c r="BU93" s="314">
        <f t="shared" si="328"/>
        <v>4324.3045739977879</v>
      </c>
      <c r="BV93" s="314">
        <f t="shared" si="328"/>
        <v>4276.9979367362357</v>
      </c>
      <c r="BW93" s="315">
        <f t="shared" si="328"/>
        <v>5121.6974187843171</v>
      </c>
      <c r="BX93" s="314">
        <f t="shared" si="328"/>
        <v>4455.7637857349191</v>
      </c>
      <c r="BY93" s="314">
        <f t="shared" si="328"/>
        <v>5301.4971378068267</v>
      </c>
      <c r="BZ93" s="314">
        <f t="shared" si="328"/>
        <v>5648.5070024708584</v>
      </c>
      <c r="CA93" s="314">
        <f t="shared" si="328"/>
        <v>5797.0284486601468</v>
      </c>
      <c r="CB93" s="314">
        <f t="shared" si="328"/>
        <v>6399.8809271317659</v>
      </c>
      <c r="CC93" s="314">
        <f t="shared" si="328"/>
        <v>5927.8639959788416</v>
      </c>
      <c r="CD93" s="314">
        <f t="shared" si="328"/>
        <v>5290.7434039759237</v>
      </c>
      <c r="CE93" s="314">
        <f t="shared" si="328"/>
        <v>6435.0521850031892</v>
      </c>
      <c r="CF93" s="314">
        <f t="shared" si="328"/>
        <v>4282.4564799992031</v>
      </c>
      <c r="CG93" s="314">
        <f t="shared" si="328"/>
        <v>4804.5389915616988</v>
      </c>
      <c r="CH93" s="314">
        <f t="shared" si="328"/>
        <v>4607.8499570188897</v>
      </c>
      <c r="CI93" s="315">
        <f t="shared" si="328"/>
        <v>5157.9296004489097</v>
      </c>
      <c r="CJ93" s="314">
        <f t="shared" si="328"/>
        <v>5163.4682325974236</v>
      </c>
      <c r="CK93" s="314">
        <f t="shared" si="328"/>
        <v>5515.3070858940691</v>
      </c>
      <c r="CL93" s="314">
        <f t="shared" si="328"/>
        <v>5876.4597428097495</v>
      </c>
      <c r="CM93" s="314">
        <f t="shared" si="328"/>
        <v>6495.98807647801</v>
      </c>
      <c r="CN93" s="314">
        <f t="shared" ref="CN93:DG93" si="329">+SUM(CN75:CN77,CN61, CN85:CN86)</f>
        <v>6919.9047798241618</v>
      </c>
      <c r="CO93" s="314">
        <f t="shared" si="329"/>
        <v>6215.3101502300424</v>
      </c>
      <c r="CP93" s="314">
        <f t="shared" si="329"/>
        <v>5982.968301385863</v>
      </c>
      <c r="CQ93" s="314">
        <f t="shared" si="329"/>
        <v>6939.1303973351905</v>
      </c>
      <c r="CR93" s="314">
        <f t="shared" si="329"/>
        <v>4511.5505684346062</v>
      </c>
      <c r="CS93" s="314">
        <f t="shared" si="329"/>
        <v>5425.2401124191101</v>
      </c>
      <c r="CT93" s="314">
        <f t="shared" si="329"/>
        <v>5026.6691803944805</v>
      </c>
      <c r="CU93" s="315">
        <f t="shared" si="329"/>
        <v>5581.4215037248814</v>
      </c>
      <c r="CV93" s="314">
        <f t="shared" si="329"/>
        <v>5644.3681125249368</v>
      </c>
      <c r="CW93" s="314">
        <f t="shared" si="329"/>
        <v>6008.1636535211273</v>
      </c>
      <c r="CX93" s="314">
        <f t="shared" si="329"/>
        <v>6173.0342607301973</v>
      </c>
      <c r="CY93" s="314">
        <f t="shared" si="329"/>
        <v>7305.2364679331058</v>
      </c>
      <c r="CZ93" s="314">
        <f t="shared" si="329"/>
        <v>7474.7891615257231</v>
      </c>
      <c r="DA93" s="314">
        <f t="shared" si="329"/>
        <v>6465.4942264953579</v>
      </c>
      <c r="DB93" s="314">
        <f t="shared" si="329"/>
        <v>6632.7753357891334</v>
      </c>
      <c r="DC93" s="314">
        <f t="shared" si="329"/>
        <v>7168.8536175746904</v>
      </c>
      <c r="DD93" s="314">
        <f t="shared" si="329"/>
        <v>5034.0531270244701</v>
      </c>
      <c r="DE93" s="314">
        <f t="shared" si="329"/>
        <v>5861.8520573405449</v>
      </c>
      <c r="DF93" s="314">
        <f t="shared" si="329"/>
        <v>5242.782973157191</v>
      </c>
      <c r="DG93" s="314">
        <f t="shared" si="329"/>
        <v>6241.998515736067</v>
      </c>
    </row>
    <row r="94" spans="1:111" x14ac:dyDescent="0.25">
      <c r="B94" s="1" t="s">
        <v>7</v>
      </c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W94" s="251"/>
      <c r="AY94" s="251"/>
      <c r="BK94" s="251"/>
      <c r="BW94" s="251"/>
      <c r="CI94" s="251"/>
      <c r="CU94" s="251"/>
    </row>
    <row r="95" spans="1:111" x14ac:dyDescent="0.25">
      <c r="B95" s="1" t="s">
        <v>8</v>
      </c>
      <c r="C95" s="1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>
        <v>0</v>
      </c>
      <c r="Q95" s="116">
        <v>0</v>
      </c>
      <c r="R95" s="116">
        <v>0</v>
      </c>
      <c r="S95" s="116"/>
      <c r="T95" s="116"/>
      <c r="U95" s="116"/>
      <c r="V95" s="116"/>
      <c r="W95" s="116"/>
      <c r="X95" s="116">
        <v>0</v>
      </c>
      <c r="Y95" s="116">
        <v>0</v>
      </c>
      <c r="Z95" s="116">
        <v>0</v>
      </c>
      <c r="AA95" s="116">
        <v>0</v>
      </c>
      <c r="AB95" s="116">
        <v>0</v>
      </c>
      <c r="AC95" s="116">
        <v>0</v>
      </c>
      <c r="AD95" s="116">
        <v>0</v>
      </c>
      <c r="AE95" s="116">
        <v>0</v>
      </c>
      <c r="AF95" s="116">
        <v>0</v>
      </c>
      <c r="AG95" s="116">
        <v>0</v>
      </c>
      <c r="AH95" s="116">
        <v>0</v>
      </c>
      <c r="AI95" s="116">
        <v>0</v>
      </c>
      <c r="AJ95" s="116">
        <v>0</v>
      </c>
      <c r="AK95" s="116">
        <v>0</v>
      </c>
      <c r="AL95" s="116">
        <v>0</v>
      </c>
      <c r="AM95" s="116">
        <v>0</v>
      </c>
      <c r="AN95" s="116">
        <v>0</v>
      </c>
      <c r="AO95" s="116">
        <v>0</v>
      </c>
      <c r="AP95" s="116">
        <v>2.35</v>
      </c>
      <c r="AQ95" s="116">
        <v>3.21</v>
      </c>
      <c r="AR95" s="116">
        <v>4.3</v>
      </c>
      <c r="AS95" s="116">
        <v>3.94</v>
      </c>
      <c r="AT95" s="116">
        <v>4.21</v>
      </c>
      <c r="AU95" s="116">
        <v>3.44</v>
      </c>
      <c r="AV95" s="116">
        <v>2.61</v>
      </c>
      <c r="AW95" s="252">
        <v>1.78</v>
      </c>
      <c r="AX95" s="631">
        <f>AW95</f>
        <v>1.78</v>
      </c>
      <c r="AY95" s="252">
        <f t="shared" ref="AY95:CA95" si="330">AX95</f>
        <v>1.78</v>
      </c>
      <c r="AZ95" s="116">
        <f t="shared" si="330"/>
        <v>1.78</v>
      </c>
      <c r="BA95" s="116">
        <f t="shared" si="330"/>
        <v>1.78</v>
      </c>
      <c r="BB95" s="116">
        <f t="shared" si="330"/>
        <v>1.78</v>
      </c>
      <c r="BC95" s="116">
        <f t="shared" si="330"/>
        <v>1.78</v>
      </c>
      <c r="BD95" s="116">
        <f t="shared" si="330"/>
        <v>1.78</v>
      </c>
      <c r="BE95" s="116">
        <f t="shared" si="330"/>
        <v>1.78</v>
      </c>
      <c r="BF95" s="116">
        <f t="shared" si="330"/>
        <v>1.78</v>
      </c>
      <c r="BG95" s="116">
        <f t="shared" si="330"/>
        <v>1.78</v>
      </c>
      <c r="BH95" s="116">
        <f t="shared" si="330"/>
        <v>1.78</v>
      </c>
      <c r="BI95" s="116">
        <f t="shared" si="330"/>
        <v>1.78</v>
      </c>
      <c r="BJ95" s="116">
        <f t="shared" si="330"/>
        <v>1.78</v>
      </c>
      <c r="BK95" s="252">
        <f t="shared" si="330"/>
        <v>1.78</v>
      </c>
      <c r="BL95" s="116">
        <f t="shared" si="330"/>
        <v>1.78</v>
      </c>
      <c r="BM95" s="116">
        <f t="shared" si="330"/>
        <v>1.78</v>
      </c>
      <c r="BN95" s="116">
        <f t="shared" si="330"/>
        <v>1.78</v>
      </c>
      <c r="BO95" s="116">
        <f t="shared" si="330"/>
        <v>1.78</v>
      </c>
      <c r="BP95" s="116">
        <f t="shared" si="330"/>
        <v>1.78</v>
      </c>
      <c r="BQ95" s="116">
        <f t="shared" si="330"/>
        <v>1.78</v>
      </c>
      <c r="BR95" s="116">
        <f t="shared" si="330"/>
        <v>1.78</v>
      </c>
      <c r="BS95" s="116">
        <f t="shared" si="330"/>
        <v>1.78</v>
      </c>
      <c r="BT95" s="116">
        <f t="shared" si="330"/>
        <v>1.78</v>
      </c>
      <c r="BU95" s="116">
        <f t="shared" si="330"/>
        <v>1.78</v>
      </c>
      <c r="BV95" s="116">
        <f t="shared" si="330"/>
        <v>1.78</v>
      </c>
      <c r="BW95" s="252">
        <f t="shared" si="330"/>
        <v>1.78</v>
      </c>
      <c r="BX95" s="116">
        <f t="shared" si="330"/>
        <v>1.78</v>
      </c>
      <c r="BY95" s="116">
        <f t="shared" si="330"/>
        <v>1.78</v>
      </c>
      <c r="BZ95" s="116">
        <f t="shared" si="330"/>
        <v>1.78</v>
      </c>
      <c r="CA95" s="116">
        <f t="shared" si="330"/>
        <v>1.78</v>
      </c>
      <c r="CB95" s="116">
        <f t="shared" ref="CB95:DG95" si="331">CA95</f>
        <v>1.78</v>
      </c>
      <c r="CC95" s="116">
        <f t="shared" si="331"/>
        <v>1.78</v>
      </c>
      <c r="CD95" s="116">
        <f t="shared" si="331"/>
        <v>1.78</v>
      </c>
      <c r="CE95" s="116">
        <f t="shared" si="331"/>
        <v>1.78</v>
      </c>
      <c r="CF95" s="116">
        <f t="shared" si="331"/>
        <v>1.78</v>
      </c>
      <c r="CG95" s="116">
        <f t="shared" si="331"/>
        <v>1.78</v>
      </c>
      <c r="CH95" s="116">
        <f t="shared" si="331"/>
        <v>1.78</v>
      </c>
      <c r="CI95" s="252">
        <f t="shared" si="331"/>
        <v>1.78</v>
      </c>
      <c r="CJ95" s="116">
        <f t="shared" si="331"/>
        <v>1.78</v>
      </c>
      <c r="CK95" s="116">
        <f t="shared" si="331"/>
        <v>1.78</v>
      </c>
      <c r="CL95" s="116">
        <f t="shared" si="331"/>
        <v>1.78</v>
      </c>
      <c r="CM95" s="116">
        <f t="shared" si="331"/>
        <v>1.78</v>
      </c>
      <c r="CN95" s="116">
        <f t="shared" si="331"/>
        <v>1.78</v>
      </c>
      <c r="CO95" s="116">
        <f t="shared" si="331"/>
        <v>1.78</v>
      </c>
      <c r="CP95" s="116">
        <f t="shared" si="331"/>
        <v>1.78</v>
      </c>
      <c r="CQ95" s="116">
        <f t="shared" si="331"/>
        <v>1.78</v>
      </c>
      <c r="CR95" s="116">
        <f t="shared" si="331"/>
        <v>1.78</v>
      </c>
      <c r="CS95" s="116">
        <f t="shared" si="331"/>
        <v>1.78</v>
      </c>
      <c r="CT95" s="116">
        <f t="shared" si="331"/>
        <v>1.78</v>
      </c>
      <c r="CU95" s="252">
        <f t="shared" si="331"/>
        <v>1.78</v>
      </c>
      <c r="CV95" s="116">
        <f t="shared" si="331"/>
        <v>1.78</v>
      </c>
      <c r="CW95" s="116">
        <f t="shared" si="331"/>
        <v>1.78</v>
      </c>
      <c r="CX95" s="116">
        <f t="shared" si="331"/>
        <v>1.78</v>
      </c>
      <c r="CY95" s="116">
        <f t="shared" si="331"/>
        <v>1.78</v>
      </c>
      <c r="CZ95" s="116">
        <f t="shared" si="331"/>
        <v>1.78</v>
      </c>
      <c r="DA95" s="116">
        <f t="shared" si="331"/>
        <v>1.78</v>
      </c>
      <c r="DB95" s="116">
        <f t="shared" si="331"/>
        <v>1.78</v>
      </c>
      <c r="DC95" s="116">
        <f t="shared" si="331"/>
        <v>1.78</v>
      </c>
      <c r="DD95" s="116">
        <f t="shared" si="331"/>
        <v>1.78</v>
      </c>
      <c r="DE95" s="116">
        <f t="shared" si="331"/>
        <v>1.78</v>
      </c>
      <c r="DF95" s="116">
        <f t="shared" si="331"/>
        <v>1.78</v>
      </c>
      <c r="DG95" s="116">
        <f t="shared" si="331"/>
        <v>1.78</v>
      </c>
    </row>
    <row r="96" spans="1:111" x14ac:dyDescent="0.25">
      <c r="A96" s="5"/>
      <c r="B96" s="6" t="s">
        <v>9</v>
      </c>
      <c r="C96" s="6"/>
      <c r="D96" s="56">
        <f>D95</f>
        <v>0</v>
      </c>
      <c r="E96" s="56">
        <f t="shared" ref="E96:J96" si="332">E95</f>
        <v>0</v>
      </c>
      <c r="F96" s="56">
        <f t="shared" si="332"/>
        <v>0</v>
      </c>
      <c r="G96" s="56">
        <f t="shared" si="332"/>
        <v>0</v>
      </c>
      <c r="H96" s="56">
        <f t="shared" si="332"/>
        <v>0</v>
      </c>
      <c r="I96" s="56">
        <f t="shared" si="332"/>
        <v>0</v>
      </c>
      <c r="J96" s="56">
        <f t="shared" si="332"/>
        <v>0</v>
      </c>
      <c r="K96" s="56">
        <v>0</v>
      </c>
      <c r="L96" s="56">
        <v>0</v>
      </c>
      <c r="M96" s="55"/>
      <c r="N96" s="55">
        <f>N95</f>
        <v>0</v>
      </c>
      <c r="O96" s="55">
        <f t="shared" ref="O96:BZ96" si="333">O95</f>
        <v>0</v>
      </c>
      <c r="P96" s="55">
        <f t="shared" ref="P96:W97" si="334">P95</f>
        <v>0</v>
      </c>
      <c r="Q96" s="55">
        <f t="shared" si="334"/>
        <v>0</v>
      </c>
      <c r="R96" s="55">
        <f t="shared" si="334"/>
        <v>0</v>
      </c>
      <c r="S96" s="55">
        <f t="shared" si="334"/>
        <v>0</v>
      </c>
      <c r="T96" s="55">
        <f t="shared" si="334"/>
        <v>0</v>
      </c>
      <c r="U96" s="55">
        <f t="shared" si="334"/>
        <v>0</v>
      </c>
      <c r="V96" s="55">
        <f t="shared" si="334"/>
        <v>0</v>
      </c>
      <c r="W96" s="55">
        <f t="shared" si="334"/>
        <v>0</v>
      </c>
      <c r="X96" s="55">
        <f t="shared" ref="X96:AE97" si="335">X95</f>
        <v>0</v>
      </c>
      <c r="Y96" s="55">
        <f t="shared" si="335"/>
        <v>0</v>
      </c>
      <c r="Z96" s="55">
        <f t="shared" si="335"/>
        <v>0</v>
      </c>
      <c r="AA96" s="55">
        <f t="shared" si="335"/>
        <v>0</v>
      </c>
      <c r="AB96" s="55">
        <f t="shared" si="335"/>
        <v>0</v>
      </c>
      <c r="AC96" s="55">
        <f t="shared" si="335"/>
        <v>0</v>
      </c>
      <c r="AD96" s="55">
        <f t="shared" si="335"/>
        <v>0</v>
      </c>
      <c r="AE96" s="55">
        <f t="shared" si="335"/>
        <v>0</v>
      </c>
      <c r="AF96" s="55">
        <f t="shared" ref="AF96:AH97" si="336">AF95</f>
        <v>0</v>
      </c>
      <c r="AG96" s="55">
        <f t="shared" si="336"/>
        <v>0</v>
      </c>
      <c r="AH96" s="55">
        <f t="shared" si="336"/>
        <v>0</v>
      </c>
      <c r="AI96" s="55">
        <f t="shared" ref="AI96:AT97" si="337">AI95</f>
        <v>0</v>
      </c>
      <c r="AJ96" s="55">
        <f t="shared" si="337"/>
        <v>0</v>
      </c>
      <c r="AK96" s="55">
        <f t="shared" si="337"/>
        <v>0</v>
      </c>
      <c r="AL96" s="55">
        <f t="shared" si="337"/>
        <v>0</v>
      </c>
      <c r="AM96" s="55">
        <f t="shared" si="337"/>
        <v>0</v>
      </c>
      <c r="AN96" s="55">
        <f t="shared" si="337"/>
        <v>0</v>
      </c>
      <c r="AO96" s="55">
        <f t="shared" si="337"/>
        <v>0</v>
      </c>
      <c r="AP96" s="55">
        <f t="shared" si="337"/>
        <v>2.35</v>
      </c>
      <c r="AQ96" s="55">
        <f t="shared" si="337"/>
        <v>3.21</v>
      </c>
      <c r="AR96" s="55">
        <f t="shared" si="337"/>
        <v>4.3</v>
      </c>
      <c r="AS96" s="55">
        <f t="shared" si="337"/>
        <v>3.94</v>
      </c>
      <c r="AT96" s="55">
        <f t="shared" si="337"/>
        <v>4.21</v>
      </c>
      <c r="AU96" s="55">
        <f t="shared" ref="AU96:AV96" si="338">AU95</f>
        <v>3.44</v>
      </c>
      <c r="AV96" s="55">
        <f t="shared" si="338"/>
        <v>2.61</v>
      </c>
      <c r="AW96" s="257">
        <f t="shared" ref="AW96" si="339">AW95</f>
        <v>1.78</v>
      </c>
      <c r="AX96" s="55">
        <f t="shared" ref="AX96" si="340">AX95</f>
        <v>1.78</v>
      </c>
      <c r="AY96" s="257">
        <f t="shared" si="333"/>
        <v>1.78</v>
      </c>
      <c r="AZ96" s="55">
        <f t="shared" si="333"/>
        <v>1.78</v>
      </c>
      <c r="BA96" s="55">
        <f t="shared" si="333"/>
        <v>1.78</v>
      </c>
      <c r="BB96" s="55">
        <f t="shared" si="333"/>
        <v>1.78</v>
      </c>
      <c r="BC96" s="55">
        <f t="shared" si="333"/>
        <v>1.78</v>
      </c>
      <c r="BD96" s="55">
        <f t="shared" si="333"/>
        <v>1.78</v>
      </c>
      <c r="BE96" s="55">
        <f t="shared" si="333"/>
        <v>1.78</v>
      </c>
      <c r="BF96" s="55">
        <f t="shared" si="333"/>
        <v>1.78</v>
      </c>
      <c r="BG96" s="55">
        <f t="shared" si="333"/>
        <v>1.78</v>
      </c>
      <c r="BH96" s="55">
        <f t="shared" si="333"/>
        <v>1.78</v>
      </c>
      <c r="BI96" s="55">
        <f t="shared" si="333"/>
        <v>1.78</v>
      </c>
      <c r="BJ96" s="55">
        <f t="shared" si="333"/>
        <v>1.78</v>
      </c>
      <c r="BK96" s="257">
        <f t="shared" si="333"/>
        <v>1.78</v>
      </c>
      <c r="BL96" s="55">
        <f t="shared" si="333"/>
        <v>1.78</v>
      </c>
      <c r="BM96" s="55">
        <f t="shared" si="333"/>
        <v>1.78</v>
      </c>
      <c r="BN96" s="55">
        <f t="shared" si="333"/>
        <v>1.78</v>
      </c>
      <c r="BO96" s="55">
        <f t="shared" si="333"/>
        <v>1.78</v>
      </c>
      <c r="BP96" s="55">
        <f t="shared" si="333"/>
        <v>1.78</v>
      </c>
      <c r="BQ96" s="55">
        <f t="shared" si="333"/>
        <v>1.78</v>
      </c>
      <c r="BR96" s="55">
        <f t="shared" si="333"/>
        <v>1.78</v>
      </c>
      <c r="BS96" s="55">
        <f t="shared" si="333"/>
        <v>1.78</v>
      </c>
      <c r="BT96" s="55">
        <f t="shared" si="333"/>
        <v>1.78</v>
      </c>
      <c r="BU96" s="55">
        <f t="shared" si="333"/>
        <v>1.78</v>
      </c>
      <c r="BV96" s="55">
        <f t="shared" si="333"/>
        <v>1.78</v>
      </c>
      <c r="BW96" s="257">
        <f t="shared" si="333"/>
        <v>1.78</v>
      </c>
      <c r="BX96" s="55">
        <f t="shared" si="333"/>
        <v>1.78</v>
      </c>
      <c r="BY96" s="55">
        <f t="shared" si="333"/>
        <v>1.78</v>
      </c>
      <c r="BZ96" s="55">
        <f t="shared" si="333"/>
        <v>1.78</v>
      </c>
      <c r="CA96" s="55">
        <f t="shared" ref="CA96:DG96" si="341">CA95</f>
        <v>1.78</v>
      </c>
      <c r="CB96" s="55">
        <f t="shared" si="341"/>
        <v>1.78</v>
      </c>
      <c r="CC96" s="55">
        <f t="shared" si="341"/>
        <v>1.78</v>
      </c>
      <c r="CD96" s="55">
        <f t="shared" si="341"/>
        <v>1.78</v>
      </c>
      <c r="CE96" s="55">
        <f t="shared" si="341"/>
        <v>1.78</v>
      </c>
      <c r="CF96" s="55">
        <f t="shared" si="341"/>
        <v>1.78</v>
      </c>
      <c r="CG96" s="55">
        <f t="shared" si="341"/>
        <v>1.78</v>
      </c>
      <c r="CH96" s="55">
        <f t="shared" si="341"/>
        <v>1.78</v>
      </c>
      <c r="CI96" s="257">
        <f t="shared" si="341"/>
        <v>1.78</v>
      </c>
      <c r="CJ96" s="55">
        <f t="shared" si="341"/>
        <v>1.78</v>
      </c>
      <c r="CK96" s="55">
        <f t="shared" si="341"/>
        <v>1.78</v>
      </c>
      <c r="CL96" s="55">
        <f t="shared" si="341"/>
        <v>1.78</v>
      </c>
      <c r="CM96" s="55">
        <f t="shared" si="341"/>
        <v>1.78</v>
      </c>
      <c r="CN96" s="55">
        <f t="shared" si="341"/>
        <v>1.78</v>
      </c>
      <c r="CO96" s="55">
        <f t="shared" si="341"/>
        <v>1.78</v>
      </c>
      <c r="CP96" s="55">
        <f t="shared" si="341"/>
        <v>1.78</v>
      </c>
      <c r="CQ96" s="55">
        <f t="shared" si="341"/>
        <v>1.78</v>
      </c>
      <c r="CR96" s="55">
        <f t="shared" si="341"/>
        <v>1.78</v>
      </c>
      <c r="CS96" s="55">
        <f t="shared" si="341"/>
        <v>1.78</v>
      </c>
      <c r="CT96" s="55">
        <f t="shared" si="341"/>
        <v>1.78</v>
      </c>
      <c r="CU96" s="257">
        <f t="shared" si="341"/>
        <v>1.78</v>
      </c>
      <c r="CV96" s="55">
        <f t="shared" si="341"/>
        <v>1.78</v>
      </c>
      <c r="CW96" s="55">
        <f t="shared" si="341"/>
        <v>1.78</v>
      </c>
      <c r="CX96" s="55">
        <f t="shared" si="341"/>
        <v>1.78</v>
      </c>
      <c r="CY96" s="55">
        <f t="shared" si="341"/>
        <v>1.78</v>
      </c>
      <c r="CZ96" s="55">
        <f t="shared" si="341"/>
        <v>1.78</v>
      </c>
      <c r="DA96" s="55">
        <f t="shared" si="341"/>
        <v>1.78</v>
      </c>
      <c r="DB96" s="55">
        <f t="shared" si="341"/>
        <v>1.78</v>
      </c>
      <c r="DC96" s="55">
        <f t="shared" si="341"/>
        <v>1.78</v>
      </c>
      <c r="DD96" s="55">
        <f t="shared" si="341"/>
        <v>1.78</v>
      </c>
      <c r="DE96" s="55">
        <f t="shared" si="341"/>
        <v>1.78</v>
      </c>
      <c r="DF96" s="55">
        <f t="shared" si="341"/>
        <v>1.78</v>
      </c>
      <c r="DG96" s="55">
        <f t="shared" si="341"/>
        <v>1.78</v>
      </c>
    </row>
    <row r="97" spans="1:111" x14ac:dyDescent="0.25">
      <c r="A97" s="5"/>
      <c r="B97" s="6" t="s">
        <v>10</v>
      </c>
      <c r="C97" s="6"/>
      <c r="D97" s="56">
        <f>D96</f>
        <v>0</v>
      </c>
      <c r="E97" s="56">
        <f t="shared" ref="E97:BP97" si="342">E96</f>
        <v>0</v>
      </c>
      <c r="F97" s="56">
        <f t="shared" si="342"/>
        <v>0</v>
      </c>
      <c r="G97" s="56">
        <f t="shared" si="342"/>
        <v>0</v>
      </c>
      <c r="H97" s="56">
        <f t="shared" si="342"/>
        <v>0</v>
      </c>
      <c r="I97" s="56">
        <f t="shared" si="342"/>
        <v>0</v>
      </c>
      <c r="J97" s="56">
        <f t="shared" si="342"/>
        <v>0</v>
      </c>
      <c r="K97" s="56">
        <f t="shared" si="342"/>
        <v>0</v>
      </c>
      <c r="L97" s="56">
        <f t="shared" si="342"/>
        <v>0</v>
      </c>
      <c r="M97" s="55">
        <f t="shared" si="342"/>
        <v>0</v>
      </c>
      <c r="N97" s="55">
        <f t="shared" si="342"/>
        <v>0</v>
      </c>
      <c r="O97" s="55">
        <f t="shared" si="342"/>
        <v>0</v>
      </c>
      <c r="P97" s="55">
        <f t="shared" si="334"/>
        <v>0</v>
      </c>
      <c r="Q97" s="55">
        <f t="shared" si="334"/>
        <v>0</v>
      </c>
      <c r="R97" s="55">
        <f t="shared" si="334"/>
        <v>0</v>
      </c>
      <c r="S97" s="55">
        <f t="shared" si="334"/>
        <v>0</v>
      </c>
      <c r="T97" s="55">
        <f t="shared" si="334"/>
        <v>0</v>
      </c>
      <c r="U97" s="55">
        <f t="shared" si="334"/>
        <v>0</v>
      </c>
      <c r="V97" s="55">
        <f t="shared" si="334"/>
        <v>0</v>
      </c>
      <c r="W97" s="55">
        <f t="shared" si="334"/>
        <v>0</v>
      </c>
      <c r="X97" s="55">
        <f t="shared" si="335"/>
        <v>0</v>
      </c>
      <c r="Y97" s="55">
        <f t="shared" si="335"/>
        <v>0</v>
      </c>
      <c r="Z97" s="55">
        <f t="shared" si="335"/>
        <v>0</v>
      </c>
      <c r="AA97" s="55">
        <f t="shared" si="335"/>
        <v>0</v>
      </c>
      <c r="AB97" s="55">
        <f t="shared" si="335"/>
        <v>0</v>
      </c>
      <c r="AC97" s="55">
        <f t="shared" si="335"/>
        <v>0</v>
      </c>
      <c r="AD97" s="55">
        <f t="shared" si="335"/>
        <v>0</v>
      </c>
      <c r="AE97" s="55">
        <f t="shared" si="335"/>
        <v>0</v>
      </c>
      <c r="AF97" s="55">
        <f t="shared" si="336"/>
        <v>0</v>
      </c>
      <c r="AG97" s="55">
        <f t="shared" si="336"/>
        <v>0</v>
      </c>
      <c r="AH97" s="55">
        <f t="shared" si="336"/>
        <v>0</v>
      </c>
      <c r="AI97" s="55">
        <f t="shared" si="337"/>
        <v>0</v>
      </c>
      <c r="AJ97" s="55">
        <f t="shared" si="337"/>
        <v>0</v>
      </c>
      <c r="AK97" s="55">
        <f t="shared" si="337"/>
        <v>0</v>
      </c>
      <c r="AL97" s="55">
        <f t="shared" si="337"/>
        <v>0</v>
      </c>
      <c r="AM97" s="55">
        <f t="shared" si="337"/>
        <v>0</v>
      </c>
      <c r="AN97" s="55">
        <f t="shared" si="337"/>
        <v>0</v>
      </c>
      <c r="AO97" s="55">
        <f t="shared" si="337"/>
        <v>0</v>
      </c>
      <c r="AP97" s="55">
        <f t="shared" si="337"/>
        <v>2.35</v>
      </c>
      <c r="AQ97" s="55">
        <f t="shared" si="337"/>
        <v>3.21</v>
      </c>
      <c r="AR97" s="55">
        <f t="shared" si="337"/>
        <v>4.3</v>
      </c>
      <c r="AS97" s="55">
        <f t="shared" si="337"/>
        <v>3.94</v>
      </c>
      <c r="AT97" s="55">
        <f t="shared" si="337"/>
        <v>4.21</v>
      </c>
      <c r="AU97" s="55">
        <f t="shared" ref="AU97:AV97" si="343">AU96</f>
        <v>3.44</v>
      </c>
      <c r="AV97" s="55">
        <f t="shared" si="343"/>
        <v>2.61</v>
      </c>
      <c r="AW97" s="257">
        <f t="shared" ref="AW97" si="344">AW96</f>
        <v>1.78</v>
      </c>
      <c r="AX97" s="55">
        <f t="shared" ref="AX97" si="345">AX96</f>
        <v>1.78</v>
      </c>
      <c r="AY97" s="257">
        <f t="shared" si="342"/>
        <v>1.78</v>
      </c>
      <c r="AZ97" s="55">
        <f t="shared" si="342"/>
        <v>1.78</v>
      </c>
      <c r="BA97" s="55">
        <f t="shared" si="342"/>
        <v>1.78</v>
      </c>
      <c r="BB97" s="55">
        <f t="shared" si="342"/>
        <v>1.78</v>
      </c>
      <c r="BC97" s="55">
        <f t="shared" si="342"/>
        <v>1.78</v>
      </c>
      <c r="BD97" s="55">
        <f t="shared" si="342"/>
        <v>1.78</v>
      </c>
      <c r="BE97" s="55">
        <f t="shared" si="342"/>
        <v>1.78</v>
      </c>
      <c r="BF97" s="55">
        <f t="shared" si="342"/>
        <v>1.78</v>
      </c>
      <c r="BG97" s="55">
        <f t="shared" si="342"/>
        <v>1.78</v>
      </c>
      <c r="BH97" s="55">
        <f t="shared" si="342"/>
        <v>1.78</v>
      </c>
      <c r="BI97" s="55">
        <f t="shared" si="342"/>
        <v>1.78</v>
      </c>
      <c r="BJ97" s="55">
        <f t="shared" si="342"/>
        <v>1.78</v>
      </c>
      <c r="BK97" s="257">
        <f t="shared" si="342"/>
        <v>1.78</v>
      </c>
      <c r="BL97" s="55">
        <f t="shared" si="342"/>
        <v>1.78</v>
      </c>
      <c r="BM97" s="55">
        <f t="shared" si="342"/>
        <v>1.78</v>
      </c>
      <c r="BN97" s="55">
        <f t="shared" si="342"/>
        <v>1.78</v>
      </c>
      <c r="BO97" s="55">
        <f t="shared" si="342"/>
        <v>1.78</v>
      </c>
      <c r="BP97" s="55">
        <f t="shared" si="342"/>
        <v>1.78</v>
      </c>
      <c r="BQ97" s="55">
        <f t="shared" ref="BQ97:DG97" si="346">BQ96</f>
        <v>1.78</v>
      </c>
      <c r="BR97" s="55">
        <f t="shared" si="346"/>
        <v>1.78</v>
      </c>
      <c r="BS97" s="55">
        <f t="shared" si="346"/>
        <v>1.78</v>
      </c>
      <c r="BT97" s="55">
        <f t="shared" si="346"/>
        <v>1.78</v>
      </c>
      <c r="BU97" s="55">
        <f t="shared" si="346"/>
        <v>1.78</v>
      </c>
      <c r="BV97" s="55">
        <f t="shared" si="346"/>
        <v>1.78</v>
      </c>
      <c r="BW97" s="257">
        <f t="shared" si="346"/>
        <v>1.78</v>
      </c>
      <c r="BX97" s="55">
        <f t="shared" si="346"/>
        <v>1.78</v>
      </c>
      <c r="BY97" s="55">
        <f t="shared" si="346"/>
        <v>1.78</v>
      </c>
      <c r="BZ97" s="55">
        <f t="shared" si="346"/>
        <v>1.78</v>
      </c>
      <c r="CA97" s="55">
        <f t="shared" si="346"/>
        <v>1.78</v>
      </c>
      <c r="CB97" s="55">
        <f t="shared" si="346"/>
        <v>1.78</v>
      </c>
      <c r="CC97" s="55">
        <f t="shared" si="346"/>
        <v>1.78</v>
      </c>
      <c r="CD97" s="55">
        <f t="shared" si="346"/>
        <v>1.78</v>
      </c>
      <c r="CE97" s="55">
        <f t="shared" si="346"/>
        <v>1.78</v>
      </c>
      <c r="CF97" s="55">
        <f t="shared" si="346"/>
        <v>1.78</v>
      </c>
      <c r="CG97" s="55">
        <f t="shared" si="346"/>
        <v>1.78</v>
      </c>
      <c r="CH97" s="55">
        <f t="shared" si="346"/>
        <v>1.78</v>
      </c>
      <c r="CI97" s="257">
        <f t="shared" si="346"/>
        <v>1.78</v>
      </c>
      <c r="CJ97" s="55">
        <f t="shared" si="346"/>
        <v>1.78</v>
      </c>
      <c r="CK97" s="55">
        <f t="shared" si="346"/>
        <v>1.78</v>
      </c>
      <c r="CL97" s="55">
        <f t="shared" si="346"/>
        <v>1.78</v>
      </c>
      <c r="CM97" s="55">
        <f t="shared" si="346"/>
        <v>1.78</v>
      </c>
      <c r="CN97" s="55">
        <f t="shared" si="346"/>
        <v>1.78</v>
      </c>
      <c r="CO97" s="55">
        <f t="shared" si="346"/>
        <v>1.78</v>
      </c>
      <c r="CP97" s="55">
        <f t="shared" si="346"/>
        <v>1.78</v>
      </c>
      <c r="CQ97" s="55">
        <f t="shared" si="346"/>
        <v>1.78</v>
      </c>
      <c r="CR97" s="55">
        <f t="shared" si="346"/>
        <v>1.78</v>
      </c>
      <c r="CS97" s="55">
        <f t="shared" si="346"/>
        <v>1.78</v>
      </c>
      <c r="CT97" s="55">
        <f t="shared" si="346"/>
        <v>1.78</v>
      </c>
      <c r="CU97" s="257">
        <f t="shared" si="346"/>
        <v>1.78</v>
      </c>
      <c r="CV97" s="55">
        <f t="shared" si="346"/>
        <v>1.78</v>
      </c>
      <c r="CW97" s="55">
        <f t="shared" si="346"/>
        <v>1.78</v>
      </c>
      <c r="CX97" s="55">
        <f t="shared" si="346"/>
        <v>1.78</v>
      </c>
      <c r="CY97" s="55">
        <f t="shared" si="346"/>
        <v>1.78</v>
      </c>
      <c r="CZ97" s="55">
        <f t="shared" si="346"/>
        <v>1.78</v>
      </c>
      <c r="DA97" s="55">
        <f t="shared" si="346"/>
        <v>1.78</v>
      </c>
      <c r="DB97" s="55">
        <f t="shared" si="346"/>
        <v>1.78</v>
      </c>
      <c r="DC97" s="55">
        <f t="shared" si="346"/>
        <v>1.78</v>
      </c>
      <c r="DD97" s="55">
        <f t="shared" si="346"/>
        <v>1.78</v>
      </c>
      <c r="DE97" s="55">
        <f t="shared" si="346"/>
        <v>1.78</v>
      </c>
      <c r="DF97" s="55">
        <f t="shared" si="346"/>
        <v>1.78</v>
      </c>
      <c r="DG97" s="55">
        <f t="shared" si="346"/>
        <v>1.78</v>
      </c>
    </row>
    <row r="98" spans="1:111" s="3" customFormat="1" x14ac:dyDescent="0.25">
      <c r="B98" s="4" t="s">
        <v>11</v>
      </c>
      <c r="C98" s="4"/>
      <c r="D98" s="56">
        <f>D92+D97</f>
        <v>0</v>
      </c>
      <c r="E98" s="56">
        <f t="shared" ref="E98:BP98" si="347">E92+E97</f>
        <v>0</v>
      </c>
      <c r="F98" s="56">
        <f t="shared" si="347"/>
        <v>0</v>
      </c>
      <c r="G98" s="56">
        <f t="shared" si="347"/>
        <v>0</v>
      </c>
      <c r="H98" s="56">
        <f t="shared" si="347"/>
        <v>0</v>
      </c>
      <c r="I98" s="56">
        <f t="shared" si="347"/>
        <v>0</v>
      </c>
      <c r="J98" s="56">
        <f t="shared" si="347"/>
        <v>0</v>
      </c>
      <c r="K98" s="56">
        <f t="shared" si="347"/>
        <v>0</v>
      </c>
      <c r="L98" s="56">
        <f t="shared" si="347"/>
        <v>0</v>
      </c>
      <c r="M98" s="56">
        <f t="shared" si="347"/>
        <v>0</v>
      </c>
      <c r="N98" s="56">
        <f t="shared" si="347"/>
        <v>0</v>
      </c>
      <c r="O98" s="56">
        <f t="shared" si="347"/>
        <v>0</v>
      </c>
      <c r="P98" s="56">
        <f t="shared" ref="P98:W98" si="348">P92+P97</f>
        <v>0</v>
      </c>
      <c r="Q98" s="56">
        <f t="shared" si="348"/>
        <v>0</v>
      </c>
      <c r="R98" s="56">
        <f t="shared" si="348"/>
        <v>0</v>
      </c>
      <c r="S98" s="56">
        <f t="shared" si="348"/>
        <v>0</v>
      </c>
      <c r="T98" s="56">
        <f t="shared" si="348"/>
        <v>0</v>
      </c>
      <c r="U98" s="56">
        <f t="shared" si="348"/>
        <v>0</v>
      </c>
      <c r="V98" s="56">
        <f t="shared" si="348"/>
        <v>0</v>
      </c>
      <c r="W98" s="56">
        <f t="shared" si="348"/>
        <v>0</v>
      </c>
      <c r="X98" s="56">
        <f t="shared" ref="X98:AE98" si="349">X92+X97</f>
        <v>0</v>
      </c>
      <c r="Y98" s="56">
        <f t="shared" si="349"/>
        <v>0</v>
      </c>
      <c r="Z98" s="56">
        <f t="shared" si="349"/>
        <v>0</v>
      </c>
      <c r="AA98" s="56">
        <f t="shared" si="349"/>
        <v>0</v>
      </c>
      <c r="AB98" s="56">
        <f t="shared" si="349"/>
        <v>4264.74</v>
      </c>
      <c r="AC98" s="56">
        <f t="shared" si="349"/>
        <v>5242.32</v>
      </c>
      <c r="AD98" s="56">
        <f t="shared" si="349"/>
        <v>6315.43</v>
      </c>
      <c r="AE98" s="56">
        <f t="shared" si="349"/>
        <v>6271.58</v>
      </c>
      <c r="AF98" s="56">
        <f t="shared" ref="AF98:AT98" si="350">AF92+AF97</f>
        <v>3962.2599999999998</v>
      </c>
      <c r="AG98" s="56">
        <f t="shared" si="350"/>
        <v>3641.6999999999994</v>
      </c>
      <c r="AH98" s="56">
        <f t="shared" si="350"/>
        <v>3448.51</v>
      </c>
      <c r="AI98" s="56">
        <f t="shared" si="350"/>
        <v>3756.45</v>
      </c>
      <c r="AJ98" s="56">
        <f t="shared" si="350"/>
        <v>1938.8599999999997</v>
      </c>
      <c r="AK98" s="56">
        <f t="shared" si="350"/>
        <v>4223.68</v>
      </c>
      <c r="AL98" s="56">
        <f t="shared" si="350"/>
        <v>1277.96</v>
      </c>
      <c r="AM98" s="56">
        <f t="shared" si="350"/>
        <v>2627.94</v>
      </c>
      <c r="AN98" s="56">
        <f t="shared" si="350"/>
        <v>4061.8700000000003</v>
      </c>
      <c r="AO98" s="56">
        <f t="shared" si="350"/>
        <v>2138.420000000001</v>
      </c>
      <c r="AP98" s="56">
        <f t="shared" si="350"/>
        <v>2441.3299999999995</v>
      </c>
      <c r="AQ98" s="56">
        <f t="shared" si="350"/>
        <v>2100.1900000000014</v>
      </c>
      <c r="AR98" s="56">
        <f t="shared" si="350"/>
        <v>2268.3999999999996</v>
      </c>
      <c r="AS98" s="56">
        <f t="shared" si="350"/>
        <v>2850.0499999999997</v>
      </c>
      <c r="AT98" s="56">
        <f t="shared" si="350"/>
        <v>2937.6400000000003</v>
      </c>
      <c r="AU98" s="56">
        <f t="shared" ref="AU98:AV98" si="351">AU92+AU97</f>
        <v>3073.8200000000006</v>
      </c>
      <c r="AV98" s="56">
        <f t="shared" si="351"/>
        <v>1883.7299999999998</v>
      </c>
      <c r="AW98" s="253">
        <f t="shared" ref="AW98" si="352">AW92+AW97</f>
        <v>2291.7800000000002</v>
      </c>
      <c r="AX98" s="56">
        <f t="shared" ref="AX98" si="353">AX92+AX97</f>
        <v>-708.48530412345985</v>
      </c>
      <c r="AY98" s="253">
        <f t="shared" si="347"/>
        <v>497.36377970419221</v>
      </c>
      <c r="AZ98" s="56">
        <f t="shared" si="347"/>
        <v>13.629956241489962</v>
      </c>
      <c r="BA98" s="56">
        <f t="shared" si="347"/>
        <v>734.75914693500204</v>
      </c>
      <c r="BB98" s="56">
        <f t="shared" si="347"/>
        <v>1267.9062850332587</v>
      </c>
      <c r="BC98" s="56">
        <f t="shared" si="347"/>
        <v>2341.275658685247</v>
      </c>
      <c r="BD98" s="56">
        <f t="shared" si="347"/>
        <v>1865.960038014264</v>
      </c>
      <c r="BE98" s="56">
        <f t="shared" si="347"/>
        <v>2065.5172390375624</v>
      </c>
      <c r="BF98" s="56">
        <f t="shared" si="347"/>
        <v>1783.9579345635823</v>
      </c>
      <c r="BG98" s="56">
        <f t="shared" si="347"/>
        <v>2111.0354644807353</v>
      </c>
      <c r="BH98" s="56">
        <f t="shared" si="347"/>
        <v>306.18768113502506</v>
      </c>
      <c r="BI98" s="56">
        <f t="shared" si="347"/>
        <v>616.77190630420614</v>
      </c>
      <c r="BJ98" s="56">
        <f t="shared" si="347"/>
        <v>377.24991290169805</v>
      </c>
      <c r="BK98" s="253">
        <f t="shared" si="347"/>
        <v>1557.611642326113</v>
      </c>
      <c r="BL98" s="56">
        <f t="shared" si="347"/>
        <v>228.21299990093783</v>
      </c>
      <c r="BM98" s="56">
        <f t="shared" si="347"/>
        <v>1193.9475499324383</v>
      </c>
      <c r="BN98" s="56">
        <f t="shared" si="347"/>
        <v>1995.9545546409765</v>
      </c>
      <c r="BO98" s="56">
        <f t="shared" si="347"/>
        <v>2768.8628351843668</v>
      </c>
      <c r="BP98" s="56">
        <f t="shared" si="347"/>
        <v>2277.8712897209821</v>
      </c>
      <c r="BQ98" s="56">
        <f t="shared" ref="BQ98:DG98" si="354">BQ92+BQ97</f>
        <v>2445.6471616455797</v>
      </c>
      <c r="BR98" s="56">
        <f t="shared" si="354"/>
        <v>1782.3150239134668</v>
      </c>
      <c r="BS98" s="56">
        <f t="shared" si="354"/>
        <v>2783.7965958551817</v>
      </c>
      <c r="BT98" s="56">
        <f t="shared" si="354"/>
        <v>406.33369686349147</v>
      </c>
      <c r="BU98" s="56">
        <f t="shared" si="354"/>
        <v>575.92600210706064</v>
      </c>
      <c r="BV98" s="56">
        <f t="shared" si="354"/>
        <v>655.43321722129735</v>
      </c>
      <c r="BW98" s="253">
        <f t="shared" si="354"/>
        <v>1801.3627972510933</v>
      </c>
      <c r="BX98" s="56">
        <f t="shared" si="354"/>
        <v>315.10268943226788</v>
      </c>
      <c r="BY98" s="56">
        <f t="shared" si="354"/>
        <v>1686.2383828645654</v>
      </c>
      <c r="BZ98" s="56">
        <f t="shared" si="354"/>
        <v>2248.8242265567137</v>
      </c>
      <c r="CA98" s="56">
        <f t="shared" si="354"/>
        <v>2410.975789350387</v>
      </c>
      <c r="CB98" s="56">
        <f t="shared" si="354"/>
        <v>3312.8335957417808</v>
      </c>
      <c r="CC98" s="56">
        <f t="shared" si="354"/>
        <v>2701.7286131111218</v>
      </c>
      <c r="CD98" s="56">
        <f t="shared" si="354"/>
        <v>1668.8040127323013</v>
      </c>
      <c r="CE98" s="56">
        <f t="shared" si="354"/>
        <v>3461.1917652280331</v>
      </c>
      <c r="CF98" s="56">
        <f t="shared" si="354"/>
        <v>191.40449325698344</v>
      </c>
      <c r="CG98" s="56">
        <f t="shared" si="354"/>
        <v>880.55057264715947</v>
      </c>
      <c r="CH98" s="56">
        <f t="shared" si="354"/>
        <v>718.9450113868636</v>
      </c>
      <c r="CI98" s="253">
        <f t="shared" si="354"/>
        <v>1453.481126209894</v>
      </c>
      <c r="CJ98" s="56">
        <f t="shared" si="354"/>
        <v>956.45027919980862</v>
      </c>
      <c r="CK98" s="56">
        <f t="shared" si="354"/>
        <v>1557.0564571300686</v>
      </c>
      <c r="CL98" s="56">
        <f t="shared" si="354"/>
        <v>2173.5617546180697</v>
      </c>
      <c r="CM98" s="56">
        <f t="shared" si="354"/>
        <v>3149.9155326289315</v>
      </c>
      <c r="CN98" s="56">
        <f t="shared" si="354"/>
        <v>3798.0521355322785</v>
      </c>
      <c r="CO98" s="56">
        <f t="shared" si="354"/>
        <v>2751.9960184406141</v>
      </c>
      <c r="CP98" s="56">
        <f t="shared" si="354"/>
        <v>2355.3770876430613</v>
      </c>
      <c r="CQ98" s="56">
        <f t="shared" si="354"/>
        <v>3924.7826788123543</v>
      </c>
      <c r="CR98" s="56">
        <f t="shared" si="354"/>
        <v>6.0177968539885844</v>
      </c>
      <c r="CS98" s="56">
        <f t="shared" si="354"/>
        <v>1403.3077162230159</v>
      </c>
      <c r="CT98" s="56">
        <f t="shared" si="354"/>
        <v>885.3505306072741</v>
      </c>
      <c r="CU98" s="253">
        <f t="shared" si="354"/>
        <v>1669.9170108392102</v>
      </c>
      <c r="CV98" s="56">
        <f t="shared" si="354"/>
        <v>1196.4951113189584</v>
      </c>
      <c r="CW98" s="56">
        <f t="shared" si="354"/>
        <v>1849.2041708296895</v>
      </c>
      <c r="CX98" s="56">
        <f t="shared" si="354"/>
        <v>2145.0091679929778</v>
      </c>
      <c r="CY98" s="56">
        <f t="shared" si="354"/>
        <v>4092.5412842032679</v>
      </c>
      <c r="CZ98" s="56">
        <f t="shared" si="354"/>
        <v>4321.2367147297173</v>
      </c>
      <c r="DA98" s="56">
        <f t="shared" si="354"/>
        <v>2669.7304679748217</v>
      </c>
      <c r="DB98" s="56">
        <f t="shared" si="354"/>
        <v>2969.8603025023845</v>
      </c>
      <c r="DC98" s="56">
        <f t="shared" si="354"/>
        <v>3868.8629464128403</v>
      </c>
      <c r="DD98" s="56">
        <f t="shared" si="354"/>
        <v>269.13947843495521</v>
      </c>
      <c r="DE98" s="56">
        <f t="shared" si="354"/>
        <v>1586.6970931534909</v>
      </c>
      <c r="DF98" s="56">
        <f t="shared" si="354"/>
        <v>643.63516683190232</v>
      </c>
      <c r="DG98" s="56">
        <f t="shared" si="354"/>
        <v>2268.7423888606068</v>
      </c>
    </row>
    <row r="99" spans="1:111" x14ac:dyDescent="0.25">
      <c r="B99" s="1"/>
      <c r="C99" s="1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254"/>
      <c r="AX99" s="58"/>
      <c r="AY99" s="254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254"/>
      <c r="BL99" s="58"/>
      <c r="BM99" s="58"/>
      <c r="BN99" s="58"/>
      <c r="BO99" s="58"/>
      <c r="BP99" s="58"/>
      <c r="BQ99" s="58"/>
      <c r="BR99" s="58"/>
      <c r="BS99" s="58"/>
      <c r="BT99" s="58"/>
      <c r="BU99" s="58"/>
      <c r="BV99" s="58"/>
      <c r="BW99" s="254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254"/>
      <c r="CJ99" s="58"/>
      <c r="CK99" s="58"/>
      <c r="CL99" s="58"/>
      <c r="CM99" s="58"/>
      <c r="CN99" s="58"/>
      <c r="CO99" s="58"/>
      <c r="CP99" s="58"/>
      <c r="CQ99" s="58"/>
      <c r="CR99" s="58"/>
      <c r="CS99" s="58"/>
      <c r="CT99" s="58"/>
      <c r="CU99" s="254"/>
      <c r="CV99" s="58"/>
      <c r="CW99" s="58"/>
      <c r="CX99" s="58"/>
      <c r="CY99" s="58"/>
      <c r="CZ99" s="58"/>
      <c r="DA99" s="58"/>
      <c r="DB99" s="58"/>
      <c r="DC99" s="58"/>
      <c r="DD99" s="58"/>
      <c r="DE99" s="58"/>
      <c r="DF99" s="58"/>
      <c r="DG99" s="58"/>
    </row>
    <row r="100" spans="1:111" x14ac:dyDescent="0.25">
      <c r="A100" s="30"/>
      <c r="B100" s="67"/>
      <c r="C100" s="67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258"/>
      <c r="AX100" s="68"/>
      <c r="AY100" s="258"/>
      <c r="AZ100" s="68"/>
      <c r="BA100" s="68"/>
      <c r="BB100" s="68"/>
      <c r="BC100" s="68"/>
      <c r="BD100" s="68"/>
      <c r="BE100" s="68"/>
      <c r="BF100" s="68"/>
      <c r="BG100" s="68"/>
      <c r="BH100" s="68"/>
      <c r="BI100" s="68"/>
      <c r="BJ100" s="68"/>
      <c r="BK100" s="258"/>
      <c r="BL100" s="68"/>
      <c r="BM100" s="68"/>
      <c r="BN100" s="68"/>
      <c r="BO100" s="68"/>
      <c r="BP100" s="68"/>
      <c r="BQ100" s="68"/>
      <c r="BR100" s="68"/>
      <c r="BS100" s="68"/>
      <c r="BT100" s="68"/>
      <c r="BU100" s="68"/>
      <c r="BV100" s="68"/>
      <c r="BW100" s="258"/>
      <c r="BX100" s="68"/>
      <c r="BY100" s="68"/>
      <c r="BZ100" s="68"/>
      <c r="CA100" s="68"/>
      <c r="CB100" s="68"/>
      <c r="CC100" s="68"/>
      <c r="CD100" s="68"/>
      <c r="CE100" s="68"/>
      <c r="CF100" s="68"/>
      <c r="CG100" s="68"/>
      <c r="CH100" s="68"/>
      <c r="CI100" s="258"/>
      <c r="CJ100" s="68"/>
      <c r="CK100" s="68"/>
      <c r="CL100" s="68"/>
      <c r="CM100" s="68"/>
      <c r="CN100" s="68"/>
      <c r="CO100" s="68"/>
      <c r="CP100" s="68"/>
      <c r="CQ100" s="68"/>
      <c r="CR100" s="68"/>
      <c r="CS100" s="68"/>
      <c r="CT100" s="68"/>
      <c r="CU100" s="258"/>
      <c r="CV100" s="68"/>
      <c r="CW100" s="68"/>
      <c r="CX100" s="68"/>
      <c r="CY100" s="68"/>
      <c r="CZ100" s="68"/>
      <c r="DA100" s="68"/>
      <c r="DB100" s="68"/>
      <c r="DC100" s="68"/>
      <c r="DD100" s="68"/>
      <c r="DE100" s="68"/>
      <c r="DF100" s="68"/>
      <c r="DG100" s="68"/>
    </row>
    <row r="101" spans="1:111" s="5" customFormat="1" x14ac:dyDescent="0.25">
      <c r="A10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/>
      <c r="O101" s="2"/>
      <c r="P101" s="2"/>
      <c r="Q101" s="2"/>
      <c r="R101" s="2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 s="251"/>
      <c r="AX101"/>
      <c r="AY101" s="251"/>
      <c r="AZ101"/>
      <c r="BA101"/>
      <c r="BB101"/>
      <c r="BC101"/>
      <c r="BD101"/>
      <c r="BE101"/>
      <c r="BF101"/>
      <c r="BG101"/>
      <c r="BH101"/>
      <c r="BI101"/>
      <c r="BJ101"/>
      <c r="BK101" s="251"/>
      <c r="BL101"/>
      <c r="BM101"/>
      <c r="BN101"/>
      <c r="BO101"/>
      <c r="BP101"/>
      <c r="BQ101"/>
      <c r="BR101"/>
      <c r="BS101"/>
      <c r="BT101"/>
      <c r="BU101"/>
      <c r="BV101"/>
      <c r="BW101" s="251"/>
      <c r="BX101"/>
      <c r="BY101"/>
      <c r="BZ101"/>
      <c r="CA101"/>
      <c r="CB101"/>
      <c r="CC101"/>
      <c r="CD101"/>
      <c r="CE101"/>
      <c r="CF101"/>
      <c r="CG101"/>
      <c r="CH101"/>
      <c r="CI101" s="251"/>
      <c r="CJ101"/>
      <c r="CK101"/>
      <c r="CL101"/>
      <c r="CM101"/>
      <c r="CN101"/>
      <c r="CO101"/>
      <c r="CP101"/>
      <c r="CQ101"/>
      <c r="CR101"/>
      <c r="CS101"/>
      <c r="CT101"/>
      <c r="CU101" s="251"/>
      <c r="CV101"/>
      <c r="CW101"/>
      <c r="CX101"/>
      <c r="CY101"/>
      <c r="CZ101"/>
      <c r="DA101"/>
      <c r="DB101"/>
      <c r="DC101"/>
      <c r="DD101"/>
      <c r="DE101"/>
      <c r="DF101"/>
      <c r="DG101"/>
    </row>
    <row r="102" spans="1:111" s="65" customFormat="1" x14ac:dyDescent="0.25">
      <c r="A102"/>
      <c r="B102" s="1" t="s">
        <v>12</v>
      </c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/>
      <c r="O102" s="2"/>
      <c r="P102" s="2"/>
      <c r="Q102" s="2"/>
      <c r="R102" s="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 s="251"/>
      <c r="AX102"/>
      <c r="AY102" s="251"/>
      <c r="AZ102"/>
      <c r="BA102"/>
      <c r="BB102"/>
      <c r="BC102"/>
      <c r="BD102"/>
      <c r="BE102"/>
      <c r="BF102"/>
      <c r="BG102"/>
      <c r="BH102"/>
      <c r="BI102"/>
      <c r="BJ102"/>
      <c r="BK102" s="251"/>
      <c r="BL102"/>
      <c r="BM102"/>
      <c r="BN102"/>
      <c r="BO102"/>
      <c r="BP102"/>
      <c r="BQ102"/>
      <c r="BR102"/>
      <c r="BS102"/>
      <c r="BT102"/>
      <c r="BU102"/>
      <c r="BV102"/>
      <c r="BW102" s="251"/>
      <c r="BX102"/>
      <c r="BY102"/>
      <c r="BZ102"/>
      <c r="CA102"/>
      <c r="CB102"/>
      <c r="CC102"/>
      <c r="CD102"/>
      <c r="CE102"/>
      <c r="CF102"/>
      <c r="CG102"/>
      <c r="CH102"/>
      <c r="CI102" s="251"/>
      <c r="CJ102"/>
      <c r="CK102"/>
      <c r="CL102"/>
      <c r="CM102"/>
      <c r="CN102"/>
      <c r="CO102"/>
      <c r="CP102"/>
      <c r="CQ102"/>
      <c r="CR102"/>
      <c r="CS102"/>
      <c r="CT102"/>
      <c r="CU102" s="251"/>
      <c r="CV102"/>
      <c r="CW102"/>
      <c r="CX102"/>
      <c r="CY102"/>
      <c r="CZ102"/>
      <c r="DA102"/>
      <c r="DB102"/>
      <c r="DC102"/>
      <c r="DD102"/>
      <c r="DE102"/>
      <c r="DF102"/>
      <c r="DG102"/>
    </row>
    <row r="103" spans="1:111" x14ac:dyDescent="0.25">
      <c r="B103" s="1" t="s">
        <v>13</v>
      </c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O103" s="2"/>
      <c r="P103" s="2"/>
      <c r="Q103" s="2"/>
      <c r="R103" s="2"/>
      <c r="AW103" s="251"/>
      <c r="AY103" s="251"/>
      <c r="BK103" s="251"/>
      <c r="BW103" s="251"/>
      <c r="CI103" s="251"/>
      <c r="CU103" s="251"/>
    </row>
    <row r="104" spans="1:111" x14ac:dyDescent="0.25">
      <c r="B104" s="1" t="s">
        <v>14</v>
      </c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O104" s="2"/>
      <c r="P104" s="2"/>
      <c r="Q104" s="2"/>
      <c r="R104" s="2"/>
      <c r="AW104" s="251"/>
      <c r="AY104" s="251"/>
      <c r="BK104" s="251"/>
      <c r="BW104" s="251"/>
      <c r="CI104" s="251"/>
      <c r="CU104" s="251"/>
    </row>
    <row r="105" spans="1:111" s="3" customFormat="1" x14ac:dyDescent="0.25">
      <c r="A105"/>
      <c r="B105" s="1" t="s">
        <v>325</v>
      </c>
      <c r="C105" s="1"/>
      <c r="D105" s="116"/>
      <c r="E105" s="116"/>
      <c r="F105" s="116"/>
      <c r="G105" s="116"/>
      <c r="H105" s="116"/>
      <c r="I105" s="116"/>
      <c r="J105" s="114"/>
      <c r="K105" s="114"/>
      <c r="L105" s="114"/>
      <c r="M105" s="116"/>
      <c r="N105"/>
      <c r="O105"/>
      <c r="P105"/>
      <c r="Q105"/>
      <c r="R105"/>
      <c r="S105"/>
      <c r="T105"/>
      <c r="U105"/>
      <c r="V105" s="114"/>
      <c r="W105" s="114"/>
      <c r="X105" s="114"/>
      <c r="Y105" s="114"/>
      <c r="Z105" s="114"/>
      <c r="AA105" s="114"/>
      <c r="AB105" s="114">
        <v>260.54000000000002</v>
      </c>
      <c r="AC105" s="114">
        <v>592.16</v>
      </c>
      <c r="AD105" s="114">
        <v>287.01</v>
      </c>
      <c r="AE105" s="114">
        <v>310.12</v>
      </c>
      <c r="AF105" s="116">
        <v>382.24</v>
      </c>
      <c r="AG105" s="116">
        <v>223.41</v>
      </c>
      <c r="AH105" s="116">
        <v>-42.23</v>
      </c>
      <c r="AI105" s="116">
        <v>419.06</v>
      </c>
      <c r="AJ105" s="116">
        <v>-99.91</v>
      </c>
      <c r="AK105" s="116">
        <v>294.48</v>
      </c>
      <c r="AL105" s="116">
        <v>115.05</v>
      </c>
      <c r="AM105" s="116">
        <v>158.47999999999999</v>
      </c>
      <c r="AN105" s="116">
        <v>378.97</v>
      </c>
      <c r="AO105" s="116">
        <v>146.71</v>
      </c>
      <c r="AP105" s="116">
        <v>454.06</v>
      </c>
      <c r="AQ105" s="116">
        <v>209.74</v>
      </c>
      <c r="AR105" s="116">
        <v>785.34</v>
      </c>
      <c r="AS105" s="116">
        <v>815.92</v>
      </c>
      <c r="AT105" s="116">
        <v>277.27999999999997</v>
      </c>
      <c r="AU105" s="116">
        <v>542.45000000000005</v>
      </c>
      <c r="AV105" s="116">
        <v>526.25</v>
      </c>
      <c r="AW105" s="252">
        <f>599.48</f>
        <v>599.48</v>
      </c>
      <c r="AX105" s="171">
        <f t="shared" ref="AX105" si="355">+AW105+AX170</f>
        <v>1433.2449263854733</v>
      </c>
      <c r="AY105" s="432">
        <f t="shared" ref="AY105:BW105" si="356">+AX105+AY170</f>
        <v>1708.704339239262</v>
      </c>
      <c r="AZ105" s="344">
        <f t="shared" si="356"/>
        <v>1585.9071109875456</v>
      </c>
      <c r="BA105" s="344">
        <f t="shared" si="356"/>
        <v>2130.671647766686</v>
      </c>
      <c r="BB105" s="344">
        <f t="shared" si="356"/>
        <v>3219.0090119753049</v>
      </c>
      <c r="BC105" s="344">
        <f t="shared" si="356"/>
        <v>5349.0906037351933</v>
      </c>
      <c r="BD105" s="344">
        <f t="shared" si="356"/>
        <v>7087.2242968215542</v>
      </c>
      <c r="BE105" s="344">
        <f t="shared" si="356"/>
        <v>8997.5255756820516</v>
      </c>
      <c r="BF105" s="344">
        <f t="shared" si="356"/>
        <v>10647.099095862633</v>
      </c>
      <c r="BG105" s="344">
        <f t="shared" si="356"/>
        <v>12586.510973384322</v>
      </c>
      <c r="BH105" s="344">
        <f t="shared" si="356"/>
        <v>12849.60865421674</v>
      </c>
      <c r="BI105" s="344">
        <f t="shared" si="356"/>
        <v>13295.827555862654</v>
      </c>
      <c r="BJ105" s="344">
        <f t="shared" si="356"/>
        <v>13539.689284668961</v>
      </c>
      <c r="BK105" s="432">
        <f t="shared" si="356"/>
        <v>14878.50911484714</v>
      </c>
      <c r="BL105" s="344">
        <f t="shared" si="356"/>
        <v>15015.603682720559</v>
      </c>
      <c r="BM105" s="344">
        <f t="shared" si="356"/>
        <v>16007.169314797296</v>
      </c>
      <c r="BN105" s="344">
        <f t="shared" si="356"/>
        <v>17809.62261431701</v>
      </c>
      <c r="BO105" s="344">
        <f t="shared" si="356"/>
        <v>20384.93530873473</v>
      </c>
      <c r="BP105" s="344">
        <f t="shared" si="356"/>
        <v>22535.342522208583</v>
      </c>
      <c r="BQ105" s="344">
        <f t="shared" si="356"/>
        <v>24827.612352279702</v>
      </c>
      <c r="BR105" s="344">
        <f t="shared" si="356"/>
        <v>26495.906838198123</v>
      </c>
      <c r="BS105" s="344">
        <f t="shared" si="356"/>
        <v>29071.975734765598</v>
      </c>
      <c r="BT105" s="344">
        <f t="shared" si="356"/>
        <v>29463.925465670272</v>
      </c>
      <c r="BU105" s="344">
        <f t="shared" si="356"/>
        <v>29877.398268010194</v>
      </c>
      <c r="BV105" s="344">
        <f t="shared" si="356"/>
        <v>30381.773404271589</v>
      </c>
      <c r="BW105" s="432">
        <f t="shared" si="356"/>
        <v>31967.725986884696</v>
      </c>
      <c r="BX105" s="344">
        <f t="shared" ref="BX105:DG105" si="357">+BW105+BX170</f>
        <v>32197.366260920251</v>
      </c>
      <c r="BY105" s="344">
        <f t="shared" si="357"/>
        <v>33660.760394269353</v>
      </c>
      <c r="BZ105" s="344">
        <f t="shared" si="357"/>
        <v>35729.696154084166</v>
      </c>
      <c r="CA105" s="344">
        <f t="shared" si="357"/>
        <v>37980.463518074481</v>
      </c>
      <c r="CB105" s="344">
        <f t="shared" si="357"/>
        <v>41091.372548874817</v>
      </c>
      <c r="CC105" s="344">
        <f t="shared" si="357"/>
        <v>43681.172726201876</v>
      </c>
      <c r="CD105" s="344">
        <f t="shared" si="357"/>
        <v>45254.852866571338</v>
      </c>
      <c r="CE105" s="344">
        <f t="shared" si="357"/>
        <v>48467.483644268636</v>
      </c>
      <c r="CF105" s="344">
        <f t="shared" si="357"/>
        <v>48689.126463585322</v>
      </c>
      <c r="CG105" s="344">
        <f t="shared" si="357"/>
        <v>49379.877194253291</v>
      </c>
      <c r="CH105" s="344">
        <f t="shared" si="357"/>
        <v>49960.595431934082</v>
      </c>
      <c r="CI105" s="432">
        <f t="shared" si="357"/>
        <v>51221.86528228379</v>
      </c>
      <c r="CJ105" s="344">
        <f t="shared" si="357"/>
        <v>52037.856582063017</v>
      </c>
      <c r="CK105" s="344">
        <f t="shared" si="357"/>
        <v>53413.616583660376</v>
      </c>
      <c r="CL105" s="344">
        <f t="shared" si="357"/>
        <v>55405.053409602217</v>
      </c>
      <c r="CM105" s="344">
        <f t="shared" si="357"/>
        <v>58352.529744265812</v>
      </c>
      <c r="CN105" s="344">
        <f t="shared" si="357"/>
        <v>61962.874019703799</v>
      </c>
      <c r="CO105" s="344">
        <f t="shared" si="357"/>
        <v>64624.875977311953</v>
      </c>
      <c r="CP105" s="344">
        <f t="shared" si="357"/>
        <v>66850.920129642749</v>
      </c>
      <c r="CQ105" s="344">
        <f t="shared" si="357"/>
        <v>70540.651131422987</v>
      </c>
      <c r="CR105" s="344">
        <f t="shared" si="357"/>
        <v>70607.267775280518</v>
      </c>
      <c r="CS105" s="344">
        <f t="shared" si="357"/>
        <v>71784.638861419298</v>
      </c>
      <c r="CT105" s="344">
        <f t="shared" si="357"/>
        <v>72550.105651272796</v>
      </c>
      <c r="CU105" s="432">
        <f t="shared" si="357"/>
        <v>74026.013895195749</v>
      </c>
      <c r="CV105" s="344">
        <f t="shared" si="357"/>
        <v>75078.927214358948</v>
      </c>
      <c r="CW105" s="344">
        <f t="shared" si="357"/>
        <v>76744.729991947519</v>
      </c>
      <c r="CX105" s="344">
        <f t="shared" si="357"/>
        <v>78724.601789179404</v>
      </c>
      <c r="CY105" s="344">
        <f t="shared" si="357"/>
        <v>82565.945875491787</v>
      </c>
      <c r="CZ105" s="344">
        <f t="shared" si="357"/>
        <v>86721.615340061515</v>
      </c>
      <c r="DA105" s="344">
        <f t="shared" si="357"/>
        <v>89331.258441749262</v>
      </c>
      <c r="DB105" s="344">
        <f t="shared" si="357"/>
        <v>92135.760056517232</v>
      </c>
      <c r="DC105" s="344">
        <f t="shared" si="357"/>
        <v>95805.40370395541</v>
      </c>
      <c r="DD105" s="344">
        <f t="shared" si="357"/>
        <v>96115.038170019849</v>
      </c>
      <c r="DE105" s="344">
        <f t="shared" si="357"/>
        <v>97481.240847735011</v>
      </c>
      <c r="DF105" s="344">
        <f t="shared" si="357"/>
        <v>98026.20618282193</v>
      </c>
      <c r="DG105" s="344">
        <f t="shared" si="357"/>
        <v>100058.71577292436</v>
      </c>
    </row>
    <row r="106" spans="1:111" x14ac:dyDescent="0.25">
      <c r="B106" s="1" t="s">
        <v>326</v>
      </c>
      <c r="C106" s="1"/>
      <c r="D106" s="116"/>
      <c r="E106" s="116"/>
      <c r="F106" s="116"/>
      <c r="G106" s="116"/>
      <c r="H106" s="116"/>
      <c r="I106" s="116"/>
      <c r="J106" s="114"/>
      <c r="K106" s="114"/>
      <c r="L106" s="114"/>
      <c r="M106" s="116"/>
      <c r="V106" s="114"/>
      <c r="W106" s="114"/>
      <c r="X106" s="114"/>
      <c r="Y106" s="114"/>
      <c r="Z106" s="114"/>
      <c r="AA106" s="114"/>
      <c r="AB106" s="114">
        <v>130.91</v>
      </c>
      <c r="AC106" s="114">
        <v>33.950000000000003</v>
      </c>
      <c r="AD106" s="114">
        <v>770.48</v>
      </c>
      <c r="AE106" s="114">
        <v>79.36</v>
      </c>
      <c r="AF106" s="116">
        <v>107.93</v>
      </c>
      <c r="AG106" s="116">
        <v>496.7</v>
      </c>
      <c r="AH106" s="116">
        <v>27.5</v>
      </c>
      <c r="AI106" s="116">
        <v>53.18</v>
      </c>
      <c r="AJ106" s="116">
        <v>110.31</v>
      </c>
      <c r="AK106" s="116">
        <v>540.47</v>
      </c>
      <c r="AL106" s="116">
        <v>28.95</v>
      </c>
      <c r="AM106" s="116">
        <v>92.91</v>
      </c>
      <c r="AN106" s="116">
        <v>45.02</v>
      </c>
      <c r="AO106" s="116">
        <v>68.56</v>
      </c>
      <c r="AP106" s="116">
        <v>0.03</v>
      </c>
      <c r="AQ106" s="116">
        <v>9.57</v>
      </c>
      <c r="AR106" s="116">
        <v>150.5</v>
      </c>
      <c r="AS106" s="116">
        <v>17.12</v>
      </c>
      <c r="AT106" s="116">
        <v>50.77</v>
      </c>
      <c r="AU106" s="116">
        <v>0.77</v>
      </c>
      <c r="AV106" s="116">
        <v>37.46</v>
      </c>
      <c r="AW106" s="252">
        <f>15.87</f>
        <v>15.87</v>
      </c>
      <c r="AX106" s="171">
        <f t="shared" ref="AX106:CZ107" si="358">+AW106</f>
        <v>15.87</v>
      </c>
      <c r="AY106" s="432">
        <f t="shared" si="358"/>
        <v>15.87</v>
      </c>
      <c r="AZ106" s="344">
        <f t="shared" si="358"/>
        <v>15.87</v>
      </c>
      <c r="BA106" s="344">
        <f t="shared" si="358"/>
        <v>15.87</v>
      </c>
      <c r="BB106" s="344">
        <f t="shared" si="358"/>
        <v>15.87</v>
      </c>
      <c r="BC106" s="344">
        <f t="shared" si="358"/>
        <v>15.87</v>
      </c>
      <c r="BD106" s="344">
        <f t="shared" si="358"/>
        <v>15.87</v>
      </c>
      <c r="BE106" s="344">
        <f t="shared" si="358"/>
        <v>15.87</v>
      </c>
      <c r="BF106" s="344">
        <f t="shared" si="358"/>
        <v>15.87</v>
      </c>
      <c r="BG106" s="344">
        <f t="shared" si="358"/>
        <v>15.87</v>
      </c>
      <c r="BH106" s="344">
        <f t="shared" si="358"/>
        <v>15.87</v>
      </c>
      <c r="BI106" s="344">
        <f t="shared" si="358"/>
        <v>15.87</v>
      </c>
      <c r="BJ106" s="344">
        <f t="shared" si="358"/>
        <v>15.87</v>
      </c>
      <c r="BK106" s="432">
        <f t="shared" si="358"/>
        <v>15.87</v>
      </c>
      <c r="BL106" s="344">
        <f t="shared" si="358"/>
        <v>15.87</v>
      </c>
      <c r="BM106" s="344">
        <f t="shared" si="358"/>
        <v>15.87</v>
      </c>
      <c r="BN106" s="344">
        <f t="shared" si="358"/>
        <v>15.87</v>
      </c>
      <c r="BO106" s="344">
        <f t="shared" si="358"/>
        <v>15.87</v>
      </c>
      <c r="BP106" s="344">
        <f t="shared" si="358"/>
        <v>15.87</v>
      </c>
      <c r="BQ106" s="344">
        <f t="shared" si="358"/>
        <v>15.87</v>
      </c>
      <c r="BR106" s="344">
        <f t="shared" si="358"/>
        <v>15.87</v>
      </c>
      <c r="BS106" s="344">
        <f t="shared" si="358"/>
        <v>15.87</v>
      </c>
      <c r="BT106" s="344">
        <f t="shared" si="358"/>
        <v>15.87</v>
      </c>
      <c r="BU106" s="344">
        <f t="shared" si="358"/>
        <v>15.87</v>
      </c>
      <c r="BV106" s="344">
        <f t="shared" si="358"/>
        <v>15.87</v>
      </c>
      <c r="BW106" s="432">
        <f t="shared" si="358"/>
        <v>15.87</v>
      </c>
      <c r="BX106" s="344">
        <f t="shared" si="358"/>
        <v>15.87</v>
      </c>
      <c r="BY106" s="344">
        <f t="shared" si="358"/>
        <v>15.87</v>
      </c>
      <c r="BZ106" s="344">
        <f t="shared" si="358"/>
        <v>15.87</v>
      </c>
      <c r="CA106" s="344">
        <f t="shared" si="358"/>
        <v>15.87</v>
      </c>
      <c r="CB106" s="344">
        <f t="shared" si="358"/>
        <v>15.87</v>
      </c>
      <c r="CC106" s="344">
        <f t="shared" si="358"/>
        <v>15.87</v>
      </c>
      <c r="CD106" s="344">
        <f t="shared" si="358"/>
        <v>15.87</v>
      </c>
      <c r="CE106" s="344">
        <f t="shared" si="358"/>
        <v>15.87</v>
      </c>
      <c r="CF106" s="344">
        <f t="shared" si="358"/>
        <v>15.87</v>
      </c>
      <c r="CG106" s="344">
        <f t="shared" si="358"/>
        <v>15.87</v>
      </c>
      <c r="CH106" s="344">
        <f t="shared" si="358"/>
        <v>15.87</v>
      </c>
      <c r="CI106" s="432">
        <f t="shared" si="358"/>
        <v>15.87</v>
      </c>
      <c r="CJ106" s="344">
        <f t="shared" si="358"/>
        <v>15.87</v>
      </c>
      <c r="CK106" s="344">
        <f t="shared" si="358"/>
        <v>15.87</v>
      </c>
      <c r="CL106" s="344">
        <f t="shared" si="358"/>
        <v>15.87</v>
      </c>
      <c r="CM106" s="344">
        <f t="shared" si="358"/>
        <v>15.87</v>
      </c>
      <c r="CN106" s="344">
        <f t="shared" si="358"/>
        <v>15.87</v>
      </c>
      <c r="CO106" s="344">
        <f t="shared" si="358"/>
        <v>15.87</v>
      </c>
      <c r="CP106" s="344">
        <f t="shared" si="358"/>
        <v>15.87</v>
      </c>
      <c r="CQ106" s="344">
        <f t="shared" si="358"/>
        <v>15.87</v>
      </c>
      <c r="CR106" s="344">
        <f t="shared" si="358"/>
        <v>15.87</v>
      </c>
      <c r="CS106" s="344">
        <f t="shared" si="358"/>
        <v>15.87</v>
      </c>
      <c r="CT106" s="344">
        <f t="shared" si="358"/>
        <v>15.87</v>
      </c>
      <c r="CU106" s="432">
        <f t="shared" si="358"/>
        <v>15.87</v>
      </c>
      <c r="CV106" s="344">
        <f t="shared" si="358"/>
        <v>15.87</v>
      </c>
      <c r="CW106" s="344">
        <f t="shared" si="358"/>
        <v>15.87</v>
      </c>
      <c r="CX106" s="344">
        <f t="shared" si="358"/>
        <v>15.87</v>
      </c>
      <c r="CY106" s="344">
        <f t="shared" si="358"/>
        <v>15.87</v>
      </c>
      <c r="CZ106" s="344">
        <f t="shared" si="358"/>
        <v>15.87</v>
      </c>
      <c r="DA106" s="344">
        <f t="shared" ref="DA106:DG108" si="359">+CZ106</f>
        <v>15.87</v>
      </c>
      <c r="DB106" s="344">
        <f t="shared" si="359"/>
        <v>15.87</v>
      </c>
      <c r="DC106" s="344">
        <f t="shared" si="359"/>
        <v>15.87</v>
      </c>
      <c r="DD106" s="344">
        <f t="shared" si="359"/>
        <v>15.87</v>
      </c>
      <c r="DE106" s="344">
        <f t="shared" si="359"/>
        <v>15.87</v>
      </c>
      <c r="DF106" s="344">
        <f t="shared" si="359"/>
        <v>15.87</v>
      </c>
      <c r="DG106" s="344">
        <f t="shared" si="359"/>
        <v>15.87</v>
      </c>
    </row>
    <row r="107" spans="1:111" x14ac:dyDescent="0.25">
      <c r="B107" s="1" t="s">
        <v>327</v>
      </c>
      <c r="C107" s="1"/>
      <c r="D107" s="116"/>
      <c r="E107" s="116"/>
      <c r="F107" s="116"/>
      <c r="G107" s="116"/>
      <c r="H107" s="116"/>
      <c r="I107" s="116"/>
      <c r="J107" s="114"/>
      <c r="K107" s="114"/>
      <c r="L107" s="114"/>
      <c r="M107" s="116"/>
      <c r="V107" s="114"/>
      <c r="W107" s="114"/>
      <c r="X107" s="114"/>
      <c r="Y107" s="114"/>
      <c r="Z107" s="114"/>
      <c r="AA107" s="114"/>
      <c r="AB107" s="114">
        <v>541.95000000000005</v>
      </c>
      <c r="AC107" s="114">
        <v>419.66</v>
      </c>
      <c r="AD107" s="114">
        <v>1750.64</v>
      </c>
      <c r="AE107" s="114">
        <v>495.44</v>
      </c>
      <c r="AF107" s="116">
        <v>755.47</v>
      </c>
      <c r="AG107" s="116">
        <v>797.2</v>
      </c>
      <c r="AH107" s="116">
        <v>1788.29</v>
      </c>
      <c r="AI107" s="116">
        <v>644.48</v>
      </c>
      <c r="AJ107" s="116">
        <v>112.76</v>
      </c>
      <c r="AK107" s="116">
        <v>831.56</v>
      </c>
      <c r="AL107" s="116">
        <v>1468.65</v>
      </c>
      <c r="AM107" s="116">
        <v>685.86</v>
      </c>
      <c r="AN107" s="116">
        <v>519.07000000000005</v>
      </c>
      <c r="AO107" s="116">
        <v>274.31</v>
      </c>
      <c r="AP107" s="116">
        <v>0.14000000000000001</v>
      </c>
      <c r="AQ107" s="116">
        <v>38.29</v>
      </c>
      <c r="AR107" s="116">
        <v>276.86</v>
      </c>
      <c r="AS107" s="116">
        <v>158.34</v>
      </c>
      <c r="AT107" s="116">
        <v>133.11000000000001</v>
      </c>
      <c r="AU107" s="116">
        <v>3.07</v>
      </c>
      <c r="AV107" s="116">
        <v>241.74</v>
      </c>
      <c r="AW107" s="252">
        <f>63.45</f>
        <v>63.45</v>
      </c>
      <c r="AX107" s="171">
        <f t="shared" ref="AX107:BC107" si="360">+AW107</f>
        <v>63.45</v>
      </c>
      <c r="AY107" s="432">
        <f t="shared" si="360"/>
        <v>63.45</v>
      </c>
      <c r="AZ107" s="344">
        <f t="shared" si="360"/>
        <v>63.45</v>
      </c>
      <c r="BA107" s="344">
        <f t="shared" si="360"/>
        <v>63.45</v>
      </c>
      <c r="BB107" s="344">
        <f t="shared" si="360"/>
        <v>63.45</v>
      </c>
      <c r="BC107" s="344">
        <f t="shared" si="360"/>
        <v>63.45</v>
      </c>
      <c r="BD107" s="344">
        <f t="shared" si="358"/>
        <v>63.45</v>
      </c>
      <c r="BE107" s="344">
        <f t="shared" si="358"/>
        <v>63.45</v>
      </c>
      <c r="BF107" s="344">
        <f t="shared" si="358"/>
        <v>63.45</v>
      </c>
      <c r="BG107" s="344">
        <f t="shared" si="358"/>
        <v>63.45</v>
      </c>
      <c r="BH107" s="344">
        <f t="shared" si="358"/>
        <v>63.45</v>
      </c>
      <c r="BI107" s="344">
        <f t="shared" si="358"/>
        <v>63.45</v>
      </c>
      <c r="BJ107" s="344">
        <f t="shared" si="358"/>
        <v>63.45</v>
      </c>
      <c r="BK107" s="432">
        <f t="shared" si="358"/>
        <v>63.45</v>
      </c>
      <c r="BL107" s="344">
        <f t="shared" si="358"/>
        <v>63.45</v>
      </c>
      <c r="BM107" s="344">
        <f t="shared" si="358"/>
        <v>63.45</v>
      </c>
      <c r="BN107" s="344">
        <f t="shared" si="358"/>
        <v>63.45</v>
      </c>
      <c r="BO107" s="344">
        <f t="shared" si="358"/>
        <v>63.45</v>
      </c>
      <c r="BP107" s="344">
        <f t="shared" si="358"/>
        <v>63.45</v>
      </c>
      <c r="BQ107" s="344">
        <f t="shared" si="358"/>
        <v>63.45</v>
      </c>
      <c r="BR107" s="344">
        <f t="shared" si="358"/>
        <v>63.45</v>
      </c>
      <c r="BS107" s="344">
        <f t="shared" si="358"/>
        <v>63.45</v>
      </c>
      <c r="BT107" s="344">
        <f t="shared" si="358"/>
        <v>63.45</v>
      </c>
      <c r="BU107" s="344">
        <f t="shared" si="358"/>
        <v>63.45</v>
      </c>
      <c r="BV107" s="344">
        <f t="shared" si="358"/>
        <v>63.45</v>
      </c>
      <c r="BW107" s="432">
        <f t="shared" si="358"/>
        <v>63.45</v>
      </c>
      <c r="BX107" s="344">
        <f t="shared" si="358"/>
        <v>63.45</v>
      </c>
      <c r="BY107" s="344">
        <f t="shared" si="358"/>
        <v>63.45</v>
      </c>
      <c r="BZ107" s="344">
        <f t="shared" si="358"/>
        <v>63.45</v>
      </c>
      <c r="CA107" s="344">
        <f t="shared" si="358"/>
        <v>63.45</v>
      </c>
      <c r="CB107" s="344">
        <f t="shared" si="358"/>
        <v>63.45</v>
      </c>
      <c r="CC107" s="344">
        <f t="shared" si="358"/>
        <v>63.45</v>
      </c>
      <c r="CD107" s="344">
        <f t="shared" si="358"/>
        <v>63.45</v>
      </c>
      <c r="CE107" s="344">
        <f t="shared" si="358"/>
        <v>63.45</v>
      </c>
      <c r="CF107" s="344">
        <f t="shared" si="358"/>
        <v>63.45</v>
      </c>
      <c r="CG107" s="344">
        <f t="shared" si="358"/>
        <v>63.45</v>
      </c>
      <c r="CH107" s="344">
        <f t="shared" si="358"/>
        <v>63.45</v>
      </c>
      <c r="CI107" s="432">
        <f t="shared" si="358"/>
        <v>63.45</v>
      </c>
      <c r="CJ107" s="344">
        <f t="shared" si="358"/>
        <v>63.45</v>
      </c>
      <c r="CK107" s="344">
        <f t="shared" si="358"/>
        <v>63.45</v>
      </c>
      <c r="CL107" s="344">
        <f t="shared" si="358"/>
        <v>63.45</v>
      </c>
      <c r="CM107" s="344">
        <f t="shared" si="358"/>
        <v>63.45</v>
      </c>
      <c r="CN107" s="344">
        <f t="shared" si="358"/>
        <v>63.45</v>
      </c>
      <c r="CO107" s="344">
        <f t="shared" si="358"/>
        <v>63.45</v>
      </c>
      <c r="CP107" s="344">
        <f t="shared" si="358"/>
        <v>63.45</v>
      </c>
      <c r="CQ107" s="344">
        <f t="shared" si="358"/>
        <v>63.45</v>
      </c>
      <c r="CR107" s="344">
        <f t="shared" si="358"/>
        <v>63.45</v>
      </c>
      <c r="CS107" s="344">
        <f t="shared" si="358"/>
        <v>63.45</v>
      </c>
      <c r="CT107" s="344">
        <f t="shared" si="358"/>
        <v>63.45</v>
      </c>
      <c r="CU107" s="432">
        <f t="shared" si="358"/>
        <v>63.45</v>
      </c>
      <c r="CV107" s="344">
        <f t="shared" si="358"/>
        <v>63.45</v>
      </c>
      <c r="CW107" s="344">
        <f t="shared" si="358"/>
        <v>63.45</v>
      </c>
      <c r="CX107" s="344">
        <f t="shared" si="358"/>
        <v>63.45</v>
      </c>
      <c r="CY107" s="344">
        <f t="shared" si="358"/>
        <v>63.45</v>
      </c>
      <c r="CZ107" s="344">
        <f t="shared" si="358"/>
        <v>63.45</v>
      </c>
      <c r="DA107" s="344">
        <f t="shared" si="359"/>
        <v>63.45</v>
      </c>
      <c r="DB107" s="344">
        <f t="shared" si="359"/>
        <v>63.45</v>
      </c>
      <c r="DC107" s="344">
        <f t="shared" si="359"/>
        <v>63.45</v>
      </c>
      <c r="DD107" s="344">
        <f t="shared" si="359"/>
        <v>63.45</v>
      </c>
      <c r="DE107" s="344">
        <f t="shared" si="359"/>
        <v>63.45</v>
      </c>
      <c r="DF107" s="344">
        <f t="shared" si="359"/>
        <v>63.45</v>
      </c>
      <c r="DG107" s="344">
        <f t="shared" si="359"/>
        <v>63.45</v>
      </c>
    </row>
    <row r="108" spans="1:111" x14ac:dyDescent="0.25">
      <c r="B108" s="1" t="s">
        <v>344</v>
      </c>
      <c r="C108" s="1"/>
      <c r="D108" s="116"/>
      <c r="E108" s="116"/>
      <c r="F108" s="116"/>
      <c r="G108" s="116"/>
      <c r="H108" s="116"/>
      <c r="I108" s="116"/>
      <c r="J108" s="114"/>
      <c r="K108" s="114"/>
      <c r="L108" s="114"/>
      <c r="M108" s="116"/>
      <c r="V108" s="114"/>
      <c r="W108" s="114"/>
      <c r="X108" s="114"/>
      <c r="Y108" s="114"/>
      <c r="Z108" s="114"/>
      <c r="AA108" s="114"/>
      <c r="AB108" s="114"/>
      <c r="AC108" s="114">
        <v>0</v>
      </c>
      <c r="AD108" s="114">
        <v>0</v>
      </c>
      <c r="AE108" s="114">
        <v>895</v>
      </c>
      <c r="AF108" s="116">
        <v>1364.89</v>
      </c>
      <c r="AG108" s="116">
        <v>1103.06</v>
      </c>
      <c r="AH108" s="116">
        <v>1139.18</v>
      </c>
      <c r="AI108" s="116">
        <v>-55.2</v>
      </c>
      <c r="AJ108" s="116">
        <v>0.31</v>
      </c>
      <c r="AK108" s="116">
        <v>605.30999999999995</v>
      </c>
      <c r="AL108" s="116">
        <v>224.02</v>
      </c>
      <c r="AM108" s="116">
        <v>488.75</v>
      </c>
      <c r="AN108" s="116">
        <v>1097.26</v>
      </c>
      <c r="AO108" s="116">
        <v>401.39</v>
      </c>
      <c r="AP108" s="116">
        <v>82.66</v>
      </c>
      <c r="AQ108" s="116">
        <v>547.45000000000005</v>
      </c>
      <c r="AR108" s="116">
        <v>1327.16</v>
      </c>
      <c r="AS108" s="116">
        <v>1711.63</v>
      </c>
      <c r="AT108" s="116">
        <v>1168.8699999999999</v>
      </c>
      <c r="AU108" s="116">
        <v>1355.36</v>
      </c>
      <c r="AV108" s="116">
        <v>346.15</v>
      </c>
      <c r="AW108" s="252">
        <f>38.99</f>
        <v>38.99</v>
      </c>
      <c r="AX108" s="171">
        <f t="shared" ref="AX108:CZ108" si="361">+AW108</f>
        <v>38.99</v>
      </c>
      <c r="AY108" s="432">
        <f t="shared" si="361"/>
        <v>38.99</v>
      </c>
      <c r="AZ108" s="344">
        <f t="shared" si="361"/>
        <v>38.99</v>
      </c>
      <c r="BA108" s="344">
        <f t="shared" si="361"/>
        <v>38.99</v>
      </c>
      <c r="BB108" s="344">
        <f t="shared" si="361"/>
        <v>38.99</v>
      </c>
      <c r="BC108" s="344">
        <f t="shared" si="361"/>
        <v>38.99</v>
      </c>
      <c r="BD108" s="344">
        <f t="shared" si="361"/>
        <v>38.99</v>
      </c>
      <c r="BE108" s="344">
        <f t="shared" si="361"/>
        <v>38.99</v>
      </c>
      <c r="BF108" s="344">
        <f t="shared" si="361"/>
        <v>38.99</v>
      </c>
      <c r="BG108" s="344">
        <f t="shared" si="361"/>
        <v>38.99</v>
      </c>
      <c r="BH108" s="344">
        <f t="shared" si="361"/>
        <v>38.99</v>
      </c>
      <c r="BI108" s="344">
        <f t="shared" si="361"/>
        <v>38.99</v>
      </c>
      <c r="BJ108" s="344">
        <f t="shared" si="361"/>
        <v>38.99</v>
      </c>
      <c r="BK108" s="432">
        <f t="shared" si="361"/>
        <v>38.99</v>
      </c>
      <c r="BL108" s="344">
        <f t="shared" si="361"/>
        <v>38.99</v>
      </c>
      <c r="BM108" s="344">
        <f t="shared" si="361"/>
        <v>38.99</v>
      </c>
      <c r="BN108" s="344">
        <f t="shared" si="361"/>
        <v>38.99</v>
      </c>
      <c r="BO108" s="344">
        <f t="shared" si="361"/>
        <v>38.99</v>
      </c>
      <c r="BP108" s="344">
        <f t="shared" si="361"/>
        <v>38.99</v>
      </c>
      <c r="BQ108" s="344">
        <f t="shared" si="361"/>
        <v>38.99</v>
      </c>
      <c r="BR108" s="344">
        <f t="shared" si="361"/>
        <v>38.99</v>
      </c>
      <c r="BS108" s="344">
        <f t="shared" si="361"/>
        <v>38.99</v>
      </c>
      <c r="BT108" s="344">
        <f t="shared" si="361"/>
        <v>38.99</v>
      </c>
      <c r="BU108" s="344">
        <f t="shared" si="361"/>
        <v>38.99</v>
      </c>
      <c r="BV108" s="344">
        <f t="shared" si="361"/>
        <v>38.99</v>
      </c>
      <c r="BW108" s="432">
        <f t="shared" si="361"/>
        <v>38.99</v>
      </c>
      <c r="BX108" s="344">
        <f t="shared" si="361"/>
        <v>38.99</v>
      </c>
      <c r="BY108" s="344">
        <f t="shared" si="361"/>
        <v>38.99</v>
      </c>
      <c r="BZ108" s="344">
        <f t="shared" si="361"/>
        <v>38.99</v>
      </c>
      <c r="CA108" s="344">
        <f t="shared" si="361"/>
        <v>38.99</v>
      </c>
      <c r="CB108" s="344">
        <f t="shared" si="361"/>
        <v>38.99</v>
      </c>
      <c r="CC108" s="344">
        <f t="shared" si="361"/>
        <v>38.99</v>
      </c>
      <c r="CD108" s="344">
        <f t="shared" si="361"/>
        <v>38.99</v>
      </c>
      <c r="CE108" s="344">
        <f t="shared" si="361"/>
        <v>38.99</v>
      </c>
      <c r="CF108" s="344">
        <f t="shared" si="361"/>
        <v>38.99</v>
      </c>
      <c r="CG108" s="344">
        <f t="shared" si="361"/>
        <v>38.99</v>
      </c>
      <c r="CH108" s="344">
        <f t="shared" si="361"/>
        <v>38.99</v>
      </c>
      <c r="CI108" s="432">
        <f t="shared" si="361"/>
        <v>38.99</v>
      </c>
      <c r="CJ108" s="344">
        <f t="shared" si="361"/>
        <v>38.99</v>
      </c>
      <c r="CK108" s="344">
        <f t="shared" si="361"/>
        <v>38.99</v>
      </c>
      <c r="CL108" s="344">
        <f t="shared" si="361"/>
        <v>38.99</v>
      </c>
      <c r="CM108" s="344">
        <f t="shared" si="361"/>
        <v>38.99</v>
      </c>
      <c r="CN108" s="344">
        <f t="shared" si="361"/>
        <v>38.99</v>
      </c>
      <c r="CO108" s="344">
        <f t="shared" si="361"/>
        <v>38.99</v>
      </c>
      <c r="CP108" s="344">
        <f t="shared" si="361"/>
        <v>38.99</v>
      </c>
      <c r="CQ108" s="344">
        <f t="shared" si="361"/>
        <v>38.99</v>
      </c>
      <c r="CR108" s="344">
        <f t="shared" si="361"/>
        <v>38.99</v>
      </c>
      <c r="CS108" s="344">
        <f t="shared" si="361"/>
        <v>38.99</v>
      </c>
      <c r="CT108" s="344">
        <f t="shared" si="361"/>
        <v>38.99</v>
      </c>
      <c r="CU108" s="432">
        <f t="shared" si="361"/>
        <v>38.99</v>
      </c>
      <c r="CV108" s="344">
        <f t="shared" si="361"/>
        <v>38.99</v>
      </c>
      <c r="CW108" s="344">
        <f t="shared" si="361"/>
        <v>38.99</v>
      </c>
      <c r="CX108" s="344">
        <f t="shared" si="361"/>
        <v>38.99</v>
      </c>
      <c r="CY108" s="344">
        <f t="shared" si="361"/>
        <v>38.99</v>
      </c>
      <c r="CZ108" s="344">
        <f t="shared" si="361"/>
        <v>38.99</v>
      </c>
      <c r="DA108" s="344">
        <f t="shared" si="359"/>
        <v>38.99</v>
      </c>
      <c r="DB108" s="344">
        <f t="shared" si="359"/>
        <v>38.99</v>
      </c>
      <c r="DC108" s="344">
        <f t="shared" si="359"/>
        <v>38.99</v>
      </c>
      <c r="DD108" s="344">
        <f t="shared" si="359"/>
        <v>38.99</v>
      </c>
      <c r="DE108" s="344">
        <f t="shared" si="359"/>
        <v>38.99</v>
      </c>
      <c r="DF108" s="344">
        <f t="shared" si="359"/>
        <v>38.99</v>
      </c>
      <c r="DG108" s="344">
        <f t="shared" si="359"/>
        <v>38.99</v>
      </c>
    </row>
    <row r="109" spans="1:111" x14ac:dyDescent="0.25">
      <c r="B109" s="1" t="s">
        <v>345</v>
      </c>
      <c r="C109" s="1"/>
      <c r="D109" s="116"/>
      <c r="E109" s="116"/>
      <c r="F109" s="116"/>
      <c r="G109" s="116"/>
      <c r="H109" s="116"/>
      <c r="I109" s="116"/>
      <c r="J109" s="114"/>
      <c r="K109" s="114"/>
      <c r="L109" s="114"/>
      <c r="M109" s="116"/>
      <c r="V109" s="114"/>
      <c r="W109" s="114"/>
      <c r="X109" s="114"/>
      <c r="Y109" s="114"/>
      <c r="Z109" s="114"/>
      <c r="AA109" s="114"/>
      <c r="AB109" s="114">
        <v>0</v>
      </c>
      <c r="AC109" s="114">
        <v>0</v>
      </c>
      <c r="AD109" s="114">
        <v>0</v>
      </c>
      <c r="AE109" s="114">
        <v>0</v>
      </c>
      <c r="AF109" s="116">
        <v>0</v>
      </c>
      <c r="AG109" s="116">
        <v>0</v>
      </c>
      <c r="AH109" s="116">
        <v>0</v>
      </c>
      <c r="AI109" s="116">
        <v>0</v>
      </c>
      <c r="AJ109" s="116">
        <v>0</v>
      </c>
      <c r="AK109" s="116">
        <v>0</v>
      </c>
      <c r="AL109" s="116">
        <v>0</v>
      </c>
      <c r="AM109" s="116">
        <v>0</v>
      </c>
      <c r="AN109" s="116">
        <v>0</v>
      </c>
      <c r="AO109" s="116">
        <v>0</v>
      </c>
      <c r="AP109" s="116">
        <v>0</v>
      </c>
      <c r="AQ109" s="116">
        <v>0</v>
      </c>
      <c r="AR109" s="116">
        <v>0</v>
      </c>
      <c r="AS109" s="116">
        <v>0</v>
      </c>
      <c r="AT109" s="116">
        <v>0</v>
      </c>
      <c r="AU109" s="116">
        <v>0</v>
      </c>
      <c r="AV109" s="116">
        <v>0</v>
      </c>
      <c r="AW109" s="252">
        <v>0</v>
      </c>
      <c r="AX109" s="171"/>
      <c r="AY109" s="432"/>
      <c r="AZ109" s="344"/>
      <c r="BA109" s="344"/>
      <c r="BB109" s="344"/>
      <c r="BC109" s="344"/>
      <c r="BD109" s="344"/>
      <c r="BE109" s="344"/>
      <c r="BF109" s="344"/>
      <c r="BG109" s="344"/>
      <c r="BH109" s="344"/>
      <c r="BI109" s="344"/>
      <c r="BJ109" s="344"/>
      <c r="BK109" s="432"/>
      <c r="BL109" s="344"/>
      <c r="BM109" s="344"/>
      <c r="BN109" s="344"/>
      <c r="BO109" s="344"/>
      <c r="BP109" s="344"/>
      <c r="BQ109" s="344"/>
      <c r="BR109" s="344"/>
      <c r="BS109" s="344"/>
      <c r="BT109" s="344"/>
      <c r="BU109" s="344"/>
      <c r="BV109" s="344"/>
      <c r="BW109" s="432"/>
      <c r="BX109" s="344"/>
      <c r="BY109" s="344"/>
      <c r="BZ109" s="344"/>
      <c r="CA109" s="344"/>
      <c r="CB109" s="344"/>
      <c r="CC109" s="344"/>
      <c r="CD109" s="344"/>
      <c r="CE109" s="344"/>
      <c r="CF109" s="344"/>
      <c r="CG109" s="344"/>
      <c r="CH109" s="344"/>
      <c r="CI109" s="432"/>
      <c r="CJ109" s="344"/>
      <c r="CK109" s="344"/>
      <c r="CL109" s="344"/>
      <c r="CM109" s="344"/>
      <c r="CN109" s="344"/>
      <c r="CO109" s="344"/>
      <c r="CP109" s="344"/>
      <c r="CQ109" s="344"/>
      <c r="CR109" s="344"/>
      <c r="CS109" s="344"/>
      <c r="CT109" s="344"/>
      <c r="CU109" s="432"/>
      <c r="CV109" s="344"/>
      <c r="CW109" s="344"/>
      <c r="CX109" s="344"/>
      <c r="CY109" s="344"/>
      <c r="CZ109" s="344"/>
      <c r="DA109" s="344"/>
      <c r="DB109" s="344"/>
      <c r="DC109" s="344"/>
      <c r="DD109" s="344"/>
      <c r="DE109" s="344"/>
      <c r="DF109" s="344"/>
      <c r="DG109" s="344"/>
    </row>
    <row r="110" spans="1:111" x14ac:dyDescent="0.25">
      <c r="B110" s="1" t="s">
        <v>375</v>
      </c>
      <c r="C110" s="1"/>
      <c r="D110" s="116"/>
      <c r="E110" s="116"/>
      <c r="F110" s="116"/>
      <c r="G110" s="116"/>
      <c r="H110" s="116"/>
      <c r="I110" s="116"/>
      <c r="J110" s="114"/>
      <c r="K110" s="114"/>
      <c r="L110" s="114"/>
      <c r="M110" s="116"/>
      <c r="V110" s="114"/>
      <c r="W110" s="114"/>
      <c r="X110" s="114"/>
      <c r="Y110" s="114"/>
      <c r="Z110" s="114"/>
      <c r="AA110" s="114"/>
      <c r="AB110" s="114"/>
      <c r="AC110" s="114"/>
      <c r="AD110" s="114"/>
      <c r="AE110" s="114"/>
      <c r="AF110" s="116"/>
      <c r="AG110" s="116"/>
      <c r="AH110" s="116"/>
      <c r="AI110" s="116"/>
      <c r="AJ110" s="116"/>
      <c r="AK110" s="116"/>
      <c r="AL110" s="116"/>
      <c r="AM110" s="116"/>
      <c r="AN110" s="116"/>
      <c r="AO110" s="116">
        <v>1580.92</v>
      </c>
      <c r="AP110" s="116">
        <v>2852.35</v>
      </c>
      <c r="AQ110" s="116">
        <v>3503.21</v>
      </c>
      <c r="AR110" s="116">
        <v>4004.08</v>
      </c>
      <c r="AS110" s="116">
        <v>4008.02</v>
      </c>
      <c r="AT110" s="116">
        <v>5004.21</v>
      </c>
      <c r="AU110" s="116">
        <v>5253.44</v>
      </c>
      <c r="AV110" s="116">
        <v>5256.05</v>
      </c>
      <c r="AW110" s="252">
        <v>5157.83</v>
      </c>
      <c r="AX110" s="171">
        <f>+AW110</f>
        <v>5157.83</v>
      </c>
      <c r="AY110" s="432">
        <f t="shared" ref="AY110:DB110" si="362">+AX110</f>
        <v>5157.83</v>
      </c>
      <c r="AZ110" s="344">
        <f t="shared" si="362"/>
        <v>5157.83</v>
      </c>
      <c r="BA110" s="344">
        <f t="shared" si="362"/>
        <v>5157.83</v>
      </c>
      <c r="BB110" s="344">
        <f t="shared" si="362"/>
        <v>5157.83</v>
      </c>
      <c r="BC110" s="344">
        <f t="shared" si="362"/>
        <v>5157.83</v>
      </c>
      <c r="BD110" s="344">
        <f t="shared" si="362"/>
        <v>5157.83</v>
      </c>
      <c r="BE110" s="344">
        <f t="shared" si="362"/>
        <v>5157.83</v>
      </c>
      <c r="BF110" s="344">
        <f t="shared" si="362"/>
        <v>5157.83</v>
      </c>
      <c r="BG110" s="344">
        <f t="shared" si="362"/>
        <v>5157.83</v>
      </c>
      <c r="BH110" s="344">
        <f t="shared" si="362"/>
        <v>5157.83</v>
      </c>
      <c r="BI110" s="344">
        <f t="shared" si="362"/>
        <v>5157.83</v>
      </c>
      <c r="BJ110" s="344">
        <f t="shared" si="362"/>
        <v>5157.83</v>
      </c>
      <c r="BK110" s="432">
        <f t="shared" si="362"/>
        <v>5157.83</v>
      </c>
      <c r="BL110" s="344">
        <f t="shared" si="362"/>
        <v>5157.83</v>
      </c>
      <c r="BM110" s="344">
        <f t="shared" si="362"/>
        <v>5157.83</v>
      </c>
      <c r="BN110" s="344">
        <f t="shared" si="362"/>
        <v>5157.83</v>
      </c>
      <c r="BO110" s="344">
        <f t="shared" si="362"/>
        <v>5157.83</v>
      </c>
      <c r="BP110" s="344">
        <f t="shared" si="362"/>
        <v>5157.83</v>
      </c>
      <c r="BQ110" s="344">
        <f t="shared" si="362"/>
        <v>5157.83</v>
      </c>
      <c r="BR110" s="344">
        <f t="shared" si="362"/>
        <v>5157.83</v>
      </c>
      <c r="BS110" s="344">
        <f t="shared" si="362"/>
        <v>5157.83</v>
      </c>
      <c r="BT110" s="344">
        <f t="shared" si="362"/>
        <v>5157.83</v>
      </c>
      <c r="BU110" s="344">
        <f t="shared" si="362"/>
        <v>5157.83</v>
      </c>
      <c r="BV110" s="344">
        <f t="shared" si="362"/>
        <v>5157.83</v>
      </c>
      <c r="BW110" s="432">
        <f t="shared" si="362"/>
        <v>5157.83</v>
      </c>
      <c r="BX110" s="344">
        <f t="shared" si="362"/>
        <v>5157.83</v>
      </c>
      <c r="BY110" s="344">
        <f t="shared" si="362"/>
        <v>5157.83</v>
      </c>
      <c r="BZ110" s="344">
        <f t="shared" si="362"/>
        <v>5157.83</v>
      </c>
      <c r="CA110" s="344">
        <f t="shared" si="362"/>
        <v>5157.83</v>
      </c>
      <c r="CB110" s="344">
        <f t="shared" si="362"/>
        <v>5157.83</v>
      </c>
      <c r="CC110" s="344">
        <f t="shared" si="362"/>
        <v>5157.83</v>
      </c>
      <c r="CD110" s="344">
        <f t="shared" si="362"/>
        <v>5157.83</v>
      </c>
      <c r="CE110" s="344">
        <f t="shared" si="362"/>
        <v>5157.83</v>
      </c>
      <c r="CF110" s="344">
        <f t="shared" si="362"/>
        <v>5157.83</v>
      </c>
      <c r="CG110" s="344">
        <f t="shared" si="362"/>
        <v>5157.83</v>
      </c>
      <c r="CH110" s="344">
        <f t="shared" si="362"/>
        <v>5157.83</v>
      </c>
      <c r="CI110" s="432">
        <f t="shared" si="362"/>
        <v>5157.83</v>
      </c>
      <c r="CJ110" s="344">
        <f t="shared" si="362"/>
        <v>5157.83</v>
      </c>
      <c r="CK110" s="344">
        <f t="shared" si="362"/>
        <v>5157.83</v>
      </c>
      <c r="CL110" s="344">
        <f t="shared" si="362"/>
        <v>5157.83</v>
      </c>
      <c r="CM110" s="344">
        <f t="shared" si="362"/>
        <v>5157.83</v>
      </c>
      <c r="CN110" s="344">
        <f t="shared" si="362"/>
        <v>5157.83</v>
      </c>
      <c r="CO110" s="344">
        <f t="shared" si="362"/>
        <v>5157.83</v>
      </c>
      <c r="CP110" s="344">
        <f t="shared" si="362"/>
        <v>5157.83</v>
      </c>
      <c r="CQ110" s="344">
        <f t="shared" si="362"/>
        <v>5157.83</v>
      </c>
      <c r="CR110" s="344">
        <f t="shared" si="362"/>
        <v>5157.83</v>
      </c>
      <c r="CS110" s="344">
        <f t="shared" si="362"/>
        <v>5157.83</v>
      </c>
      <c r="CT110" s="344">
        <f t="shared" si="362"/>
        <v>5157.83</v>
      </c>
      <c r="CU110" s="432">
        <f t="shared" si="362"/>
        <v>5157.83</v>
      </c>
      <c r="CV110" s="344">
        <f t="shared" si="362"/>
        <v>5157.83</v>
      </c>
      <c r="CW110" s="344">
        <f t="shared" si="362"/>
        <v>5157.83</v>
      </c>
      <c r="CX110" s="344">
        <f t="shared" si="362"/>
        <v>5157.83</v>
      </c>
      <c r="CY110" s="344">
        <f t="shared" si="362"/>
        <v>5157.83</v>
      </c>
      <c r="CZ110" s="344">
        <f t="shared" si="362"/>
        <v>5157.83</v>
      </c>
      <c r="DA110" s="344">
        <f t="shared" si="362"/>
        <v>5157.83</v>
      </c>
      <c r="DB110" s="344">
        <f t="shared" si="362"/>
        <v>5157.83</v>
      </c>
      <c r="DC110" s="344">
        <f>+DB110</f>
        <v>5157.83</v>
      </c>
      <c r="DD110" s="344">
        <f>+DC110</f>
        <v>5157.83</v>
      </c>
      <c r="DE110" s="344">
        <f>+DD110</f>
        <v>5157.83</v>
      </c>
      <c r="DF110" s="344">
        <f>+DE110</f>
        <v>5157.83</v>
      </c>
      <c r="DG110" s="344">
        <f>+DF110</f>
        <v>5157.83</v>
      </c>
    </row>
    <row r="111" spans="1:111" x14ac:dyDescent="0.25">
      <c r="A111" s="3"/>
      <c r="B111" s="4" t="s">
        <v>15</v>
      </c>
      <c r="C111" s="4"/>
      <c r="D111" s="56">
        <f>(((D105)+(D106)))</f>
        <v>0</v>
      </c>
      <c r="E111" s="56">
        <v>0</v>
      </c>
      <c r="F111" s="56">
        <v>0</v>
      </c>
      <c r="G111" s="56">
        <v>0</v>
      </c>
      <c r="H111" s="56">
        <v>0</v>
      </c>
      <c r="I111" s="56">
        <v>0</v>
      </c>
      <c r="J111" s="56">
        <f t="shared" ref="J111:AA111" si="363">SUM(J105:J106)</f>
        <v>0</v>
      </c>
      <c r="K111" s="56">
        <f t="shared" si="363"/>
        <v>0</v>
      </c>
      <c r="L111" s="56">
        <f t="shared" si="363"/>
        <v>0</v>
      </c>
      <c r="M111" s="56">
        <f t="shared" si="363"/>
        <v>0</v>
      </c>
      <c r="N111" s="56">
        <f t="shared" si="363"/>
        <v>0</v>
      </c>
      <c r="O111" s="56">
        <f t="shared" si="363"/>
        <v>0</v>
      </c>
      <c r="P111" s="56">
        <f t="shared" si="363"/>
        <v>0</v>
      </c>
      <c r="Q111" s="56">
        <f t="shared" si="363"/>
        <v>0</v>
      </c>
      <c r="R111" s="56">
        <f t="shared" si="363"/>
        <v>0</v>
      </c>
      <c r="S111" s="56">
        <f t="shared" si="363"/>
        <v>0</v>
      </c>
      <c r="T111" s="56">
        <f t="shared" si="363"/>
        <v>0</v>
      </c>
      <c r="U111" s="56">
        <f t="shared" si="363"/>
        <v>0</v>
      </c>
      <c r="V111" s="56">
        <f t="shared" si="363"/>
        <v>0</v>
      </c>
      <c r="W111" s="56">
        <f t="shared" si="363"/>
        <v>0</v>
      </c>
      <c r="X111" s="56">
        <f t="shared" si="363"/>
        <v>0</v>
      </c>
      <c r="Y111" s="56">
        <f t="shared" si="363"/>
        <v>0</v>
      </c>
      <c r="Z111" s="56">
        <f t="shared" si="363"/>
        <v>0</v>
      </c>
      <c r="AA111" s="56">
        <f t="shared" si="363"/>
        <v>0</v>
      </c>
      <c r="AB111" s="56">
        <f>SUM(AB105:AB109)</f>
        <v>933.40000000000009</v>
      </c>
      <c r="AC111" s="56">
        <f>SUM(AC105:AC109)</f>
        <v>1045.77</v>
      </c>
      <c r="AD111" s="56">
        <f>SUM(AD105:AD109)</f>
        <v>2808.13</v>
      </c>
      <c r="AE111" s="56">
        <f t="shared" ref="AE111:AJ111" si="364">SUM(AE105:AE109)</f>
        <v>1779.92</v>
      </c>
      <c r="AF111" s="56">
        <f t="shared" si="364"/>
        <v>2610.5300000000002</v>
      </c>
      <c r="AG111" s="56">
        <f t="shared" si="364"/>
        <v>2620.37</v>
      </c>
      <c r="AH111" s="56">
        <f t="shared" si="364"/>
        <v>2912.74</v>
      </c>
      <c r="AI111" s="56">
        <f t="shared" si="364"/>
        <v>1061.52</v>
      </c>
      <c r="AJ111" s="56">
        <f t="shared" si="364"/>
        <v>123.47000000000001</v>
      </c>
      <c r="AK111" s="56">
        <f>SUM(AK105:AK109)</f>
        <v>2271.8199999999997</v>
      </c>
      <c r="AL111" s="56">
        <f>SUM(AL105:AL109)</f>
        <v>1836.67</v>
      </c>
      <c r="AM111" s="56">
        <f>SUM(AM105:AM109)</f>
        <v>1426</v>
      </c>
      <c r="AN111" s="56">
        <f>SUM(AN105:AN109)</f>
        <v>2040.3200000000002</v>
      </c>
      <c r="AO111" s="56">
        <f t="shared" ref="AO111:AT111" si="365">SUM(AO105:AO110)</f>
        <v>2471.8900000000003</v>
      </c>
      <c r="AP111" s="56">
        <f t="shared" si="365"/>
        <v>3389.24</v>
      </c>
      <c r="AQ111" s="56">
        <f t="shared" si="365"/>
        <v>4308.26</v>
      </c>
      <c r="AR111" s="56">
        <f t="shared" si="365"/>
        <v>6543.9400000000005</v>
      </c>
      <c r="AS111" s="56">
        <f t="shared" si="365"/>
        <v>6711.0300000000007</v>
      </c>
      <c r="AT111" s="56">
        <f t="shared" si="365"/>
        <v>6634.24</v>
      </c>
      <c r="AU111" s="56">
        <f t="shared" ref="AU111:AV111" si="366">SUM(AU105:AU110)</f>
        <v>7155.09</v>
      </c>
      <c r="AV111" s="56">
        <f t="shared" si="366"/>
        <v>6407.65</v>
      </c>
      <c r="AW111" s="253">
        <f t="shared" ref="AW111" si="367">SUM(AW105:AW110)</f>
        <v>5875.62</v>
      </c>
      <c r="AX111" s="10">
        <f>SUM(AX105:AX110)</f>
        <v>6709.3849263854736</v>
      </c>
      <c r="AY111" s="261">
        <f t="shared" ref="AY111:DA111" si="368">SUM(AY105:AY110)</f>
        <v>6984.8443392392619</v>
      </c>
      <c r="AZ111" s="10">
        <f t="shared" si="368"/>
        <v>6862.0471109875452</v>
      </c>
      <c r="BA111" s="10">
        <f t="shared" si="368"/>
        <v>7406.8116477666854</v>
      </c>
      <c r="BB111" s="10">
        <f t="shared" si="368"/>
        <v>8495.1490119753034</v>
      </c>
      <c r="BC111" s="10">
        <f t="shared" si="368"/>
        <v>10625.230603735192</v>
      </c>
      <c r="BD111" s="10">
        <f t="shared" si="368"/>
        <v>12363.364296821554</v>
      </c>
      <c r="BE111" s="10">
        <f t="shared" si="368"/>
        <v>14273.665575682053</v>
      </c>
      <c r="BF111" s="10">
        <f t="shared" si="368"/>
        <v>15923.239095862635</v>
      </c>
      <c r="BG111" s="10">
        <f t="shared" si="368"/>
        <v>17862.650973384323</v>
      </c>
      <c r="BH111" s="10">
        <f t="shared" si="368"/>
        <v>18125.748654216739</v>
      </c>
      <c r="BI111" s="10">
        <f t="shared" si="368"/>
        <v>18571.967555862655</v>
      </c>
      <c r="BJ111" s="10">
        <f t="shared" si="368"/>
        <v>18815.829284668962</v>
      </c>
      <c r="BK111" s="261">
        <f t="shared" si="368"/>
        <v>20154.64911484714</v>
      </c>
      <c r="BL111" s="10">
        <f t="shared" si="368"/>
        <v>20291.74368272056</v>
      </c>
      <c r="BM111" s="10">
        <f t="shared" si="368"/>
        <v>21283.309314797298</v>
      </c>
      <c r="BN111" s="10">
        <f t="shared" si="368"/>
        <v>23085.762614317013</v>
      </c>
      <c r="BO111" s="10">
        <f t="shared" si="368"/>
        <v>25661.075308734733</v>
      </c>
      <c r="BP111" s="10">
        <f t="shared" si="368"/>
        <v>27811.482522208586</v>
      </c>
      <c r="BQ111" s="10">
        <f t="shared" si="368"/>
        <v>30103.752352279706</v>
      </c>
      <c r="BR111" s="10">
        <f t="shared" si="368"/>
        <v>31772.046838198126</v>
      </c>
      <c r="BS111" s="10">
        <f t="shared" si="368"/>
        <v>34348.115734765597</v>
      </c>
      <c r="BT111" s="10">
        <f t="shared" si="368"/>
        <v>34740.065465670275</v>
      </c>
      <c r="BU111" s="10">
        <f t="shared" si="368"/>
        <v>35153.538268010197</v>
      </c>
      <c r="BV111" s="10">
        <f t="shared" si="368"/>
        <v>35657.913404271589</v>
      </c>
      <c r="BW111" s="261">
        <f t="shared" si="368"/>
        <v>37243.865986884695</v>
      </c>
      <c r="BX111" s="10">
        <f t="shared" si="368"/>
        <v>37473.50626092025</v>
      </c>
      <c r="BY111" s="10">
        <f t="shared" si="368"/>
        <v>38936.900394269353</v>
      </c>
      <c r="BZ111" s="10">
        <f t="shared" si="368"/>
        <v>41005.836154084165</v>
      </c>
      <c r="CA111" s="10">
        <f t="shared" si="368"/>
        <v>43256.60351807448</v>
      </c>
      <c r="CB111" s="10">
        <f t="shared" si="368"/>
        <v>46367.512548874816</v>
      </c>
      <c r="CC111" s="10">
        <f t="shared" si="368"/>
        <v>48957.312726201875</v>
      </c>
      <c r="CD111" s="10">
        <f t="shared" si="368"/>
        <v>50530.992866571338</v>
      </c>
      <c r="CE111" s="10">
        <f t="shared" si="368"/>
        <v>53743.623644268635</v>
      </c>
      <c r="CF111" s="10">
        <f t="shared" si="368"/>
        <v>53965.266463585322</v>
      </c>
      <c r="CG111" s="10">
        <f t="shared" si="368"/>
        <v>54656.017194253291</v>
      </c>
      <c r="CH111" s="10">
        <f t="shared" si="368"/>
        <v>55236.735431934081</v>
      </c>
      <c r="CI111" s="261">
        <f t="shared" si="368"/>
        <v>56498.00528228379</v>
      </c>
      <c r="CJ111" s="10">
        <f t="shared" si="368"/>
        <v>57313.996582063017</v>
      </c>
      <c r="CK111" s="10">
        <f t="shared" si="368"/>
        <v>58689.756583660375</v>
      </c>
      <c r="CL111" s="10">
        <f t="shared" si="368"/>
        <v>60681.193409602216</v>
      </c>
      <c r="CM111" s="10">
        <f t="shared" si="368"/>
        <v>63628.669744265811</v>
      </c>
      <c r="CN111" s="10">
        <f t="shared" si="368"/>
        <v>67239.014019703798</v>
      </c>
      <c r="CO111" s="10">
        <f t="shared" si="368"/>
        <v>69901.015977311952</v>
      </c>
      <c r="CP111" s="10">
        <f t="shared" si="368"/>
        <v>72127.060129642749</v>
      </c>
      <c r="CQ111" s="10">
        <f t="shared" si="368"/>
        <v>75816.791131422986</v>
      </c>
      <c r="CR111" s="10">
        <f t="shared" si="368"/>
        <v>75883.407775280517</v>
      </c>
      <c r="CS111" s="10">
        <f t="shared" si="368"/>
        <v>77060.778861419298</v>
      </c>
      <c r="CT111" s="10">
        <f t="shared" si="368"/>
        <v>77826.245651272795</v>
      </c>
      <c r="CU111" s="261">
        <f t="shared" si="368"/>
        <v>79302.153895195748</v>
      </c>
      <c r="CV111" s="10">
        <f t="shared" si="368"/>
        <v>80355.067214358947</v>
      </c>
      <c r="CW111" s="10">
        <f t="shared" si="368"/>
        <v>82020.869991947518</v>
      </c>
      <c r="CX111" s="10">
        <f t="shared" si="368"/>
        <v>84000.741789179403</v>
      </c>
      <c r="CY111" s="10">
        <f t="shared" si="368"/>
        <v>87842.085875491786</v>
      </c>
      <c r="CZ111" s="10">
        <f t="shared" si="368"/>
        <v>91997.755340061514</v>
      </c>
      <c r="DA111" s="10">
        <f t="shared" si="368"/>
        <v>94607.398441749261</v>
      </c>
      <c r="DB111" s="10">
        <f t="shared" ref="DB111:DG111" si="369">SUM(DB105:DB110)</f>
        <v>97411.900056517232</v>
      </c>
      <c r="DC111" s="10">
        <f t="shared" si="369"/>
        <v>101081.54370395541</v>
      </c>
      <c r="DD111" s="10">
        <f t="shared" si="369"/>
        <v>101391.17817001985</v>
      </c>
      <c r="DE111" s="10">
        <f t="shared" si="369"/>
        <v>102757.38084773501</v>
      </c>
      <c r="DF111" s="10">
        <f t="shared" si="369"/>
        <v>103302.34618282193</v>
      </c>
      <c r="DG111" s="10">
        <f t="shared" si="369"/>
        <v>105334.85577292436</v>
      </c>
    </row>
    <row r="112" spans="1:111" s="169" customFormat="1" x14ac:dyDescent="0.25">
      <c r="B112" s="284"/>
      <c r="C112" s="284" t="s">
        <v>299</v>
      </c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85"/>
      <c r="AB112" s="285">
        <f t="shared" ref="AB112:AG112" si="370">+AB111*0.65</f>
        <v>606.71</v>
      </c>
      <c r="AC112" s="285">
        <f t="shared" si="370"/>
        <v>679.75049999999999</v>
      </c>
      <c r="AD112" s="285">
        <f t="shared" si="370"/>
        <v>1825.2845000000002</v>
      </c>
      <c r="AE112" s="285">
        <f t="shared" si="370"/>
        <v>1156.9480000000001</v>
      </c>
      <c r="AF112" s="285">
        <f t="shared" si="370"/>
        <v>1696.8445000000002</v>
      </c>
      <c r="AG112" s="285">
        <f t="shared" si="370"/>
        <v>1703.2404999999999</v>
      </c>
      <c r="AH112" s="285">
        <f t="shared" ref="AH112:AM112" si="371">+AH111*0.65</f>
        <v>1893.2809999999999</v>
      </c>
      <c r="AI112" s="285">
        <f t="shared" si="371"/>
        <v>689.98800000000006</v>
      </c>
      <c r="AJ112" s="285">
        <f t="shared" si="371"/>
        <v>80.255500000000012</v>
      </c>
      <c r="AK112" s="285">
        <f t="shared" si="371"/>
        <v>1476.6829999999998</v>
      </c>
      <c r="AL112" s="285">
        <f t="shared" si="371"/>
        <v>1193.8355000000001</v>
      </c>
      <c r="AM112" s="285">
        <f t="shared" si="371"/>
        <v>926.9</v>
      </c>
      <c r="AN112" s="285">
        <f t="shared" ref="AN112:AT112" si="372">+AN111*0.65</f>
        <v>1326.2080000000001</v>
      </c>
      <c r="AO112" s="285">
        <f t="shared" si="372"/>
        <v>1606.7285000000002</v>
      </c>
      <c r="AP112" s="285">
        <f t="shared" si="372"/>
        <v>2203.0059999999999</v>
      </c>
      <c r="AQ112" s="285">
        <f t="shared" si="372"/>
        <v>2800.3690000000001</v>
      </c>
      <c r="AR112" s="285">
        <f t="shared" si="372"/>
        <v>4253.5610000000006</v>
      </c>
      <c r="AS112" s="285">
        <f t="shared" si="372"/>
        <v>4362.1695000000009</v>
      </c>
      <c r="AT112" s="285">
        <f t="shared" si="372"/>
        <v>4312.2560000000003</v>
      </c>
      <c r="AU112" s="285">
        <f t="shared" ref="AU112:AV112" si="373">+AU111*0.65</f>
        <v>4650.8085000000001</v>
      </c>
      <c r="AV112" s="285">
        <f t="shared" si="373"/>
        <v>4164.9724999999999</v>
      </c>
      <c r="AW112" s="286">
        <f t="shared" ref="AW112" si="374">+AW111*0.65</f>
        <v>3819.1530000000002</v>
      </c>
      <c r="AX112" s="288">
        <f t="shared" ref="AX112" si="375">+AX111*0.65</f>
        <v>4361.1002021505583</v>
      </c>
      <c r="AY112" s="289">
        <f t="shared" ref="AY112:CX112" si="376">+AY111*0.65</f>
        <v>4540.1488205055202</v>
      </c>
      <c r="AZ112" s="288">
        <f t="shared" si="376"/>
        <v>4460.3306221419043</v>
      </c>
      <c r="BA112" s="288">
        <f t="shared" si="376"/>
        <v>4814.4275710483453</v>
      </c>
      <c r="BB112" s="288">
        <f t="shared" si="376"/>
        <v>5521.8468577839476</v>
      </c>
      <c r="BC112" s="288">
        <f t="shared" si="376"/>
        <v>6906.3998924278749</v>
      </c>
      <c r="BD112" s="288">
        <f t="shared" si="376"/>
        <v>8036.1867929340106</v>
      </c>
      <c r="BE112" s="288">
        <f t="shared" si="376"/>
        <v>9277.8826241933348</v>
      </c>
      <c r="BF112" s="288">
        <f t="shared" si="376"/>
        <v>10350.105412310713</v>
      </c>
      <c r="BG112" s="288">
        <f t="shared" si="376"/>
        <v>11610.72313269981</v>
      </c>
      <c r="BH112" s="288">
        <f t="shared" si="376"/>
        <v>11781.736625240881</v>
      </c>
      <c r="BI112" s="288">
        <f t="shared" si="376"/>
        <v>12071.778911310726</v>
      </c>
      <c r="BJ112" s="288">
        <f t="shared" si="376"/>
        <v>12230.289035034826</v>
      </c>
      <c r="BK112" s="289">
        <f t="shared" si="376"/>
        <v>13100.52192465064</v>
      </c>
      <c r="BL112" s="288">
        <f t="shared" si="376"/>
        <v>13189.633393768365</v>
      </c>
      <c r="BM112" s="288">
        <f t="shared" si="376"/>
        <v>13834.151054618244</v>
      </c>
      <c r="BN112" s="288">
        <f t="shared" si="376"/>
        <v>15005.745699306059</v>
      </c>
      <c r="BO112" s="288">
        <f t="shared" si="376"/>
        <v>16679.698950677575</v>
      </c>
      <c r="BP112" s="288">
        <f t="shared" si="376"/>
        <v>18077.46363943558</v>
      </c>
      <c r="BQ112" s="288">
        <f t="shared" si="376"/>
        <v>19567.439028981807</v>
      </c>
      <c r="BR112" s="288">
        <f t="shared" si="376"/>
        <v>20651.830444828782</v>
      </c>
      <c r="BS112" s="288">
        <f t="shared" si="376"/>
        <v>22326.275227597638</v>
      </c>
      <c r="BT112" s="288">
        <f t="shared" si="376"/>
        <v>22581.042552685682</v>
      </c>
      <c r="BU112" s="288">
        <f t="shared" si="376"/>
        <v>22849.79987420663</v>
      </c>
      <c r="BV112" s="288">
        <f t="shared" si="376"/>
        <v>23177.643712776535</v>
      </c>
      <c r="BW112" s="289">
        <f t="shared" si="376"/>
        <v>24208.512891475053</v>
      </c>
      <c r="BX112" s="288">
        <f t="shared" si="376"/>
        <v>24357.779069598164</v>
      </c>
      <c r="BY112" s="288">
        <f t="shared" si="376"/>
        <v>25308.985256275078</v>
      </c>
      <c r="BZ112" s="288">
        <f t="shared" si="376"/>
        <v>26653.793500154708</v>
      </c>
      <c r="CA112" s="288">
        <f t="shared" si="376"/>
        <v>28116.792286748412</v>
      </c>
      <c r="CB112" s="288">
        <f t="shared" si="376"/>
        <v>30138.883156768632</v>
      </c>
      <c r="CC112" s="288">
        <f t="shared" si="376"/>
        <v>31822.253272031219</v>
      </c>
      <c r="CD112" s="288">
        <f t="shared" si="376"/>
        <v>32845.145363271367</v>
      </c>
      <c r="CE112" s="288">
        <f t="shared" si="376"/>
        <v>34933.355368774617</v>
      </c>
      <c r="CF112" s="288">
        <f t="shared" si="376"/>
        <v>35077.423201330457</v>
      </c>
      <c r="CG112" s="288">
        <f t="shared" si="376"/>
        <v>35526.411176264643</v>
      </c>
      <c r="CH112" s="288">
        <f t="shared" si="376"/>
        <v>35903.878030757151</v>
      </c>
      <c r="CI112" s="289">
        <f t="shared" si="376"/>
        <v>36723.703433484465</v>
      </c>
      <c r="CJ112" s="288">
        <f t="shared" si="376"/>
        <v>37254.097778340962</v>
      </c>
      <c r="CK112" s="288">
        <f t="shared" si="376"/>
        <v>38148.341779379247</v>
      </c>
      <c r="CL112" s="288">
        <f t="shared" si="376"/>
        <v>39442.775716241442</v>
      </c>
      <c r="CM112" s="288">
        <f t="shared" si="376"/>
        <v>41358.635333772778</v>
      </c>
      <c r="CN112" s="288">
        <f t="shared" si="376"/>
        <v>43705.35911280747</v>
      </c>
      <c r="CO112" s="288">
        <f t="shared" si="376"/>
        <v>45435.66038525277</v>
      </c>
      <c r="CP112" s="288">
        <f t="shared" si="376"/>
        <v>46882.589084267791</v>
      </c>
      <c r="CQ112" s="288">
        <f t="shared" si="376"/>
        <v>49280.914235424942</v>
      </c>
      <c r="CR112" s="288">
        <f t="shared" si="376"/>
        <v>49324.215053932341</v>
      </c>
      <c r="CS112" s="288">
        <f t="shared" si="376"/>
        <v>50089.506259922542</v>
      </c>
      <c r="CT112" s="288">
        <f t="shared" si="376"/>
        <v>50587.05967332732</v>
      </c>
      <c r="CU112" s="289">
        <f t="shared" si="376"/>
        <v>51546.400031877238</v>
      </c>
      <c r="CV112" s="288">
        <f t="shared" si="376"/>
        <v>52230.793689333317</v>
      </c>
      <c r="CW112" s="288">
        <f t="shared" si="376"/>
        <v>53313.565494765891</v>
      </c>
      <c r="CX112" s="288">
        <f t="shared" si="376"/>
        <v>54600.482162966611</v>
      </c>
      <c r="CY112" s="288">
        <f t="shared" ref="CY112:DG112" si="377">+CY111*0.65</f>
        <v>57097.355819069664</v>
      </c>
      <c r="CZ112" s="288">
        <f t="shared" si="377"/>
        <v>59798.540971039984</v>
      </c>
      <c r="DA112" s="288">
        <f t="shared" si="377"/>
        <v>61494.808987137025</v>
      </c>
      <c r="DB112" s="288">
        <f t="shared" si="377"/>
        <v>63317.735036736201</v>
      </c>
      <c r="DC112" s="288">
        <f t="shared" si="377"/>
        <v>65703.003407571014</v>
      </c>
      <c r="DD112" s="288">
        <f t="shared" si="377"/>
        <v>65904.265810512909</v>
      </c>
      <c r="DE112" s="288">
        <f t="shared" si="377"/>
        <v>66792.297551027761</v>
      </c>
      <c r="DF112" s="288">
        <f t="shared" si="377"/>
        <v>67146.525018834262</v>
      </c>
      <c r="DG112" s="288">
        <f t="shared" si="377"/>
        <v>68467.656252400833</v>
      </c>
    </row>
    <row r="113" spans="1:111" x14ac:dyDescent="0.25">
      <c r="B113" s="1" t="s">
        <v>16</v>
      </c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594"/>
      <c r="AY113" s="251"/>
      <c r="BK113" s="251"/>
      <c r="BW113" s="251"/>
      <c r="CI113" s="251"/>
      <c r="CU113" s="251"/>
    </row>
    <row r="114" spans="1:111" x14ac:dyDescent="0.25">
      <c r="B114" s="1" t="s">
        <v>328</v>
      </c>
      <c r="C114" s="1"/>
      <c r="D114" s="116"/>
      <c r="E114" s="116"/>
      <c r="F114" s="116"/>
      <c r="G114" s="116"/>
      <c r="H114" s="116"/>
      <c r="I114" s="116"/>
      <c r="J114" s="114"/>
      <c r="K114" s="114"/>
      <c r="L114" s="114"/>
      <c r="M114" s="114"/>
      <c r="N114" s="116"/>
      <c r="O114" s="116"/>
      <c r="P114" s="116"/>
      <c r="Q114" s="116"/>
      <c r="R114" s="116"/>
      <c r="S114" s="116"/>
      <c r="T114" s="116"/>
      <c r="U114" s="116"/>
      <c r="V114" s="116">
        <v>0</v>
      </c>
      <c r="W114" s="116">
        <v>0</v>
      </c>
      <c r="X114" s="116">
        <v>0</v>
      </c>
      <c r="Y114" s="116">
        <v>0</v>
      </c>
      <c r="Z114" s="116">
        <v>0</v>
      </c>
      <c r="AA114" s="116">
        <v>0</v>
      </c>
      <c r="AB114" s="116"/>
      <c r="AC114" s="116">
        <v>0</v>
      </c>
      <c r="AD114" s="116">
        <v>125</v>
      </c>
      <c r="AE114" s="116">
        <v>250</v>
      </c>
      <c r="AF114" s="116">
        <v>250</v>
      </c>
      <c r="AG114" s="116">
        <v>250</v>
      </c>
      <c r="AH114" s="116">
        <v>250</v>
      </c>
      <c r="AI114" s="116">
        <v>250</v>
      </c>
      <c r="AJ114" s="116">
        <v>600</v>
      </c>
      <c r="AK114" s="116">
        <v>480</v>
      </c>
      <c r="AL114" s="116">
        <v>480</v>
      </c>
      <c r="AM114" s="116">
        <v>480</v>
      </c>
      <c r="AN114" s="116">
        <v>480</v>
      </c>
      <c r="AO114" s="116">
        <v>480</v>
      </c>
      <c r="AP114" s="116">
        <v>480</v>
      </c>
      <c r="AQ114" s="116">
        <v>480</v>
      </c>
      <c r="AR114" s="116">
        <v>480</v>
      </c>
      <c r="AS114" s="116">
        <v>480</v>
      </c>
      <c r="AT114" s="116">
        <v>480</v>
      </c>
      <c r="AU114" s="116">
        <v>480</v>
      </c>
      <c r="AV114" s="116">
        <v>480</v>
      </c>
      <c r="AW114" s="252">
        <v>480</v>
      </c>
      <c r="AX114" s="116">
        <f t="shared" ref="AX114:CC114" si="378">+(AX116*AX9)/30.433</f>
        <v>173.39976949106654</v>
      </c>
      <c r="AY114" s="252">
        <f t="shared" si="378"/>
        <v>245.30413634146987</v>
      </c>
      <c r="AZ114" s="116">
        <f t="shared" si="378"/>
        <v>231.73132083467632</v>
      </c>
      <c r="BA114" s="116">
        <f t="shared" si="378"/>
        <v>271.72593099053785</v>
      </c>
      <c r="BB114" s="116">
        <f t="shared" si="378"/>
        <v>301.29485181517771</v>
      </c>
      <c r="BC114" s="116">
        <f t="shared" si="378"/>
        <v>362.48891874053623</v>
      </c>
      <c r="BD114" s="116">
        <f t="shared" si="378"/>
        <v>340.31526366843946</v>
      </c>
      <c r="BE114" s="116">
        <f t="shared" si="378"/>
        <v>345.53122384550483</v>
      </c>
      <c r="BF114" s="116">
        <f t="shared" si="378"/>
        <v>329.91563822850497</v>
      </c>
      <c r="BG114" s="116">
        <f t="shared" si="378"/>
        <v>351.53922518755201</v>
      </c>
      <c r="BH114" s="116">
        <f t="shared" si="378"/>
        <v>244.62922549016</v>
      </c>
      <c r="BI114" s="116">
        <f t="shared" si="378"/>
        <v>265.18223014845108</v>
      </c>
      <c r="BJ114" s="116">
        <f t="shared" si="378"/>
        <v>248.57041424384269</v>
      </c>
      <c r="BK114" s="252">
        <f t="shared" si="378"/>
        <v>317.36222639177663</v>
      </c>
      <c r="BL114" s="116">
        <f t="shared" si="378"/>
        <v>258.48065841929497</v>
      </c>
      <c r="BM114" s="116">
        <f t="shared" si="378"/>
        <v>310.862576274996</v>
      </c>
      <c r="BN114" s="116">
        <f t="shared" si="378"/>
        <v>354.36383139626014</v>
      </c>
      <c r="BO114" s="116">
        <f t="shared" si="378"/>
        <v>397.91397216290682</v>
      </c>
      <c r="BP114" s="116">
        <f t="shared" si="378"/>
        <v>375.37804841003617</v>
      </c>
      <c r="BQ114" s="116">
        <f t="shared" si="378"/>
        <v>378.75537998449568</v>
      </c>
      <c r="BR114" s="116">
        <f t="shared" si="378"/>
        <v>342.7759179795413</v>
      </c>
      <c r="BS114" s="116">
        <f t="shared" si="378"/>
        <v>400.50361726724663</v>
      </c>
      <c r="BT114" s="116">
        <f t="shared" si="378"/>
        <v>264.8875832260639</v>
      </c>
      <c r="BU114" s="116">
        <f t="shared" si="378"/>
        <v>277.3407829932022</v>
      </c>
      <c r="BV114" s="116">
        <f t="shared" si="378"/>
        <v>278.39886395310378</v>
      </c>
      <c r="BW114" s="252">
        <f t="shared" si="378"/>
        <v>343.80907859109135</v>
      </c>
      <c r="BX114" s="116">
        <f t="shared" si="378"/>
        <v>279.27149398780347</v>
      </c>
      <c r="BY114" s="116">
        <f t="shared" si="378"/>
        <v>352.11574350327038</v>
      </c>
      <c r="BZ114" s="116">
        <f t="shared" si="378"/>
        <v>382.00421024516834</v>
      </c>
      <c r="CA114" s="116">
        <f t="shared" si="378"/>
        <v>392.21263560523676</v>
      </c>
      <c r="CB114" s="116">
        <f t="shared" si="378"/>
        <v>444.13720054668232</v>
      </c>
      <c r="CC114" s="116">
        <f t="shared" si="378"/>
        <v>406.0656363307462</v>
      </c>
      <c r="CD114" s="116">
        <f t="shared" ref="CD114:DG114" si="379">+(CD116*CD9)/30.433</f>
        <v>351.18950869358463</v>
      </c>
      <c r="CE114" s="116">
        <f t="shared" si="379"/>
        <v>449.75049622432419</v>
      </c>
      <c r="CF114" s="116">
        <f t="shared" si="379"/>
        <v>269.51217016461806</v>
      </c>
      <c r="CG114" s="116">
        <f t="shared" si="379"/>
        <v>309.31201214380752</v>
      </c>
      <c r="CH114" s="116">
        <f t="shared" si="379"/>
        <v>297.53878584987973</v>
      </c>
      <c r="CI114" s="252">
        <f t="shared" si="379"/>
        <v>339.75006171006606</v>
      </c>
      <c r="CJ114" s="116">
        <f t="shared" si="379"/>
        <v>330.20904113064933</v>
      </c>
      <c r="CK114" s="116">
        <f t="shared" si="379"/>
        <v>361.50549666335746</v>
      </c>
      <c r="CL114" s="116">
        <f t="shared" si="379"/>
        <v>393.63042533958657</v>
      </c>
      <c r="CM114" s="116">
        <f t="shared" si="379"/>
        <v>446.06962330492428</v>
      </c>
      <c r="CN114" s="116">
        <f t="shared" si="379"/>
        <v>483.77748339921334</v>
      </c>
      <c r="CO114" s="116">
        <f t="shared" si="379"/>
        <v>423.77154423167207</v>
      </c>
      <c r="CP114" s="116">
        <f t="shared" si="379"/>
        <v>403.10447954394056</v>
      </c>
      <c r="CQ114" s="116">
        <f t="shared" si="379"/>
        <v>488.15615657606423</v>
      </c>
      <c r="CR114" s="116">
        <f t="shared" si="379"/>
        <v>277.55730957251717</v>
      </c>
      <c r="CS114" s="116">
        <f t="shared" si="379"/>
        <v>353.49393965675239</v>
      </c>
      <c r="CT114" s="116">
        <f t="shared" si="379"/>
        <v>323.3776804105272</v>
      </c>
      <c r="CU114" s="252">
        <f t="shared" si="379"/>
        <v>367.38644732678051</v>
      </c>
      <c r="CV114" s="116">
        <f t="shared" si="379"/>
        <v>360.96823948254547</v>
      </c>
      <c r="CW114" s="116">
        <f t="shared" si="379"/>
        <v>394.36963272366273</v>
      </c>
      <c r="CX114" s="116">
        <f t="shared" si="379"/>
        <v>409.50700348475618</v>
      </c>
      <c r="CY114" s="116">
        <f t="shared" si="379"/>
        <v>510.70420137563775</v>
      </c>
      <c r="CZ114" s="116">
        <f t="shared" si="379"/>
        <v>526.27145153563083</v>
      </c>
      <c r="DA114" s="116">
        <f t="shared" si="379"/>
        <v>436.35881782271184</v>
      </c>
      <c r="DB114" s="116">
        <f t="shared" si="379"/>
        <v>451.7175055571231</v>
      </c>
      <c r="DC114" s="116">
        <f t="shared" si="379"/>
        <v>500.93680453178922</v>
      </c>
      <c r="DD114" s="116">
        <f t="shared" si="379"/>
        <v>310.44181690230459</v>
      </c>
      <c r="DE114" s="116">
        <f t="shared" si="379"/>
        <v>380.93623234063176</v>
      </c>
      <c r="DF114" s="116">
        <f t="shared" si="379"/>
        <v>329.60606408561438</v>
      </c>
      <c r="DG114" s="116">
        <f t="shared" si="379"/>
        <v>415.83886284379071</v>
      </c>
    </row>
    <row r="115" spans="1:111" x14ac:dyDescent="0.25">
      <c r="A115" s="5"/>
      <c r="B115" s="6" t="s">
        <v>17</v>
      </c>
      <c r="C115" s="6"/>
      <c r="D115" s="55">
        <f>D114</f>
        <v>0</v>
      </c>
      <c r="E115" s="55">
        <f t="shared" ref="E115:M115" si="380">E114</f>
        <v>0</v>
      </c>
      <c r="F115" s="55">
        <f t="shared" si="380"/>
        <v>0</v>
      </c>
      <c r="G115" s="55">
        <f t="shared" si="380"/>
        <v>0</v>
      </c>
      <c r="H115" s="55">
        <f t="shared" si="380"/>
        <v>0</v>
      </c>
      <c r="I115" s="55">
        <f t="shared" si="380"/>
        <v>0</v>
      </c>
      <c r="J115" s="55">
        <f t="shared" si="380"/>
        <v>0</v>
      </c>
      <c r="K115" s="55">
        <f t="shared" si="380"/>
        <v>0</v>
      </c>
      <c r="L115" s="55">
        <f t="shared" si="380"/>
        <v>0</v>
      </c>
      <c r="M115" s="55">
        <f t="shared" si="380"/>
        <v>0</v>
      </c>
      <c r="N115" s="55">
        <f>N114</f>
        <v>0</v>
      </c>
      <c r="O115" s="55">
        <f>O114</f>
        <v>0</v>
      </c>
      <c r="P115" s="55">
        <f t="shared" ref="P115:BZ115" si="381">P114</f>
        <v>0</v>
      </c>
      <c r="Q115" s="55">
        <f t="shared" ref="Q115:W115" si="382">Q114</f>
        <v>0</v>
      </c>
      <c r="R115" s="55">
        <f t="shared" si="382"/>
        <v>0</v>
      </c>
      <c r="S115" s="55">
        <f t="shared" si="382"/>
        <v>0</v>
      </c>
      <c r="T115" s="55">
        <f t="shared" si="382"/>
        <v>0</v>
      </c>
      <c r="U115" s="55">
        <f t="shared" si="382"/>
        <v>0</v>
      </c>
      <c r="V115" s="55">
        <f t="shared" si="382"/>
        <v>0</v>
      </c>
      <c r="W115" s="55">
        <f t="shared" si="382"/>
        <v>0</v>
      </c>
      <c r="X115" s="55">
        <f t="shared" ref="X115:AE115" si="383">X114</f>
        <v>0</v>
      </c>
      <c r="Y115" s="55">
        <f t="shared" si="383"/>
        <v>0</v>
      </c>
      <c r="Z115" s="55">
        <f t="shared" si="383"/>
        <v>0</v>
      </c>
      <c r="AA115" s="55">
        <f t="shared" si="383"/>
        <v>0</v>
      </c>
      <c r="AB115" s="55">
        <f t="shared" si="383"/>
        <v>0</v>
      </c>
      <c r="AC115" s="55">
        <f t="shared" si="383"/>
        <v>0</v>
      </c>
      <c r="AD115" s="55">
        <f t="shared" si="383"/>
        <v>125</v>
      </c>
      <c r="AE115" s="55">
        <f t="shared" si="383"/>
        <v>250</v>
      </c>
      <c r="AF115" s="55">
        <f t="shared" ref="AF115:AT115" si="384">AF114</f>
        <v>250</v>
      </c>
      <c r="AG115" s="55">
        <f t="shared" si="384"/>
        <v>250</v>
      </c>
      <c r="AH115" s="55">
        <f t="shared" si="384"/>
        <v>250</v>
      </c>
      <c r="AI115" s="55">
        <f t="shared" si="384"/>
        <v>250</v>
      </c>
      <c r="AJ115" s="55">
        <f t="shared" si="384"/>
        <v>600</v>
      </c>
      <c r="AK115" s="55">
        <f t="shared" si="384"/>
        <v>480</v>
      </c>
      <c r="AL115" s="55">
        <f t="shared" si="384"/>
        <v>480</v>
      </c>
      <c r="AM115" s="55">
        <f t="shared" si="384"/>
        <v>480</v>
      </c>
      <c r="AN115" s="55">
        <f t="shared" si="384"/>
        <v>480</v>
      </c>
      <c r="AO115" s="55">
        <f t="shared" si="384"/>
        <v>480</v>
      </c>
      <c r="AP115" s="55">
        <f t="shared" si="384"/>
        <v>480</v>
      </c>
      <c r="AQ115" s="55">
        <f t="shared" si="384"/>
        <v>480</v>
      </c>
      <c r="AR115" s="55">
        <f t="shared" si="384"/>
        <v>480</v>
      </c>
      <c r="AS115" s="55">
        <f t="shared" si="384"/>
        <v>480</v>
      </c>
      <c r="AT115" s="55">
        <f t="shared" si="384"/>
        <v>480</v>
      </c>
      <c r="AU115" s="55">
        <f t="shared" ref="AU115:AV115" si="385">AU114</f>
        <v>480</v>
      </c>
      <c r="AV115" s="55">
        <f t="shared" si="385"/>
        <v>480</v>
      </c>
      <c r="AW115" s="257">
        <f t="shared" ref="AW115" si="386">AW114</f>
        <v>480</v>
      </c>
      <c r="AX115" s="55">
        <f t="shared" ref="AX115" si="387">AX114</f>
        <v>173.39976949106654</v>
      </c>
      <c r="AY115" s="257">
        <f t="shared" si="381"/>
        <v>245.30413634146987</v>
      </c>
      <c r="AZ115" s="55">
        <f t="shared" si="381"/>
        <v>231.73132083467632</v>
      </c>
      <c r="BA115" s="55">
        <f t="shared" si="381"/>
        <v>271.72593099053785</v>
      </c>
      <c r="BB115" s="55">
        <f t="shared" si="381"/>
        <v>301.29485181517771</v>
      </c>
      <c r="BC115" s="55">
        <f t="shared" si="381"/>
        <v>362.48891874053623</v>
      </c>
      <c r="BD115" s="55">
        <f t="shared" si="381"/>
        <v>340.31526366843946</v>
      </c>
      <c r="BE115" s="55">
        <f t="shared" si="381"/>
        <v>345.53122384550483</v>
      </c>
      <c r="BF115" s="55">
        <f t="shared" si="381"/>
        <v>329.91563822850497</v>
      </c>
      <c r="BG115" s="55">
        <f t="shared" si="381"/>
        <v>351.53922518755201</v>
      </c>
      <c r="BH115" s="55">
        <f t="shared" si="381"/>
        <v>244.62922549016</v>
      </c>
      <c r="BI115" s="55">
        <f t="shared" si="381"/>
        <v>265.18223014845108</v>
      </c>
      <c r="BJ115" s="55">
        <f t="shared" si="381"/>
        <v>248.57041424384269</v>
      </c>
      <c r="BK115" s="257">
        <f t="shared" si="381"/>
        <v>317.36222639177663</v>
      </c>
      <c r="BL115" s="55">
        <f t="shared" si="381"/>
        <v>258.48065841929497</v>
      </c>
      <c r="BM115" s="55">
        <f t="shared" si="381"/>
        <v>310.862576274996</v>
      </c>
      <c r="BN115" s="55">
        <f t="shared" si="381"/>
        <v>354.36383139626014</v>
      </c>
      <c r="BO115" s="55">
        <f t="shared" si="381"/>
        <v>397.91397216290682</v>
      </c>
      <c r="BP115" s="55">
        <f t="shared" si="381"/>
        <v>375.37804841003617</v>
      </c>
      <c r="BQ115" s="55">
        <f t="shared" si="381"/>
        <v>378.75537998449568</v>
      </c>
      <c r="BR115" s="55">
        <f t="shared" si="381"/>
        <v>342.7759179795413</v>
      </c>
      <c r="BS115" s="55">
        <f t="shared" si="381"/>
        <v>400.50361726724663</v>
      </c>
      <c r="BT115" s="55">
        <f t="shared" si="381"/>
        <v>264.8875832260639</v>
      </c>
      <c r="BU115" s="55">
        <f t="shared" si="381"/>
        <v>277.3407829932022</v>
      </c>
      <c r="BV115" s="55">
        <f t="shared" si="381"/>
        <v>278.39886395310378</v>
      </c>
      <c r="BW115" s="257">
        <f t="shared" si="381"/>
        <v>343.80907859109135</v>
      </c>
      <c r="BX115" s="55">
        <f t="shared" si="381"/>
        <v>279.27149398780347</v>
      </c>
      <c r="BY115" s="55">
        <f t="shared" si="381"/>
        <v>352.11574350327038</v>
      </c>
      <c r="BZ115" s="55">
        <f t="shared" si="381"/>
        <v>382.00421024516834</v>
      </c>
      <c r="CA115" s="55">
        <f t="shared" ref="CA115:DG115" si="388">CA114</f>
        <v>392.21263560523676</v>
      </c>
      <c r="CB115" s="55">
        <f t="shared" si="388"/>
        <v>444.13720054668232</v>
      </c>
      <c r="CC115" s="55">
        <f t="shared" si="388"/>
        <v>406.0656363307462</v>
      </c>
      <c r="CD115" s="55">
        <f t="shared" si="388"/>
        <v>351.18950869358463</v>
      </c>
      <c r="CE115" s="55">
        <f t="shared" si="388"/>
        <v>449.75049622432419</v>
      </c>
      <c r="CF115" s="55">
        <f t="shared" si="388"/>
        <v>269.51217016461806</v>
      </c>
      <c r="CG115" s="55">
        <f t="shared" si="388"/>
        <v>309.31201214380752</v>
      </c>
      <c r="CH115" s="55">
        <f t="shared" si="388"/>
        <v>297.53878584987973</v>
      </c>
      <c r="CI115" s="257">
        <f t="shared" si="388"/>
        <v>339.75006171006606</v>
      </c>
      <c r="CJ115" s="55">
        <f t="shared" si="388"/>
        <v>330.20904113064933</v>
      </c>
      <c r="CK115" s="55">
        <f t="shared" si="388"/>
        <v>361.50549666335746</v>
      </c>
      <c r="CL115" s="55">
        <f t="shared" si="388"/>
        <v>393.63042533958657</v>
      </c>
      <c r="CM115" s="55">
        <f t="shared" si="388"/>
        <v>446.06962330492428</v>
      </c>
      <c r="CN115" s="55">
        <f t="shared" si="388"/>
        <v>483.77748339921334</v>
      </c>
      <c r="CO115" s="55">
        <f t="shared" si="388"/>
        <v>423.77154423167207</v>
      </c>
      <c r="CP115" s="55">
        <f t="shared" si="388"/>
        <v>403.10447954394056</v>
      </c>
      <c r="CQ115" s="55">
        <f t="shared" si="388"/>
        <v>488.15615657606423</v>
      </c>
      <c r="CR115" s="55">
        <f t="shared" si="388"/>
        <v>277.55730957251717</v>
      </c>
      <c r="CS115" s="55">
        <f t="shared" si="388"/>
        <v>353.49393965675239</v>
      </c>
      <c r="CT115" s="55">
        <f t="shared" si="388"/>
        <v>323.3776804105272</v>
      </c>
      <c r="CU115" s="257">
        <f t="shared" si="388"/>
        <v>367.38644732678051</v>
      </c>
      <c r="CV115" s="55">
        <f t="shared" si="388"/>
        <v>360.96823948254547</v>
      </c>
      <c r="CW115" s="55">
        <f t="shared" si="388"/>
        <v>394.36963272366273</v>
      </c>
      <c r="CX115" s="55">
        <f t="shared" si="388"/>
        <v>409.50700348475618</v>
      </c>
      <c r="CY115" s="55">
        <f t="shared" si="388"/>
        <v>510.70420137563775</v>
      </c>
      <c r="CZ115" s="55">
        <f t="shared" si="388"/>
        <v>526.27145153563083</v>
      </c>
      <c r="DA115" s="55">
        <f t="shared" si="388"/>
        <v>436.35881782271184</v>
      </c>
      <c r="DB115" s="55">
        <f t="shared" si="388"/>
        <v>451.7175055571231</v>
      </c>
      <c r="DC115" s="55">
        <f t="shared" si="388"/>
        <v>500.93680453178922</v>
      </c>
      <c r="DD115" s="55">
        <f t="shared" si="388"/>
        <v>310.44181690230459</v>
      </c>
      <c r="DE115" s="55">
        <f t="shared" si="388"/>
        <v>380.93623234063176</v>
      </c>
      <c r="DF115" s="55">
        <f t="shared" si="388"/>
        <v>329.60606408561438</v>
      </c>
      <c r="DG115" s="55">
        <f t="shared" si="388"/>
        <v>415.83886284379071</v>
      </c>
    </row>
    <row r="116" spans="1:111" x14ac:dyDescent="0.25">
      <c r="A116" s="65"/>
      <c r="B116" s="62"/>
      <c r="C116" s="63" t="s">
        <v>146</v>
      </c>
      <c r="D116" s="64">
        <v>0</v>
      </c>
      <c r="E116" s="64">
        <f t="shared" ref="E116:AW116" si="389">IFERROR(AVERAGE(D114:E114)/(E13/30.4333), 0)</f>
        <v>0</v>
      </c>
      <c r="F116" s="64">
        <f t="shared" si="389"/>
        <v>0</v>
      </c>
      <c r="G116" s="64">
        <f t="shared" si="389"/>
        <v>0</v>
      </c>
      <c r="H116" s="64">
        <f t="shared" si="389"/>
        <v>0</v>
      </c>
      <c r="I116" s="64">
        <f t="shared" si="389"/>
        <v>0</v>
      </c>
      <c r="J116" s="64">
        <f t="shared" si="389"/>
        <v>0</v>
      </c>
      <c r="K116" s="64">
        <f t="shared" si="389"/>
        <v>0</v>
      </c>
      <c r="L116" s="64">
        <f t="shared" si="389"/>
        <v>0</v>
      </c>
      <c r="M116" s="64">
        <f t="shared" si="389"/>
        <v>0</v>
      </c>
      <c r="N116" s="64">
        <f t="shared" si="389"/>
        <v>0</v>
      </c>
      <c r="O116" s="64">
        <f t="shared" si="389"/>
        <v>0</v>
      </c>
      <c r="P116" s="64">
        <f t="shared" si="389"/>
        <v>0</v>
      </c>
      <c r="Q116" s="64">
        <f t="shared" si="389"/>
        <v>0</v>
      </c>
      <c r="R116" s="64">
        <f t="shared" si="389"/>
        <v>0</v>
      </c>
      <c r="S116" s="64">
        <f t="shared" si="389"/>
        <v>0</v>
      </c>
      <c r="T116" s="64">
        <f t="shared" si="389"/>
        <v>0</v>
      </c>
      <c r="U116" s="64">
        <f t="shared" si="389"/>
        <v>0</v>
      </c>
      <c r="V116" s="64">
        <f t="shared" si="389"/>
        <v>0</v>
      </c>
      <c r="W116" s="64">
        <f t="shared" si="389"/>
        <v>0</v>
      </c>
      <c r="X116" s="64">
        <f t="shared" si="389"/>
        <v>0</v>
      </c>
      <c r="Y116" s="64">
        <f t="shared" si="389"/>
        <v>0</v>
      </c>
      <c r="Z116" s="64">
        <f t="shared" si="389"/>
        <v>0</v>
      </c>
      <c r="AA116" s="64">
        <f t="shared" si="389"/>
        <v>0</v>
      </c>
      <c r="AB116" s="64">
        <f t="shared" si="389"/>
        <v>0</v>
      </c>
      <c r="AC116" s="64">
        <f t="shared" si="389"/>
        <v>0</v>
      </c>
      <c r="AD116" s="64">
        <f t="shared" si="389"/>
        <v>0.24898795693294498</v>
      </c>
      <c r="AE116" s="64">
        <f t="shared" si="389"/>
        <v>0.72997873225022381</v>
      </c>
      <c r="AF116" s="64">
        <f t="shared" si="389"/>
        <v>0.94536841451292242</v>
      </c>
      <c r="AG116" s="64">
        <f t="shared" si="389"/>
        <v>1.063506429969248</v>
      </c>
      <c r="AH116" s="64">
        <f t="shared" si="389"/>
        <v>1.2647868007646912</v>
      </c>
      <c r="AI116" s="64">
        <f t="shared" si="389"/>
        <v>1.0429506511309117</v>
      </c>
      <c r="AJ116" s="64">
        <f t="shared" si="389"/>
        <v>2.850187858087263</v>
      </c>
      <c r="AK116" s="64">
        <f t="shared" si="389"/>
        <v>2.1351152397037807</v>
      </c>
      <c r="AL116" s="64">
        <f t="shared" si="389"/>
        <v>2.9578302201974185</v>
      </c>
      <c r="AM116" s="64">
        <f t="shared" si="389"/>
        <v>2.3745097529258774</v>
      </c>
      <c r="AN116" s="64">
        <f t="shared" si="389"/>
        <v>2.1734675385542439</v>
      </c>
      <c r="AO116" s="64">
        <f t="shared" si="389"/>
        <v>2.2469880667083002</v>
      </c>
      <c r="AP116" s="64">
        <f t="shared" si="389"/>
        <v>2.0550023211648027</v>
      </c>
      <c r="AQ116" s="64">
        <f t="shared" si="389"/>
        <v>1.8581084364168281</v>
      </c>
      <c r="AR116" s="64">
        <f t="shared" si="389"/>
        <v>1.854365150895829</v>
      </c>
      <c r="AS116" s="64">
        <f t="shared" si="389"/>
        <v>2.1209568127536316</v>
      </c>
      <c r="AT116" s="64">
        <f t="shared" si="389"/>
        <v>1.9691157975615179</v>
      </c>
      <c r="AU116" s="64">
        <f t="shared" si="389"/>
        <v>1.9087045542148209</v>
      </c>
      <c r="AV116" s="64">
        <f t="shared" si="389"/>
        <v>2.3674098323461013</v>
      </c>
      <c r="AW116" s="259">
        <f t="shared" si="389"/>
        <v>2.0873767013181865</v>
      </c>
      <c r="AX116" s="631">
        <v>1</v>
      </c>
      <c r="AY116" s="259">
        <f t="shared" ref="AY116:CA116" si="390">AX116</f>
        <v>1</v>
      </c>
      <c r="AZ116" s="64">
        <f t="shared" si="390"/>
        <v>1</v>
      </c>
      <c r="BA116" s="64">
        <f t="shared" si="390"/>
        <v>1</v>
      </c>
      <c r="BB116" s="64">
        <f t="shared" si="390"/>
        <v>1</v>
      </c>
      <c r="BC116" s="64">
        <f t="shared" si="390"/>
        <v>1</v>
      </c>
      <c r="BD116" s="64">
        <f t="shared" si="390"/>
        <v>1</v>
      </c>
      <c r="BE116" s="64">
        <f t="shared" si="390"/>
        <v>1</v>
      </c>
      <c r="BF116" s="64">
        <f t="shared" si="390"/>
        <v>1</v>
      </c>
      <c r="BG116" s="64">
        <f t="shared" si="390"/>
        <v>1</v>
      </c>
      <c r="BH116" s="64">
        <f t="shared" si="390"/>
        <v>1</v>
      </c>
      <c r="BI116" s="64">
        <f t="shared" si="390"/>
        <v>1</v>
      </c>
      <c r="BJ116" s="64">
        <f t="shared" si="390"/>
        <v>1</v>
      </c>
      <c r="BK116" s="259">
        <f t="shared" si="390"/>
        <v>1</v>
      </c>
      <c r="BL116" s="64">
        <f t="shared" si="390"/>
        <v>1</v>
      </c>
      <c r="BM116" s="64">
        <f t="shared" si="390"/>
        <v>1</v>
      </c>
      <c r="BN116" s="64">
        <f t="shared" si="390"/>
        <v>1</v>
      </c>
      <c r="BO116" s="64">
        <f t="shared" si="390"/>
        <v>1</v>
      </c>
      <c r="BP116" s="64">
        <f t="shared" si="390"/>
        <v>1</v>
      </c>
      <c r="BQ116" s="64">
        <f t="shared" si="390"/>
        <v>1</v>
      </c>
      <c r="BR116" s="64">
        <f t="shared" si="390"/>
        <v>1</v>
      </c>
      <c r="BS116" s="64">
        <f t="shared" si="390"/>
        <v>1</v>
      </c>
      <c r="BT116" s="64">
        <f t="shared" si="390"/>
        <v>1</v>
      </c>
      <c r="BU116" s="64">
        <f t="shared" si="390"/>
        <v>1</v>
      </c>
      <c r="BV116" s="64">
        <f t="shared" si="390"/>
        <v>1</v>
      </c>
      <c r="BW116" s="259">
        <f t="shared" si="390"/>
        <v>1</v>
      </c>
      <c r="BX116" s="64">
        <f t="shared" si="390"/>
        <v>1</v>
      </c>
      <c r="BY116" s="64">
        <f t="shared" si="390"/>
        <v>1</v>
      </c>
      <c r="BZ116" s="64">
        <f t="shared" si="390"/>
        <v>1</v>
      </c>
      <c r="CA116" s="64">
        <f t="shared" si="390"/>
        <v>1</v>
      </c>
      <c r="CB116" s="64">
        <f t="shared" ref="CB116:DG116" si="391">CA116</f>
        <v>1</v>
      </c>
      <c r="CC116" s="64">
        <f t="shared" si="391"/>
        <v>1</v>
      </c>
      <c r="CD116" s="64">
        <f t="shared" si="391"/>
        <v>1</v>
      </c>
      <c r="CE116" s="64">
        <f t="shared" si="391"/>
        <v>1</v>
      </c>
      <c r="CF116" s="64">
        <f t="shared" si="391"/>
        <v>1</v>
      </c>
      <c r="CG116" s="64">
        <f t="shared" si="391"/>
        <v>1</v>
      </c>
      <c r="CH116" s="64">
        <f t="shared" si="391"/>
        <v>1</v>
      </c>
      <c r="CI116" s="259">
        <f t="shared" si="391"/>
        <v>1</v>
      </c>
      <c r="CJ116" s="64">
        <f t="shared" si="391"/>
        <v>1</v>
      </c>
      <c r="CK116" s="64">
        <f t="shared" si="391"/>
        <v>1</v>
      </c>
      <c r="CL116" s="64">
        <f t="shared" si="391"/>
        <v>1</v>
      </c>
      <c r="CM116" s="64">
        <f t="shared" si="391"/>
        <v>1</v>
      </c>
      <c r="CN116" s="64">
        <f t="shared" si="391"/>
        <v>1</v>
      </c>
      <c r="CO116" s="64">
        <f t="shared" si="391"/>
        <v>1</v>
      </c>
      <c r="CP116" s="64">
        <f t="shared" si="391"/>
        <v>1</v>
      </c>
      <c r="CQ116" s="64">
        <f t="shared" si="391"/>
        <v>1</v>
      </c>
      <c r="CR116" s="64">
        <f t="shared" si="391"/>
        <v>1</v>
      </c>
      <c r="CS116" s="64">
        <f t="shared" si="391"/>
        <v>1</v>
      </c>
      <c r="CT116" s="64">
        <f t="shared" si="391"/>
        <v>1</v>
      </c>
      <c r="CU116" s="259">
        <f t="shared" si="391"/>
        <v>1</v>
      </c>
      <c r="CV116" s="64">
        <f t="shared" si="391"/>
        <v>1</v>
      </c>
      <c r="CW116" s="64">
        <f t="shared" si="391"/>
        <v>1</v>
      </c>
      <c r="CX116" s="64">
        <f t="shared" si="391"/>
        <v>1</v>
      </c>
      <c r="CY116" s="64">
        <f t="shared" si="391"/>
        <v>1</v>
      </c>
      <c r="CZ116" s="64">
        <f t="shared" si="391"/>
        <v>1</v>
      </c>
      <c r="DA116" s="64">
        <f t="shared" si="391"/>
        <v>1</v>
      </c>
      <c r="DB116" s="64">
        <f t="shared" si="391"/>
        <v>1</v>
      </c>
      <c r="DC116" s="64">
        <f t="shared" si="391"/>
        <v>1</v>
      </c>
      <c r="DD116" s="64">
        <f t="shared" si="391"/>
        <v>1</v>
      </c>
      <c r="DE116" s="64">
        <f t="shared" si="391"/>
        <v>1</v>
      </c>
      <c r="DF116" s="64">
        <f t="shared" si="391"/>
        <v>1</v>
      </c>
      <c r="DG116" s="64">
        <f t="shared" si="391"/>
        <v>1</v>
      </c>
    </row>
    <row r="117" spans="1:111" x14ac:dyDescent="0.25">
      <c r="B117" s="1" t="s">
        <v>203</v>
      </c>
      <c r="C117" s="1"/>
      <c r="D117" s="58"/>
      <c r="E117" s="58"/>
      <c r="F117" s="58"/>
      <c r="G117" s="58"/>
      <c r="H117" s="58"/>
      <c r="I117" s="58"/>
      <c r="J117" s="58"/>
      <c r="K117" s="58"/>
      <c r="L117" s="58"/>
      <c r="M117" s="58" t="s">
        <v>145</v>
      </c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95"/>
      <c r="AX117" s="52"/>
      <c r="AY117" s="251"/>
      <c r="BK117" s="251"/>
      <c r="BW117" s="251"/>
      <c r="CI117" s="251"/>
      <c r="CU117" s="251"/>
    </row>
    <row r="118" spans="1:111" x14ac:dyDescent="0.25">
      <c r="B118" s="1" t="s">
        <v>237</v>
      </c>
      <c r="C118" s="1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O118" s="52"/>
      <c r="P118" s="116">
        <v>0</v>
      </c>
      <c r="Q118" s="116">
        <v>0</v>
      </c>
      <c r="R118" s="116"/>
      <c r="S118" s="116">
        <v>0</v>
      </c>
      <c r="T118" s="116">
        <v>0</v>
      </c>
      <c r="U118" s="116">
        <v>0</v>
      </c>
      <c r="V118" s="116">
        <v>0</v>
      </c>
      <c r="W118" s="116">
        <v>0</v>
      </c>
      <c r="X118" s="116">
        <v>0</v>
      </c>
      <c r="Y118" s="116">
        <v>0</v>
      </c>
      <c r="Z118" s="116">
        <v>0</v>
      </c>
      <c r="AA118" s="116">
        <v>0</v>
      </c>
      <c r="AB118" s="116">
        <v>0</v>
      </c>
      <c r="AC118" s="116">
        <v>0</v>
      </c>
      <c r="AD118" s="116">
        <v>0</v>
      </c>
      <c r="AE118" s="116">
        <v>0</v>
      </c>
      <c r="AF118" s="116">
        <v>0</v>
      </c>
      <c r="AG118" s="116">
        <v>0</v>
      </c>
      <c r="AH118" s="116">
        <v>0</v>
      </c>
      <c r="AI118" s="116">
        <v>0</v>
      </c>
      <c r="AJ118" s="116">
        <v>0</v>
      </c>
      <c r="AK118" s="116">
        <v>0</v>
      </c>
      <c r="AL118" s="116">
        <v>0</v>
      </c>
      <c r="AM118" s="116">
        <v>0</v>
      </c>
      <c r="AN118" s="116">
        <v>0</v>
      </c>
      <c r="AO118" s="116">
        <v>0</v>
      </c>
      <c r="AP118" s="116">
        <v>0</v>
      </c>
      <c r="AQ118" s="116">
        <v>0</v>
      </c>
      <c r="AR118" s="116">
        <v>0</v>
      </c>
      <c r="AS118" s="116">
        <v>0</v>
      </c>
      <c r="AT118" s="116">
        <v>0</v>
      </c>
      <c r="AU118" s="116">
        <v>0</v>
      </c>
      <c r="AV118" s="116">
        <v>0</v>
      </c>
      <c r="AW118" s="252">
        <v>0</v>
      </c>
      <c r="AX118" s="632">
        <f t="shared" ref="AX118:AX123" si="392">AW118</f>
        <v>0</v>
      </c>
      <c r="AY118" s="252">
        <f t="shared" ref="AY118:CI118" si="393">AX118</f>
        <v>0</v>
      </c>
      <c r="AZ118" s="116">
        <f t="shared" si="393"/>
        <v>0</v>
      </c>
      <c r="BA118" s="116">
        <f t="shared" si="393"/>
        <v>0</v>
      </c>
      <c r="BB118" s="116">
        <f t="shared" si="393"/>
        <v>0</v>
      </c>
      <c r="BC118" s="116">
        <f t="shared" si="393"/>
        <v>0</v>
      </c>
      <c r="BD118" s="116">
        <f t="shared" si="393"/>
        <v>0</v>
      </c>
      <c r="BE118" s="116">
        <f t="shared" si="393"/>
        <v>0</v>
      </c>
      <c r="BF118" s="116">
        <f t="shared" si="393"/>
        <v>0</v>
      </c>
      <c r="BG118" s="116">
        <f t="shared" si="393"/>
        <v>0</v>
      </c>
      <c r="BH118" s="116">
        <f t="shared" si="393"/>
        <v>0</v>
      </c>
      <c r="BI118" s="116">
        <f t="shared" si="393"/>
        <v>0</v>
      </c>
      <c r="BJ118" s="116">
        <f t="shared" si="393"/>
        <v>0</v>
      </c>
      <c r="BK118" s="252">
        <f t="shared" si="393"/>
        <v>0</v>
      </c>
      <c r="BL118" s="116">
        <f t="shared" si="393"/>
        <v>0</v>
      </c>
      <c r="BM118" s="116">
        <f t="shared" si="393"/>
        <v>0</v>
      </c>
      <c r="BN118" s="116">
        <f t="shared" si="393"/>
        <v>0</v>
      </c>
      <c r="BO118" s="116">
        <f t="shared" si="393"/>
        <v>0</v>
      </c>
      <c r="BP118" s="116">
        <f t="shared" si="393"/>
        <v>0</v>
      </c>
      <c r="BQ118" s="116">
        <f t="shared" si="393"/>
        <v>0</v>
      </c>
      <c r="BR118" s="116">
        <f t="shared" si="393"/>
        <v>0</v>
      </c>
      <c r="BS118" s="116">
        <f t="shared" si="393"/>
        <v>0</v>
      </c>
      <c r="BT118" s="116">
        <f t="shared" si="393"/>
        <v>0</v>
      </c>
      <c r="BU118" s="116">
        <f t="shared" si="393"/>
        <v>0</v>
      </c>
      <c r="BV118" s="116">
        <f t="shared" si="393"/>
        <v>0</v>
      </c>
      <c r="BW118" s="252">
        <f t="shared" si="393"/>
        <v>0</v>
      </c>
      <c r="BX118" s="116">
        <f t="shared" si="393"/>
        <v>0</v>
      </c>
      <c r="BY118" s="116">
        <f t="shared" si="393"/>
        <v>0</v>
      </c>
      <c r="BZ118" s="116">
        <f t="shared" si="393"/>
        <v>0</v>
      </c>
      <c r="CA118" s="116">
        <f t="shared" si="393"/>
        <v>0</v>
      </c>
      <c r="CB118" s="116">
        <f t="shared" si="393"/>
        <v>0</v>
      </c>
      <c r="CC118" s="116">
        <f t="shared" si="393"/>
        <v>0</v>
      </c>
      <c r="CD118" s="116">
        <f t="shared" si="393"/>
        <v>0</v>
      </c>
      <c r="CE118" s="116">
        <f t="shared" si="393"/>
        <v>0</v>
      </c>
      <c r="CF118" s="116">
        <f t="shared" si="393"/>
        <v>0</v>
      </c>
      <c r="CG118" s="116">
        <f t="shared" si="393"/>
        <v>0</v>
      </c>
      <c r="CH118" s="116">
        <f t="shared" si="393"/>
        <v>0</v>
      </c>
      <c r="CI118" s="252">
        <f t="shared" si="393"/>
        <v>0</v>
      </c>
      <c r="CJ118" s="116">
        <f t="shared" ref="CJ118:DG118" si="394">CI118</f>
        <v>0</v>
      </c>
      <c r="CK118" s="116">
        <f t="shared" si="394"/>
        <v>0</v>
      </c>
      <c r="CL118" s="116">
        <f t="shared" si="394"/>
        <v>0</v>
      </c>
      <c r="CM118" s="116">
        <f t="shared" si="394"/>
        <v>0</v>
      </c>
      <c r="CN118" s="116">
        <f t="shared" si="394"/>
        <v>0</v>
      </c>
      <c r="CO118" s="116">
        <f t="shared" si="394"/>
        <v>0</v>
      </c>
      <c r="CP118" s="116">
        <f t="shared" si="394"/>
        <v>0</v>
      </c>
      <c r="CQ118" s="116">
        <f t="shared" si="394"/>
        <v>0</v>
      </c>
      <c r="CR118" s="116">
        <f t="shared" si="394"/>
        <v>0</v>
      </c>
      <c r="CS118" s="116">
        <f t="shared" si="394"/>
        <v>0</v>
      </c>
      <c r="CT118" s="116">
        <f t="shared" si="394"/>
        <v>0</v>
      </c>
      <c r="CU118" s="252">
        <f t="shared" si="394"/>
        <v>0</v>
      </c>
      <c r="CV118" s="116">
        <f t="shared" si="394"/>
        <v>0</v>
      </c>
      <c r="CW118" s="116">
        <f t="shared" si="394"/>
        <v>0</v>
      </c>
      <c r="CX118" s="116">
        <f t="shared" si="394"/>
        <v>0</v>
      </c>
      <c r="CY118" s="116">
        <f t="shared" si="394"/>
        <v>0</v>
      </c>
      <c r="CZ118" s="116">
        <f t="shared" si="394"/>
        <v>0</v>
      </c>
      <c r="DA118" s="116">
        <f t="shared" si="394"/>
        <v>0</v>
      </c>
      <c r="DB118" s="116">
        <f t="shared" si="394"/>
        <v>0</v>
      </c>
      <c r="DC118" s="116">
        <f t="shared" si="394"/>
        <v>0</v>
      </c>
      <c r="DD118" s="116">
        <f t="shared" si="394"/>
        <v>0</v>
      </c>
      <c r="DE118" s="116">
        <f t="shared" si="394"/>
        <v>0</v>
      </c>
      <c r="DF118" s="116">
        <f t="shared" si="394"/>
        <v>0</v>
      </c>
      <c r="DG118" s="116">
        <f t="shared" si="394"/>
        <v>0</v>
      </c>
    </row>
    <row r="119" spans="1:111" x14ac:dyDescent="0.25">
      <c r="B119" s="1" t="s">
        <v>329</v>
      </c>
      <c r="C119" s="1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O119" s="52"/>
      <c r="P119" s="116"/>
      <c r="Q119" s="116"/>
      <c r="R119" s="116"/>
      <c r="S119" s="116"/>
      <c r="T119" s="116"/>
      <c r="U119" s="116"/>
      <c r="V119" s="116"/>
      <c r="W119" s="116">
        <v>0</v>
      </c>
      <c r="X119" s="116">
        <v>0</v>
      </c>
      <c r="Y119" s="116">
        <v>0</v>
      </c>
      <c r="Z119" s="116">
        <v>0</v>
      </c>
      <c r="AA119" s="116">
        <v>0</v>
      </c>
      <c r="AB119" s="116">
        <v>-46.73</v>
      </c>
      <c r="AC119" s="116">
        <v>-48.27</v>
      </c>
      <c r="AD119" s="116">
        <v>-50.63</v>
      </c>
      <c r="AE119" s="116">
        <v>37.75</v>
      </c>
      <c r="AF119" s="116">
        <v>22.17</v>
      </c>
      <c r="AG119" s="116">
        <v>90.96</v>
      </c>
      <c r="AH119" s="116">
        <v>88.15</v>
      </c>
      <c r="AI119" s="116">
        <v>131.29</v>
      </c>
      <c r="AJ119" s="116">
        <v>130.43</v>
      </c>
      <c r="AK119" s="116">
        <v>-28.63</v>
      </c>
      <c r="AL119" s="116">
        <v>-293</v>
      </c>
      <c r="AM119" s="116">
        <v>14.56</v>
      </c>
      <c r="AN119" s="116">
        <v>123.94</v>
      </c>
      <c r="AO119" s="116">
        <v>5.71</v>
      </c>
      <c r="AP119" s="116">
        <v>11.65</v>
      </c>
      <c r="AQ119" s="116">
        <v>2.88</v>
      </c>
      <c r="AR119" s="116">
        <v>2.88</v>
      </c>
      <c r="AS119" s="116">
        <v>2.88</v>
      </c>
      <c r="AT119" s="116">
        <v>0</v>
      </c>
      <c r="AU119" s="116">
        <v>0</v>
      </c>
      <c r="AV119" s="116">
        <v>0</v>
      </c>
      <c r="AW119" s="252">
        <v>0</v>
      </c>
      <c r="AX119" s="632">
        <f t="shared" si="392"/>
        <v>0</v>
      </c>
      <c r="AY119" s="252">
        <f t="shared" ref="AY119:BO119" si="395">AX119</f>
        <v>0</v>
      </c>
      <c r="AZ119" s="116">
        <f t="shared" si="395"/>
        <v>0</v>
      </c>
      <c r="BA119" s="116">
        <f t="shared" si="395"/>
        <v>0</v>
      </c>
      <c r="BB119" s="116">
        <f t="shared" si="395"/>
        <v>0</v>
      </c>
      <c r="BC119" s="116">
        <f t="shared" si="395"/>
        <v>0</v>
      </c>
      <c r="BD119" s="116">
        <f t="shared" si="395"/>
        <v>0</v>
      </c>
      <c r="BE119" s="116">
        <f t="shared" si="395"/>
        <v>0</v>
      </c>
      <c r="BF119" s="116">
        <f t="shared" si="395"/>
        <v>0</v>
      </c>
      <c r="BG119" s="116">
        <f t="shared" si="395"/>
        <v>0</v>
      </c>
      <c r="BH119" s="116">
        <f t="shared" si="395"/>
        <v>0</v>
      </c>
      <c r="BI119" s="116">
        <f t="shared" si="395"/>
        <v>0</v>
      </c>
      <c r="BJ119" s="116">
        <f t="shared" si="395"/>
        <v>0</v>
      </c>
      <c r="BK119" s="252">
        <f t="shared" si="395"/>
        <v>0</v>
      </c>
      <c r="BL119" s="116">
        <f t="shared" si="395"/>
        <v>0</v>
      </c>
      <c r="BM119" s="116">
        <f t="shared" si="395"/>
        <v>0</v>
      </c>
      <c r="BN119" s="116">
        <f t="shared" si="395"/>
        <v>0</v>
      </c>
      <c r="BO119" s="116">
        <f t="shared" si="395"/>
        <v>0</v>
      </c>
      <c r="BP119" s="116">
        <f t="shared" ref="BP119:CU119" si="396">BO119</f>
        <v>0</v>
      </c>
      <c r="BQ119" s="116">
        <f t="shared" si="396"/>
        <v>0</v>
      </c>
      <c r="BR119" s="116">
        <f t="shared" si="396"/>
        <v>0</v>
      </c>
      <c r="BS119" s="116">
        <f t="shared" si="396"/>
        <v>0</v>
      </c>
      <c r="BT119" s="116">
        <f t="shared" si="396"/>
        <v>0</v>
      </c>
      <c r="BU119" s="116">
        <f t="shared" si="396"/>
        <v>0</v>
      </c>
      <c r="BV119" s="116">
        <f t="shared" si="396"/>
        <v>0</v>
      </c>
      <c r="BW119" s="252">
        <f t="shared" si="396"/>
        <v>0</v>
      </c>
      <c r="BX119" s="116">
        <f t="shared" si="396"/>
        <v>0</v>
      </c>
      <c r="BY119" s="116">
        <f t="shared" si="396"/>
        <v>0</v>
      </c>
      <c r="BZ119" s="116">
        <f t="shared" si="396"/>
        <v>0</v>
      </c>
      <c r="CA119" s="116">
        <f t="shared" si="396"/>
        <v>0</v>
      </c>
      <c r="CB119" s="116">
        <f t="shared" si="396"/>
        <v>0</v>
      </c>
      <c r="CC119" s="116">
        <f t="shared" si="396"/>
        <v>0</v>
      </c>
      <c r="CD119" s="116">
        <f t="shared" si="396"/>
        <v>0</v>
      </c>
      <c r="CE119" s="116">
        <f t="shared" si="396"/>
        <v>0</v>
      </c>
      <c r="CF119" s="116">
        <f t="shared" si="396"/>
        <v>0</v>
      </c>
      <c r="CG119" s="116">
        <f t="shared" si="396"/>
        <v>0</v>
      </c>
      <c r="CH119" s="116">
        <f t="shared" si="396"/>
        <v>0</v>
      </c>
      <c r="CI119" s="252">
        <f t="shared" si="396"/>
        <v>0</v>
      </c>
      <c r="CJ119" s="116">
        <f t="shared" si="396"/>
        <v>0</v>
      </c>
      <c r="CK119" s="116">
        <f t="shared" si="396"/>
        <v>0</v>
      </c>
      <c r="CL119" s="116">
        <f t="shared" si="396"/>
        <v>0</v>
      </c>
      <c r="CM119" s="116">
        <f t="shared" si="396"/>
        <v>0</v>
      </c>
      <c r="CN119" s="116">
        <f t="shared" si="396"/>
        <v>0</v>
      </c>
      <c r="CO119" s="116">
        <f t="shared" si="396"/>
        <v>0</v>
      </c>
      <c r="CP119" s="116">
        <f t="shared" si="396"/>
        <v>0</v>
      </c>
      <c r="CQ119" s="116">
        <f t="shared" si="396"/>
        <v>0</v>
      </c>
      <c r="CR119" s="116">
        <f t="shared" si="396"/>
        <v>0</v>
      </c>
      <c r="CS119" s="116">
        <f t="shared" si="396"/>
        <v>0</v>
      </c>
      <c r="CT119" s="116">
        <f t="shared" si="396"/>
        <v>0</v>
      </c>
      <c r="CU119" s="252">
        <f t="shared" si="396"/>
        <v>0</v>
      </c>
      <c r="CV119" s="116">
        <f t="shared" ref="CV119:DG119" si="397">CU119</f>
        <v>0</v>
      </c>
      <c r="CW119" s="116">
        <f t="shared" si="397"/>
        <v>0</v>
      </c>
      <c r="CX119" s="116">
        <f t="shared" si="397"/>
        <v>0</v>
      </c>
      <c r="CY119" s="116">
        <f t="shared" si="397"/>
        <v>0</v>
      </c>
      <c r="CZ119" s="116">
        <f t="shared" si="397"/>
        <v>0</v>
      </c>
      <c r="DA119" s="116">
        <f t="shared" si="397"/>
        <v>0</v>
      </c>
      <c r="DB119" s="116">
        <f t="shared" si="397"/>
        <v>0</v>
      </c>
      <c r="DC119" s="116">
        <f t="shared" si="397"/>
        <v>0</v>
      </c>
      <c r="DD119" s="116">
        <f t="shared" si="397"/>
        <v>0</v>
      </c>
      <c r="DE119" s="116">
        <f t="shared" si="397"/>
        <v>0</v>
      </c>
      <c r="DF119" s="116">
        <f t="shared" si="397"/>
        <v>0</v>
      </c>
      <c r="DG119" s="116">
        <f t="shared" si="397"/>
        <v>0</v>
      </c>
    </row>
    <row r="120" spans="1:111" hidden="1" x14ac:dyDescent="0.25">
      <c r="B120" s="1" t="s">
        <v>238</v>
      </c>
      <c r="C120" s="1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O120" s="52"/>
      <c r="P120" s="116"/>
      <c r="Q120" s="116"/>
      <c r="R120" s="116"/>
      <c r="S120" s="116"/>
      <c r="T120" s="116"/>
      <c r="U120" s="116"/>
      <c r="V120" s="116"/>
      <c r="W120" s="116">
        <v>0</v>
      </c>
      <c r="X120" s="116">
        <v>0</v>
      </c>
      <c r="Y120" s="116">
        <v>0</v>
      </c>
      <c r="Z120" s="116">
        <v>0</v>
      </c>
      <c r="AA120" s="116">
        <v>0</v>
      </c>
      <c r="AB120" s="116">
        <v>0</v>
      </c>
      <c r="AC120" s="116">
        <v>0</v>
      </c>
      <c r="AD120" s="116">
        <v>0</v>
      </c>
      <c r="AE120" s="116">
        <v>0</v>
      </c>
      <c r="AF120" s="116">
        <v>0</v>
      </c>
      <c r="AG120" s="116">
        <v>0</v>
      </c>
      <c r="AH120" s="116">
        <v>0</v>
      </c>
      <c r="AI120" s="116">
        <v>0</v>
      </c>
      <c r="AJ120" s="116">
        <v>0</v>
      </c>
      <c r="AK120" s="116">
        <v>0</v>
      </c>
      <c r="AL120" s="116">
        <v>0</v>
      </c>
      <c r="AM120" s="116">
        <v>0</v>
      </c>
      <c r="AN120" s="116">
        <v>0</v>
      </c>
      <c r="AO120" s="116">
        <v>0</v>
      </c>
      <c r="AP120" s="116">
        <v>0</v>
      </c>
      <c r="AQ120" s="116">
        <v>0</v>
      </c>
      <c r="AR120" s="116">
        <v>0</v>
      </c>
      <c r="AS120" s="116">
        <v>0</v>
      </c>
      <c r="AT120" s="116">
        <v>0</v>
      </c>
      <c r="AU120" s="116">
        <v>0</v>
      </c>
      <c r="AV120" s="116">
        <v>0</v>
      </c>
      <c r="AW120" s="252">
        <v>0</v>
      </c>
      <c r="AX120" s="632">
        <f t="shared" si="392"/>
        <v>0</v>
      </c>
      <c r="AY120" s="252">
        <f t="shared" ref="AY120:BO120" si="398">AX120</f>
        <v>0</v>
      </c>
      <c r="AZ120" s="116">
        <f t="shared" si="398"/>
        <v>0</v>
      </c>
      <c r="BA120" s="116">
        <f t="shared" si="398"/>
        <v>0</v>
      </c>
      <c r="BB120" s="116">
        <f t="shared" si="398"/>
        <v>0</v>
      </c>
      <c r="BC120" s="116">
        <f t="shared" si="398"/>
        <v>0</v>
      </c>
      <c r="BD120" s="116">
        <f t="shared" si="398"/>
        <v>0</v>
      </c>
      <c r="BE120" s="116">
        <f t="shared" si="398"/>
        <v>0</v>
      </c>
      <c r="BF120" s="116">
        <f t="shared" si="398"/>
        <v>0</v>
      </c>
      <c r="BG120" s="116">
        <f t="shared" si="398"/>
        <v>0</v>
      </c>
      <c r="BH120" s="116">
        <f t="shared" si="398"/>
        <v>0</v>
      </c>
      <c r="BI120" s="116">
        <f t="shared" si="398"/>
        <v>0</v>
      </c>
      <c r="BJ120" s="116">
        <f t="shared" si="398"/>
        <v>0</v>
      </c>
      <c r="BK120" s="252">
        <f t="shared" si="398"/>
        <v>0</v>
      </c>
      <c r="BL120" s="116">
        <f t="shared" si="398"/>
        <v>0</v>
      </c>
      <c r="BM120" s="116">
        <f t="shared" si="398"/>
        <v>0</v>
      </c>
      <c r="BN120" s="116">
        <f t="shared" si="398"/>
        <v>0</v>
      </c>
      <c r="BO120" s="116">
        <f t="shared" si="398"/>
        <v>0</v>
      </c>
      <c r="BP120" s="116">
        <f t="shared" ref="BP120:CU120" si="399">BO120</f>
        <v>0</v>
      </c>
      <c r="BQ120" s="116">
        <f t="shared" si="399"/>
        <v>0</v>
      </c>
      <c r="BR120" s="116">
        <f t="shared" si="399"/>
        <v>0</v>
      </c>
      <c r="BS120" s="116">
        <f t="shared" si="399"/>
        <v>0</v>
      </c>
      <c r="BT120" s="116">
        <f t="shared" si="399"/>
        <v>0</v>
      </c>
      <c r="BU120" s="116">
        <f t="shared" si="399"/>
        <v>0</v>
      </c>
      <c r="BV120" s="116">
        <f t="shared" si="399"/>
        <v>0</v>
      </c>
      <c r="BW120" s="252">
        <f t="shared" si="399"/>
        <v>0</v>
      </c>
      <c r="BX120" s="116">
        <f t="shared" si="399"/>
        <v>0</v>
      </c>
      <c r="BY120" s="116">
        <f t="shared" si="399"/>
        <v>0</v>
      </c>
      <c r="BZ120" s="116">
        <f t="shared" si="399"/>
        <v>0</v>
      </c>
      <c r="CA120" s="116">
        <f t="shared" si="399"/>
        <v>0</v>
      </c>
      <c r="CB120" s="116">
        <f t="shared" si="399"/>
        <v>0</v>
      </c>
      <c r="CC120" s="116">
        <f t="shared" si="399"/>
        <v>0</v>
      </c>
      <c r="CD120" s="116">
        <f t="shared" si="399"/>
        <v>0</v>
      </c>
      <c r="CE120" s="116">
        <f t="shared" si="399"/>
        <v>0</v>
      </c>
      <c r="CF120" s="116">
        <f t="shared" si="399"/>
        <v>0</v>
      </c>
      <c r="CG120" s="116">
        <f t="shared" si="399"/>
        <v>0</v>
      </c>
      <c r="CH120" s="116">
        <f t="shared" si="399"/>
        <v>0</v>
      </c>
      <c r="CI120" s="252">
        <f t="shared" si="399"/>
        <v>0</v>
      </c>
      <c r="CJ120" s="116">
        <f t="shared" si="399"/>
        <v>0</v>
      </c>
      <c r="CK120" s="116">
        <f t="shared" si="399"/>
        <v>0</v>
      </c>
      <c r="CL120" s="116">
        <f t="shared" si="399"/>
        <v>0</v>
      </c>
      <c r="CM120" s="116">
        <f t="shared" si="399"/>
        <v>0</v>
      </c>
      <c r="CN120" s="116">
        <f t="shared" si="399"/>
        <v>0</v>
      </c>
      <c r="CO120" s="116">
        <f t="shared" si="399"/>
        <v>0</v>
      </c>
      <c r="CP120" s="116">
        <f t="shared" si="399"/>
        <v>0</v>
      </c>
      <c r="CQ120" s="116">
        <f t="shared" si="399"/>
        <v>0</v>
      </c>
      <c r="CR120" s="116">
        <f t="shared" si="399"/>
        <v>0</v>
      </c>
      <c r="CS120" s="116">
        <f t="shared" si="399"/>
        <v>0</v>
      </c>
      <c r="CT120" s="116">
        <f t="shared" si="399"/>
        <v>0</v>
      </c>
      <c r="CU120" s="252">
        <f t="shared" si="399"/>
        <v>0</v>
      </c>
      <c r="CV120" s="116">
        <f t="shared" ref="CV120:DG120" si="400">CU120</f>
        <v>0</v>
      </c>
      <c r="CW120" s="116">
        <f t="shared" si="400"/>
        <v>0</v>
      </c>
      <c r="CX120" s="116">
        <f t="shared" si="400"/>
        <v>0</v>
      </c>
      <c r="CY120" s="116">
        <f t="shared" si="400"/>
        <v>0</v>
      </c>
      <c r="CZ120" s="116">
        <f t="shared" si="400"/>
        <v>0</v>
      </c>
      <c r="DA120" s="116">
        <f t="shared" si="400"/>
        <v>0</v>
      </c>
      <c r="DB120" s="116">
        <f t="shared" si="400"/>
        <v>0</v>
      </c>
      <c r="DC120" s="116">
        <f t="shared" si="400"/>
        <v>0</v>
      </c>
      <c r="DD120" s="116">
        <f t="shared" si="400"/>
        <v>0</v>
      </c>
      <c r="DE120" s="116">
        <f t="shared" si="400"/>
        <v>0</v>
      </c>
      <c r="DF120" s="116">
        <f t="shared" si="400"/>
        <v>0</v>
      </c>
      <c r="DG120" s="116">
        <f t="shared" si="400"/>
        <v>0</v>
      </c>
    </row>
    <row r="121" spans="1:111" hidden="1" x14ac:dyDescent="0.25">
      <c r="B121" s="1" t="s">
        <v>239</v>
      </c>
      <c r="C121" s="1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O121" s="52"/>
      <c r="P121" s="116"/>
      <c r="Q121" s="116"/>
      <c r="R121" s="116"/>
      <c r="S121" s="116"/>
      <c r="T121" s="116"/>
      <c r="U121" s="116"/>
      <c r="V121" s="116"/>
      <c r="W121" s="116">
        <v>0</v>
      </c>
      <c r="X121" s="116">
        <v>0</v>
      </c>
      <c r="Y121" s="116">
        <v>0</v>
      </c>
      <c r="Z121" s="116">
        <v>0</v>
      </c>
      <c r="AA121" s="116">
        <v>0</v>
      </c>
      <c r="AB121" s="116">
        <v>0</v>
      </c>
      <c r="AC121" s="116">
        <v>0</v>
      </c>
      <c r="AD121" s="116">
        <v>0</v>
      </c>
      <c r="AE121" s="116">
        <v>0</v>
      </c>
      <c r="AF121" s="116">
        <v>0</v>
      </c>
      <c r="AG121" s="116">
        <v>0</v>
      </c>
      <c r="AH121" s="116">
        <v>0</v>
      </c>
      <c r="AI121" s="116">
        <v>0</v>
      </c>
      <c r="AJ121" s="116">
        <v>0</v>
      </c>
      <c r="AK121" s="116">
        <v>0</v>
      </c>
      <c r="AL121" s="116">
        <v>0</v>
      </c>
      <c r="AM121" s="116">
        <v>0</v>
      </c>
      <c r="AN121" s="116">
        <v>0</v>
      </c>
      <c r="AO121" s="116">
        <v>0</v>
      </c>
      <c r="AP121" s="116">
        <v>0</v>
      </c>
      <c r="AQ121" s="116">
        <v>0</v>
      </c>
      <c r="AR121" s="116">
        <v>0</v>
      </c>
      <c r="AS121" s="116">
        <v>0</v>
      </c>
      <c r="AT121" s="116">
        <v>0</v>
      </c>
      <c r="AU121" s="116">
        <v>0</v>
      </c>
      <c r="AV121" s="116">
        <v>0</v>
      </c>
      <c r="AW121" s="252">
        <v>0</v>
      </c>
      <c r="AX121" s="632">
        <f t="shared" si="392"/>
        <v>0</v>
      </c>
      <c r="AY121" s="252">
        <f t="shared" ref="AY121:BO121" si="401">AX121</f>
        <v>0</v>
      </c>
      <c r="AZ121" s="116">
        <f t="shared" si="401"/>
        <v>0</v>
      </c>
      <c r="BA121" s="116">
        <f t="shared" si="401"/>
        <v>0</v>
      </c>
      <c r="BB121" s="116">
        <f t="shared" si="401"/>
        <v>0</v>
      </c>
      <c r="BC121" s="116">
        <f t="shared" si="401"/>
        <v>0</v>
      </c>
      <c r="BD121" s="116">
        <f t="shared" si="401"/>
        <v>0</v>
      </c>
      <c r="BE121" s="116">
        <f t="shared" si="401"/>
        <v>0</v>
      </c>
      <c r="BF121" s="116">
        <f t="shared" si="401"/>
        <v>0</v>
      </c>
      <c r="BG121" s="116">
        <f t="shared" si="401"/>
        <v>0</v>
      </c>
      <c r="BH121" s="116">
        <f t="shared" si="401"/>
        <v>0</v>
      </c>
      <c r="BI121" s="116">
        <f t="shared" si="401"/>
        <v>0</v>
      </c>
      <c r="BJ121" s="116">
        <f t="shared" si="401"/>
        <v>0</v>
      </c>
      <c r="BK121" s="252">
        <f t="shared" si="401"/>
        <v>0</v>
      </c>
      <c r="BL121" s="116">
        <f t="shared" si="401"/>
        <v>0</v>
      </c>
      <c r="BM121" s="116">
        <f t="shared" si="401"/>
        <v>0</v>
      </c>
      <c r="BN121" s="116">
        <f t="shared" si="401"/>
        <v>0</v>
      </c>
      <c r="BO121" s="116">
        <f t="shared" si="401"/>
        <v>0</v>
      </c>
      <c r="BP121" s="116">
        <f t="shared" ref="BP121:CU121" si="402">BO121</f>
        <v>0</v>
      </c>
      <c r="BQ121" s="116">
        <f t="shared" si="402"/>
        <v>0</v>
      </c>
      <c r="BR121" s="116">
        <f t="shared" si="402"/>
        <v>0</v>
      </c>
      <c r="BS121" s="116">
        <f t="shared" si="402"/>
        <v>0</v>
      </c>
      <c r="BT121" s="116">
        <f t="shared" si="402"/>
        <v>0</v>
      </c>
      <c r="BU121" s="116">
        <f t="shared" si="402"/>
        <v>0</v>
      </c>
      <c r="BV121" s="116">
        <f t="shared" si="402"/>
        <v>0</v>
      </c>
      <c r="BW121" s="252">
        <f t="shared" si="402"/>
        <v>0</v>
      </c>
      <c r="BX121" s="116">
        <f t="shared" si="402"/>
        <v>0</v>
      </c>
      <c r="BY121" s="116">
        <f t="shared" si="402"/>
        <v>0</v>
      </c>
      <c r="BZ121" s="116">
        <f t="shared" si="402"/>
        <v>0</v>
      </c>
      <c r="CA121" s="116">
        <f t="shared" si="402"/>
        <v>0</v>
      </c>
      <c r="CB121" s="116">
        <f t="shared" si="402"/>
        <v>0</v>
      </c>
      <c r="CC121" s="116">
        <f t="shared" si="402"/>
        <v>0</v>
      </c>
      <c r="CD121" s="116">
        <f t="shared" si="402"/>
        <v>0</v>
      </c>
      <c r="CE121" s="116">
        <f t="shared" si="402"/>
        <v>0</v>
      </c>
      <c r="CF121" s="116">
        <f t="shared" si="402"/>
        <v>0</v>
      </c>
      <c r="CG121" s="116">
        <f t="shared" si="402"/>
        <v>0</v>
      </c>
      <c r="CH121" s="116">
        <f t="shared" si="402"/>
        <v>0</v>
      </c>
      <c r="CI121" s="252">
        <f t="shared" si="402"/>
        <v>0</v>
      </c>
      <c r="CJ121" s="116">
        <f t="shared" si="402"/>
        <v>0</v>
      </c>
      <c r="CK121" s="116">
        <f t="shared" si="402"/>
        <v>0</v>
      </c>
      <c r="CL121" s="116">
        <f t="shared" si="402"/>
        <v>0</v>
      </c>
      <c r="CM121" s="116">
        <f t="shared" si="402"/>
        <v>0</v>
      </c>
      <c r="CN121" s="116">
        <f t="shared" si="402"/>
        <v>0</v>
      </c>
      <c r="CO121" s="116">
        <f t="shared" si="402"/>
        <v>0</v>
      </c>
      <c r="CP121" s="116">
        <f t="shared" si="402"/>
        <v>0</v>
      </c>
      <c r="CQ121" s="116">
        <f t="shared" si="402"/>
        <v>0</v>
      </c>
      <c r="CR121" s="116">
        <f t="shared" si="402"/>
        <v>0</v>
      </c>
      <c r="CS121" s="116">
        <f t="shared" si="402"/>
        <v>0</v>
      </c>
      <c r="CT121" s="116">
        <f t="shared" si="402"/>
        <v>0</v>
      </c>
      <c r="CU121" s="252">
        <f t="shared" si="402"/>
        <v>0</v>
      </c>
      <c r="CV121" s="116">
        <f t="shared" ref="CV121:DG121" si="403">CU121</f>
        <v>0</v>
      </c>
      <c r="CW121" s="116">
        <f t="shared" si="403"/>
        <v>0</v>
      </c>
      <c r="CX121" s="116">
        <f t="shared" si="403"/>
        <v>0</v>
      </c>
      <c r="CY121" s="116">
        <f t="shared" si="403"/>
        <v>0</v>
      </c>
      <c r="CZ121" s="116">
        <f t="shared" si="403"/>
        <v>0</v>
      </c>
      <c r="DA121" s="116">
        <f t="shared" si="403"/>
        <v>0</v>
      </c>
      <c r="DB121" s="116">
        <f t="shared" si="403"/>
        <v>0</v>
      </c>
      <c r="DC121" s="116">
        <f t="shared" si="403"/>
        <v>0</v>
      </c>
      <c r="DD121" s="116">
        <f t="shared" si="403"/>
        <v>0</v>
      </c>
      <c r="DE121" s="116">
        <f t="shared" si="403"/>
        <v>0</v>
      </c>
      <c r="DF121" s="116">
        <f t="shared" si="403"/>
        <v>0</v>
      </c>
      <c r="DG121" s="116">
        <f t="shared" si="403"/>
        <v>0</v>
      </c>
    </row>
    <row r="122" spans="1:111" hidden="1" x14ac:dyDescent="0.25">
      <c r="B122" s="1" t="s">
        <v>240</v>
      </c>
      <c r="C122" s="1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O122" s="52"/>
      <c r="P122" s="116"/>
      <c r="Q122" s="116"/>
      <c r="R122" s="116"/>
      <c r="S122" s="116"/>
      <c r="T122" s="116"/>
      <c r="U122" s="116"/>
      <c r="V122" s="116"/>
      <c r="W122" s="116">
        <v>0</v>
      </c>
      <c r="X122" s="116">
        <v>0</v>
      </c>
      <c r="Y122" s="116">
        <v>0</v>
      </c>
      <c r="Z122" s="116">
        <v>0</v>
      </c>
      <c r="AA122" s="116">
        <v>0</v>
      </c>
      <c r="AB122" s="116">
        <v>0</v>
      </c>
      <c r="AC122" s="116">
        <v>0</v>
      </c>
      <c r="AD122" s="116">
        <v>0</v>
      </c>
      <c r="AE122" s="116">
        <v>0</v>
      </c>
      <c r="AF122" s="116">
        <v>0</v>
      </c>
      <c r="AG122" s="116">
        <v>0</v>
      </c>
      <c r="AH122" s="116">
        <v>0</v>
      </c>
      <c r="AI122" s="116">
        <v>0</v>
      </c>
      <c r="AJ122" s="116">
        <v>0</v>
      </c>
      <c r="AK122" s="116">
        <v>0</v>
      </c>
      <c r="AL122" s="116">
        <v>0</v>
      </c>
      <c r="AM122" s="116">
        <v>0</v>
      </c>
      <c r="AN122" s="116">
        <v>0</v>
      </c>
      <c r="AO122" s="116">
        <v>0</v>
      </c>
      <c r="AP122" s="116">
        <v>0</v>
      </c>
      <c r="AQ122" s="116">
        <v>0</v>
      </c>
      <c r="AR122" s="116">
        <v>0</v>
      </c>
      <c r="AS122" s="116">
        <v>0</v>
      </c>
      <c r="AT122" s="116">
        <v>0</v>
      </c>
      <c r="AU122" s="116">
        <v>0</v>
      </c>
      <c r="AV122" s="116">
        <v>0</v>
      </c>
      <c r="AW122" s="252">
        <v>0</v>
      </c>
      <c r="AX122" s="632">
        <f t="shared" si="392"/>
        <v>0</v>
      </c>
      <c r="AY122" s="252">
        <f t="shared" ref="AY122:BO122" si="404">AX122</f>
        <v>0</v>
      </c>
      <c r="AZ122" s="116">
        <f t="shared" si="404"/>
        <v>0</v>
      </c>
      <c r="BA122" s="116">
        <f t="shared" si="404"/>
        <v>0</v>
      </c>
      <c r="BB122" s="116">
        <f t="shared" si="404"/>
        <v>0</v>
      </c>
      <c r="BC122" s="116">
        <f t="shared" si="404"/>
        <v>0</v>
      </c>
      <c r="BD122" s="116">
        <f t="shared" si="404"/>
        <v>0</v>
      </c>
      <c r="BE122" s="116">
        <f t="shared" si="404"/>
        <v>0</v>
      </c>
      <c r="BF122" s="116">
        <f t="shared" si="404"/>
        <v>0</v>
      </c>
      <c r="BG122" s="116">
        <f t="shared" si="404"/>
        <v>0</v>
      </c>
      <c r="BH122" s="116">
        <f t="shared" si="404"/>
        <v>0</v>
      </c>
      <c r="BI122" s="116">
        <f t="shared" si="404"/>
        <v>0</v>
      </c>
      <c r="BJ122" s="116">
        <f t="shared" si="404"/>
        <v>0</v>
      </c>
      <c r="BK122" s="252">
        <f t="shared" si="404"/>
        <v>0</v>
      </c>
      <c r="BL122" s="116">
        <f t="shared" si="404"/>
        <v>0</v>
      </c>
      <c r="BM122" s="116">
        <f t="shared" si="404"/>
        <v>0</v>
      </c>
      <c r="BN122" s="116">
        <f t="shared" si="404"/>
        <v>0</v>
      </c>
      <c r="BO122" s="116">
        <f t="shared" si="404"/>
        <v>0</v>
      </c>
      <c r="BP122" s="116">
        <f t="shared" ref="BP122:CU122" si="405">BO122</f>
        <v>0</v>
      </c>
      <c r="BQ122" s="116">
        <f t="shared" si="405"/>
        <v>0</v>
      </c>
      <c r="BR122" s="116">
        <f t="shared" si="405"/>
        <v>0</v>
      </c>
      <c r="BS122" s="116">
        <f t="shared" si="405"/>
        <v>0</v>
      </c>
      <c r="BT122" s="116">
        <f t="shared" si="405"/>
        <v>0</v>
      </c>
      <c r="BU122" s="116">
        <f t="shared" si="405"/>
        <v>0</v>
      </c>
      <c r="BV122" s="116">
        <f t="shared" si="405"/>
        <v>0</v>
      </c>
      <c r="BW122" s="252">
        <f t="shared" si="405"/>
        <v>0</v>
      </c>
      <c r="BX122" s="116">
        <f t="shared" si="405"/>
        <v>0</v>
      </c>
      <c r="BY122" s="116">
        <f t="shared" si="405"/>
        <v>0</v>
      </c>
      <c r="BZ122" s="116">
        <f t="shared" si="405"/>
        <v>0</v>
      </c>
      <c r="CA122" s="116">
        <f t="shared" si="405"/>
        <v>0</v>
      </c>
      <c r="CB122" s="116">
        <f t="shared" si="405"/>
        <v>0</v>
      </c>
      <c r="CC122" s="116">
        <f t="shared" si="405"/>
        <v>0</v>
      </c>
      <c r="CD122" s="116">
        <f t="shared" si="405"/>
        <v>0</v>
      </c>
      <c r="CE122" s="116">
        <f t="shared" si="405"/>
        <v>0</v>
      </c>
      <c r="CF122" s="116">
        <f t="shared" si="405"/>
        <v>0</v>
      </c>
      <c r="CG122" s="116">
        <f t="shared" si="405"/>
        <v>0</v>
      </c>
      <c r="CH122" s="116">
        <f t="shared" si="405"/>
        <v>0</v>
      </c>
      <c r="CI122" s="252">
        <f t="shared" si="405"/>
        <v>0</v>
      </c>
      <c r="CJ122" s="116">
        <f t="shared" si="405"/>
        <v>0</v>
      </c>
      <c r="CK122" s="116">
        <f t="shared" si="405"/>
        <v>0</v>
      </c>
      <c r="CL122" s="116">
        <f t="shared" si="405"/>
        <v>0</v>
      </c>
      <c r="CM122" s="116">
        <f t="shared" si="405"/>
        <v>0</v>
      </c>
      <c r="CN122" s="116">
        <f t="shared" si="405"/>
        <v>0</v>
      </c>
      <c r="CO122" s="116">
        <f t="shared" si="405"/>
        <v>0</v>
      </c>
      <c r="CP122" s="116">
        <f t="shared" si="405"/>
        <v>0</v>
      </c>
      <c r="CQ122" s="116">
        <f t="shared" si="405"/>
        <v>0</v>
      </c>
      <c r="CR122" s="116">
        <f t="shared" si="405"/>
        <v>0</v>
      </c>
      <c r="CS122" s="116">
        <f t="shared" si="405"/>
        <v>0</v>
      </c>
      <c r="CT122" s="116">
        <f t="shared" si="405"/>
        <v>0</v>
      </c>
      <c r="CU122" s="252">
        <f t="shared" si="405"/>
        <v>0</v>
      </c>
      <c r="CV122" s="116">
        <f t="shared" ref="CV122:DG122" si="406">CU122</f>
        <v>0</v>
      </c>
      <c r="CW122" s="116">
        <f t="shared" si="406"/>
        <v>0</v>
      </c>
      <c r="CX122" s="116">
        <f t="shared" si="406"/>
        <v>0</v>
      </c>
      <c r="CY122" s="116">
        <f t="shared" si="406"/>
        <v>0</v>
      </c>
      <c r="CZ122" s="116">
        <f t="shared" si="406"/>
        <v>0</v>
      </c>
      <c r="DA122" s="116">
        <f t="shared" si="406"/>
        <v>0</v>
      </c>
      <c r="DB122" s="116">
        <f t="shared" si="406"/>
        <v>0</v>
      </c>
      <c r="DC122" s="116">
        <f t="shared" si="406"/>
        <v>0</v>
      </c>
      <c r="DD122" s="116">
        <f t="shared" si="406"/>
        <v>0</v>
      </c>
      <c r="DE122" s="116">
        <f t="shared" si="406"/>
        <v>0</v>
      </c>
      <c r="DF122" s="116">
        <f t="shared" si="406"/>
        <v>0</v>
      </c>
      <c r="DG122" s="116">
        <f t="shared" si="406"/>
        <v>0</v>
      </c>
    </row>
    <row r="123" spans="1:111" hidden="1" x14ac:dyDescent="0.25">
      <c r="B123" s="1" t="s">
        <v>241</v>
      </c>
      <c r="C123" s="1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O123" s="52"/>
      <c r="P123" s="116"/>
      <c r="Q123" s="116"/>
      <c r="R123" s="116"/>
      <c r="S123" s="116"/>
      <c r="T123" s="116"/>
      <c r="U123" s="116"/>
      <c r="V123" s="116"/>
      <c r="W123" s="116">
        <v>0</v>
      </c>
      <c r="X123" s="116">
        <v>0</v>
      </c>
      <c r="Y123" s="116">
        <v>0</v>
      </c>
      <c r="Z123" s="116">
        <v>0</v>
      </c>
      <c r="AA123" s="116">
        <v>0</v>
      </c>
      <c r="AB123" s="116">
        <v>0</v>
      </c>
      <c r="AC123" s="116">
        <v>0</v>
      </c>
      <c r="AD123" s="116">
        <v>0</v>
      </c>
      <c r="AE123" s="116">
        <v>0</v>
      </c>
      <c r="AF123" s="116">
        <v>0</v>
      </c>
      <c r="AG123" s="116">
        <v>0</v>
      </c>
      <c r="AH123" s="116">
        <v>0</v>
      </c>
      <c r="AI123" s="116">
        <v>0</v>
      </c>
      <c r="AJ123" s="116">
        <v>0</v>
      </c>
      <c r="AK123" s="116">
        <v>0</v>
      </c>
      <c r="AL123" s="116">
        <v>0</v>
      </c>
      <c r="AM123" s="116">
        <v>0</v>
      </c>
      <c r="AN123" s="116">
        <v>0</v>
      </c>
      <c r="AO123" s="116">
        <v>0</v>
      </c>
      <c r="AP123" s="116">
        <v>0</v>
      </c>
      <c r="AQ123" s="116">
        <v>0</v>
      </c>
      <c r="AR123" s="116">
        <v>0</v>
      </c>
      <c r="AS123" s="116">
        <v>0</v>
      </c>
      <c r="AT123" s="116">
        <v>0</v>
      </c>
      <c r="AU123" s="116">
        <v>0</v>
      </c>
      <c r="AV123" s="116">
        <v>0</v>
      </c>
      <c r="AW123" s="252">
        <v>0</v>
      </c>
      <c r="AX123" s="632">
        <f t="shared" si="392"/>
        <v>0</v>
      </c>
      <c r="AY123" s="252">
        <f t="shared" ref="AY123:BO123" si="407">AX123</f>
        <v>0</v>
      </c>
      <c r="AZ123" s="116">
        <f t="shared" si="407"/>
        <v>0</v>
      </c>
      <c r="BA123" s="116">
        <f t="shared" si="407"/>
        <v>0</v>
      </c>
      <c r="BB123" s="116">
        <f t="shared" si="407"/>
        <v>0</v>
      </c>
      <c r="BC123" s="116">
        <f t="shared" si="407"/>
        <v>0</v>
      </c>
      <c r="BD123" s="116">
        <f t="shared" si="407"/>
        <v>0</v>
      </c>
      <c r="BE123" s="116">
        <f t="shared" si="407"/>
        <v>0</v>
      </c>
      <c r="BF123" s="116">
        <f t="shared" si="407"/>
        <v>0</v>
      </c>
      <c r="BG123" s="116">
        <f t="shared" si="407"/>
        <v>0</v>
      </c>
      <c r="BH123" s="116">
        <f t="shared" si="407"/>
        <v>0</v>
      </c>
      <c r="BI123" s="116">
        <f t="shared" si="407"/>
        <v>0</v>
      </c>
      <c r="BJ123" s="116">
        <f t="shared" si="407"/>
        <v>0</v>
      </c>
      <c r="BK123" s="252">
        <f t="shared" si="407"/>
        <v>0</v>
      </c>
      <c r="BL123" s="116">
        <f t="shared" si="407"/>
        <v>0</v>
      </c>
      <c r="BM123" s="116">
        <f t="shared" si="407"/>
        <v>0</v>
      </c>
      <c r="BN123" s="116">
        <f t="shared" si="407"/>
        <v>0</v>
      </c>
      <c r="BO123" s="116">
        <f t="shared" si="407"/>
        <v>0</v>
      </c>
      <c r="BP123" s="116">
        <f t="shared" ref="BP123:CU123" si="408">BO123</f>
        <v>0</v>
      </c>
      <c r="BQ123" s="116">
        <f t="shared" si="408"/>
        <v>0</v>
      </c>
      <c r="BR123" s="116">
        <f t="shared" si="408"/>
        <v>0</v>
      </c>
      <c r="BS123" s="116">
        <f t="shared" si="408"/>
        <v>0</v>
      </c>
      <c r="BT123" s="116">
        <f t="shared" si="408"/>
        <v>0</v>
      </c>
      <c r="BU123" s="116">
        <f t="shared" si="408"/>
        <v>0</v>
      </c>
      <c r="BV123" s="116">
        <f t="shared" si="408"/>
        <v>0</v>
      </c>
      <c r="BW123" s="252">
        <f t="shared" si="408"/>
        <v>0</v>
      </c>
      <c r="BX123" s="116">
        <f t="shared" si="408"/>
        <v>0</v>
      </c>
      <c r="BY123" s="116">
        <f t="shared" si="408"/>
        <v>0</v>
      </c>
      <c r="BZ123" s="116">
        <f t="shared" si="408"/>
        <v>0</v>
      </c>
      <c r="CA123" s="116">
        <f t="shared" si="408"/>
        <v>0</v>
      </c>
      <c r="CB123" s="116">
        <f t="shared" si="408"/>
        <v>0</v>
      </c>
      <c r="CC123" s="116">
        <f t="shared" si="408"/>
        <v>0</v>
      </c>
      <c r="CD123" s="116">
        <f t="shared" si="408"/>
        <v>0</v>
      </c>
      <c r="CE123" s="116">
        <f t="shared" si="408"/>
        <v>0</v>
      </c>
      <c r="CF123" s="116">
        <f t="shared" si="408"/>
        <v>0</v>
      </c>
      <c r="CG123" s="116">
        <f t="shared" si="408"/>
        <v>0</v>
      </c>
      <c r="CH123" s="116">
        <f t="shared" si="408"/>
        <v>0</v>
      </c>
      <c r="CI123" s="252">
        <f t="shared" si="408"/>
        <v>0</v>
      </c>
      <c r="CJ123" s="116">
        <f t="shared" si="408"/>
        <v>0</v>
      </c>
      <c r="CK123" s="116">
        <f t="shared" si="408"/>
        <v>0</v>
      </c>
      <c r="CL123" s="116">
        <f t="shared" si="408"/>
        <v>0</v>
      </c>
      <c r="CM123" s="116">
        <f t="shared" si="408"/>
        <v>0</v>
      </c>
      <c r="CN123" s="116">
        <f t="shared" si="408"/>
        <v>0</v>
      </c>
      <c r="CO123" s="116">
        <f t="shared" si="408"/>
        <v>0</v>
      </c>
      <c r="CP123" s="116">
        <f t="shared" si="408"/>
        <v>0</v>
      </c>
      <c r="CQ123" s="116">
        <f t="shared" si="408"/>
        <v>0</v>
      </c>
      <c r="CR123" s="116">
        <f t="shared" si="408"/>
        <v>0</v>
      </c>
      <c r="CS123" s="116">
        <f t="shared" si="408"/>
        <v>0</v>
      </c>
      <c r="CT123" s="116">
        <f t="shared" si="408"/>
        <v>0</v>
      </c>
      <c r="CU123" s="252">
        <f t="shared" si="408"/>
        <v>0</v>
      </c>
      <c r="CV123" s="116">
        <f t="shared" ref="CV123:DG123" si="409">CU123</f>
        <v>0</v>
      </c>
      <c r="CW123" s="116">
        <f t="shared" si="409"/>
        <v>0</v>
      </c>
      <c r="CX123" s="116">
        <f t="shared" si="409"/>
        <v>0</v>
      </c>
      <c r="CY123" s="116">
        <f t="shared" si="409"/>
        <v>0</v>
      </c>
      <c r="CZ123" s="116">
        <f t="shared" si="409"/>
        <v>0</v>
      </c>
      <c r="DA123" s="116">
        <f t="shared" si="409"/>
        <v>0</v>
      </c>
      <c r="DB123" s="116">
        <f t="shared" si="409"/>
        <v>0</v>
      </c>
      <c r="DC123" s="116">
        <f t="shared" si="409"/>
        <v>0</v>
      </c>
      <c r="DD123" s="116">
        <f t="shared" si="409"/>
        <v>0</v>
      </c>
      <c r="DE123" s="116">
        <f t="shared" si="409"/>
        <v>0</v>
      </c>
      <c r="DF123" s="116">
        <f t="shared" si="409"/>
        <v>0</v>
      </c>
      <c r="DG123" s="116">
        <f t="shared" si="409"/>
        <v>0</v>
      </c>
    </row>
    <row r="124" spans="1:111" x14ac:dyDescent="0.25">
      <c r="A124" s="5"/>
      <c r="B124" s="6" t="s">
        <v>242</v>
      </c>
      <c r="C124" s="6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>
        <f>SUM(W118:W123)</f>
        <v>0</v>
      </c>
      <c r="X124" s="55">
        <f t="shared" ref="X124:CI124" si="410">SUM(X118:X123)</f>
        <v>0</v>
      </c>
      <c r="Y124" s="55">
        <f t="shared" si="410"/>
        <v>0</v>
      </c>
      <c r="Z124" s="55">
        <f t="shared" si="410"/>
        <v>0</v>
      </c>
      <c r="AA124" s="55">
        <f t="shared" si="410"/>
        <v>0</v>
      </c>
      <c r="AB124" s="55">
        <f t="shared" si="410"/>
        <v>-46.73</v>
      </c>
      <c r="AC124" s="55">
        <f t="shared" si="410"/>
        <v>-48.27</v>
      </c>
      <c r="AD124" s="55">
        <f t="shared" si="410"/>
        <v>-50.63</v>
      </c>
      <c r="AE124" s="55">
        <f t="shared" si="410"/>
        <v>37.75</v>
      </c>
      <c r="AF124" s="55">
        <f t="shared" si="410"/>
        <v>22.17</v>
      </c>
      <c r="AG124" s="55">
        <f t="shared" ref="AG124:AT124" si="411">SUM(AG118:AG123)</f>
        <v>90.96</v>
      </c>
      <c r="AH124" s="55">
        <f t="shared" si="411"/>
        <v>88.15</v>
      </c>
      <c r="AI124" s="55">
        <f t="shared" si="411"/>
        <v>131.29</v>
      </c>
      <c r="AJ124" s="55">
        <f t="shared" si="411"/>
        <v>130.43</v>
      </c>
      <c r="AK124" s="55">
        <f t="shared" si="411"/>
        <v>-28.63</v>
      </c>
      <c r="AL124" s="55">
        <f t="shared" si="411"/>
        <v>-293</v>
      </c>
      <c r="AM124" s="55">
        <f t="shared" si="411"/>
        <v>14.56</v>
      </c>
      <c r="AN124" s="55">
        <f t="shared" si="411"/>
        <v>123.94</v>
      </c>
      <c r="AO124" s="55">
        <f t="shared" si="411"/>
        <v>5.71</v>
      </c>
      <c r="AP124" s="55">
        <f t="shared" si="411"/>
        <v>11.65</v>
      </c>
      <c r="AQ124" s="55">
        <f t="shared" si="411"/>
        <v>2.88</v>
      </c>
      <c r="AR124" s="55">
        <f t="shared" si="411"/>
        <v>2.88</v>
      </c>
      <c r="AS124" s="55">
        <f t="shared" si="411"/>
        <v>2.88</v>
      </c>
      <c r="AT124" s="55">
        <f t="shared" si="411"/>
        <v>0</v>
      </c>
      <c r="AU124" s="55">
        <f t="shared" ref="AU124:AV124" si="412">SUM(AU118:AU123)</f>
        <v>0</v>
      </c>
      <c r="AV124" s="55">
        <f t="shared" si="412"/>
        <v>0</v>
      </c>
      <c r="AW124" s="257">
        <f t="shared" ref="AW124" si="413">SUM(AW118:AW123)</f>
        <v>0</v>
      </c>
      <c r="AX124" s="55">
        <f t="shared" ref="AX124" si="414">SUM(AX118:AX123)</f>
        <v>0</v>
      </c>
      <c r="AY124" s="257">
        <f t="shared" si="410"/>
        <v>0</v>
      </c>
      <c r="AZ124" s="55">
        <f t="shared" si="410"/>
        <v>0</v>
      </c>
      <c r="BA124" s="55">
        <f t="shared" si="410"/>
        <v>0</v>
      </c>
      <c r="BB124" s="55">
        <f t="shared" si="410"/>
        <v>0</v>
      </c>
      <c r="BC124" s="55">
        <f t="shared" si="410"/>
        <v>0</v>
      </c>
      <c r="BD124" s="55">
        <f t="shared" si="410"/>
        <v>0</v>
      </c>
      <c r="BE124" s="55">
        <f t="shared" si="410"/>
        <v>0</v>
      </c>
      <c r="BF124" s="55">
        <f t="shared" si="410"/>
        <v>0</v>
      </c>
      <c r="BG124" s="55">
        <f t="shared" si="410"/>
        <v>0</v>
      </c>
      <c r="BH124" s="55">
        <f t="shared" si="410"/>
        <v>0</v>
      </c>
      <c r="BI124" s="55">
        <f t="shared" si="410"/>
        <v>0</v>
      </c>
      <c r="BJ124" s="55">
        <f t="shared" si="410"/>
        <v>0</v>
      </c>
      <c r="BK124" s="257">
        <f t="shared" si="410"/>
        <v>0</v>
      </c>
      <c r="BL124" s="55">
        <f t="shared" si="410"/>
        <v>0</v>
      </c>
      <c r="BM124" s="55">
        <f t="shared" si="410"/>
        <v>0</v>
      </c>
      <c r="BN124" s="55">
        <f t="shared" si="410"/>
        <v>0</v>
      </c>
      <c r="BO124" s="55">
        <f t="shared" si="410"/>
        <v>0</v>
      </c>
      <c r="BP124" s="55">
        <f t="shared" si="410"/>
        <v>0</v>
      </c>
      <c r="BQ124" s="55">
        <f t="shared" si="410"/>
        <v>0</v>
      </c>
      <c r="BR124" s="55">
        <f t="shared" si="410"/>
        <v>0</v>
      </c>
      <c r="BS124" s="55">
        <f t="shared" si="410"/>
        <v>0</v>
      </c>
      <c r="BT124" s="55">
        <f t="shared" si="410"/>
        <v>0</v>
      </c>
      <c r="BU124" s="55">
        <f t="shared" si="410"/>
        <v>0</v>
      </c>
      <c r="BV124" s="55">
        <f t="shared" si="410"/>
        <v>0</v>
      </c>
      <c r="BW124" s="257">
        <f t="shared" si="410"/>
        <v>0</v>
      </c>
      <c r="BX124" s="55">
        <f t="shared" si="410"/>
        <v>0</v>
      </c>
      <c r="BY124" s="55">
        <f t="shared" si="410"/>
        <v>0</v>
      </c>
      <c r="BZ124" s="55">
        <f t="shared" si="410"/>
        <v>0</v>
      </c>
      <c r="CA124" s="55">
        <f t="shared" si="410"/>
        <v>0</v>
      </c>
      <c r="CB124" s="55">
        <f t="shared" si="410"/>
        <v>0</v>
      </c>
      <c r="CC124" s="55">
        <f t="shared" si="410"/>
        <v>0</v>
      </c>
      <c r="CD124" s="55">
        <f t="shared" si="410"/>
        <v>0</v>
      </c>
      <c r="CE124" s="55">
        <f t="shared" si="410"/>
        <v>0</v>
      </c>
      <c r="CF124" s="55">
        <f t="shared" si="410"/>
        <v>0</v>
      </c>
      <c r="CG124" s="55">
        <f t="shared" si="410"/>
        <v>0</v>
      </c>
      <c r="CH124" s="55">
        <f t="shared" si="410"/>
        <v>0</v>
      </c>
      <c r="CI124" s="257">
        <f t="shared" si="410"/>
        <v>0</v>
      </c>
      <c r="CJ124" s="55">
        <f t="shared" ref="CJ124:DG124" si="415">SUM(CJ118:CJ123)</f>
        <v>0</v>
      </c>
      <c r="CK124" s="55">
        <f t="shared" si="415"/>
        <v>0</v>
      </c>
      <c r="CL124" s="55">
        <f t="shared" si="415"/>
        <v>0</v>
      </c>
      <c r="CM124" s="55">
        <f t="shared" si="415"/>
        <v>0</v>
      </c>
      <c r="CN124" s="55">
        <f t="shared" si="415"/>
        <v>0</v>
      </c>
      <c r="CO124" s="55">
        <f t="shared" si="415"/>
        <v>0</v>
      </c>
      <c r="CP124" s="55">
        <f t="shared" si="415"/>
        <v>0</v>
      </c>
      <c r="CQ124" s="55">
        <f t="shared" si="415"/>
        <v>0</v>
      </c>
      <c r="CR124" s="55">
        <f t="shared" si="415"/>
        <v>0</v>
      </c>
      <c r="CS124" s="55">
        <f t="shared" si="415"/>
        <v>0</v>
      </c>
      <c r="CT124" s="55">
        <f t="shared" si="415"/>
        <v>0</v>
      </c>
      <c r="CU124" s="257">
        <f t="shared" si="415"/>
        <v>0</v>
      </c>
      <c r="CV124" s="55">
        <f t="shared" si="415"/>
        <v>0</v>
      </c>
      <c r="CW124" s="55">
        <f t="shared" si="415"/>
        <v>0</v>
      </c>
      <c r="CX124" s="55">
        <f t="shared" si="415"/>
        <v>0</v>
      </c>
      <c r="CY124" s="55">
        <f t="shared" si="415"/>
        <v>0</v>
      </c>
      <c r="CZ124" s="55">
        <f t="shared" si="415"/>
        <v>0</v>
      </c>
      <c r="DA124" s="55">
        <f t="shared" si="415"/>
        <v>0</v>
      </c>
      <c r="DB124" s="55">
        <f t="shared" si="415"/>
        <v>0</v>
      </c>
      <c r="DC124" s="55">
        <f t="shared" si="415"/>
        <v>0</v>
      </c>
      <c r="DD124" s="55">
        <f t="shared" si="415"/>
        <v>0</v>
      </c>
      <c r="DE124" s="55">
        <f t="shared" si="415"/>
        <v>0</v>
      </c>
      <c r="DF124" s="55">
        <f t="shared" si="415"/>
        <v>0</v>
      </c>
      <c r="DG124" s="55">
        <f t="shared" si="415"/>
        <v>0</v>
      </c>
    </row>
    <row r="125" spans="1:111" x14ac:dyDescent="0.25">
      <c r="B125" s="1" t="s">
        <v>205</v>
      </c>
      <c r="C125" s="1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O125" s="52"/>
      <c r="P125" s="116"/>
      <c r="Q125" s="116"/>
      <c r="R125" s="116"/>
      <c r="S125" s="116"/>
      <c r="T125" s="116"/>
      <c r="U125" s="116"/>
      <c r="V125" s="116">
        <v>0</v>
      </c>
      <c r="W125" s="116">
        <v>0</v>
      </c>
      <c r="X125" s="116">
        <v>0</v>
      </c>
      <c r="Y125" s="116">
        <v>0</v>
      </c>
      <c r="Z125" s="116">
        <v>0</v>
      </c>
      <c r="AA125" s="116">
        <v>0</v>
      </c>
      <c r="AB125" s="116">
        <v>0</v>
      </c>
      <c r="AC125" s="116">
        <v>0</v>
      </c>
      <c r="AD125" s="116">
        <v>0</v>
      </c>
      <c r="AE125" s="116">
        <v>0</v>
      </c>
      <c r="AF125" s="116">
        <v>0</v>
      </c>
      <c r="AG125" s="116">
        <v>0</v>
      </c>
      <c r="AH125" s="116">
        <v>0</v>
      </c>
      <c r="AI125" s="116">
        <v>0</v>
      </c>
      <c r="AJ125" s="116">
        <v>0</v>
      </c>
      <c r="AK125" s="116">
        <v>0</v>
      </c>
      <c r="AL125" s="116">
        <v>0</v>
      </c>
      <c r="AM125" s="116">
        <v>0</v>
      </c>
      <c r="AN125" s="116">
        <v>0</v>
      </c>
      <c r="AO125" s="116">
        <v>0</v>
      </c>
      <c r="AP125" s="116">
        <v>0</v>
      </c>
      <c r="AQ125" s="116">
        <v>0</v>
      </c>
      <c r="AR125" s="116">
        <v>0</v>
      </c>
      <c r="AS125" s="116">
        <v>0</v>
      </c>
      <c r="AT125" s="116">
        <v>0</v>
      </c>
      <c r="AU125" s="116">
        <v>0</v>
      </c>
      <c r="AV125" s="116">
        <v>0</v>
      </c>
      <c r="AW125" s="252">
        <v>0</v>
      </c>
      <c r="AX125" s="632">
        <v>0</v>
      </c>
      <c r="AY125" s="252">
        <v>0</v>
      </c>
      <c r="AZ125" s="116">
        <v>0</v>
      </c>
      <c r="BA125" s="116">
        <v>0</v>
      </c>
      <c r="BB125" s="116">
        <v>0</v>
      </c>
      <c r="BC125" s="116">
        <v>0</v>
      </c>
      <c r="BD125" s="116">
        <v>0</v>
      </c>
      <c r="BE125" s="116">
        <v>0</v>
      </c>
      <c r="BF125" s="116">
        <v>0</v>
      </c>
      <c r="BG125" s="116">
        <v>0</v>
      </c>
      <c r="BH125" s="116">
        <v>0</v>
      </c>
      <c r="BI125" s="116">
        <v>0</v>
      </c>
      <c r="BJ125" s="116">
        <v>0</v>
      </c>
      <c r="BK125" s="252">
        <v>0</v>
      </c>
      <c r="BL125" s="116">
        <v>0</v>
      </c>
      <c r="BM125" s="116">
        <v>0</v>
      </c>
      <c r="BN125" s="116">
        <v>0</v>
      </c>
      <c r="BO125" s="116">
        <v>0</v>
      </c>
      <c r="BP125" s="116">
        <v>0</v>
      </c>
      <c r="BQ125" s="116">
        <v>0</v>
      </c>
      <c r="BR125" s="116">
        <v>0</v>
      </c>
      <c r="BS125" s="116">
        <v>0</v>
      </c>
      <c r="BT125" s="116">
        <v>0</v>
      </c>
      <c r="BU125" s="116">
        <v>0</v>
      </c>
      <c r="BV125" s="116">
        <v>0</v>
      </c>
      <c r="BW125" s="252">
        <v>0</v>
      </c>
      <c r="BX125" s="116">
        <v>0</v>
      </c>
      <c r="BY125" s="116">
        <v>0</v>
      </c>
      <c r="BZ125" s="116">
        <v>0</v>
      </c>
      <c r="CA125" s="116">
        <v>0</v>
      </c>
      <c r="CB125" s="116">
        <v>0</v>
      </c>
      <c r="CC125" s="116">
        <v>0</v>
      </c>
      <c r="CD125" s="116">
        <v>0</v>
      </c>
      <c r="CE125" s="116">
        <v>0</v>
      </c>
      <c r="CF125" s="116">
        <v>0</v>
      </c>
      <c r="CG125" s="116">
        <v>0</v>
      </c>
      <c r="CH125" s="116">
        <v>0</v>
      </c>
      <c r="CI125" s="252">
        <v>0</v>
      </c>
      <c r="CJ125" s="116">
        <v>0</v>
      </c>
      <c r="CK125" s="116">
        <v>0</v>
      </c>
      <c r="CL125" s="116">
        <v>0</v>
      </c>
      <c r="CM125" s="116">
        <v>0</v>
      </c>
      <c r="CN125" s="116">
        <v>0</v>
      </c>
      <c r="CO125" s="116">
        <v>0</v>
      </c>
      <c r="CP125" s="116">
        <v>0</v>
      </c>
      <c r="CQ125" s="116">
        <v>0</v>
      </c>
      <c r="CR125" s="116">
        <v>0</v>
      </c>
      <c r="CS125" s="116">
        <v>0</v>
      </c>
      <c r="CT125" s="116">
        <v>0</v>
      </c>
      <c r="CU125" s="252">
        <v>0</v>
      </c>
      <c r="CV125" s="116">
        <v>0</v>
      </c>
      <c r="CW125" s="116">
        <v>0</v>
      </c>
      <c r="CX125" s="116">
        <v>0</v>
      </c>
      <c r="CY125" s="116">
        <v>0</v>
      </c>
      <c r="CZ125" s="116">
        <v>0</v>
      </c>
      <c r="DA125" s="116">
        <v>0</v>
      </c>
      <c r="DB125" s="116">
        <v>0</v>
      </c>
      <c r="DC125" s="116">
        <v>0</v>
      </c>
      <c r="DD125" s="116">
        <v>0</v>
      </c>
      <c r="DE125" s="116">
        <v>0</v>
      </c>
      <c r="DF125" s="116">
        <v>0</v>
      </c>
      <c r="DG125" s="116">
        <v>0</v>
      </c>
    </row>
    <row r="126" spans="1:111" x14ac:dyDescent="0.25">
      <c r="B126" s="1" t="s">
        <v>389</v>
      </c>
      <c r="C126" s="1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O126" s="52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  <c r="AB126" s="116"/>
      <c r="AC126" s="116"/>
      <c r="AD126" s="116"/>
      <c r="AE126" s="116"/>
      <c r="AF126" s="116"/>
      <c r="AG126" s="116"/>
      <c r="AH126" s="116"/>
      <c r="AI126" s="116"/>
      <c r="AJ126" s="116"/>
      <c r="AK126" s="116"/>
      <c r="AL126" s="116"/>
      <c r="AM126" s="116"/>
      <c r="AN126" s="116"/>
      <c r="AO126" s="116">
        <v>0</v>
      </c>
      <c r="AP126" s="116">
        <v>0</v>
      </c>
      <c r="AQ126" s="116">
        <v>400</v>
      </c>
      <c r="AR126" s="116">
        <v>300</v>
      </c>
      <c r="AS126" s="116">
        <v>0</v>
      </c>
      <c r="AT126" s="116">
        <v>0</v>
      </c>
      <c r="AU126" s="116">
        <v>300</v>
      </c>
      <c r="AV126" s="116">
        <v>0</v>
      </c>
      <c r="AW126" s="252">
        <v>0</v>
      </c>
      <c r="AX126" s="632"/>
      <c r="AY126" s="252"/>
      <c r="AZ126" s="116"/>
      <c r="BA126" s="116"/>
      <c r="BB126" s="116"/>
      <c r="BC126" s="116"/>
      <c r="BD126" s="116"/>
      <c r="BE126" s="116"/>
      <c r="BF126" s="116"/>
      <c r="BG126" s="116"/>
      <c r="BH126" s="116"/>
      <c r="BI126" s="116"/>
      <c r="BJ126" s="116"/>
      <c r="BK126" s="252"/>
      <c r="BL126" s="116"/>
      <c r="BM126" s="116"/>
      <c r="BN126" s="116"/>
      <c r="BO126" s="116"/>
      <c r="BP126" s="116"/>
      <c r="BQ126" s="116"/>
      <c r="BR126" s="116"/>
      <c r="BS126" s="116"/>
      <c r="BT126" s="116"/>
      <c r="BU126" s="116"/>
      <c r="BV126" s="116"/>
      <c r="BW126" s="252"/>
      <c r="BX126" s="116"/>
      <c r="BY126" s="116"/>
      <c r="BZ126" s="116"/>
      <c r="CA126" s="116"/>
      <c r="CB126" s="116"/>
      <c r="CC126" s="116"/>
      <c r="CD126" s="116"/>
      <c r="CE126" s="116"/>
      <c r="CF126" s="116"/>
      <c r="CG126" s="116"/>
      <c r="CH126" s="116"/>
      <c r="CI126" s="252"/>
      <c r="CJ126" s="116"/>
      <c r="CK126" s="116"/>
      <c r="CL126" s="116"/>
      <c r="CM126" s="116"/>
      <c r="CN126" s="116"/>
      <c r="CO126" s="116"/>
      <c r="CP126" s="116"/>
      <c r="CQ126" s="116"/>
      <c r="CR126" s="116"/>
      <c r="CS126" s="116"/>
      <c r="CT126" s="116"/>
      <c r="CU126" s="252"/>
      <c r="CV126" s="116"/>
      <c r="CW126" s="116"/>
      <c r="CX126" s="116"/>
      <c r="CY126" s="116"/>
      <c r="CZ126" s="116"/>
      <c r="DA126" s="116"/>
      <c r="DB126" s="116"/>
      <c r="DC126" s="116"/>
      <c r="DD126" s="116"/>
      <c r="DE126" s="116"/>
      <c r="DF126" s="116"/>
      <c r="DG126" s="116"/>
    </row>
    <row r="127" spans="1:111" x14ac:dyDescent="0.25">
      <c r="A127" s="5"/>
      <c r="B127" s="6" t="s">
        <v>204</v>
      </c>
      <c r="C127" s="6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>
        <f t="shared" ref="P127:AA127" si="416">+SUM(P118:P125)</f>
        <v>0</v>
      </c>
      <c r="Q127" s="55">
        <f t="shared" si="416"/>
        <v>0</v>
      </c>
      <c r="R127" s="55">
        <f t="shared" si="416"/>
        <v>0</v>
      </c>
      <c r="S127" s="55">
        <f t="shared" si="416"/>
        <v>0</v>
      </c>
      <c r="T127" s="55">
        <f t="shared" si="416"/>
        <v>0</v>
      </c>
      <c r="U127" s="55">
        <f t="shared" si="416"/>
        <v>0</v>
      </c>
      <c r="V127" s="55">
        <f t="shared" si="416"/>
        <v>0</v>
      </c>
      <c r="W127" s="55">
        <f t="shared" si="416"/>
        <v>0</v>
      </c>
      <c r="X127" s="55">
        <f t="shared" si="416"/>
        <v>0</v>
      </c>
      <c r="Y127" s="55">
        <f t="shared" si="416"/>
        <v>0</v>
      </c>
      <c r="Z127" s="55">
        <f t="shared" si="416"/>
        <v>0</v>
      </c>
      <c r="AA127" s="55">
        <f t="shared" si="416"/>
        <v>0</v>
      </c>
      <c r="AB127" s="55">
        <f t="shared" ref="AB127:AI127" si="417">+SUM(AB118:AB123)</f>
        <v>-46.73</v>
      </c>
      <c r="AC127" s="55">
        <f t="shared" si="417"/>
        <v>-48.27</v>
      </c>
      <c r="AD127" s="55">
        <f t="shared" si="417"/>
        <v>-50.63</v>
      </c>
      <c r="AE127" s="55">
        <f t="shared" si="417"/>
        <v>37.75</v>
      </c>
      <c r="AF127" s="55">
        <f t="shared" si="417"/>
        <v>22.17</v>
      </c>
      <c r="AG127" s="55">
        <f t="shared" si="417"/>
        <v>90.96</v>
      </c>
      <c r="AH127" s="55">
        <f t="shared" si="417"/>
        <v>88.15</v>
      </c>
      <c r="AI127" s="55">
        <f t="shared" si="417"/>
        <v>131.29</v>
      </c>
      <c r="AJ127" s="55">
        <f t="shared" ref="AJ127:AM127" si="418">+SUM(AJ118:AJ123)</f>
        <v>130.43</v>
      </c>
      <c r="AK127" s="55">
        <f t="shared" si="418"/>
        <v>-28.63</v>
      </c>
      <c r="AL127" s="55">
        <f t="shared" si="418"/>
        <v>-293</v>
      </c>
      <c r="AM127" s="55">
        <f t="shared" si="418"/>
        <v>14.56</v>
      </c>
      <c r="AN127" s="55">
        <f t="shared" ref="AN127" si="419">+SUM(AN123:AN126)</f>
        <v>123.94</v>
      </c>
      <c r="AO127" s="55">
        <f>+SUM(AO123:AO126)</f>
        <v>5.71</v>
      </c>
      <c r="AP127" s="55">
        <f t="shared" ref="AP127:DA127" si="420">+SUM(AP123:AP126)</f>
        <v>11.65</v>
      </c>
      <c r="AQ127" s="55">
        <f t="shared" si="420"/>
        <v>402.88</v>
      </c>
      <c r="AR127" s="55">
        <f t="shared" si="420"/>
        <v>302.88</v>
      </c>
      <c r="AS127" s="55">
        <f t="shared" si="420"/>
        <v>2.88</v>
      </c>
      <c r="AT127" s="55">
        <f t="shared" si="420"/>
        <v>0</v>
      </c>
      <c r="AU127" s="55">
        <f t="shared" si="420"/>
        <v>300</v>
      </c>
      <c r="AV127" s="55">
        <f t="shared" si="420"/>
        <v>0</v>
      </c>
      <c r="AW127" s="257">
        <f t="shared" ref="AW127" si="421">+SUM(AW123:AW126)</f>
        <v>0</v>
      </c>
      <c r="AX127" s="55">
        <f t="shared" ref="AX127" si="422">+SUM(AX123:AX126)</f>
        <v>0</v>
      </c>
      <c r="AY127" s="257">
        <f t="shared" si="420"/>
        <v>0</v>
      </c>
      <c r="AZ127" s="55">
        <f t="shared" si="420"/>
        <v>0</v>
      </c>
      <c r="BA127" s="55">
        <f t="shared" si="420"/>
        <v>0</v>
      </c>
      <c r="BB127" s="55">
        <f t="shared" si="420"/>
        <v>0</v>
      </c>
      <c r="BC127" s="55">
        <f t="shared" si="420"/>
        <v>0</v>
      </c>
      <c r="BD127" s="55">
        <f t="shared" si="420"/>
        <v>0</v>
      </c>
      <c r="BE127" s="55">
        <f t="shared" si="420"/>
        <v>0</v>
      </c>
      <c r="BF127" s="55">
        <f t="shared" si="420"/>
        <v>0</v>
      </c>
      <c r="BG127" s="55">
        <f t="shared" si="420"/>
        <v>0</v>
      </c>
      <c r="BH127" s="55">
        <f t="shared" si="420"/>
        <v>0</v>
      </c>
      <c r="BI127" s="55">
        <f t="shared" si="420"/>
        <v>0</v>
      </c>
      <c r="BJ127" s="55">
        <f t="shared" si="420"/>
        <v>0</v>
      </c>
      <c r="BK127" s="257">
        <f t="shared" si="420"/>
        <v>0</v>
      </c>
      <c r="BL127" s="55">
        <f t="shared" si="420"/>
        <v>0</v>
      </c>
      <c r="BM127" s="55">
        <f t="shared" si="420"/>
        <v>0</v>
      </c>
      <c r="BN127" s="55">
        <f t="shared" si="420"/>
        <v>0</v>
      </c>
      <c r="BO127" s="55">
        <f t="shared" si="420"/>
        <v>0</v>
      </c>
      <c r="BP127" s="55">
        <f t="shared" si="420"/>
        <v>0</v>
      </c>
      <c r="BQ127" s="55">
        <f t="shared" si="420"/>
        <v>0</v>
      </c>
      <c r="BR127" s="55">
        <f t="shared" si="420"/>
        <v>0</v>
      </c>
      <c r="BS127" s="55">
        <f t="shared" si="420"/>
        <v>0</v>
      </c>
      <c r="BT127" s="55">
        <f t="shared" si="420"/>
        <v>0</v>
      </c>
      <c r="BU127" s="55">
        <f t="shared" si="420"/>
        <v>0</v>
      </c>
      <c r="BV127" s="55">
        <f t="shared" si="420"/>
        <v>0</v>
      </c>
      <c r="BW127" s="257">
        <f t="shared" si="420"/>
        <v>0</v>
      </c>
      <c r="BX127" s="55">
        <f t="shared" si="420"/>
        <v>0</v>
      </c>
      <c r="BY127" s="55">
        <f t="shared" si="420"/>
        <v>0</v>
      </c>
      <c r="BZ127" s="55">
        <f t="shared" si="420"/>
        <v>0</v>
      </c>
      <c r="CA127" s="55">
        <f t="shared" si="420"/>
        <v>0</v>
      </c>
      <c r="CB127" s="55">
        <f t="shared" si="420"/>
        <v>0</v>
      </c>
      <c r="CC127" s="55">
        <f t="shared" si="420"/>
        <v>0</v>
      </c>
      <c r="CD127" s="55">
        <f t="shared" si="420"/>
        <v>0</v>
      </c>
      <c r="CE127" s="55">
        <f t="shared" si="420"/>
        <v>0</v>
      </c>
      <c r="CF127" s="55">
        <f t="shared" si="420"/>
        <v>0</v>
      </c>
      <c r="CG127" s="55">
        <f t="shared" si="420"/>
        <v>0</v>
      </c>
      <c r="CH127" s="55">
        <f t="shared" si="420"/>
        <v>0</v>
      </c>
      <c r="CI127" s="257">
        <f t="shared" si="420"/>
        <v>0</v>
      </c>
      <c r="CJ127" s="55">
        <f t="shared" si="420"/>
        <v>0</v>
      </c>
      <c r="CK127" s="55">
        <f t="shared" si="420"/>
        <v>0</v>
      </c>
      <c r="CL127" s="55">
        <f t="shared" si="420"/>
        <v>0</v>
      </c>
      <c r="CM127" s="55">
        <f t="shared" si="420"/>
        <v>0</v>
      </c>
      <c r="CN127" s="55">
        <f t="shared" si="420"/>
        <v>0</v>
      </c>
      <c r="CO127" s="55">
        <f t="shared" si="420"/>
        <v>0</v>
      </c>
      <c r="CP127" s="55">
        <f t="shared" si="420"/>
        <v>0</v>
      </c>
      <c r="CQ127" s="55">
        <f t="shared" si="420"/>
        <v>0</v>
      </c>
      <c r="CR127" s="55">
        <f t="shared" si="420"/>
        <v>0</v>
      </c>
      <c r="CS127" s="55">
        <f t="shared" si="420"/>
        <v>0</v>
      </c>
      <c r="CT127" s="55">
        <f t="shared" si="420"/>
        <v>0</v>
      </c>
      <c r="CU127" s="257">
        <f t="shared" si="420"/>
        <v>0</v>
      </c>
      <c r="CV127" s="55">
        <f t="shared" si="420"/>
        <v>0</v>
      </c>
      <c r="CW127" s="55">
        <f t="shared" si="420"/>
        <v>0</v>
      </c>
      <c r="CX127" s="55">
        <f t="shared" si="420"/>
        <v>0</v>
      </c>
      <c r="CY127" s="55">
        <f t="shared" si="420"/>
        <v>0</v>
      </c>
      <c r="CZ127" s="55">
        <f t="shared" si="420"/>
        <v>0</v>
      </c>
      <c r="DA127" s="55">
        <f t="shared" si="420"/>
        <v>0</v>
      </c>
      <c r="DB127" s="55">
        <f t="shared" ref="DB127:DG127" si="423">+SUM(DB123:DB126)</f>
        <v>0</v>
      </c>
      <c r="DC127" s="55">
        <f t="shared" si="423"/>
        <v>0</v>
      </c>
      <c r="DD127" s="55">
        <f t="shared" si="423"/>
        <v>0</v>
      </c>
      <c r="DE127" s="55">
        <f t="shared" si="423"/>
        <v>0</v>
      </c>
      <c r="DF127" s="55">
        <f t="shared" si="423"/>
        <v>0</v>
      </c>
      <c r="DG127" s="55">
        <f t="shared" si="423"/>
        <v>0</v>
      </c>
    </row>
    <row r="128" spans="1:111" s="5" customFormat="1" x14ac:dyDescent="0.25">
      <c r="A128"/>
      <c r="B128" s="1" t="s">
        <v>18</v>
      </c>
      <c r="C128" s="1"/>
      <c r="D128" s="57">
        <f t="shared" ref="D128:J128" si="424">(D111)+(D115)</f>
        <v>0</v>
      </c>
      <c r="E128" s="57">
        <f t="shared" si="424"/>
        <v>0</v>
      </c>
      <c r="F128" s="57">
        <f t="shared" si="424"/>
        <v>0</v>
      </c>
      <c r="G128" s="57">
        <f t="shared" si="424"/>
        <v>0</v>
      </c>
      <c r="H128" s="57">
        <f t="shared" si="424"/>
        <v>0</v>
      </c>
      <c r="I128" s="57">
        <f t="shared" si="424"/>
        <v>0</v>
      </c>
      <c r="J128" s="57">
        <f t="shared" si="424"/>
        <v>0</v>
      </c>
      <c r="K128" s="57">
        <f>K115+K111</f>
        <v>0</v>
      </c>
      <c r="L128" s="57">
        <f>L115+L111</f>
        <v>0</v>
      </c>
      <c r="M128" s="57">
        <f>M115+M111</f>
        <v>0</v>
      </c>
      <c r="N128" s="58">
        <f>N115+N111</f>
        <v>0</v>
      </c>
      <c r="O128" s="58">
        <f>O115+O111</f>
        <v>0</v>
      </c>
      <c r="P128" s="58">
        <f t="shared" ref="P128:AF128" si="425">P115+P111+P127</f>
        <v>0</v>
      </c>
      <c r="Q128" s="58">
        <f t="shared" si="425"/>
        <v>0</v>
      </c>
      <c r="R128" s="58">
        <f t="shared" si="425"/>
        <v>0</v>
      </c>
      <c r="S128" s="58">
        <f t="shared" si="425"/>
        <v>0</v>
      </c>
      <c r="T128" s="58">
        <f t="shared" si="425"/>
        <v>0</v>
      </c>
      <c r="U128" s="58">
        <f t="shared" si="425"/>
        <v>0</v>
      </c>
      <c r="V128" s="58">
        <f t="shared" si="425"/>
        <v>0</v>
      </c>
      <c r="W128" s="58">
        <f t="shared" si="425"/>
        <v>0</v>
      </c>
      <c r="X128" s="58">
        <f t="shared" si="425"/>
        <v>0</v>
      </c>
      <c r="Y128" s="58">
        <f t="shared" si="425"/>
        <v>0</v>
      </c>
      <c r="Z128" s="58">
        <f t="shared" si="425"/>
        <v>0</v>
      </c>
      <c r="AA128" s="58">
        <f t="shared" si="425"/>
        <v>0</v>
      </c>
      <c r="AB128" s="58">
        <f t="shared" si="425"/>
        <v>886.67000000000007</v>
      </c>
      <c r="AC128" s="58">
        <f t="shared" si="425"/>
        <v>997.5</v>
      </c>
      <c r="AD128" s="58">
        <f t="shared" si="425"/>
        <v>2882.5</v>
      </c>
      <c r="AE128" s="58">
        <f t="shared" si="425"/>
        <v>2067.67</v>
      </c>
      <c r="AF128" s="58">
        <f t="shared" si="425"/>
        <v>2882.7000000000003</v>
      </c>
      <c r="AG128" s="58">
        <f t="shared" ref="AG128:AT128" si="426">AG115+AG111+AG127</f>
        <v>2961.33</v>
      </c>
      <c r="AH128" s="58">
        <f t="shared" si="426"/>
        <v>3250.89</v>
      </c>
      <c r="AI128" s="58">
        <f t="shared" si="426"/>
        <v>1442.81</v>
      </c>
      <c r="AJ128" s="58">
        <f t="shared" si="426"/>
        <v>853.90000000000009</v>
      </c>
      <c r="AK128" s="58">
        <f t="shared" si="426"/>
        <v>2723.1899999999996</v>
      </c>
      <c r="AL128" s="58">
        <f t="shared" si="426"/>
        <v>2023.67</v>
      </c>
      <c r="AM128" s="58">
        <f t="shared" si="426"/>
        <v>1920.56</v>
      </c>
      <c r="AN128" s="58">
        <f t="shared" si="426"/>
        <v>2644.26</v>
      </c>
      <c r="AO128" s="58">
        <f>AO115+AO111+AO127</f>
        <v>2957.6000000000004</v>
      </c>
      <c r="AP128" s="58">
        <f t="shared" si="426"/>
        <v>3880.89</v>
      </c>
      <c r="AQ128" s="58">
        <f t="shared" si="426"/>
        <v>5191.1400000000003</v>
      </c>
      <c r="AR128" s="58">
        <f t="shared" si="426"/>
        <v>7326.8200000000006</v>
      </c>
      <c r="AS128" s="58">
        <f t="shared" si="426"/>
        <v>7193.9100000000008</v>
      </c>
      <c r="AT128" s="58">
        <f t="shared" si="426"/>
        <v>7114.24</v>
      </c>
      <c r="AU128" s="58">
        <f t="shared" ref="AU128:AV128" si="427">AU115+AU111+AU127</f>
        <v>7935.09</v>
      </c>
      <c r="AV128" s="58">
        <f t="shared" si="427"/>
        <v>6887.65</v>
      </c>
      <c r="AW128" s="254">
        <f t="shared" ref="AW128" si="428">AW115+AW111+AW127</f>
        <v>6355.62</v>
      </c>
      <c r="AX128" s="58">
        <f t="shared" ref="AX128:CA128" si="429">AX115+AX111+AX127</f>
        <v>6882.7846958765404</v>
      </c>
      <c r="AY128" s="254">
        <f t="shared" si="429"/>
        <v>7230.1484755807314</v>
      </c>
      <c r="AZ128" s="58">
        <f t="shared" si="429"/>
        <v>7093.7784318222211</v>
      </c>
      <c r="BA128" s="58">
        <f t="shared" si="429"/>
        <v>7678.5375787572229</v>
      </c>
      <c r="BB128" s="58">
        <f t="shared" si="429"/>
        <v>8796.4438637904805</v>
      </c>
      <c r="BC128" s="58">
        <f t="shared" si="429"/>
        <v>10987.719522475729</v>
      </c>
      <c r="BD128" s="58">
        <f t="shared" si="429"/>
        <v>12703.679560489993</v>
      </c>
      <c r="BE128" s="58">
        <f t="shared" si="429"/>
        <v>14619.196799527557</v>
      </c>
      <c r="BF128" s="58">
        <f t="shared" si="429"/>
        <v>16253.15473409114</v>
      </c>
      <c r="BG128" s="58">
        <f t="shared" si="429"/>
        <v>18214.190198571876</v>
      </c>
      <c r="BH128" s="58">
        <f t="shared" si="429"/>
        <v>18370.377879706899</v>
      </c>
      <c r="BI128" s="58">
        <f t="shared" si="429"/>
        <v>18837.149786011105</v>
      </c>
      <c r="BJ128" s="58">
        <f t="shared" si="429"/>
        <v>19064.399698912806</v>
      </c>
      <c r="BK128" s="254">
        <f t="shared" si="429"/>
        <v>20472.011341238915</v>
      </c>
      <c r="BL128" s="58">
        <f t="shared" si="429"/>
        <v>20550.224341139856</v>
      </c>
      <c r="BM128" s="58">
        <f t="shared" si="429"/>
        <v>21594.171891072292</v>
      </c>
      <c r="BN128" s="58">
        <f t="shared" si="429"/>
        <v>23440.126445713271</v>
      </c>
      <c r="BO128" s="58">
        <f t="shared" si="429"/>
        <v>26058.98928089764</v>
      </c>
      <c r="BP128" s="58">
        <f t="shared" si="429"/>
        <v>28186.860570618621</v>
      </c>
      <c r="BQ128" s="58">
        <f t="shared" si="429"/>
        <v>30482.507732264203</v>
      </c>
      <c r="BR128" s="58">
        <f t="shared" si="429"/>
        <v>32114.822756177669</v>
      </c>
      <c r="BS128" s="58">
        <f t="shared" si="429"/>
        <v>34748.619352032845</v>
      </c>
      <c r="BT128" s="58">
        <f t="shared" si="429"/>
        <v>35004.953048896343</v>
      </c>
      <c r="BU128" s="58">
        <f t="shared" si="429"/>
        <v>35430.879051003401</v>
      </c>
      <c r="BV128" s="58">
        <f t="shared" si="429"/>
        <v>35936.31226822469</v>
      </c>
      <c r="BW128" s="254">
        <f t="shared" si="429"/>
        <v>37587.675065475785</v>
      </c>
      <c r="BX128" s="58">
        <f t="shared" si="429"/>
        <v>37752.777754908057</v>
      </c>
      <c r="BY128" s="58">
        <f t="shared" si="429"/>
        <v>39289.016137772625</v>
      </c>
      <c r="BZ128" s="58">
        <f t="shared" si="429"/>
        <v>41387.840364329335</v>
      </c>
      <c r="CA128" s="58">
        <f t="shared" si="429"/>
        <v>43648.81615367972</v>
      </c>
      <c r="CB128" s="58">
        <f t="shared" ref="CB128:DG128" si="430">CB115+CB111+CB127</f>
        <v>46811.6497494215</v>
      </c>
      <c r="CC128" s="58">
        <f t="shared" si="430"/>
        <v>49363.378362532618</v>
      </c>
      <c r="CD128" s="58">
        <f t="shared" si="430"/>
        <v>50882.182375264922</v>
      </c>
      <c r="CE128" s="58">
        <f t="shared" si="430"/>
        <v>54193.374140492961</v>
      </c>
      <c r="CF128" s="58">
        <f t="shared" si="430"/>
        <v>54234.778633749942</v>
      </c>
      <c r="CG128" s="58">
        <f t="shared" si="430"/>
        <v>54965.329206397095</v>
      </c>
      <c r="CH128" s="58">
        <f t="shared" si="430"/>
        <v>55534.274217783961</v>
      </c>
      <c r="CI128" s="254">
        <f t="shared" si="430"/>
        <v>56837.755343993857</v>
      </c>
      <c r="CJ128" s="58">
        <f t="shared" si="430"/>
        <v>57644.205623193666</v>
      </c>
      <c r="CK128" s="58">
        <f t="shared" si="430"/>
        <v>59051.26208032373</v>
      </c>
      <c r="CL128" s="58">
        <f t="shared" si="430"/>
        <v>61074.823834941802</v>
      </c>
      <c r="CM128" s="58">
        <f t="shared" si="430"/>
        <v>64074.739367570735</v>
      </c>
      <c r="CN128" s="58">
        <f t="shared" si="430"/>
        <v>67722.791503103013</v>
      </c>
      <c r="CO128" s="58">
        <f t="shared" si="430"/>
        <v>70324.787521543622</v>
      </c>
      <c r="CP128" s="58">
        <f t="shared" si="430"/>
        <v>72530.164609186686</v>
      </c>
      <c r="CQ128" s="58">
        <f t="shared" si="430"/>
        <v>76304.94728799905</v>
      </c>
      <c r="CR128" s="58">
        <f t="shared" si="430"/>
        <v>76160.965084853029</v>
      </c>
      <c r="CS128" s="58">
        <f t="shared" si="430"/>
        <v>77414.272801076047</v>
      </c>
      <c r="CT128" s="58">
        <f t="shared" si="430"/>
        <v>78149.623331683324</v>
      </c>
      <c r="CU128" s="254">
        <f t="shared" si="430"/>
        <v>79669.540342522523</v>
      </c>
      <c r="CV128" s="58">
        <f t="shared" si="430"/>
        <v>80716.035453841498</v>
      </c>
      <c r="CW128" s="58">
        <f t="shared" si="430"/>
        <v>82415.239624671187</v>
      </c>
      <c r="CX128" s="58">
        <f t="shared" si="430"/>
        <v>84410.248792664162</v>
      </c>
      <c r="CY128" s="58">
        <f t="shared" si="430"/>
        <v>88352.79007686743</v>
      </c>
      <c r="CZ128" s="58">
        <f t="shared" si="430"/>
        <v>92524.026791597149</v>
      </c>
      <c r="DA128" s="58">
        <f t="shared" si="430"/>
        <v>95043.757259571968</v>
      </c>
      <c r="DB128" s="58">
        <f t="shared" si="430"/>
        <v>97863.61756207436</v>
      </c>
      <c r="DC128" s="58">
        <f t="shared" si="430"/>
        <v>101582.48050848719</v>
      </c>
      <c r="DD128" s="58">
        <f t="shared" si="430"/>
        <v>101701.61998692215</v>
      </c>
      <c r="DE128" s="58">
        <f t="shared" si="430"/>
        <v>103138.31708007565</v>
      </c>
      <c r="DF128" s="58">
        <f t="shared" si="430"/>
        <v>103631.95224690755</v>
      </c>
      <c r="DG128" s="58">
        <f t="shared" si="430"/>
        <v>105750.69463576816</v>
      </c>
    </row>
    <row r="129" spans="1:111" x14ac:dyDescent="0.25">
      <c r="A129" s="3"/>
      <c r="B129" s="4" t="s">
        <v>19</v>
      </c>
      <c r="C129" s="4"/>
      <c r="D129" s="56">
        <f t="shared" ref="D129:M129" si="431">D128</f>
        <v>0</v>
      </c>
      <c r="E129" s="56">
        <f t="shared" si="431"/>
        <v>0</v>
      </c>
      <c r="F129" s="56">
        <f t="shared" si="431"/>
        <v>0</v>
      </c>
      <c r="G129" s="56">
        <f t="shared" si="431"/>
        <v>0</v>
      </c>
      <c r="H129" s="56">
        <f t="shared" si="431"/>
        <v>0</v>
      </c>
      <c r="I129" s="56">
        <f t="shared" si="431"/>
        <v>0</v>
      </c>
      <c r="J129" s="56">
        <f t="shared" si="431"/>
        <v>0</v>
      </c>
      <c r="K129" s="56">
        <f t="shared" si="431"/>
        <v>0</v>
      </c>
      <c r="L129" s="56">
        <f t="shared" si="431"/>
        <v>0</v>
      </c>
      <c r="M129" s="56">
        <f t="shared" si="431"/>
        <v>0</v>
      </c>
      <c r="N129" s="56">
        <f>N128</f>
        <v>0</v>
      </c>
      <c r="O129" s="56">
        <f t="shared" ref="O129:BZ129" si="432">O128</f>
        <v>0</v>
      </c>
      <c r="P129" s="56">
        <f t="shared" ref="P129:W129" si="433">P128</f>
        <v>0</v>
      </c>
      <c r="Q129" s="56">
        <f t="shared" si="433"/>
        <v>0</v>
      </c>
      <c r="R129" s="56">
        <f t="shared" si="433"/>
        <v>0</v>
      </c>
      <c r="S129" s="56">
        <f t="shared" si="433"/>
        <v>0</v>
      </c>
      <c r="T129" s="56">
        <f t="shared" si="433"/>
        <v>0</v>
      </c>
      <c r="U129" s="56">
        <f t="shared" si="433"/>
        <v>0</v>
      </c>
      <c r="V129" s="56">
        <f t="shared" si="433"/>
        <v>0</v>
      </c>
      <c r="W129" s="56">
        <f t="shared" si="433"/>
        <v>0</v>
      </c>
      <c r="X129" s="56">
        <f t="shared" ref="X129:AE129" si="434">X128</f>
        <v>0</v>
      </c>
      <c r="Y129" s="56">
        <f t="shared" si="434"/>
        <v>0</v>
      </c>
      <c r="Z129" s="56">
        <f t="shared" si="434"/>
        <v>0</v>
      </c>
      <c r="AA129" s="56">
        <f t="shared" si="434"/>
        <v>0</v>
      </c>
      <c r="AB129" s="56">
        <f t="shared" si="434"/>
        <v>886.67000000000007</v>
      </c>
      <c r="AC129" s="56">
        <f t="shared" si="434"/>
        <v>997.5</v>
      </c>
      <c r="AD129" s="56">
        <f t="shared" si="434"/>
        <v>2882.5</v>
      </c>
      <c r="AE129" s="56">
        <f t="shared" si="434"/>
        <v>2067.67</v>
      </c>
      <c r="AF129" s="56">
        <f t="shared" ref="AF129:AT129" si="435">AF128</f>
        <v>2882.7000000000003</v>
      </c>
      <c r="AG129" s="56">
        <f t="shared" si="435"/>
        <v>2961.33</v>
      </c>
      <c r="AH129" s="56">
        <f t="shared" si="435"/>
        <v>3250.89</v>
      </c>
      <c r="AI129" s="56">
        <f t="shared" si="435"/>
        <v>1442.81</v>
      </c>
      <c r="AJ129" s="56">
        <f t="shared" si="435"/>
        <v>853.90000000000009</v>
      </c>
      <c r="AK129" s="56">
        <f t="shared" si="435"/>
        <v>2723.1899999999996</v>
      </c>
      <c r="AL129" s="56">
        <f t="shared" si="435"/>
        <v>2023.67</v>
      </c>
      <c r="AM129" s="56">
        <f t="shared" si="435"/>
        <v>1920.56</v>
      </c>
      <c r="AN129" s="56">
        <f t="shared" si="435"/>
        <v>2644.26</v>
      </c>
      <c r="AO129" s="56">
        <f t="shared" si="435"/>
        <v>2957.6000000000004</v>
      </c>
      <c r="AP129" s="56">
        <f t="shared" si="435"/>
        <v>3880.89</v>
      </c>
      <c r="AQ129" s="56">
        <f t="shared" si="435"/>
        <v>5191.1400000000003</v>
      </c>
      <c r="AR129" s="56">
        <f t="shared" si="435"/>
        <v>7326.8200000000006</v>
      </c>
      <c r="AS129" s="56">
        <f t="shared" si="435"/>
        <v>7193.9100000000008</v>
      </c>
      <c r="AT129" s="56">
        <f t="shared" si="435"/>
        <v>7114.24</v>
      </c>
      <c r="AU129" s="56">
        <f t="shared" ref="AU129:AV129" si="436">AU128</f>
        <v>7935.09</v>
      </c>
      <c r="AV129" s="56">
        <f t="shared" si="436"/>
        <v>6887.65</v>
      </c>
      <c r="AW129" s="253">
        <f t="shared" ref="AW129" si="437">AW128</f>
        <v>6355.62</v>
      </c>
      <c r="AX129" s="56">
        <f t="shared" ref="AX129" si="438">AX128</f>
        <v>6882.7846958765404</v>
      </c>
      <c r="AY129" s="253">
        <f t="shared" si="432"/>
        <v>7230.1484755807314</v>
      </c>
      <c r="AZ129" s="56">
        <f t="shared" si="432"/>
        <v>7093.7784318222211</v>
      </c>
      <c r="BA129" s="56">
        <f t="shared" si="432"/>
        <v>7678.5375787572229</v>
      </c>
      <c r="BB129" s="56">
        <f t="shared" si="432"/>
        <v>8796.4438637904805</v>
      </c>
      <c r="BC129" s="56">
        <f t="shared" si="432"/>
        <v>10987.719522475729</v>
      </c>
      <c r="BD129" s="56">
        <f t="shared" si="432"/>
        <v>12703.679560489993</v>
      </c>
      <c r="BE129" s="56">
        <f t="shared" si="432"/>
        <v>14619.196799527557</v>
      </c>
      <c r="BF129" s="56">
        <f t="shared" si="432"/>
        <v>16253.15473409114</v>
      </c>
      <c r="BG129" s="56">
        <f t="shared" si="432"/>
        <v>18214.190198571876</v>
      </c>
      <c r="BH129" s="56">
        <f t="shared" si="432"/>
        <v>18370.377879706899</v>
      </c>
      <c r="BI129" s="56">
        <f t="shared" si="432"/>
        <v>18837.149786011105</v>
      </c>
      <c r="BJ129" s="56">
        <f t="shared" si="432"/>
        <v>19064.399698912806</v>
      </c>
      <c r="BK129" s="253">
        <f t="shared" si="432"/>
        <v>20472.011341238915</v>
      </c>
      <c r="BL129" s="56">
        <f t="shared" si="432"/>
        <v>20550.224341139856</v>
      </c>
      <c r="BM129" s="56">
        <f t="shared" si="432"/>
        <v>21594.171891072292</v>
      </c>
      <c r="BN129" s="56">
        <f t="shared" si="432"/>
        <v>23440.126445713271</v>
      </c>
      <c r="BO129" s="56">
        <f t="shared" si="432"/>
        <v>26058.98928089764</v>
      </c>
      <c r="BP129" s="56">
        <f t="shared" si="432"/>
        <v>28186.860570618621</v>
      </c>
      <c r="BQ129" s="56">
        <f t="shared" si="432"/>
        <v>30482.507732264203</v>
      </c>
      <c r="BR129" s="56">
        <f t="shared" si="432"/>
        <v>32114.822756177669</v>
      </c>
      <c r="BS129" s="56">
        <f t="shared" si="432"/>
        <v>34748.619352032845</v>
      </c>
      <c r="BT129" s="56">
        <f t="shared" si="432"/>
        <v>35004.953048896343</v>
      </c>
      <c r="BU129" s="56">
        <f t="shared" si="432"/>
        <v>35430.879051003401</v>
      </c>
      <c r="BV129" s="56">
        <f t="shared" si="432"/>
        <v>35936.31226822469</v>
      </c>
      <c r="BW129" s="253">
        <f t="shared" si="432"/>
        <v>37587.675065475785</v>
      </c>
      <c r="BX129" s="56">
        <f t="shared" si="432"/>
        <v>37752.777754908057</v>
      </c>
      <c r="BY129" s="56">
        <f t="shared" si="432"/>
        <v>39289.016137772625</v>
      </c>
      <c r="BZ129" s="56">
        <f t="shared" si="432"/>
        <v>41387.840364329335</v>
      </c>
      <c r="CA129" s="56">
        <f t="shared" ref="CA129:DG129" si="439">CA128</f>
        <v>43648.81615367972</v>
      </c>
      <c r="CB129" s="56">
        <f t="shared" si="439"/>
        <v>46811.6497494215</v>
      </c>
      <c r="CC129" s="56">
        <f t="shared" si="439"/>
        <v>49363.378362532618</v>
      </c>
      <c r="CD129" s="56">
        <f t="shared" si="439"/>
        <v>50882.182375264922</v>
      </c>
      <c r="CE129" s="56">
        <f t="shared" si="439"/>
        <v>54193.374140492961</v>
      </c>
      <c r="CF129" s="56">
        <f t="shared" si="439"/>
        <v>54234.778633749942</v>
      </c>
      <c r="CG129" s="56">
        <f t="shared" si="439"/>
        <v>54965.329206397095</v>
      </c>
      <c r="CH129" s="56">
        <f t="shared" si="439"/>
        <v>55534.274217783961</v>
      </c>
      <c r="CI129" s="253">
        <f t="shared" si="439"/>
        <v>56837.755343993857</v>
      </c>
      <c r="CJ129" s="56">
        <f t="shared" si="439"/>
        <v>57644.205623193666</v>
      </c>
      <c r="CK129" s="56">
        <f t="shared" si="439"/>
        <v>59051.26208032373</v>
      </c>
      <c r="CL129" s="56">
        <f t="shared" si="439"/>
        <v>61074.823834941802</v>
      </c>
      <c r="CM129" s="56">
        <f t="shared" si="439"/>
        <v>64074.739367570735</v>
      </c>
      <c r="CN129" s="56">
        <f t="shared" si="439"/>
        <v>67722.791503103013</v>
      </c>
      <c r="CO129" s="56">
        <f t="shared" si="439"/>
        <v>70324.787521543622</v>
      </c>
      <c r="CP129" s="56">
        <f t="shared" si="439"/>
        <v>72530.164609186686</v>
      </c>
      <c r="CQ129" s="56">
        <f t="shared" si="439"/>
        <v>76304.94728799905</v>
      </c>
      <c r="CR129" s="56">
        <f t="shared" si="439"/>
        <v>76160.965084853029</v>
      </c>
      <c r="CS129" s="56">
        <f t="shared" si="439"/>
        <v>77414.272801076047</v>
      </c>
      <c r="CT129" s="56">
        <f t="shared" si="439"/>
        <v>78149.623331683324</v>
      </c>
      <c r="CU129" s="253">
        <f t="shared" si="439"/>
        <v>79669.540342522523</v>
      </c>
      <c r="CV129" s="56">
        <f t="shared" si="439"/>
        <v>80716.035453841498</v>
      </c>
      <c r="CW129" s="56">
        <f t="shared" si="439"/>
        <v>82415.239624671187</v>
      </c>
      <c r="CX129" s="56">
        <f t="shared" si="439"/>
        <v>84410.248792664162</v>
      </c>
      <c r="CY129" s="56">
        <f t="shared" si="439"/>
        <v>88352.79007686743</v>
      </c>
      <c r="CZ129" s="56">
        <f t="shared" si="439"/>
        <v>92524.026791597149</v>
      </c>
      <c r="DA129" s="56">
        <f t="shared" si="439"/>
        <v>95043.757259571968</v>
      </c>
      <c r="DB129" s="56">
        <f t="shared" si="439"/>
        <v>97863.61756207436</v>
      </c>
      <c r="DC129" s="56">
        <f t="shared" si="439"/>
        <v>101582.48050848719</v>
      </c>
      <c r="DD129" s="56">
        <f t="shared" si="439"/>
        <v>101701.61998692215</v>
      </c>
      <c r="DE129" s="56">
        <f t="shared" si="439"/>
        <v>103138.31708007565</v>
      </c>
      <c r="DF129" s="56">
        <f t="shared" si="439"/>
        <v>103631.95224690755</v>
      </c>
      <c r="DG129" s="56">
        <f t="shared" si="439"/>
        <v>105750.69463576816</v>
      </c>
    </row>
    <row r="130" spans="1:111" x14ac:dyDescent="0.25">
      <c r="B130" s="1" t="s">
        <v>20</v>
      </c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594"/>
      <c r="AX130" s="2"/>
      <c r="AY130" s="251"/>
      <c r="BK130" s="251"/>
      <c r="BW130" s="251"/>
      <c r="CI130" s="251"/>
      <c r="CU130" s="251"/>
    </row>
    <row r="131" spans="1:111" x14ac:dyDescent="0.25">
      <c r="B131" s="1" t="s">
        <v>21</v>
      </c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594"/>
      <c r="AX131" s="2"/>
      <c r="AY131" s="251"/>
      <c r="BK131" s="251"/>
      <c r="BW131" s="251"/>
      <c r="CI131" s="251"/>
      <c r="CU131" s="251"/>
    </row>
    <row r="132" spans="1:111" s="30" customFormat="1" x14ac:dyDescent="0.25">
      <c r="A132"/>
      <c r="B132" s="1" t="s">
        <v>191</v>
      </c>
      <c r="C132" s="1"/>
      <c r="D132" s="2"/>
      <c r="E132" s="2"/>
      <c r="F132" s="2"/>
      <c r="G132" s="2"/>
      <c r="H132" s="2"/>
      <c r="I132" s="2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>
        <v>0</v>
      </c>
      <c r="X132" s="116">
        <v>0</v>
      </c>
      <c r="Y132" s="116">
        <v>0</v>
      </c>
      <c r="Z132" s="116">
        <v>0</v>
      </c>
      <c r="AA132" s="116">
        <v>0</v>
      </c>
      <c r="AB132" s="116"/>
      <c r="AC132" s="116">
        <v>0</v>
      </c>
      <c r="AD132" s="116">
        <v>0</v>
      </c>
      <c r="AE132" s="116">
        <v>0</v>
      </c>
      <c r="AF132" s="116">
        <v>285</v>
      </c>
      <c r="AG132" s="116">
        <v>185</v>
      </c>
      <c r="AH132" s="116">
        <v>-115</v>
      </c>
      <c r="AI132" s="116">
        <v>0</v>
      </c>
      <c r="AJ132" s="116">
        <v>-40</v>
      </c>
      <c r="AK132" s="116">
        <v>0</v>
      </c>
      <c r="AL132" s="116">
        <v>330.08</v>
      </c>
      <c r="AM132" s="116">
        <v>147.19999999999999</v>
      </c>
      <c r="AN132" s="116">
        <v>147.19999999999999</v>
      </c>
      <c r="AO132" s="116">
        <v>147.19999999999999</v>
      </c>
      <c r="AP132" s="116">
        <v>147.19999999999999</v>
      </c>
      <c r="AQ132" s="116">
        <v>147.19999999999999</v>
      </c>
      <c r="AR132" s="116">
        <v>147.19999999999999</v>
      </c>
      <c r="AS132" s="116">
        <v>147.19999999999999</v>
      </c>
      <c r="AT132" s="116">
        <v>229.7</v>
      </c>
      <c r="AU132" s="116">
        <v>147.19999999999999</v>
      </c>
      <c r="AV132" s="116">
        <v>465.95</v>
      </c>
      <c r="AW132" s="252">
        <v>530.95000000000005</v>
      </c>
      <c r="AX132" s="632">
        <f>+AW132</f>
        <v>530.95000000000005</v>
      </c>
      <c r="AY132" s="262">
        <f t="shared" ref="AY132:CC132" si="440">AX132</f>
        <v>530.95000000000005</v>
      </c>
      <c r="AZ132" s="9">
        <f t="shared" si="440"/>
        <v>530.95000000000005</v>
      </c>
      <c r="BA132" s="9">
        <f t="shared" si="440"/>
        <v>530.95000000000005</v>
      </c>
      <c r="BB132" s="9">
        <f t="shared" si="440"/>
        <v>530.95000000000005</v>
      </c>
      <c r="BC132" s="9">
        <f t="shared" si="440"/>
        <v>530.95000000000005</v>
      </c>
      <c r="BD132" s="9">
        <f t="shared" si="440"/>
        <v>530.95000000000005</v>
      </c>
      <c r="BE132" s="9">
        <f t="shared" si="440"/>
        <v>530.95000000000005</v>
      </c>
      <c r="BF132" s="9">
        <f t="shared" si="440"/>
        <v>530.95000000000005</v>
      </c>
      <c r="BG132" s="9">
        <f t="shared" si="440"/>
        <v>530.95000000000005</v>
      </c>
      <c r="BH132" s="9">
        <f t="shared" si="440"/>
        <v>530.95000000000005</v>
      </c>
      <c r="BI132" s="9">
        <f t="shared" si="440"/>
        <v>530.95000000000005</v>
      </c>
      <c r="BJ132" s="9">
        <f t="shared" si="440"/>
        <v>530.95000000000005</v>
      </c>
      <c r="BK132" s="262">
        <f t="shared" si="440"/>
        <v>530.95000000000005</v>
      </c>
      <c r="BL132" s="9">
        <f t="shared" si="440"/>
        <v>530.95000000000005</v>
      </c>
      <c r="BM132" s="9">
        <f t="shared" si="440"/>
        <v>530.95000000000005</v>
      </c>
      <c r="BN132" s="9">
        <f t="shared" si="440"/>
        <v>530.95000000000005</v>
      </c>
      <c r="BO132" s="9">
        <f t="shared" si="440"/>
        <v>530.95000000000005</v>
      </c>
      <c r="BP132" s="9">
        <f t="shared" si="440"/>
        <v>530.95000000000005</v>
      </c>
      <c r="BQ132" s="9">
        <f t="shared" si="440"/>
        <v>530.95000000000005</v>
      </c>
      <c r="BR132" s="9">
        <f t="shared" si="440"/>
        <v>530.95000000000005</v>
      </c>
      <c r="BS132" s="9">
        <f t="shared" si="440"/>
        <v>530.95000000000005</v>
      </c>
      <c r="BT132" s="9">
        <f t="shared" si="440"/>
        <v>530.95000000000005</v>
      </c>
      <c r="BU132" s="9">
        <f t="shared" si="440"/>
        <v>530.95000000000005</v>
      </c>
      <c r="BV132" s="9">
        <f t="shared" si="440"/>
        <v>530.95000000000005</v>
      </c>
      <c r="BW132" s="262">
        <f t="shared" si="440"/>
        <v>530.95000000000005</v>
      </c>
      <c r="BX132" s="9">
        <f t="shared" si="440"/>
        <v>530.95000000000005</v>
      </c>
      <c r="BY132" s="9">
        <f t="shared" si="440"/>
        <v>530.95000000000005</v>
      </c>
      <c r="BZ132" s="9">
        <f t="shared" si="440"/>
        <v>530.95000000000005</v>
      </c>
      <c r="CA132" s="9">
        <f t="shared" si="440"/>
        <v>530.95000000000005</v>
      </c>
      <c r="CB132" s="9">
        <f t="shared" si="440"/>
        <v>530.95000000000005</v>
      </c>
      <c r="CC132" s="9">
        <f t="shared" si="440"/>
        <v>530.95000000000005</v>
      </c>
      <c r="CD132" s="9">
        <f t="shared" ref="CD132:DG132" si="441">CC132</f>
        <v>530.95000000000005</v>
      </c>
      <c r="CE132" s="9">
        <f t="shared" si="441"/>
        <v>530.95000000000005</v>
      </c>
      <c r="CF132" s="9">
        <f t="shared" si="441"/>
        <v>530.95000000000005</v>
      </c>
      <c r="CG132" s="9">
        <f t="shared" si="441"/>
        <v>530.95000000000005</v>
      </c>
      <c r="CH132" s="9">
        <f t="shared" si="441"/>
        <v>530.95000000000005</v>
      </c>
      <c r="CI132" s="262">
        <f t="shared" si="441"/>
        <v>530.95000000000005</v>
      </c>
      <c r="CJ132" s="9">
        <f t="shared" si="441"/>
        <v>530.95000000000005</v>
      </c>
      <c r="CK132" s="9">
        <f t="shared" si="441"/>
        <v>530.95000000000005</v>
      </c>
      <c r="CL132" s="9">
        <f t="shared" si="441"/>
        <v>530.95000000000005</v>
      </c>
      <c r="CM132" s="9">
        <f t="shared" si="441"/>
        <v>530.95000000000005</v>
      </c>
      <c r="CN132" s="9">
        <f t="shared" si="441"/>
        <v>530.95000000000005</v>
      </c>
      <c r="CO132" s="9">
        <f t="shared" si="441"/>
        <v>530.95000000000005</v>
      </c>
      <c r="CP132" s="9">
        <f t="shared" si="441"/>
        <v>530.95000000000005</v>
      </c>
      <c r="CQ132" s="9">
        <f t="shared" si="441"/>
        <v>530.95000000000005</v>
      </c>
      <c r="CR132" s="9">
        <f t="shared" si="441"/>
        <v>530.95000000000005</v>
      </c>
      <c r="CS132" s="9">
        <f t="shared" si="441"/>
        <v>530.95000000000005</v>
      </c>
      <c r="CT132" s="9">
        <f t="shared" si="441"/>
        <v>530.95000000000005</v>
      </c>
      <c r="CU132" s="262">
        <f t="shared" si="441"/>
        <v>530.95000000000005</v>
      </c>
      <c r="CV132" s="9">
        <f t="shared" si="441"/>
        <v>530.95000000000005</v>
      </c>
      <c r="CW132" s="9">
        <f t="shared" si="441"/>
        <v>530.95000000000005</v>
      </c>
      <c r="CX132" s="9">
        <f t="shared" si="441"/>
        <v>530.95000000000005</v>
      </c>
      <c r="CY132" s="9">
        <f t="shared" si="441"/>
        <v>530.95000000000005</v>
      </c>
      <c r="CZ132" s="9">
        <f t="shared" si="441"/>
        <v>530.95000000000005</v>
      </c>
      <c r="DA132" s="9">
        <f t="shared" si="441"/>
        <v>530.95000000000005</v>
      </c>
      <c r="DB132" s="9">
        <f t="shared" si="441"/>
        <v>530.95000000000005</v>
      </c>
      <c r="DC132" s="9">
        <f t="shared" si="441"/>
        <v>530.95000000000005</v>
      </c>
      <c r="DD132" s="9">
        <f t="shared" si="441"/>
        <v>530.95000000000005</v>
      </c>
      <c r="DE132" s="9">
        <f t="shared" si="441"/>
        <v>530.95000000000005</v>
      </c>
      <c r="DF132" s="9">
        <f t="shared" si="441"/>
        <v>530.95000000000005</v>
      </c>
      <c r="DG132" s="9">
        <f t="shared" si="441"/>
        <v>530.95000000000005</v>
      </c>
    </row>
    <row r="133" spans="1:111" s="30" customFormat="1" x14ac:dyDescent="0.25">
      <c r="A133"/>
      <c r="B133" s="1" t="s">
        <v>372</v>
      </c>
      <c r="C133" s="1"/>
      <c r="D133" s="2"/>
      <c r="E133" s="2"/>
      <c r="F133" s="2"/>
      <c r="G133" s="2"/>
      <c r="H133" s="2"/>
      <c r="I133" s="2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  <c r="AA133" s="116"/>
      <c r="AB133" s="116"/>
      <c r="AC133" s="116"/>
      <c r="AD133" s="116"/>
      <c r="AE133" s="116"/>
      <c r="AF133" s="116"/>
      <c r="AG133" s="116"/>
      <c r="AH133" s="116"/>
      <c r="AI133" s="116"/>
      <c r="AJ133" s="116"/>
      <c r="AK133" s="116"/>
      <c r="AL133" s="116"/>
      <c r="AM133" s="116"/>
      <c r="AN133" s="116"/>
      <c r="AO133" s="116"/>
      <c r="AP133" s="116"/>
      <c r="AQ133" s="116"/>
      <c r="AR133" s="116"/>
      <c r="AS133" s="116"/>
      <c r="AT133" s="116"/>
      <c r="AU133" s="116"/>
      <c r="AV133" s="116"/>
      <c r="AW133" s="252"/>
      <c r="AX133" s="632"/>
      <c r="AY133" s="262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262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262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262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262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</row>
    <row r="134" spans="1:111" s="30" customFormat="1" x14ac:dyDescent="0.25">
      <c r="A134"/>
      <c r="B134" s="1" t="s">
        <v>373</v>
      </c>
      <c r="C134" s="1"/>
      <c r="D134" s="2"/>
      <c r="E134" s="2"/>
      <c r="F134" s="2"/>
      <c r="G134" s="2"/>
      <c r="H134" s="2"/>
      <c r="I134" s="2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  <c r="AA134" s="116"/>
      <c r="AB134" s="116"/>
      <c r="AC134" s="116"/>
      <c r="AD134" s="116"/>
      <c r="AE134" s="116"/>
      <c r="AF134" s="116"/>
      <c r="AG134" s="116"/>
      <c r="AH134" s="116"/>
      <c r="AI134" s="116"/>
      <c r="AJ134" s="116"/>
      <c r="AK134" s="116"/>
      <c r="AL134" s="116"/>
      <c r="AM134" s="116"/>
      <c r="AN134" s="116"/>
      <c r="AO134" s="116"/>
      <c r="AP134" s="116"/>
      <c r="AQ134" s="116"/>
      <c r="AR134" s="116"/>
      <c r="AS134" s="116"/>
      <c r="AT134" s="116"/>
      <c r="AU134" s="116"/>
      <c r="AV134" s="116"/>
      <c r="AW134" s="252"/>
      <c r="AX134" s="632"/>
      <c r="AY134" s="262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262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262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262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262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</row>
    <row r="135" spans="1:111" s="30" customFormat="1" x14ac:dyDescent="0.25">
      <c r="A135"/>
      <c r="B135" s="1" t="s">
        <v>374</v>
      </c>
      <c r="C135" s="1"/>
      <c r="D135" s="2"/>
      <c r="E135" s="2"/>
      <c r="F135" s="2"/>
      <c r="G135" s="2"/>
      <c r="H135" s="2"/>
      <c r="I135" s="2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  <c r="AB135" s="116"/>
      <c r="AC135" s="116"/>
      <c r="AD135" s="116"/>
      <c r="AE135" s="116"/>
      <c r="AF135" s="116"/>
      <c r="AG135" s="116"/>
      <c r="AH135" s="116"/>
      <c r="AI135" s="116"/>
      <c r="AJ135" s="116"/>
      <c r="AK135" s="116"/>
      <c r="AL135" s="116"/>
      <c r="AM135" s="116">
        <v>1100.0899999999999</v>
      </c>
      <c r="AN135" s="116">
        <v>878.5</v>
      </c>
      <c r="AO135" s="116">
        <v>0</v>
      </c>
      <c r="AP135" s="116">
        <v>0</v>
      </c>
      <c r="AQ135" s="116">
        <v>0</v>
      </c>
      <c r="AR135" s="116">
        <v>0</v>
      </c>
      <c r="AS135" s="116">
        <v>0</v>
      </c>
      <c r="AT135" s="116">
        <v>0</v>
      </c>
      <c r="AU135" s="116">
        <v>0</v>
      </c>
      <c r="AV135" s="116">
        <v>750</v>
      </c>
      <c r="AW135" s="252">
        <v>0</v>
      </c>
      <c r="AX135" s="632">
        <v>0</v>
      </c>
      <c r="AY135" s="262">
        <f t="shared" ref="AY135:DA135" si="442">+IF(AX135-(AW135-AX135)&lt;0, 0, AX135-(AW135-AX135))</f>
        <v>0</v>
      </c>
      <c r="AZ135" s="9">
        <f t="shared" si="442"/>
        <v>0</v>
      </c>
      <c r="BA135" s="9">
        <f t="shared" si="442"/>
        <v>0</v>
      </c>
      <c r="BB135" s="9">
        <f t="shared" si="442"/>
        <v>0</v>
      </c>
      <c r="BC135" s="9">
        <f t="shared" si="442"/>
        <v>0</v>
      </c>
      <c r="BD135" s="9">
        <f t="shared" si="442"/>
        <v>0</v>
      </c>
      <c r="BE135" s="9">
        <f t="shared" si="442"/>
        <v>0</v>
      </c>
      <c r="BF135" s="9">
        <f t="shared" si="442"/>
        <v>0</v>
      </c>
      <c r="BG135" s="9">
        <f t="shared" si="442"/>
        <v>0</v>
      </c>
      <c r="BH135" s="9">
        <f t="shared" si="442"/>
        <v>0</v>
      </c>
      <c r="BI135" s="9">
        <f t="shared" si="442"/>
        <v>0</v>
      </c>
      <c r="BJ135" s="9">
        <f t="shared" si="442"/>
        <v>0</v>
      </c>
      <c r="BK135" s="262">
        <f t="shared" si="442"/>
        <v>0</v>
      </c>
      <c r="BL135" s="9">
        <f t="shared" si="442"/>
        <v>0</v>
      </c>
      <c r="BM135" s="9">
        <f t="shared" si="442"/>
        <v>0</v>
      </c>
      <c r="BN135" s="9">
        <f t="shared" si="442"/>
        <v>0</v>
      </c>
      <c r="BO135" s="9">
        <f t="shared" si="442"/>
        <v>0</v>
      </c>
      <c r="BP135" s="9">
        <f t="shared" si="442"/>
        <v>0</v>
      </c>
      <c r="BQ135" s="9">
        <f t="shared" si="442"/>
        <v>0</v>
      </c>
      <c r="BR135" s="9">
        <f t="shared" si="442"/>
        <v>0</v>
      </c>
      <c r="BS135" s="9">
        <f t="shared" si="442"/>
        <v>0</v>
      </c>
      <c r="BT135" s="9">
        <f t="shared" si="442"/>
        <v>0</v>
      </c>
      <c r="BU135" s="9">
        <f t="shared" si="442"/>
        <v>0</v>
      </c>
      <c r="BV135" s="9">
        <f t="shared" si="442"/>
        <v>0</v>
      </c>
      <c r="BW135" s="262">
        <f t="shared" si="442"/>
        <v>0</v>
      </c>
      <c r="BX135" s="9">
        <f t="shared" si="442"/>
        <v>0</v>
      </c>
      <c r="BY135" s="9">
        <f t="shared" si="442"/>
        <v>0</v>
      </c>
      <c r="BZ135" s="9">
        <f t="shared" si="442"/>
        <v>0</v>
      </c>
      <c r="CA135" s="9">
        <f t="shared" si="442"/>
        <v>0</v>
      </c>
      <c r="CB135" s="9">
        <f t="shared" si="442"/>
        <v>0</v>
      </c>
      <c r="CC135" s="9">
        <f t="shared" si="442"/>
        <v>0</v>
      </c>
      <c r="CD135" s="9">
        <f t="shared" si="442"/>
        <v>0</v>
      </c>
      <c r="CE135" s="9">
        <f t="shared" si="442"/>
        <v>0</v>
      </c>
      <c r="CF135" s="9">
        <f t="shared" si="442"/>
        <v>0</v>
      </c>
      <c r="CG135" s="9">
        <f t="shared" si="442"/>
        <v>0</v>
      </c>
      <c r="CH135" s="9">
        <f t="shared" si="442"/>
        <v>0</v>
      </c>
      <c r="CI135" s="262">
        <f t="shared" si="442"/>
        <v>0</v>
      </c>
      <c r="CJ135" s="9">
        <f t="shared" si="442"/>
        <v>0</v>
      </c>
      <c r="CK135" s="9">
        <f t="shared" si="442"/>
        <v>0</v>
      </c>
      <c r="CL135" s="9">
        <f t="shared" si="442"/>
        <v>0</v>
      </c>
      <c r="CM135" s="9">
        <f t="shared" si="442"/>
        <v>0</v>
      </c>
      <c r="CN135" s="9">
        <f t="shared" si="442"/>
        <v>0</v>
      </c>
      <c r="CO135" s="9">
        <f t="shared" si="442"/>
        <v>0</v>
      </c>
      <c r="CP135" s="9">
        <f t="shared" si="442"/>
        <v>0</v>
      </c>
      <c r="CQ135" s="9">
        <f t="shared" si="442"/>
        <v>0</v>
      </c>
      <c r="CR135" s="9">
        <f t="shared" si="442"/>
        <v>0</v>
      </c>
      <c r="CS135" s="9">
        <f t="shared" si="442"/>
        <v>0</v>
      </c>
      <c r="CT135" s="9">
        <f t="shared" si="442"/>
        <v>0</v>
      </c>
      <c r="CU135" s="262">
        <f t="shared" si="442"/>
        <v>0</v>
      </c>
      <c r="CV135" s="9">
        <f t="shared" si="442"/>
        <v>0</v>
      </c>
      <c r="CW135" s="9">
        <f t="shared" si="442"/>
        <v>0</v>
      </c>
      <c r="CX135" s="9">
        <f t="shared" si="442"/>
        <v>0</v>
      </c>
      <c r="CY135" s="9">
        <f t="shared" si="442"/>
        <v>0</v>
      </c>
      <c r="CZ135" s="9">
        <f t="shared" si="442"/>
        <v>0</v>
      </c>
      <c r="DA135" s="9">
        <f t="shared" si="442"/>
        <v>0</v>
      </c>
      <c r="DB135" s="9">
        <f t="shared" ref="DB135:DG135" si="443">+IF(DA135-(CZ135-DA135)&lt;0, 0, DA135-(CZ135-DA135))</f>
        <v>0</v>
      </c>
      <c r="DC135" s="9">
        <f t="shared" si="443"/>
        <v>0</v>
      </c>
      <c r="DD135" s="9">
        <f t="shared" si="443"/>
        <v>0</v>
      </c>
      <c r="DE135" s="9">
        <f t="shared" si="443"/>
        <v>0</v>
      </c>
      <c r="DF135" s="9">
        <f t="shared" si="443"/>
        <v>0</v>
      </c>
      <c r="DG135" s="9">
        <f t="shared" si="443"/>
        <v>0</v>
      </c>
    </row>
    <row r="136" spans="1:111" s="30" customFormat="1" x14ac:dyDescent="0.25">
      <c r="A136"/>
      <c r="B136" s="1" t="s">
        <v>376</v>
      </c>
      <c r="C136" s="1"/>
      <c r="D136" s="2"/>
      <c r="E136" s="2"/>
      <c r="F136" s="2"/>
      <c r="G136" s="2"/>
      <c r="H136" s="2"/>
      <c r="I136" s="2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  <c r="AA136" s="116"/>
      <c r="AB136" s="116"/>
      <c r="AC136" s="116"/>
      <c r="AD136" s="116"/>
      <c r="AE136" s="116"/>
      <c r="AF136" s="116"/>
      <c r="AG136" s="116"/>
      <c r="AH136" s="116"/>
      <c r="AI136" s="116"/>
      <c r="AJ136" s="116"/>
      <c r="AK136" s="116"/>
      <c r="AL136" s="116"/>
      <c r="AM136" s="116"/>
      <c r="AN136" s="116"/>
      <c r="AO136" s="116">
        <v>0</v>
      </c>
      <c r="AP136" s="116">
        <v>0</v>
      </c>
      <c r="AQ136" s="116">
        <v>0</v>
      </c>
      <c r="AR136" s="116">
        <v>0</v>
      </c>
      <c r="AS136" s="116">
        <v>0</v>
      </c>
      <c r="AT136" s="116">
        <v>0</v>
      </c>
      <c r="AU136" s="116">
        <v>0</v>
      </c>
      <c r="AV136" s="116">
        <v>0</v>
      </c>
      <c r="AW136" s="252">
        <v>0</v>
      </c>
      <c r="AX136" s="632">
        <f t="shared" ref="AX136:BE136" si="444">+AW136</f>
        <v>0</v>
      </c>
      <c r="AY136" s="262">
        <f t="shared" si="444"/>
        <v>0</v>
      </c>
      <c r="AZ136" s="9">
        <f t="shared" si="444"/>
        <v>0</v>
      </c>
      <c r="BA136" s="9">
        <f t="shared" si="444"/>
        <v>0</v>
      </c>
      <c r="BB136" s="9">
        <f t="shared" si="444"/>
        <v>0</v>
      </c>
      <c r="BC136" s="9">
        <f t="shared" si="444"/>
        <v>0</v>
      </c>
      <c r="BD136" s="9">
        <f t="shared" si="444"/>
        <v>0</v>
      </c>
      <c r="BE136" s="9">
        <f t="shared" si="444"/>
        <v>0</v>
      </c>
      <c r="BF136" s="9">
        <f t="shared" ref="BF136:DG137" si="445">+BE136</f>
        <v>0</v>
      </c>
      <c r="BG136" s="9">
        <f t="shared" si="445"/>
        <v>0</v>
      </c>
      <c r="BH136" s="9">
        <f t="shared" si="445"/>
        <v>0</v>
      </c>
      <c r="BI136" s="9">
        <f t="shared" si="445"/>
        <v>0</v>
      </c>
      <c r="BJ136" s="9">
        <f t="shared" si="445"/>
        <v>0</v>
      </c>
      <c r="BK136" s="262">
        <f t="shared" si="445"/>
        <v>0</v>
      </c>
      <c r="BL136" s="9">
        <f t="shared" si="445"/>
        <v>0</v>
      </c>
      <c r="BM136" s="9">
        <f t="shared" si="445"/>
        <v>0</v>
      </c>
      <c r="BN136" s="9">
        <f t="shared" si="445"/>
        <v>0</v>
      </c>
      <c r="BO136" s="9">
        <f t="shared" si="445"/>
        <v>0</v>
      </c>
      <c r="BP136" s="9">
        <f t="shared" si="445"/>
        <v>0</v>
      </c>
      <c r="BQ136" s="9">
        <f t="shared" si="445"/>
        <v>0</v>
      </c>
      <c r="BR136" s="9">
        <f t="shared" si="445"/>
        <v>0</v>
      </c>
      <c r="BS136" s="9">
        <f t="shared" si="445"/>
        <v>0</v>
      </c>
      <c r="BT136" s="9">
        <f t="shared" si="445"/>
        <v>0</v>
      </c>
      <c r="BU136" s="9">
        <f t="shared" si="445"/>
        <v>0</v>
      </c>
      <c r="BV136" s="9">
        <f t="shared" si="445"/>
        <v>0</v>
      </c>
      <c r="BW136" s="262">
        <f t="shared" si="445"/>
        <v>0</v>
      </c>
      <c r="BX136" s="9">
        <f t="shared" si="445"/>
        <v>0</v>
      </c>
      <c r="BY136" s="9">
        <f t="shared" si="445"/>
        <v>0</v>
      </c>
      <c r="BZ136" s="9">
        <f t="shared" si="445"/>
        <v>0</v>
      </c>
      <c r="CA136" s="9">
        <f t="shared" si="445"/>
        <v>0</v>
      </c>
      <c r="CB136" s="9">
        <f t="shared" si="445"/>
        <v>0</v>
      </c>
      <c r="CC136" s="9">
        <f t="shared" si="445"/>
        <v>0</v>
      </c>
      <c r="CD136" s="9">
        <f t="shared" si="445"/>
        <v>0</v>
      </c>
      <c r="CE136" s="9">
        <f t="shared" si="445"/>
        <v>0</v>
      </c>
      <c r="CF136" s="9">
        <f t="shared" si="445"/>
        <v>0</v>
      </c>
      <c r="CG136" s="9">
        <f t="shared" si="445"/>
        <v>0</v>
      </c>
      <c r="CH136" s="9">
        <f t="shared" si="445"/>
        <v>0</v>
      </c>
      <c r="CI136" s="262">
        <f t="shared" si="445"/>
        <v>0</v>
      </c>
      <c r="CJ136" s="9">
        <f t="shared" si="445"/>
        <v>0</v>
      </c>
      <c r="CK136" s="9">
        <f t="shared" si="445"/>
        <v>0</v>
      </c>
      <c r="CL136" s="9">
        <f t="shared" si="445"/>
        <v>0</v>
      </c>
      <c r="CM136" s="9">
        <f t="shared" si="445"/>
        <v>0</v>
      </c>
      <c r="CN136" s="9">
        <f t="shared" si="445"/>
        <v>0</v>
      </c>
      <c r="CO136" s="9">
        <f t="shared" si="445"/>
        <v>0</v>
      </c>
      <c r="CP136" s="9">
        <f t="shared" si="445"/>
        <v>0</v>
      </c>
      <c r="CQ136" s="9">
        <f t="shared" si="445"/>
        <v>0</v>
      </c>
      <c r="CR136" s="9">
        <f t="shared" si="445"/>
        <v>0</v>
      </c>
      <c r="CS136" s="9">
        <f t="shared" si="445"/>
        <v>0</v>
      </c>
      <c r="CT136" s="9">
        <f t="shared" si="445"/>
        <v>0</v>
      </c>
      <c r="CU136" s="262">
        <f t="shared" si="445"/>
        <v>0</v>
      </c>
      <c r="CV136" s="9">
        <f t="shared" si="445"/>
        <v>0</v>
      </c>
      <c r="CW136" s="9">
        <f t="shared" si="445"/>
        <v>0</v>
      </c>
      <c r="CX136" s="9">
        <f t="shared" si="445"/>
        <v>0</v>
      </c>
      <c r="CY136" s="9">
        <f t="shared" si="445"/>
        <v>0</v>
      </c>
      <c r="CZ136" s="9">
        <f t="shared" si="445"/>
        <v>0</v>
      </c>
      <c r="DA136" s="9">
        <f t="shared" si="445"/>
        <v>0</v>
      </c>
      <c r="DB136" s="9">
        <f t="shared" si="445"/>
        <v>0</v>
      </c>
      <c r="DC136" s="9">
        <f t="shared" si="445"/>
        <v>0</v>
      </c>
      <c r="DD136" s="9">
        <f t="shared" si="445"/>
        <v>0</v>
      </c>
      <c r="DE136" s="9">
        <f t="shared" si="445"/>
        <v>0</v>
      </c>
      <c r="DF136" s="9">
        <f t="shared" si="445"/>
        <v>0</v>
      </c>
      <c r="DG136" s="9">
        <f t="shared" si="445"/>
        <v>0</v>
      </c>
    </row>
    <row r="137" spans="1:111" s="30" customFormat="1" x14ac:dyDescent="0.25">
      <c r="A137"/>
      <c r="B137" s="1" t="s">
        <v>377</v>
      </c>
      <c r="C137" s="1"/>
      <c r="D137" s="2"/>
      <c r="E137" s="2"/>
      <c r="F137" s="2"/>
      <c r="G137" s="2"/>
      <c r="H137" s="2"/>
      <c r="I137" s="2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6"/>
      <c r="AN137" s="116"/>
      <c r="AO137" s="116">
        <v>741.05</v>
      </c>
      <c r="AP137" s="116">
        <v>719.88</v>
      </c>
      <c r="AQ137" s="116">
        <v>988.86</v>
      </c>
      <c r="AR137" s="116">
        <v>1190.2</v>
      </c>
      <c r="AS137" s="116">
        <v>600.27</v>
      </c>
      <c r="AT137" s="116">
        <v>900.42</v>
      </c>
      <c r="AU137" s="116">
        <v>644.07000000000005</v>
      </c>
      <c r="AV137" s="116">
        <v>300.14</v>
      </c>
      <c r="AW137" s="252">
        <v>325</v>
      </c>
      <c r="AX137" s="632">
        <f>+AW137/2</f>
        <v>162.5</v>
      </c>
      <c r="AY137" s="262">
        <f t="shared" ref="AY137:DB137" si="446">+AX137</f>
        <v>162.5</v>
      </c>
      <c r="AZ137" s="9">
        <f t="shared" si="446"/>
        <v>162.5</v>
      </c>
      <c r="BA137" s="9">
        <f t="shared" si="446"/>
        <v>162.5</v>
      </c>
      <c r="BB137" s="9">
        <f t="shared" si="446"/>
        <v>162.5</v>
      </c>
      <c r="BC137" s="9">
        <f t="shared" si="446"/>
        <v>162.5</v>
      </c>
      <c r="BD137" s="9">
        <f t="shared" si="446"/>
        <v>162.5</v>
      </c>
      <c r="BE137" s="9">
        <f t="shared" si="446"/>
        <v>162.5</v>
      </c>
      <c r="BF137" s="9">
        <f t="shared" si="446"/>
        <v>162.5</v>
      </c>
      <c r="BG137" s="9">
        <f t="shared" si="446"/>
        <v>162.5</v>
      </c>
      <c r="BH137" s="9">
        <f t="shared" si="446"/>
        <v>162.5</v>
      </c>
      <c r="BI137" s="9">
        <f t="shared" si="446"/>
        <v>162.5</v>
      </c>
      <c r="BJ137" s="9">
        <f t="shared" si="446"/>
        <v>162.5</v>
      </c>
      <c r="BK137" s="262">
        <f t="shared" si="446"/>
        <v>162.5</v>
      </c>
      <c r="BL137" s="9">
        <f t="shared" si="446"/>
        <v>162.5</v>
      </c>
      <c r="BM137" s="9">
        <f t="shared" si="446"/>
        <v>162.5</v>
      </c>
      <c r="BN137" s="9">
        <f t="shared" si="446"/>
        <v>162.5</v>
      </c>
      <c r="BO137" s="9">
        <f t="shared" si="446"/>
        <v>162.5</v>
      </c>
      <c r="BP137" s="9">
        <f t="shared" si="446"/>
        <v>162.5</v>
      </c>
      <c r="BQ137" s="9">
        <f t="shared" si="446"/>
        <v>162.5</v>
      </c>
      <c r="BR137" s="9">
        <f t="shared" si="446"/>
        <v>162.5</v>
      </c>
      <c r="BS137" s="9">
        <f t="shared" si="446"/>
        <v>162.5</v>
      </c>
      <c r="BT137" s="9">
        <f t="shared" si="446"/>
        <v>162.5</v>
      </c>
      <c r="BU137" s="9">
        <f t="shared" si="446"/>
        <v>162.5</v>
      </c>
      <c r="BV137" s="9">
        <f t="shared" si="446"/>
        <v>162.5</v>
      </c>
      <c r="BW137" s="262">
        <f t="shared" si="446"/>
        <v>162.5</v>
      </c>
      <c r="BX137" s="9">
        <f t="shared" si="446"/>
        <v>162.5</v>
      </c>
      <c r="BY137" s="9">
        <f t="shared" si="446"/>
        <v>162.5</v>
      </c>
      <c r="BZ137" s="9">
        <f t="shared" si="446"/>
        <v>162.5</v>
      </c>
      <c r="CA137" s="9">
        <f t="shared" si="446"/>
        <v>162.5</v>
      </c>
      <c r="CB137" s="9">
        <f t="shared" si="446"/>
        <v>162.5</v>
      </c>
      <c r="CC137" s="9">
        <f t="shared" si="446"/>
        <v>162.5</v>
      </c>
      <c r="CD137" s="9">
        <f t="shared" si="446"/>
        <v>162.5</v>
      </c>
      <c r="CE137" s="9">
        <f t="shared" si="446"/>
        <v>162.5</v>
      </c>
      <c r="CF137" s="9">
        <f t="shared" si="446"/>
        <v>162.5</v>
      </c>
      <c r="CG137" s="9">
        <f t="shared" si="446"/>
        <v>162.5</v>
      </c>
      <c r="CH137" s="9">
        <f t="shared" si="446"/>
        <v>162.5</v>
      </c>
      <c r="CI137" s="262">
        <f t="shared" si="446"/>
        <v>162.5</v>
      </c>
      <c r="CJ137" s="9">
        <f t="shared" si="446"/>
        <v>162.5</v>
      </c>
      <c r="CK137" s="9">
        <f t="shared" si="446"/>
        <v>162.5</v>
      </c>
      <c r="CL137" s="9">
        <f t="shared" si="446"/>
        <v>162.5</v>
      </c>
      <c r="CM137" s="9">
        <f t="shared" si="446"/>
        <v>162.5</v>
      </c>
      <c r="CN137" s="9">
        <f t="shared" si="446"/>
        <v>162.5</v>
      </c>
      <c r="CO137" s="9">
        <f t="shared" si="446"/>
        <v>162.5</v>
      </c>
      <c r="CP137" s="9">
        <f t="shared" si="446"/>
        <v>162.5</v>
      </c>
      <c r="CQ137" s="9">
        <f t="shared" si="446"/>
        <v>162.5</v>
      </c>
      <c r="CR137" s="9">
        <f t="shared" si="446"/>
        <v>162.5</v>
      </c>
      <c r="CS137" s="9">
        <f t="shared" si="446"/>
        <v>162.5</v>
      </c>
      <c r="CT137" s="9">
        <f t="shared" si="446"/>
        <v>162.5</v>
      </c>
      <c r="CU137" s="262">
        <f t="shared" si="446"/>
        <v>162.5</v>
      </c>
      <c r="CV137" s="9">
        <f t="shared" si="446"/>
        <v>162.5</v>
      </c>
      <c r="CW137" s="9">
        <f t="shared" si="446"/>
        <v>162.5</v>
      </c>
      <c r="CX137" s="9">
        <f t="shared" si="446"/>
        <v>162.5</v>
      </c>
      <c r="CY137" s="9">
        <f t="shared" si="446"/>
        <v>162.5</v>
      </c>
      <c r="CZ137" s="9">
        <f t="shared" si="446"/>
        <v>162.5</v>
      </c>
      <c r="DA137" s="9">
        <f t="shared" si="446"/>
        <v>162.5</v>
      </c>
      <c r="DB137" s="9">
        <f t="shared" si="446"/>
        <v>162.5</v>
      </c>
      <c r="DC137" s="9">
        <f t="shared" si="445"/>
        <v>162.5</v>
      </c>
      <c r="DD137" s="9">
        <f t="shared" si="445"/>
        <v>162.5</v>
      </c>
      <c r="DE137" s="9">
        <f t="shared" si="445"/>
        <v>162.5</v>
      </c>
      <c r="DF137" s="9">
        <f t="shared" si="445"/>
        <v>162.5</v>
      </c>
      <c r="DG137" s="9">
        <f t="shared" si="445"/>
        <v>162.5</v>
      </c>
    </row>
    <row r="138" spans="1:111" s="30" customFormat="1" x14ac:dyDescent="0.25">
      <c r="A138"/>
      <c r="B138" s="1" t="s">
        <v>378</v>
      </c>
      <c r="C138" s="1"/>
      <c r="D138" s="2"/>
      <c r="E138" s="2"/>
      <c r="F138" s="2"/>
      <c r="G138" s="2"/>
      <c r="H138" s="2"/>
      <c r="I138" s="2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  <c r="AB138" s="116"/>
      <c r="AC138" s="116"/>
      <c r="AD138" s="116"/>
      <c r="AE138" s="116"/>
      <c r="AF138" s="116"/>
      <c r="AG138" s="116"/>
      <c r="AH138" s="116"/>
      <c r="AI138" s="116"/>
      <c r="AJ138" s="116"/>
      <c r="AK138" s="116"/>
      <c r="AL138" s="116"/>
      <c r="AM138" s="116"/>
      <c r="AN138" s="116"/>
      <c r="AO138" s="116">
        <v>-63.15</v>
      </c>
      <c r="AP138" s="116">
        <v>-126.3</v>
      </c>
      <c r="AQ138" s="116">
        <v>117.46</v>
      </c>
      <c r="AR138" s="116">
        <v>70.62</v>
      </c>
      <c r="AS138" s="116">
        <v>-70.27</v>
      </c>
      <c r="AT138" s="116">
        <v>-14.39</v>
      </c>
      <c r="AU138" s="116">
        <v>132.54</v>
      </c>
      <c r="AV138" s="116">
        <v>49.72</v>
      </c>
      <c r="AW138" s="252">
        <v>24.87</v>
      </c>
      <c r="AX138" s="632">
        <f>+AW138</f>
        <v>24.87</v>
      </c>
      <c r="AY138" s="262">
        <f t="shared" ref="AY138:DB139" si="447">+AX138</f>
        <v>24.87</v>
      </c>
      <c r="AZ138" s="9">
        <f t="shared" si="447"/>
        <v>24.87</v>
      </c>
      <c r="BA138" s="9">
        <f t="shared" si="447"/>
        <v>24.87</v>
      </c>
      <c r="BB138" s="9">
        <f t="shared" si="447"/>
        <v>24.87</v>
      </c>
      <c r="BC138" s="9">
        <f t="shared" si="447"/>
        <v>24.87</v>
      </c>
      <c r="BD138" s="9">
        <f t="shared" si="447"/>
        <v>24.87</v>
      </c>
      <c r="BE138" s="9">
        <f t="shared" si="447"/>
        <v>24.87</v>
      </c>
      <c r="BF138" s="9">
        <f t="shared" si="447"/>
        <v>24.87</v>
      </c>
      <c r="BG138" s="9">
        <f t="shared" si="447"/>
        <v>24.87</v>
      </c>
      <c r="BH138" s="9">
        <f t="shared" si="447"/>
        <v>24.87</v>
      </c>
      <c r="BI138" s="9">
        <f t="shared" si="447"/>
        <v>24.87</v>
      </c>
      <c r="BJ138" s="9">
        <f t="shared" si="447"/>
        <v>24.87</v>
      </c>
      <c r="BK138" s="262">
        <f t="shared" si="447"/>
        <v>24.87</v>
      </c>
      <c r="BL138" s="9">
        <f t="shared" si="447"/>
        <v>24.87</v>
      </c>
      <c r="BM138" s="9">
        <f t="shared" si="447"/>
        <v>24.87</v>
      </c>
      <c r="BN138" s="9">
        <f t="shared" si="447"/>
        <v>24.87</v>
      </c>
      <c r="BO138" s="9">
        <f t="shared" si="447"/>
        <v>24.87</v>
      </c>
      <c r="BP138" s="9">
        <f t="shared" si="447"/>
        <v>24.87</v>
      </c>
      <c r="BQ138" s="9">
        <f t="shared" si="447"/>
        <v>24.87</v>
      </c>
      <c r="BR138" s="9">
        <f t="shared" si="447"/>
        <v>24.87</v>
      </c>
      <c r="BS138" s="9">
        <f t="shared" si="447"/>
        <v>24.87</v>
      </c>
      <c r="BT138" s="9">
        <f t="shared" si="447"/>
        <v>24.87</v>
      </c>
      <c r="BU138" s="9">
        <f t="shared" si="447"/>
        <v>24.87</v>
      </c>
      <c r="BV138" s="9">
        <f t="shared" si="447"/>
        <v>24.87</v>
      </c>
      <c r="BW138" s="262">
        <f t="shared" si="447"/>
        <v>24.87</v>
      </c>
      <c r="BX138" s="9">
        <f t="shared" si="447"/>
        <v>24.87</v>
      </c>
      <c r="BY138" s="9">
        <f t="shared" si="447"/>
        <v>24.87</v>
      </c>
      <c r="BZ138" s="9">
        <f t="shared" si="447"/>
        <v>24.87</v>
      </c>
      <c r="CA138" s="9">
        <f t="shared" si="447"/>
        <v>24.87</v>
      </c>
      <c r="CB138" s="9">
        <f t="shared" si="447"/>
        <v>24.87</v>
      </c>
      <c r="CC138" s="9">
        <f t="shared" si="447"/>
        <v>24.87</v>
      </c>
      <c r="CD138" s="9">
        <f t="shared" si="447"/>
        <v>24.87</v>
      </c>
      <c r="CE138" s="9">
        <f t="shared" si="447"/>
        <v>24.87</v>
      </c>
      <c r="CF138" s="9">
        <f t="shared" si="447"/>
        <v>24.87</v>
      </c>
      <c r="CG138" s="9">
        <f t="shared" si="447"/>
        <v>24.87</v>
      </c>
      <c r="CH138" s="9">
        <f t="shared" si="447"/>
        <v>24.87</v>
      </c>
      <c r="CI138" s="262">
        <f t="shared" si="447"/>
        <v>24.87</v>
      </c>
      <c r="CJ138" s="9">
        <f t="shared" si="447"/>
        <v>24.87</v>
      </c>
      <c r="CK138" s="9">
        <f t="shared" si="447"/>
        <v>24.87</v>
      </c>
      <c r="CL138" s="9">
        <f t="shared" si="447"/>
        <v>24.87</v>
      </c>
      <c r="CM138" s="9">
        <f t="shared" si="447"/>
        <v>24.87</v>
      </c>
      <c r="CN138" s="9">
        <f t="shared" si="447"/>
        <v>24.87</v>
      </c>
      <c r="CO138" s="9">
        <f t="shared" si="447"/>
        <v>24.87</v>
      </c>
      <c r="CP138" s="9">
        <f t="shared" si="447"/>
        <v>24.87</v>
      </c>
      <c r="CQ138" s="9">
        <f t="shared" si="447"/>
        <v>24.87</v>
      </c>
      <c r="CR138" s="9">
        <f t="shared" si="447"/>
        <v>24.87</v>
      </c>
      <c r="CS138" s="9">
        <f t="shared" si="447"/>
        <v>24.87</v>
      </c>
      <c r="CT138" s="9">
        <f t="shared" si="447"/>
        <v>24.87</v>
      </c>
      <c r="CU138" s="262">
        <f t="shared" si="447"/>
        <v>24.87</v>
      </c>
      <c r="CV138" s="9">
        <f t="shared" si="447"/>
        <v>24.87</v>
      </c>
      <c r="CW138" s="9">
        <f t="shared" si="447"/>
        <v>24.87</v>
      </c>
      <c r="CX138" s="9">
        <f t="shared" si="447"/>
        <v>24.87</v>
      </c>
      <c r="CY138" s="9">
        <f t="shared" si="447"/>
        <v>24.87</v>
      </c>
      <c r="CZ138" s="9">
        <f t="shared" si="447"/>
        <v>24.87</v>
      </c>
      <c r="DA138" s="9">
        <f t="shared" si="447"/>
        <v>24.87</v>
      </c>
      <c r="DB138" s="9">
        <f t="shared" si="447"/>
        <v>24.87</v>
      </c>
      <c r="DC138" s="9">
        <f t="shared" ref="DC138:DG139" si="448">+DB138</f>
        <v>24.87</v>
      </c>
      <c r="DD138" s="9">
        <f t="shared" si="448"/>
        <v>24.87</v>
      </c>
      <c r="DE138" s="9">
        <f t="shared" si="448"/>
        <v>24.87</v>
      </c>
      <c r="DF138" s="9">
        <f t="shared" si="448"/>
        <v>24.87</v>
      </c>
      <c r="DG138" s="9">
        <f t="shared" si="448"/>
        <v>24.87</v>
      </c>
    </row>
    <row r="139" spans="1:111" s="30" customFormat="1" x14ac:dyDescent="0.25">
      <c r="A139"/>
      <c r="B139" s="1" t="s">
        <v>386</v>
      </c>
      <c r="C139" s="1"/>
      <c r="D139" s="2"/>
      <c r="E139" s="2"/>
      <c r="F139" s="2"/>
      <c r="G139" s="2"/>
      <c r="H139" s="2"/>
      <c r="I139" s="2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  <c r="AA139" s="116"/>
      <c r="AB139" s="116"/>
      <c r="AC139" s="116"/>
      <c r="AD139" s="116"/>
      <c r="AE139" s="116"/>
      <c r="AF139" s="116"/>
      <c r="AG139" s="116"/>
      <c r="AH139" s="116"/>
      <c r="AI139" s="116"/>
      <c r="AJ139" s="116"/>
      <c r="AK139" s="116"/>
      <c r="AL139" s="116"/>
      <c r="AM139" s="116"/>
      <c r="AN139" s="116"/>
      <c r="AO139" s="116">
        <v>0</v>
      </c>
      <c r="AP139" s="116">
        <v>0</v>
      </c>
      <c r="AQ139" s="116">
        <v>-12.57</v>
      </c>
      <c r="AR139" s="116">
        <v>-25.14</v>
      </c>
      <c r="AS139" s="116">
        <v>-363.97</v>
      </c>
      <c r="AT139" s="116">
        <v>-731.8</v>
      </c>
      <c r="AU139" s="116">
        <v>-957.63</v>
      </c>
      <c r="AV139" s="116">
        <v>-1002.89</v>
      </c>
      <c r="AW139" s="252">
        <v>-1048.1500000000001</v>
      </c>
      <c r="AX139" s="632">
        <v>0</v>
      </c>
      <c r="AY139" s="262">
        <f t="shared" si="447"/>
        <v>0</v>
      </c>
      <c r="AZ139" s="9">
        <f t="shared" si="447"/>
        <v>0</v>
      </c>
      <c r="BA139" s="9">
        <f t="shared" si="447"/>
        <v>0</v>
      </c>
      <c r="BB139" s="9">
        <f t="shared" si="447"/>
        <v>0</v>
      </c>
      <c r="BC139" s="9">
        <f t="shared" si="447"/>
        <v>0</v>
      </c>
      <c r="BD139" s="9">
        <f t="shared" si="447"/>
        <v>0</v>
      </c>
      <c r="BE139" s="9">
        <f t="shared" si="447"/>
        <v>0</v>
      </c>
      <c r="BF139" s="9">
        <f t="shared" si="447"/>
        <v>0</v>
      </c>
      <c r="BG139" s="9">
        <f t="shared" si="447"/>
        <v>0</v>
      </c>
      <c r="BH139" s="9">
        <f t="shared" si="447"/>
        <v>0</v>
      </c>
      <c r="BI139" s="9">
        <f t="shared" si="447"/>
        <v>0</v>
      </c>
      <c r="BJ139" s="9">
        <f t="shared" si="447"/>
        <v>0</v>
      </c>
      <c r="BK139" s="262">
        <f t="shared" si="447"/>
        <v>0</v>
      </c>
      <c r="BL139" s="9">
        <f t="shared" si="447"/>
        <v>0</v>
      </c>
      <c r="BM139" s="9">
        <f t="shared" si="447"/>
        <v>0</v>
      </c>
      <c r="BN139" s="9">
        <f t="shared" si="447"/>
        <v>0</v>
      </c>
      <c r="BO139" s="9">
        <f t="shared" si="447"/>
        <v>0</v>
      </c>
      <c r="BP139" s="9">
        <f t="shared" si="447"/>
        <v>0</v>
      </c>
      <c r="BQ139" s="9">
        <f t="shared" si="447"/>
        <v>0</v>
      </c>
      <c r="BR139" s="9">
        <f t="shared" si="447"/>
        <v>0</v>
      </c>
      <c r="BS139" s="9">
        <f t="shared" si="447"/>
        <v>0</v>
      </c>
      <c r="BT139" s="9">
        <f t="shared" si="447"/>
        <v>0</v>
      </c>
      <c r="BU139" s="9">
        <f t="shared" si="447"/>
        <v>0</v>
      </c>
      <c r="BV139" s="9">
        <f t="shared" si="447"/>
        <v>0</v>
      </c>
      <c r="BW139" s="262">
        <f t="shared" si="447"/>
        <v>0</v>
      </c>
      <c r="BX139" s="9">
        <f t="shared" si="447"/>
        <v>0</v>
      </c>
      <c r="BY139" s="9">
        <f t="shared" si="447"/>
        <v>0</v>
      </c>
      <c r="BZ139" s="9">
        <f t="shared" si="447"/>
        <v>0</v>
      </c>
      <c r="CA139" s="9">
        <f t="shared" si="447"/>
        <v>0</v>
      </c>
      <c r="CB139" s="9">
        <f t="shared" si="447"/>
        <v>0</v>
      </c>
      <c r="CC139" s="9">
        <f t="shared" si="447"/>
        <v>0</v>
      </c>
      <c r="CD139" s="9">
        <f t="shared" si="447"/>
        <v>0</v>
      </c>
      <c r="CE139" s="9">
        <f t="shared" si="447"/>
        <v>0</v>
      </c>
      <c r="CF139" s="9">
        <f t="shared" si="447"/>
        <v>0</v>
      </c>
      <c r="CG139" s="9">
        <f t="shared" si="447"/>
        <v>0</v>
      </c>
      <c r="CH139" s="9">
        <f t="shared" si="447"/>
        <v>0</v>
      </c>
      <c r="CI139" s="262">
        <f t="shared" si="447"/>
        <v>0</v>
      </c>
      <c r="CJ139" s="9">
        <f t="shared" si="447"/>
        <v>0</v>
      </c>
      <c r="CK139" s="9">
        <f t="shared" si="447"/>
        <v>0</v>
      </c>
      <c r="CL139" s="9">
        <f t="shared" si="447"/>
        <v>0</v>
      </c>
      <c r="CM139" s="9">
        <f t="shared" si="447"/>
        <v>0</v>
      </c>
      <c r="CN139" s="9">
        <f t="shared" si="447"/>
        <v>0</v>
      </c>
      <c r="CO139" s="9">
        <f t="shared" si="447"/>
        <v>0</v>
      </c>
      <c r="CP139" s="9">
        <f t="shared" si="447"/>
        <v>0</v>
      </c>
      <c r="CQ139" s="9">
        <f t="shared" si="447"/>
        <v>0</v>
      </c>
      <c r="CR139" s="9">
        <f t="shared" si="447"/>
        <v>0</v>
      </c>
      <c r="CS139" s="9">
        <f t="shared" si="447"/>
        <v>0</v>
      </c>
      <c r="CT139" s="9">
        <f t="shared" si="447"/>
        <v>0</v>
      </c>
      <c r="CU139" s="262">
        <f t="shared" si="447"/>
        <v>0</v>
      </c>
      <c r="CV139" s="9">
        <f t="shared" si="447"/>
        <v>0</v>
      </c>
      <c r="CW139" s="9">
        <f t="shared" si="447"/>
        <v>0</v>
      </c>
      <c r="CX139" s="9">
        <f t="shared" si="447"/>
        <v>0</v>
      </c>
      <c r="CY139" s="9">
        <f t="shared" si="447"/>
        <v>0</v>
      </c>
      <c r="CZ139" s="9">
        <f t="shared" si="447"/>
        <v>0</v>
      </c>
      <c r="DA139" s="9">
        <f t="shared" si="447"/>
        <v>0</v>
      </c>
      <c r="DB139" s="9">
        <f t="shared" si="447"/>
        <v>0</v>
      </c>
      <c r="DC139" s="9">
        <f t="shared" si="448"/>
        <v>0</v>
      </c>
      <c r="DD139" s="9">
        <f t="shared" si="448"/>
        <v>0</v>
      </c>
      <c r="DE139" s="9">
        <f t="shared" si="448"/>
        <v>0</v>
      </c>
      <c r="DF139" s="9">
        <f t="shared" si="448"/>
        <v>0</v>
      </c>
      <c r="DG139" s="9">
        <f t="shared" si="448"/>
        <v>0</v>
      </c>
    </row>
    <row r="140" spans="1:111" s="30" customFormat="1" x14ac:dyDescent="0.25">
      <c r="A140"/>
      <c r="B140" s="1" t="s">
        <v>387</v>
      </c>
      <c r="C140" s="1"/>
      <c r="D140" s="2"/>
      <c r="E140" s="2"/>
      <c r="F140" s="2"/>
      <c r="G140" s="2"/>
      <c r="H140" s="2"/>
      <c r="I140" s="2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  <c r="AA140" s="116"/>
      <c r="AB140" s="116"/>
      <c r="AC140" s="116"/>
      <c r="AD140" s="116"/>
      <c r="AE140" s="116"/>
      <c r="AF140" s="116"/>
      <c r="AG140" s="116"/>
      <c r="AH140" s="116"/>
      <c r="AI140" s="116"/>
      <c r="AJ140" s="116"/>
      <c r="AK140" s="116"/>
      <c r="AL140" s="116"/>
      <c r="AM140" s="116"/>
      <c r="AN140" s="116"/>
      <c r="AO140" s="116">
        <v>0</v>
      </c>
      <c r="AP140" s="116">
        <v>0</v>
      </c>
      <c r="AQ140" s="116">
        <v>500</v>
      </c>
      <c r="AR140" s="116">
        <v>1000</v>
      </c>
      <c r="AS140" s="116">
        <v>1500</v>
      </c>
      <c r="AT140" s="116">
        <v>2000</v>
      </c>
      <c r="AU140" s="116">
        <v>2500</v>
      </c>
      <c r="AV140" s="116">
        <v>3000</v>
      </c>
      <c r="AW140" s="252">
        <v>3500</v>
      </c>
      <c r="AX140" s="632">
        <f>+AW140+AX70</f>
        <v>4000</v>
      </c>
      <c r="AY140" s="262">
        <f t="shared" ref="AY140:DD140" si="449">+AX140</f>
        <v>4000</v>
      </c>
      <c r="AZ140" s="9">
        <f t="shared" si="449"/>
        <v>4000</v>
      </c>
      <c r="BA140" s="9">
        <f t="shared" si="449"/>
        <v>4000</v>
      </c>
      <c r="BB140" s="9">
        <f t="shared" si="449"/>
        <v>4000</v>
      </c>
      <c r="BC140" s="9">
        <f t="shared" si="449"/>
        <v>4000</v>
      </c>
      <c r="BD140" s="9">
        <f t="shared" si="449"/>
        <v>4000</v>
      </c>
      <c r="BE140" s="9">
        <f t="shared" si="449"/>
        <v>4000</v>
      </c>
      <c r="BF140" s="9">
        <f t="shared" si="449"/>
        <v>4000</v>
      </c>
      <c r="BG140" s="9">
        <f t="shared" si="449"/>
        <v>4000</v>
      </c>
      <c r="BH140" s="9">
        <f t="shared" si="449"/>
        <v>4000</v>
      </c>
      <c r="BI140" s="9">
        <f t="shared" si="449"/>
        <v>4000</v>
      </c>
      <c r="BJ140" s="9">
        <f t="shared" si="449"/>
        <v>4000</v>
      </c>
      <c r="BK140" s="262">
        <f t="shared" si="449"/>
        <v>4000</v>
      </c>
      <c r="BL140" s="9">
        <f t="shared" si="449"/>
        <v>4000</v>
      </c>
      <c r="BM140" s="9">
        <f t="shared" si="449"/>
        <v>4000</v>
      </c>
      <c r="BN140" s="9">
        <f t="shared" si="449"/>
        <v>4000</v>
      </c>
      <c r="BO140" s="9">
        <f t="shared" si="449"/>
        <v>4000</v>
      </c>
      <c r="BP140" s="9">
        <f t="shared" si="449"/>
        <v>4000</v>
      </c>
      <c r="BQ140" s="9">
        <f t="shared" si="449"/>
        <v>4000</v>
      </c>
      <c r="BR140" s="9">
        <f t="shared" si="449"/>
        <v>4000</v>
      </c>
      <c r="BS140" s="9">
        <f t="shared" si="449"/>
        <v>4000</v>
      </c>
      <c r="BT140" s="9">
        <f t="shared" si="449"/>
        <v>4000</v>
      </c>
      <c r="BU140" s="9">
        <f t="shared" si="449"/>
        <v>4000</v>
      </c>
      <c r="BV140" s="9">
        <f t="shared" si="449"/>
        <v>4000</v>
      </c>
      <c r="BW140" s="262">
        <f t="shared" si="449"/>
        <v>4000</v>
      </c>
      <c r="BX140" s="9">
        <f t="shared" si="449"/>
        <v>4000</v>
      </c>
      <c r="BY140" s="9">
        <f t="shared" si="449"/>
        <v>4000</v>
      </c>
      <c r="BZ140" s="9">
        <f t="shared" si="449"/>
        <v>4000</v>
      </c>
      <c r="CA140" s="9">
        <f t="shared" si="449"/>
        <v>4000</v>
      </c>
      <c r="CB140" s="9">
        <f t="shared" si="449"/>
        <v>4000</v>
      </c>
      <c r="CC140" s="9">
        <f t="shared" si="449"/>
        <v>4000</v>
      </c>
      <c r="CD140" s="9">
        <f t="shared" si="449"/>
        <v>4000</v>
      </c>
      <c r="CE140" s="9">
        <f t="shared" si="449"/>
        <v>4000</v>
      </c>
      <c r="CF140" s="9">
        <f t="shared" si="449"/>
        <v>4000</v>
      </c>
      <c r="CG140" s="9">
        <f t="shared" si="449"/>
        <v>4000</v>
      </c>
      <c r="CH140" s="9">
        <f t="shared" si="449"/>
        <v>4000</v>
      </c>
      <c r="CI140" s="262">
        <f t="shared" si="449"/>
        <v>4000</v>
      </c>
      <c r="CJ140" s="9">
        <f t="shared" si="449"/>
        <v>4000</v>
      </c>
      <c r="CK140" s="9">
        <f t="shared" si="449"/>
        <v>4000</v>
      </c>
      <c r="CL140" s="9">
        <f t="shared" si="449"/>
        <v>4000</v>
      </c>
      <c r="CM140" s="9">
        <f t="shared" si="449"/>
        <v>4000</v>
      </c>
      <c r="CN140" s="9">
        <f t="shared" si="449"/>
        <v>4000</v>
      </c>
      <c r="CO140" s="9">
        <f t="shared" si="449"/>
        <v>4000</v>
      </c>
      <c r="CP140" s="9">
        <f t="shared" si="449"/>
        <v>4000</v>
      </c>
      <c r="CQ140" s="9">
        <f t="shared" si="449"/>
        <v>4000</v>
      </c>
      <c r="CR140" s="9">
        <f t="shared" si="449"/>
        <v>4000</v>
      </c>
      <c r="CS140" s="9">
        <f t="shared" si="449"/>
        <v>4000</v>
      </c>
      <c r="CT140" s="9">
        <f t="shared" si="449"/>
        <v>4000</v>
      </c>
      <c r="CU140" s="262">
        <f t="shared" si="449"/>
        <v>4000</v>
      </c>
      <c r="CV140" s="9">
        <f t="shared" si="449"/>
        <v>4000</v>
      </c>
      <c r="CW140" s="9">
        <f t="shared" si="449"/>
        <v>4000</v>
      </c>
      <c r="CX140" s="9">
        <f t="shared" si="449"/>
        <v>4000</v>
      </c>
      <c r="CY140" s="9">
        <f t="shared" si="449"/>
        <v>4000</v>
      </c>
      <c r="CZ140" s="9">
        <f t="shared" si="449"/>
        <v>4000</v>
      </c>
      <c r="DA140" s="9">
        <f t="shared" si="449"/>
        <v>4000</v>
      </c>
      <c r="DB140" s="9">
        <f t="shared" si="449"/>
        <v>4000</v>
      </c>
      <c r="DC140" s="9">
        <f t="shared" si="449"/>
        <v>4000</v>
      </c>
      <c r="DD140" s="9">
        <f t="shared" si="449"/>
        <v>4000</v>
      </c>
      <c r="DE140" s="9">
        <f>+DD140</f>
        <v>4000</v>
      </c>
      <c r="DF140" s="9">
        <f>+DE140</f>
        <v>4000</v>
      </c>
      <c r="DG140" s="9">
        <f>+DF140</f>
        <v>4000</v>
      </c>
    </row>
    <row r="141" spans="1:111" x14ac:dyDescent="0.25">
      <c r="B141" s="1" t="s">
        <v>379</v>
      </c>
      <c r="C141" s="1"/>
      <c r="D141" s="2"/>
      <c r="E141" s="2"/>
      <c r="F141" s="2"/>
      <c r="G141" s="2"/>
      <c r="H141" s="2"/>
      <c r="I141" s="2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>
        <f t="shared" ref="AO141:BT141" si="450">SUM(AO136:AO140)</f>
        <v>677.9</v>
      </c>
      <c r="AP141" s="55">
        <f t="shared" si="450"/>
        <v>593.58000000000004</v>
      </c>
      <c r="AQ141" s="55">
        <f t="shared" si="450"/>
        <v>1593.75</v>
      </c>
      <c r="AR141" s="55">
        <f t="shared" ref="AR141:AX141" si="451">SUM(AR136:AR140)</f>
        <v>2235.6800000000003</v>
      </c>
      <c r="AS141" s="55">
        <f t="shared" si="451"/>
        <v>1666.03</v>
      </c>
      <c r="AT141" s="55">
        <f t="shared" si="451"/>
        <v>2154.23</v>
      </c>
      <c r="AU141" s="55">
        <f t="shared" si="451"/>
        <v>2318.98</v>
      </c>
      <c r="AV141" s="55">
        <f t="shared" si="451"/>
        <v>2346.9700000000003</v>
      </c>
      <c r="AW141" s="257">
        <f t="shared" si="451"/>
        <v>2801.72</v>
      </c>
      <c r="AX141" s="55">
        <f t="shared" si="451"/>
        <v>4187.37</v>
      </c>
      <c r="AY141" s="257">
        <f t="shared" si="450"/>
        <v>4187.37</v>
      </c>
      <c r="AZ141" s="55">
        <f t="shared" si="450"/>
        <v>4187.37</v>
      </c>
      <c r="BA141" s="55">
        <f t="shared" si="450"/>
        <v>4187.37</v>
      </c>
      <c r="BB141" s="55">
        <f t="shared" si="450"/>
        <v>4187.37</v>
      </c>
      <c r="BC141" s="55">
        <f t="shared" si="450"/>
        <v>4187.37</v>
      </c>
      <c r="BD141" s="55">
        <f t="shared" si="450"/>
        <v>4187.37</v>
      </c>
      <c r="BE141" s="55">
        <f t="shared" si="450"/>
        <v>4187.37</v>
      </c>
      <c r="BF141" s="55">
        <f t="shared" si="450"/>
        <v>4187.37</v>
      </c>
      <c r="BG141" s="55">
        <f t="shared" si="450"/>
        <v>4187.37</v>
      </c>
      <c r="BH141" s="55">
        <f t="shared" si="450"/>
        <v>4187.37</v>
      </c>
      <c r="BI141" s="55">
        <f t="shared" si="450"/>
        <v>4187.37</v>
      </c>
      <c r="BJ141" s="55">
        <f t="shared" si="450"/>
        <v>4187.37</v>
      </c>
      <c r="BK141" s="257">
        <f t="shared" si="450"/>
        <v>4187.37</v>
      </c>
      <c r="BL141" s="55">
        <f t="shared" si="450"/>
        <v>4187.37</v>
      </c>
      <c r="BM141" s="55">
        <f t="shared" si="450"/>
        <v>4187.37</v>
      </c>
      <c r="BN141" s="55">
        <f t="shared" si="450"/>
        <v>4187.37</v>
      </c>
      <c r="BO141" s="55">
        <f t="shared" si="450"/>
        <v>4187.37</v>
      </c>
      <c r="BP141" s="55">
        <f t="shared" si="450"/>
        <v>4187.37</v>
      </c>
      <c r="BQ141" s="55">
        <f t="shared" si="450"/>
        <v>4187.37</v>
      </c>
      <c r="BR141" s="55">
        <f t="shared" si="450"/>
        <v>4187.37</v>
      </c>
      <c r="BS141" s="55">
        <f t="shared" si="450"/>
        <v>4187.37</v>
      </c>
      <c r="BT141" s="55">
        <f t="shared" si="450"/>
        <v>4187.37</v>
      </c>
      <c r="BU141" s="55">
        <f t="shared" ref="BU141:CZ141" si="452">SUM(BU136:BU140)</f>
        <v>4187.37</v>
      </c>
      <c r="BV141" s="55">
        <f t="shared" si="452"/>
        <v>4187.37</v>
      </c>
      <c r="BW141" s="257">
        <f t="shared" si="452"/>
        <v>4187.37</v>
      </c>
      <c r="BX141" s="55">
        <f t="shared" si="452"/>
        <v>4187.37</v>
      </c>
      <c r="BY141" s="55">
        <f t="shared" si="452"/>
        <v>4187.37</v>
      </c>
      <c r="BZ141" s="55">
        <f t="shared" si="452"/>
        <v>4187.37</v>
      </c>
      <c r="CA141" s="55">
        <f t="shared" si="452"/>
        <v>4187.37</v>
      </c>
      <c r="CB141" s="55">
        <f t="shared" si="452"/>
        <v>4187.37</v>
      </c>
      <c r="CC141" s="55">
        <f t="shared" si="452"/>
        <v>4187.37</v>
      </c>
      <c r="CD141" s="55">
        <f t="shared" si="452"/>
        <v>4187.37</v>
      </c>
      <c r="CE141" s="55">
        <f t="shared" si="452"/>
        <v>4187.37</v>
      </c>
      <c r="CF141" s="55">
        <f t="shared" si="452"/>
        <v>4187.37</v>
      </c>
      <c r="CG141" s="55">
        <f t="shared" si="452"/>
        <v>4187.37</v>
      </c>
      <c r="CH141" s="55">
        <f t="shared" si="452"/>
        <v>4187.37</v>
      </c>
      <c r="CI141" s="257">
        <f t="shared" si="452"/>
        <v>4187.37</v>
      </c>
      <c r="CJ141" s="55">
        <f t="shared" si="452"/>
        <v>4187.37</v>
      </c>
      <c r="CK141" s="55">
        <f t="shared" si="452"/>
        <v>4187.37</v>
      </c>
      <c r="CL141" s="55">
        <f t="shared" si="452"/>
        <v>4187.37</v>
      </c>
      <c r="CM141" s="55">
        <f t="shared" si="452"/>
        <v>4187.37</v>
      </c>
      <c r="CN141" s="55">
        <f t="shared" si="452"/>
        <v>4187.37</v>
      </c>
      <c r="CO141" s="55">
        <f t="shared" si="452"/>
        <v>4187.37</v>
      </c>
      <c r="CP141" s="55">
        <f t="shared" si="452"/>
        <v>4187.37</v>
      </c>
      <c r="CQ141" s="55">
        <f t="shared" si="452"/>
        <v>4187.37</v>
      </c>
      <c r="CR141" s="55">
        <f t="shared" si="452"/>
        <v>4187.37</v>
      </c>
      <c r="CS141" s="55">
        <f t="shared" si="452"/>
        <v>4187.37</v>
      </c>
      <c r="CT141" s="55">
        <f t="shared" si="452"/>
        <v>4187.37</v>
      </c>
      <c r="CU141" s="257">
        <f t="shared" si="452"/>
        <v>4187.37</v>
      </c>
      <c r="CV141" s="55">
        <f t="shared" si="452"/>
        <v>4187.37</v>
      </c>
      <c r="CW141" s="55">
        <f t="shared" si="452"/>
        <v>4187.37</v>
      </c>
      <c r="CX141" s="55">
        <f t="shared" si="452"/>
        <v>4187.37</v>
      </c>
      <c r="CY141" s="55">
        <f t="shared" si="452"/>
        <v>4187.37</v>
      </c>
      <c r="CZ141" s="55">
        <f t="shared" si="452"/>
        <v>4187.37</v>
      </c>
      <c r="DA141" s="55">
        <f t="shared" ref="DA141:DG141" si="453">SUM(DA136:DA140)</f>
        <v>4187.37</v>
      </c>
      <c r="DB141" s="55">
        <f t="shared" si="453"/>
        <v>4187.37</v>
      </c>
      <c r="DC141" s="55">
        <f t="shared" si="453"/>
        <v>4187.37</v>
      </c>
      <c r="DD141" s="55">
        <f t="shared" si="453"/>
        <v>4187.37</v>
      </c>
      <c r="DE141" s="55">
        <f t="shared" si="453"/>
        <v>4187.37</v>
      </c>
      <c r="DF141" s="55">
        <f t="shared" si="453"/>
        <v>4187.37</v>
      </c>
      <c r="DG141" s="55">
        <f t="shared" si="453"/>
        <v>4187.37</v>
      </c>
    </row>
    <row r="142" spans="1:111" s="30" customFormat="1" x14ac:dyDescent="0.25">
      <c r="A142"/>
      <c r="B142" s="1"/>
      <c r="C142" s="1"/>
      <c r="D142" s="2"/>
      <c r="E142" s="2"/>
      <c r="F142" s="2"/>
      <c r="G142" s="2"/>
      <c r="H142" s="2"/>
      <c r="I142" s="2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  <c r="AB142" s="116"/>
      <c r="AC142" s="116"/>
      <c r="AD142" s="116"/>
      <c r="AE142" s="116"/>
      <c r="AF142" s="116"/>
      <c r="AG142" s="116"/>
      <c r="AH142" s="116"/>
      <c r="AI142" s="116"/>
      <c r="AJ142" s="116"/>
      <c r="AK142" s="116"/>
      <c r="AL142" s="116"/>
      <c r="AM142" s="116"/>
      <c r="AN142" s="116"/>
      <c r="AO142" s="116"/>
      <c r="AP142" s="116"/>
      <c r="AQ142" s="116"/>
      <c r="AR142" s="116"/>
      <c r="AS142" s="116"/>
      <c r="AT142" s="116"/>
      <c r="AU142" s="116"/>
      <c r="AV142" s="116"/>
      <c r="AW142" s="252"/>
      <c r="AX142" s="632"/>
      <c r="AY142" s="262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262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262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262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262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</row>
    <row r="143" spans="1:111" x14ac:dyDescent="0.25">
      <c r="B143" s="1" t="s">
        <v>22</v>
      </c>
      <c r="C143" s="1"/>
      <c r="D143" s="2"/>
      <c r="E143" s="2"/>
      <c r="F143" s="2"/>
      <c r="G143" s="2"/>
      <c r="H143" s="2"/>
      <c r="I143" s="2"/>
      <c r="J143" s="55">
        <f t="shared" ref="J143:AK143" si="454">SUM(J132)</f>
        <v>0</v>
      </c>
      <c r="K143" s="55">
        <f t="shared" si="454"/>
        <v>0</v>
      </c>
      <c r="L143" s="55">
        <f t="shared" si="454"/>
        <v>0</v>
      </c>
      <c r="M143" s="55">
        <f t="shared" si="454"/>
        <v>0</v>
      </c>
      <c r="N143" s="55">
        <f t="shared" si="454"/>
        <v>0</v>
      </c>
      <c r="O143" s="55">
        <f t="shared" si="454"/>
        <v>0</v>
      </c>
      <c r="P143" s="55">
        <f t="shared" si="454"/>
        <v>0</v>
      </c>
      <c r="Q143" s="55">
        <f t="shared" si="454"/>
        <v>0</v>
      </c>
      <c r="R143" s="55">
        <f t="shared" si="454"/>
        <v>0</v>
      </c>
      <c r="S143" s="55">
        <f t="shared" si="454"/>
        <v>0</v>
      </c>
      <c r="T143" s="55">
        <f t="shared" si="454"/>
        <v>0</v>
      </c>
      <c r="U143" s="55">
        <f t="shared" si="454"/>
        <v>0</v>
      </c>
      <c r="V143" s="55">
        <f t="shared" si="454"/>
        <v>0</v>
      </c>
      <c r="W143" s="55">
        <f t="shared" si="454"/>
        <v>0</v>
      </c>
      <c r="X143" s="55">
        <f t="shared" si="454"/>
        <v>0</v>
      </c>
      <c r="Y143" s="55">
        <f t="shared" si="454"/>
        <v>0</v>
      </c>
      <c r="Z143" s="55">
        <f t="shared" si="454"/>
        <v>0</v>
      </c>
      <c r="AA143" s="55">
        <f t="shared" si="454"/>
        <v>0</v>
      </c>
      <c r="AB143" s="55">
        <f t="shared" si="454"/>
        <v>0</v>
      </c>
      <c r="AC143" s="55">
        <f t="shared" si="454"/>
        <v>0</v>
      </c>
      <c r="AD143" s="55">
        <f t="shared" si="454"/>
        <v>0</v>
      </c>
      <c r="AE143" s="55">
        <f t="shared" si="454"/>
        <v>0</v>
      </c>
      <c r="AF143" s="55">
        <f t="shared" si="454"/>
        <v>285</v>
      </c>
      <c r="AG143" s="55">
        <f t="shared" si="454"/>
        <v>185</v>
      </c>
      <c r="AH143" s="55">
        <f t="shared" si="454"/>
        <v>-115</v>
      </c>
      <c r="AI143" s="55">
        <f t="shared" si="454"/>
        <v>0</v>
      </c>
      <c r="AJ143" s="55">
        <f t="shared" si="454"/>
        <v>-40</v>
      </c>
      <c r="AK143" s="55">
        <f t="shared" si="454"/>
        <v>0</v>
      </c>
      <c r="AL143" s="55">
        <f>SUM(AL132:AL135)</f>
        <v>330.08</v>
      </c>
      <c r="AM143" s="55">
        <f>SUM(AM132:AM135)</f>
        <v>1247.29</v>
      </c>
      <c r="AN143" s="55">
        <f>SUM(AN132:AN135)</f>
        <v>1025.7</v>
      </c>
      <c r="AO143" s="55">
        <f t="shared" ref="AO143:BT143" si="455">SUM(AO132:AO135)+AO141</f>
        <v>825.09999999999991</v>
      </c>
      <c r="AP143" s="55">
        <f t="shared" si="455"/>
        <v>740.78</v>
      </c>
      <c r="AQ143" s="55">
        <f t="shared" si="455"/>
        <v>1740.95</v>
      </c>
      <c r="AR143" s="55">
        <f t="shared" ref="AR143:AV143" si="456">SUM(AR132:AR135)+AR141</f>
        <v>2382.88</v>
      </c>
      <c r="AS143" s="55">
        <f t="shared" si="456"/>
        <v>1813.23</v>
      </c>
      <c r="AT143" s="55">
        <f t="shared" si="456"/>
        <v>2383.9299999999998</v>
      </c>
      <c r="AU143" s="55">
        <f t="shared" si="456"/>
        <v>2466.1799999999998</v>
      </c>
      <c r="AV143" s="55">
        <f t="shared" si="456"/>
        <v>3562.92</v>
      </c>
      <c r="AW143" s="257">
        <f t="shared" ref="AW143" si="457">SUM(AW132:AW135)+AW141</f>
        <v>3332.67</v>
      </c>
      <c r="AX143" s="55">
        <f t="shared" ref="AX143" si="458">SUM(AX132:AX135)+AX141</f>
        <v>4718.32</v>
      </c>
      <c r="AY143" s="257">
        <f t="shared" si="455"/>
        <v>4718.32</v>
      </c>
      <c r="AZ143" s="55">
        <f t="shared" si="455"/>
        <v>4718.32</v>
      </c>
      <c r="BA143" s="55">
        <f t="shared" si="455"/>
        <v>4718.32</v>
      </c>
      <c r="BB143" s="55">
        <f t="shared" si="455"/>
        <v>4718.32</v>
      </c>
      <c r="BC143" s="55">
        <f t="shared" si="455"/>
        <v>4718.32</v>
      </c>
      <c r="BD143" s="55">
        <f t="shared" si="455"/>
        <v>4718.32</v>
      </c>
      <c r="BE143" s="55">
        <f t="shared" si="455"/>
        <v>4718.32</v>
      </c>
      <c r="BF143" s="55">
        <f t="shared" si="455"/>
        <v>4718.32</v>
      </c>
      <c r="BG143" s="55">
        <f t="shared" si="455"/>
        <v>4718.32</v>
      </c>
      <c r="BH143" s="55">
        <f t="shared" si="455"/>
        <v>4718.32</v>
      </c>
      <c r="BI143" s="55">
        <f t="shared" si="455"/>
        <v>4718.32</v>
      </c>
      <c r="BJ143" s="55">
        <f t="shared" si="455"/>
        <v>4718.32</v>
      </c>
      <c r="BK143" s="257">
        <f t="shared" si="455"/>
        <v>4718.32</v>
      </c>
      <c r="BL143" s="55">
        <f t="shared" si="455"/>
        <v>4718.32</v>
      </c>
      <c r="BM143" s="55">
        <f t="shared" si="455"/>
        <v>4718.32</v>
      </c>
      <c r="BN143" s="55">
        <f t="shared" si="455"/>
        <v>4718.32</v>
      </c>
      <c r="BO143" s="55">
        <f t="shared" si="455"/>
        <v>4718.32</v>
      </c>
      <c r="BP143" s="55">
        <f t="shared" si="455"/>
        <v>4718.32</v>
      </c>
      <c r="BQ143" s="55">
        <f t="shared" si="455"/>
        <v>4718.32</v>
      </c>
      <c r="BR143" s="55">
        <f t="shared" si="455"/>
        <v>4718.32</v>
      </c>
      <c r="BS143" s="55">
        <f t="shared" si="455"/>
        <v>4718.32</v>
      </c>
      <c r="BT143" s="55">
        <f t="shared" si="455"/>
        <v>4718.32</v>
      </c>
      <c r="BU143" s="55">
        <f t="shared" ref="BU143:CZ143" si="459">SUM(BU132:BU135)+BU141</f>
        <v>4718.32</v>
      </c>
      <c r="BV143" s="55">
        <f t="shared" si="459"/>
        <v>4718.32</v>
      </c>
      <c r="BW143" s="257">
        <f t="shared" si="459"/>
        <v>4718.32</v>
      </c>
      <c r="BX143" s="55">
        <f t="shared" si="459"/>
        <v>4718.32</v>
      </c>
      <c r="BY143" s="55">
        <f t="shared" si="459"/>
        <v>4718.32</v>
      </c>
      <c r="BZ143" s="55">
        <f t="shared" si="459"/>
        <v>4718.32</v>
      </c>
      <c r="CA143" s="55">
        <f t="shared" si="459"/>
        <v>4718.32</v>
      </c>
      <c r="CB143" s="55">
        <f t="shared" si="459"/>
        <v>4718.32</v>
      </c>
      <c r="CC143" s="55">
        <f t="shared" si="459"/>
        <v>4718.32</v>
      </c>
      <c r="CD143" s="55">
        <f t="shared" si="459"/>
        <v>4718.32</v>
      </c>
      <c r="CE143" s="55">
        <f t="shared" si="459"/>
        <v>4718.32</v>
      </c>
      <c r="CF143" s="55">
        <f t="shared" si="459"/>
        <v>4718.32</v>
      </c>
      <c r="CG143" s="55">
        <f t="shared" si="459"/>
        <v>4718.32</v>
      </c>
      <c r="CH143" s="55">
        <f t="shared" si="459"/>
        <v>4718.32</v>
      </c>
      <c r="CI143" s="257">
        <f t="shared" si="459"/>
        <v>4718.32</v>
      </c>
      <c r="CJ143" s="55">
        <f t="shared" si="459"/>
        <v>4718.32</v>
      </c>
      <c r="CK143" s="55">
        <f t="shared" si="459"/>
        <v>4718.32</v>
      </c>
      <c r="CL143" s="55">
        <f t="shared" si="459"/>
        <v>4718.32</v>
      </c>
      <c r="CM143" s="55">
        <f t="shared" si="459"/>
        <v>4718.32</v>
      </c>
      <c r="CN143" s="55">
        <f t="shared" si="459"/>
        <v>4718.32</v>
      </c>
      <c r="CO143" s="55">
        <f t="shared" si="459"/>
        <v>4718.32</v>
      </c>
      <c r="CP143" s="55">
        <f t="shared" si="459"/>
        <v>4718.32</v>
      </c>
      <c r="CQ143" s="55">
        <f t="shared" si="459"/>
        <v>4718.32</v>
      </c>
      <c r="CR143" s="55">
        <f t="shared" si="459"/>
        <v>4718.32</v>
      </c>
      <c r="CS143" s="55">
        <f t="shared" si="459"/>
        <v>4718.32</v>
      </c>
      <c r="CT143" s="55">
        <f t="shared" si="459"/>
        <v>4718.32</v>
      </c>
      <c r="CU143" s="257">
        <f t="shared" si="459"/>
        <v>4718.32</v>
      </c>
      <c r="CV143" s="55">
        <f t="shared" si="459"/>
        <v>4718.32</v>
      </c>
      <c r="CW143" s="55">
        <f t="shared" si="459"/>
        <v>4718.32</v>
      </c>
      <c r="CX143" s="55">
        <f t="shared" si="459"/>
        <v>4718.32</v>
      </c>
      <c r="CY143" s="55">
        <f t="shared" si="459"/>
        <v>4718.32</v>
      </c>
      <c r="CZ143" s="55">
        <f t="shared" si="459"/>
        <v>4718.32</v>
      </c>
      <c r="DA143" s="55">
        <f t="shared" ref="DA143:DG143" si="460">SUM(DA132:DA135)+DA141</f>
        <v>4718.32</v>
      </c>
      <c r="DB143" s="55">
        <f t="shared" si="460"/>
        <v>4718.32</v>
      </c>
      <c r="DC143" s="55">
        <f t="shared" si="460"/>
        <v>4718.32</v>
      </c>
      <c r="DD143" s="55">
        <f t="shared" si="460"/>
        <v>4718.32</v>
      </c>
      <c r="DE143" s="55">
        <f t="shared" si="460"/>
        <v>4718.32</v>
      </c>
      <c r="DF143" s="55">
        <f t="shared" si="460"/>
        <v>4718.32</v>
      </c>
      <c r="DG143" s="55">
        <f t="shared" si="460"/>
        <v>4718.32</v>
      </c>
    </row>
    <row r="144" spans="1:111" x14ac:dyDescent="0.25">
      <c r="B144" s="1"/>
      <c r="C144" s="1"/>
      <c r="D144" s="2"/>
      <c r="E144" s="2"/>
      <c r="F144" s="2"/>
      <c r="G144" s="2"/>
      <c r="H144" s="2"/>
      <c r="I144" s="2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58"/>
      <c r="AU144" s="58"/>
      <c r="AV144" s="58"/>
      <c r="AW144" s="254"/>
      <c r="AX144" s="58"/>
      <c r="AY144" s="254"/>
      <c r="AZ144" s="58"/>
      <c r="BA144" s="58"/>
      <c r="BB144" s="58"/>
      <c r="BC144" s="58"/>
      <c r="BD144" s="58"/>
      <c r="BE144" s="58"/>
      <c r="BF144" s="58"/>
      <c r="BG144" s="58"/>
      <c r="BH144" s="58"/>
      <c r="BI144" s="58"/>
      <c r="BJ144" s="58"/>
      <c r="BK144" s="254"/>
      <c r="BL144" s="58"/>
      <c r="BM144" s="58"/>
      <c r="BN144" s="58"/>
      <c r="BO144" s="58"/>
      <c r="BP144" s="58"/>
      <c r="BQ144" s="58"/>
      <c r="BR144" s="58"/>
      <c r="BS144" s="58"/>
      <c r="BT144" s="58"/>
      <c r="BU144" s="58"/>
      <c r="BV144" s="58"/>
      <c r="BW144" s="254"/>
      <c r="BX144" s="58"/>
      <c r="BY144" s="58"/>
      <c r="BZ144" s="58"/>
      <c r="CA144" s="58"/>
      <c r="CB144" s="58"/>
      <c r="CC144" s="58"/>
      <c r="CD144" s="58"/>
      <c r="CE144" s="58"/>
      <c r="CF144" s="58"/>
      <c r="CG144" s="58"/>
      <c r="CH144" s="58"/>
      <c r="CI144" s="254"/>
      <c r="CJ144" s="58"/>
      <c r="CK144" s="58"/>
      <c r="CL144" s="58"/>
      <c r="CM144" s="58"/>
      <c r="CN144" s="58"/>
      <c r="CO144" s="58"/>
      <c r="CP144" s="58"/>
      <c r="CQ144" s="58"/>
      <c r="CR144" s="58"/>
      <c r="CS144" s="58"/>
      <c r="CT144" s="58"/>
      <c r="CU144" s="254"/>
      <c r="CV144" s="58"/>
      <c r="CW144" s="58"/>
      <c r="CX144" s="58"/>
      <c r="CY144" s="58"/>
      <c r="CZ144" s="58"/>
      <c r="DA144" s="58"/>
      <c r="DB144" s="58"/>
      <c r="DC144" s="58"/>
      <c r="DD144" s="58"/>
      <c r="DE144" s="58"/>
      <c r="DF144" s="58"/>
      <c r="DG144" s="58"/>
    </row>
    <row r="145" spans="1:111" x14ac:dyDescent="0.25">
      <c r="B145" s="1" t="s">
        <v>23</v>
      </c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16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594"/>
      <c r="AX145" s="2"/>
      <c r="AY145" s="251"/>
      <c r="BK145" s="251"/>
      <c r="BW145" s="251"/>
      <c r="CI145" s="251"/>
      <c r="CU145" s="251"/>
    </row>
    <row r="146" spans="1:111" x14ac:dyDescent="0.25">
      <c r="B146" s="1" t="s">
        <v>219</v>
      </c>
      <c r="C146" s="1"/>
      <c r="D146" s="116"/>
      <c r="E146" s="116"/>
      <c r="F146" s="116"/>
      <c r="G146" s="116"/>
      <c r="H146" s="116"/>
      <c r="I146" s="116"/>
      <c r="J146" s="114"/>
      <c r="K146" s="114"/>
      <c r="L146" s="114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  <c r="AB146" s="116">
        <v>1036.1300000000001</v>
      </c>
      <c r="AC146" s="116">
        <v>1036.1300000000001</v>
      </c>
      <c r="AD146" s="116">
        <v>1036.1300000000001</v>
      </c>
      <c r="AE146" s="116">
        <v>1036.1300000000001</v>
      </c>
      <c r="AF146" s="116">
        <v>1036.1300000000001</v>
      </c>
      <c r="AG146" s="116">
        <v>1036.1300000000001</v>
      </c>
      <c r="AH146" s="116">
        <v>1036.1300000000001</v>
      </c>
      <c r="AI146" s="116">
        <v>1036.1300000000001</v>
      </c>
      <c r="AJ146" s="116">
        <v>1036.1300000000001</v>
      </c>
      <c r="AK146" s="116">
        <v>1036.1300000000001</v>
      </c>
      <c r="AL146" s="116">
        <v>1036.1300000000001</v>
      </c>
      <c r="AM146" s="116">
        <v>1036.1300000000001</v>
      </c>
      <c r="AN146" s="116">
        <v>1036.1300000000001</v>
      </c>
      <c r="AO146" s="116">
        <v>1036.1300000000001</v>
      </c>
      <c r="AP146" s="116">
        <v>1036.1300000000001</v>
      </c>
      <c r="AQ146" s="116">
        <v>1036.1300000000001</v>
      </c>
      <c r="AR146" s="116">
        <v>1036.1300000000001</v>
      </c>
      <c r="AS146" s="116">
        <v>1036.1300000000001</v>
      </c>
      <c r="AT146" s="116">
        <v>1036.1300000000001</v>
      </c>
      <c r="AU146" s="116">
        <v>1036.1300000000001</v>
      </c>
      <c r="AV146" s="116">
        <v>1036.1300000000001</v>
      </c>
      <c r="AW146" s="252">
        <v>1036.1300000000001</v>
      </c>
      <c r="AX146" s="632">
        <f t="shared" ref="AX146:BT146" si="461">AW146+AX155</f>
        <v>1036.1300000000001</v>
      </c>
      <c r="AY146" s="252">
        <f t="shared" si="461"/>
        <v>1036.1300000000001</v>
      </c>
      <c r="AZ146" s="116">
        <f t="shared" si="461"/>
        <v>1036.1300000000001</v>
      </c>
      <c r="BA146" s="116">
        <f t="shared" si="461"/>
        <v>1036.1300000000001</v>
      </c>
      <c r="BB146" s="116">
        <f t="shared" si="461"/>
        <v>1036.1300000000001</v>
      </c>
      <c r="BC146" s="116">
        <f t="shared" si="461"/>
        <v>1036.1300000000001</v>
      </c>
      <c r="BD146" s="116">
        <f t="shared" si="461"/>
        <v>1036.1300000000001</v>
      </c>
      <c r="BE146" s="116">
        <f t="shared" si="461"/>
        <v>1036.1300000000001</v>
      </c>
      <c r="BF146" s="116">
        <f t="shared" si="461"/>
        <v>1036.1300000000001</v>
      </c>
      <c r="BG146" s="116">
        <f t="shared" si="461"/>
        <v>1036.1300000000001</v>
      </c>
      <c r="BH146" s="116">
        <f t="shared" si="461"/>
        <v>1036.1300000000001</v>
      </c>
      <c r="BI146" s="116">
        <f t="shared" si="461"/>
        <v>1036.1300000000001</v>
      </c>
      <c r="BJ146" s="116">
        <f t="shared" si="461"/>
        <v>1036.1300000000001</v>
      </c>
      <c r="BK146" s="252">
        <f t="shared" si="461"/>
        <v>1036.1300000000001</v>
      </c>
      <c r="BL146" s="116">
        <f t="shared" si="461"/>
        <v>1036.1300000000001</v>
      </c>
      <c r="BM146" s="116">
        <f t="shared" si="461"/>
        <v>1036.1300000000001</v>
      </c>
      <c r="BN146" s="116">
        <f t="shared" si="461"/>
        <v>1036.1300000000001</v>
      </c>
      <c r="BO146" s="116">
        <f t="shared" si="461"/>
        <v>1036.1300000000001</v>
      </c>
      <c r="BP146" s="116">
        <f t="shared" si="461"/>
        <v>1036.1300000000001</v>
      </c>
      <c r="BQ146" s="116">
        <f t="shared" si="461"/>
        <v>1036.1300000000001</v>
      </c>
      <c r="BR146" s="116">
        <f t="shared" si="461"/>
        <v>1036.1300000000001</v>
      </c>
      <c r="BS146" s="116">
        <f t="shared" si="461"/>
        <v>1036.1300000000001</v>
      </c>
      <c r="BT146" s="116">
        <f t="shared" si="461"/>
        <v>1036.1300000000001</v>
      </c>
      <c r="BU146" s="116">
        <f t="shared" ref="BU146:CZ146" si="462">BT146+BU155</f>
        <v>1036.1300000000001</v>
      </c>
      <c r="BV146" s="116">
        <f t="shared" si="462"/>
        <v>1036.1300000000001</v>
      </c>
      <c r="BW146" s="252">
        <f t="shared" si="462"/>
        <v>1036.1300000000001</v>
      </c>
      <c r="BX146" s="116">
        <f t="shared" si="462"/>
        <v>1036.1300000000001</v>
      </c>
      <c r="BY146" s="116">
        <f t="shared" si="462"/>
        <v>1036.1300000000001</v>
      </c>
      <c r="BZ146" s="116">
        <f t="shared" si="462"/>
        <v>1036.1300000000001</v>
      </c>
      <c r="CA146" s="116">
        <f t="shared" si="462"/>
        <v>1036.1300000000001</v>
      </c>
      <c r="CB146" s="116">
        <f t="shared" si="462"/>
        <v>1036.1300000000001</v>
      </c>
      <c r="CC146" s="116">
        <f t="shared" si="462"/>
        <v>1036.1300000000001</v>
      </c>
      <c r="CD146" s="116">
        <f t="shared" si="462"/>
        <v>1036.1300000000001</v>
      </c>
      <c r="CE146" s="116">
        <f t="shared" si="462"/>
        <v>1036.1300000000001</v>
      </c>
      <c r="CF146" s="116">
        <f t="shared" si="462"/>
        <v>1036.1300000000001</v>
      </c>
      <c r="CG146" s="116">
        <f t="shared" si="462"/>
        <v>1036.1300000000001</v>
      </c>
      <c r="CH146" s="116">
        <f t="shared" si="462"/>
        <v>1036.1300000000001</v>
      </c>
      <c r="CI146" s="252">
        <f t="shared" si="462"/>
        <v>1036.1300000000001</v>
      </c>
      <c r="CJ146" s="116">
        <f t="shared" si="462"/>
        <v>1036.1300000000001</v>
      </c>
      <c r="CK146" s="116">
        <f t="shared" si="462"/>
        <v>1036.1300000000001</v>
      </c>
      <c r="CL146" s="116">
        <f t="shared" si="462"/>
        <v>1036.1300000000001</v>
      </c>
      <c r="CM146" s="116">
        <f t="shared" si="462"/>
        <v>1036.1300000000001</v>
      </c>
      <c r="CN146" s="116">
        <f t="shared" si="462"/>
        <v>1036.1300000000001</v>
      </c>
      <c r="CO146" s="116">
        <f t="shared" si="462"/>
        <v>1036.1300000000001</v>
      </c>
      <c r="CP146" s="116">
        <f t="shared" si="462"/>
        <v>1036.1300000000001</v>
      </c>
      <c r="CQ146" s="116">
        <f t="shared" si="462"/>
        <v>1036.1300000000001</v>
      </c>
      <c r="CR146" s="116">
        <f t="shared" si="462"/>
        <v>1036.1300000000001</v>
      </c>
      <c r="CS146" s="116">
        <f t="shared" si="462"/>
        <v>1036.1300000000001</v>
      </c>
      <c r="CT146" s="116">
        <f t="shared" si="462"/>
        <v>1036.1300000000001</v>
      </c>
      <c r="CU146" s="252">
        <f t="shared" si="462"/>
        <v>1036.1300000000001</v>
      </c>
      <c r="CV146" s="116">
        <f t="shared" si="462"/>
        <v>1036.1300000000001</v>
      </c>
      <c r="CW146" s="116">
        <f t="shared" si="462"/>
        <v>1036.1300000000001</v>
      </c>
      <c r="CX146" s="116">
        <f t="shared" si="462"/>
        <v>1036.1300000000001</v>
      </c>
      <c r="CY146" s="116">
        <f t="shared" si="462"/>
        <v>1036.1300000000001</v>
      </c>
      <c r="CZ146" s="116">
        <f t="shared" si="462"/>
        <v>1036.1300000000001</v>
      </c>
      <c r="DA146" s="116">
        <f t="shared" ref="DA146:DG146" si="463">CZ146+DA155</f>
        <v>1036.1300000000001</v>
      </c>
      <c r="DB146" s="116">
        <f t="shared" si="463"/>
        <v>1036.1300000000001</v>
      </c>
      <c r="DC146" s="116">
        <f t="shared" si="463"/>
        <v>1036.1300000000001</v>
      </c>
      <c r="DD146" s="116">
        <f t="shared" si="463"/>
        <v>1036.1300000000001</v>
      </c>
      <c r="DE146" s="116">
        <f t="shared" si="463"/>
        <v>1036.1300000000001</v>
      </c>
      <c r="DF146" s="116">
        <f t="shared" si="463"/>
        <v>1036.1300000000001</v>
      </c>
      <c r="DG146" s="116">
        <f t="shared" si="463"/>
        <v>1036.1300000000001</v>
      </c>
    </row>
    <row r="147" spans="1:111" x14ac:dyDescent="0.25">
      <c r="B147" s="1" t="s">
        <v>390</v>
      </c>
      <c r="C147" s="1"/>
      <c r="D147" s="116"/>
      <c r="E147" s="116"/>
      <c r="F147" s="116"/>
      <c r="G147" s="116"/>
      <c r="H147" s="116"/>
      <c r="I147" s="116"/>
      <c r="J147" s="114"/>
      <c r="K147" s="114"/>
      <c r="L147" s="114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  <c r="AA147" s="116"/>
      <c r="AB147" s="116"/>
      <c r="AC147" s="116"/>
      <c r="AD147" s="116"/>
      <c r="AE147" s="116"/>
      <c r="AF147" s="116"/>
      <c r="AG147" s="116"/>
      <c r="AH147" s="116"/>
      <c r="AI147" s="116"/>
      <c r="AJ147" s="116"/>
      <c r="AK147" s="116"/>
      <c r="AL147" s="116"/>
      <c r="AM147" s="116"/>
      <c r="AN147" s="116"/>
      <c r="AO147" s="116"/>
      <c r="AP147" s="116"/>
      <c r="AQ147" s="116"/>
      <c r="AR147" s="116"/>
      <c r="AS147" s="116"/>
      <c r="AT147" s="116"/>
      <c r="AU147" s="116"/>
      <c r="AV147" s="116"/>
      <c r="AW147" s="252"/>
      <c r="AX147" s="632"/>
      <c r="AY147" s="252"/>
      <c r="AZ147" s="116"/>
      <c r="BA147" s="116"/>
      <c r="BB147" s="116"/>
      <c r="BC147" s="116"/>
      <c r="BD147" s="116"/>
      <c r="BE147" s="116"/>
      <c r="BF147" s="116"/>
      <c r="BG147" s="116"/>
      <c r="BH147" s="116"/>
      <c r="BI147" s="116"/>
      <c r="BJ147" s="116"/>
      <c r="BK147" s="252"/>
      <c r="BL147" s="116"/>
      <c r="BM147" s="116"/>
      <c r="BN147" s="116"/>
      <c r="BO147" s="116"/>
      <c r="BP147" s="116"/>
      <c r="BQ147" s="116"/>
      <c r="BR147" s="116"/>
      <c r="BS147" s="116"/>
      <c r="BT147" s="116"/>
      <c r="BU147" s="116"/>
      <c r="BV147" s="116"/>
      <c r="BW147" s="252"/>
      <c r="BX147" s="116"/>
      <c r="BY147" s="116"/>
      <c r="BZ147" s="116"/>
      <c r="CA147" s="116"/>
      <c r="CB147" s="116"/>
      <c r="CC147" s="116"/>
      <c r="CD147" s="116"/>
      <c r="CE147" s="116"/>
      <c r="CF147" s="116"/>
      <c r="CG147" s="116"/>
      <c r="CH147" s="116"/>
      <c r="CI147" s="252"/>
      <c r="CJ147" s="116"/>
      <c r="CK147" s="116"/>
      <c r="CL147" s="116"/>
      <c r="CM147" s="116"/>
      <c r="CN147" s="116"/>
      <c r="CO147" s="116"/>
      <c r="CP147" s="116"/>
      <c r="CQ147" s="116"/>
      <c r="CR147" s="116"/>
      <c r="CS147" s="116"/>
      <c r="CT147" s="116"/>
      <c r="CU147" s="252"/>
      <c r="CV147" s="116"/>
      <c r="CW147" s="116"/>
      <c r="CX147" s="116"/>
      <c r="CY147" s="116"/>
      <c r="CZ147" s="116"/>
      <c r="DA147" s="116"/>
      <c r="DB147" s="116"/>
      <c r="DC147" s="116"/>
      <c r="DD147" s="116"/>
      <c r="DE147" s="116"/>
      <c r="DF147" s="116"/>
      <c r="DG147" s="116"/>
    </row>
    <row r="148" spans="1:111" x14ac:dyDescent="0.25">
      <c r="B148" s="1" t="s">
        <v>391</v>
      </c>
      <c r="C148" s="1"/>
      <c r="D148" s="116"/>
      <c r="E148" s="116"/>
      <c r="F148" s="116"/>
      <c r="G148" s="116"/>
      <c r="H148" s="116"/>
      <c r="I148" s="116"/>
      <c r="J148" s="114"/>
      <c r="K148" s="114"/>
      <c r="L148" s="114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  <c r="AA148" s="116"/>
      <c r="AB148" s="116"/>
      <c r="AC148" s="116"/>
      <c r="AD148" s="116"/>
      <c r="AE148" s="116"/>
      <c r="AF148" s="116"/>
      <c r="AG148" s="116"/>
      <c r="AH148" s="116"/>
      <c r="AI148" s="116"/>
      <c r="AJ148" s="116"/>
      <c r="AK148" s="116"/>
      <c r="AL148" s="116"/>
      <c r="AM148" s="116"/>
      <c r="AN148" s="116"/>
      <c r="AO148" s="116"/>
      <c r="AP148" s="116"/>
      <c r="AQ148" s="116"/>
      <c r="AR148" s="116"/>
      <c r="AS148" s="116"/>
      <c r="AT148" s="116"/>
      <c r="AU148" s="116"/>
      <c r="AV148" s="116"/>
      <c r="AW148" s="252"/>
      <c r="AX148" s="632"/>
      <c r="AY148" s="252"/>
      <c r="AZ148" s="116"/>
      <c r="BA148" s="116"/>
      <c r="BB148" s="116"/>
      <c r="BC148" s="116"/>
      <c r="BD148" s="116"/>
      <c r="BE148" s="116"/>
      <c r="BF148" s="116"/>
      <c r="BG148" s="116"/>
      <c r="BH148" s="116"/>
      <c r="BI148" s="116"/>
      <c r="BJ148" s="116"/>
      <c r="BK148" s="252"/>
      <c r="BL148" s="116"/>
      <c r="BM148" s="116"/>
      <c r="BN148" s="116"/>
      <c r="BO148" s="116"/>
      <c r="BP148" s="116"/>
      <c r="BQ148" s="116"/>
      <c r="BR148" s="116"/>
      <c r="BS148" s="116"/>
      <c r="BT148" s="116"/>
      <c r="BU148" s="116"/>
      <c r="BV148" s="116"/>
      <c r="BW148" s="252"/>
      <c r="BX148" s="116"/>
      <c r="BY148" s="116"/>
      <c r="BZ148" s="116"/>
      <c r="CA148" s="116"/>
      <c r="CB148" s="116"/>
      <c r="CC148" s="116"/>
      <c r="CD148" s="116"/>
      <c r="CE148" s="116"/>
      <c r="CF148" s="116"/>
      <c r="CG148" s="116"/>
      <c r="CH148" s="116"/>
      <c r="CI148" s="252"/>
      <c r="CJ148" s="116"/>
      <c r="CK148" s="116"/>
      <c r="CL148" s="116"/>
      <c r="CM148" s="116"/>
      <c r="CN148" s="116"/>
      <c r="CO148" s="116"/>
      <c r="CP148" s="116"/>
      <c r="CQ148" s="116"/>
      <c r="CR148" s="116"/>
      <c r="CS148" s="116"/>
      <c r="CT148" s="116"/>
      <c r="CU148" s="252"/>
      <c r="CV148" s="116"/>
      <c r="CW148" s="116"/>
      <c r="CX148" s="116"/>
      <c r="CY148" s="116"/>
      <c r="CZ148" s="116"/>
      <c r="DA148" s="116"/>
      <c r="DB148" s="116"/>
      <c r="DC148" s="116"/>
      <c r="DD148" s="116"/>
      <c r="DE148" s="116"/>
      <c r="DF148" s="116"/>
      <c r="DG148" s="116"/>
    </row>
    <row r="149" spans="1:111" x14ac:dyDescent="0.25">
      <c r="B149" s="1" t="s">
        <v>220</v>
      </c>
      <c r="C149" s="1"/>
      <c r="D149" s="116"/>
      <c r="E149" s="116"/>
      <c r="F149" s="116"/>
      <c r="G149" s="116"/>
      <c r="H149" s="116"/>
      <c r="I149" s="116"/>
      <c r="J149" s="114"/>
      <c r="K149" s="114"/>
      <c r="L149" s="114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  <c r="AB149" s="116">
        <v>-4414.2</v>
      </c>
      <c r="AC149" s="116">
        <v>-9545.69</v>
      </c>
      <c r="AD149" s="116">
        <v>-13976.12</v>
      </c>
      <c r="AE149" s="116">
        <v>-21062.53</v>
      </c>
      <c r="AF149" s="116">
        <v>-24494.76</v>
      </c>
      <c r="AG149" s="116">
        <v>-27957.83</v>
      </c>
      <c r="AH149" s="116">
        <v>-30816.78</v>
      </c>
      <c r="AI149" s="116">
        <v>-36496.31</v>
      </c>
      <c r="AJ149" s="116">
        <v>-38984.080000000002</v>
      </c>
      <c r="AK149" s="116">
        <v>-41378.47</v>
      </c>
      <c r="AL149" s="116">
        <v>-43686.03</v>
      </c>
      <c r="AM149" s="116">
        <v>-47334.29</v>
      </c>
      <c r="AN149" s="116">
        <v>-50450.87</v>
      </c>
      <c r="AO149" s="116">
        <v>-52075.35</v>
      </c>
      <c r="AP149" s="116">
        <v>-53509.07</v>
      </c>
      <c r="AQ149" s="116">
        <v>-55299.18</v>
      </c>
      <c r="AR149" s="116">
        <v>-56073.83</v>
      </c>
      <c r="AS149" s="116">
        <v>-58487.14</v>
      </c>
      <c r="AT149" s="116">
        <v>-62075.15</v>
      </c>
      <c r="AU149" s="116">
        <v>-64410.37</v>
      </c>
      <c r="AV149" s="116">
        <v>-68438.28</v>
      </c>
      <c r="AW149" s="252">
        <v>-71031.839999999997</v>
      </c>
      <c r="AX149" s="632">
        <f t="shared" ref="AX149:DA149" si="464">AW149+AX154</f>
        <v>-71181.84</v>
      </c>
      <c r="AY149" s="252">
        <f t="shared" si="464"/>
        <v>-71331.839999999997</v>
      </c>
      <c r="AZ149" s="116">
        <f t="shared" si="464"/>
        <v>-71481.84</v>
      </c>
      <c r="BA149" s="116">
        <f t="shared" si="464"/>
        <v>-71631.839999999997</v>
      </c>
      <c r="BB149" s="116">
        <f t="shared" si="464"/>
        <v>-71781.84</v>
      </c>
      <c r="BC149" s="116">
        <f t="shared" si="464"/>
        <v>-71931.839999999997</v>
      </c>
      <c r="BD149" s="116">
        <f t="shared" si="464"/>
        <v>-72081.84</v>
      </c>
      <c r="BE149" s="116">
        <f t="shared" si="464"/>
        <v>-72231.839999999997</v>
      </c>
      <c r="BF149" s="116">
        <f t="shared" si="464"/>
        <v>-72381.84</v>
      </c>
      <c r="BG149" s="116">
        <f t="shared" si="464"/>
        <v>-72531.839999999997</v>
      </c>
      <c r="BH149" s="116">
        <f t="shared" si="464"/>
        <v>-72681.84</v>
      </c>
      <c r="BI149" s="116">
        <f t="shared" si="464"/>
        <v>-72831.839999999997</v>
      </c>
      <c r="BJ149" s="116">
        <f t="shared" si="464"/>
        <v>-72981.84</v>
      </c>
      <c r="BK149" s="252">
        <f t="shared" si="464"/>
        <v>-73131.839999999997</v>
      </c>
      <c r="BL149" s="116">
        <f t="shared" si="464"/>
        <v>-73281.84</v>
      </c>
      <c r="BM149" s="116">
        <f t="shared" si="464"/>
        <v>-73431.839999999997</v>
      </c>
      <c r="BN149" s="116">
        <f t="shared" si="464"/>
        <v>-73581.84</v>
      </c>
      <c r="BO149" s="116">
        <f t="shared" si="464"/>
        <v>-73731.839999999997</v>
      </c>
      <c r="BP149" s="116">
        <f t="shared" si="464"/>
        <v>-73881.84</v>
      </c>
      <c r="BQ149" s="116">
        <f t="shared" si="464"/>
        <v>-74031.839999999997</v>
      </c>
      <c r="BR149" s="116">
        <f t="shared" si="464"/>
        <v>-74181.84</v>
      </c>
      <c r="BS149" s="116">
        <f t="shared" si="464"/>
        <v>-74331.839999999997</v>
      </c>
      <c r="BT149" s="116">
        <f t="shared" si="464"/>
        <v>-74481.84</v>
      </c>
      <c r="BU149" s="116">
        <f t="shared" si="464"/>
        <v>-74631.839999999997</v>
      </c>
      <c r="BV149" s="116">
        <f t="shared" si="464"/>
        <v>-74781.84</v>
      </c>
      <c r="BW149" s="252">
        <f t="shared" si="464"/>
        <v>-74931.839999999997</v>
      </c>
      <c r="BX149" s="116">
        <f t="shared" si="464"/>
        <v>-75081.84</v>
      </c>
      <c r="BY149" s="116">
        <f t="shared" si="464"/>
        <v>-75231.839999999997</v>
      </c>
      <c r="BZ149" s="116">
        <f t="shared" si="464"/>
        <v>-75381.84</v>
      </c>
      <c r="CA149" s="116">
        <f t="shared" si="464"/>
        <v>-75531.839999999997</v>
      </c>
      <c r="CB149" s="116">
        <f t="shared" si="464"/>
        <v>-75681.84</v>
      </c>
      <c r="CC149" s="116">
        <f t="shared" si="464"/>
        <v>-75831.839999999997</v>
      </c>
      <c r="CD149" s="116">
        <f t="shared" si="464"/>
        <v>-75981.84</v>
      </c>
      <c r="CE149" s="116">
        <f t="shared" si="464"/>
        <v>-76131.839999999997</v>
      </c>
      <c r="CF149" s="116">
        <f t="shared" si="464"/>
        <v>-76281.84</v>
      </c>
      <c r="CG149" s="116">
        <f t="shared" si="464"/>
        <v>-76431.839999999997</v>
      </c>
      <c r="CH149" s="116">
        <f t="shared" si="464"/>
        <v>-76581.84</v>
      </c>
      <c r="CI149" s="252">
        <f t="shared" si="464"/>
        <v>-76731.839999999997</v>
      </c>
      <c r="CJ149" s="116">
        <f t="shared" si="464"/>
        <v>-76881.84</v>
      </c>
      <c r="CK149" s="116">
        <f t="shared" si="464"/>
        <v>-77031.839999999997</v>
      </c>
      <c r="CL149" s="116">
        <f t="shared" si="464"/>
        <v>-77181.84</v>
      </c>
      <c r="CM149" s="116">
        <f t="shared" si="464"/>
        <v>-77331.839999999997</v>
      </c>
      <c r="CN149" s="116">
        <f t="shared" si="464"/>
        <v>-77481.84</v>
      </c>
      <c r="CO149" s="116">
        <f t="shared" si="464"/>
        <v>-77631.839999999997</v>
      </c>
      <c r="CP149" s="116">
        <f t="shared" si="464"/>
        <v>-77781.84</v>
      </c>
      <c r="CQ149" s="116">
        <f t="shared" si="464"/>
        <v>-77931.839999999997</v>
      </c>
      <c r="CR149" s="116">
        <f t="shared" si="464"/>
        <v>-78081.84</v>
      </c>
      <c r="CS149" s="116">
        <f t="shared" si="464"/>
        <v>-78231.839999999997</v>
      </c>
      <c r="CT149" s="116">
        <f t="shared" si="464"/>
        <v>-78381.84</v>
      </c>
      <c r="CU149" s="252">
        <f t="shared" si="464"/>
        <v>-78531.839999999997</v>
      </c>
      <c r="CV149" s="116">
        <f t="shared" si="464"/>
        <v>-78681.84</v>
      </c>
      <c r="CW149" s="116">
        <f t="shared" si="464"/>
        <v>-78831.839999999997</v>
      </c>
      <c r="CX149" s="116">
        <f t="shared" si="464"/>
        <v>-78981.84</v>
      </c>
      <c r="CY149" s="116">
        <f t="shared" si="464"/>
        <v>-79131.839999999997</v>
      </c>
      <c r="CZ149" s="116">
        <f t="shared" si="464"/>
        <v>-79281.84</v>
      </c>
      <c r="DA149" s="116">
        <f t="shared" si="464"/>
        <v>-79431.839999999997</v>
      </c>
      <c r="DB149" s="116">
        <f t="shared" ref="DB149:DG149" si="465">DA149+DB154</f>
        <v>-79581.84</v>
      </c>
      <c r="DC149" s="116">
        <f t="shared" si="465"/>
        <v>-79731.839999999997</v>
      </c>
      <c r="DD149" s="116">
        <f t="shared" si="465"/>
        <v>-79881.84</v>
      </c>
      <c r="DE149" s="116">
        <f t="shared" si="465"/>
        <v>-80031.839999999997</v>
      </c>
      <c r="DF149" s="116">
        <f t="shared" si="465"/>
        <v>-80181.84</v>
      </c>
      <c r="DG149" s="116">
        <f t="shared" si="465"/>
        <v>-80331.839999999997</v>
      </c>
    </row>
    <row r="150" spans="1:111" s="3" customFormat="1" x14ac:dyDescent="0.25">
      <c r="A150"/>
      <c r="B150" s="1" t="s">
        <v>221</v>
      </c>
      <c r="C150" s="1"/>
      <c r="D150" s="116"/>
      <c r="E150" s="116"/>
      <c r="F150" s="116"/>
      <c r="G150" s="116"/>
      <c r="H150" s="116"/>
      <c r="I150" s="116"/>
      <c r="J150" s="114"/>
      <c r="K150" s="114"/>
      <c r="L150" s="114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>
        <v>0</v>
      </c>
      <c r="W150" s="116">
        <v>0</v>
      </c>
      <c r="X150" s="116">
        <v>0</v>
      </c>
      <c r="Y150" s="116">
        <v>0</v>
      </c>
      <c r="Z150" s="116">
        <v>0</v>
      </c>
      <c r="AA150" s="116">
        <v>0</v>
      </c>
      <c r="AB150" s="116">
        <v>0</v>
      </c>
      <c r="AC150" s="116">
        <v>0</v>
      </c>
      <c r="AD150" s="116">
        <v>0</v>
      </c>
      <c r="AE150" s="116">
        <v>0</v>
      </c>
      <c r="AF150" s="116">
        <v>0</v>
      </c>
      <c r="AG150" s="116">
        <v>0</v>
      </c>
      <c r="AH150" s="116">
        <v>0</v>
      </c>
      <c r="AI150" s="116">
        <v>0</v>
      </c>
      <c r="AJ150" s="116">
        <v>0</v>
      </c>
      <c r="AK150" s="116">
        <v>0</v>
      </c>
      <c r="AL150" s="116">
        <v>0</v>
      </c>
      <c r="AM150" s="116">
        <v>0</v>
      </c>
      <c r="AN150" s="116">
        <f>+AM151</f>
        <v>46971.43</v>
      </c>
      <c r="AO150" s="116">
        <f t="shared" ref="AO150:AX150" si="466">+AN150</f>
        <v>46971.43</v>
      </c>
      <c r="AP150" s="116">
        <f t="shared" si="466"/>
        <v>46971.43</v>
      </c>
      <c r="AQ150" s="116">
        <f t="shared" si="466"/>
        <v>46971.43</v>
      </c>
      <c r="AR150" s="116">
        <f t="shared" si="466"/>
        <v>46971.43</v>
      </c>
      <c r="AS150" s="116">
        <f t="shared" si="466"/>
        <v>46971.43</v>
      </c>
      <c r="AT150" s="116">
        <f t="shared" si="466"/>
        <v>46971.43</v>
      </c>
      <c r="AU150" s="116">
        <f t="shared" si="466"/>
        <v>46971.43</v>
      </c>
      <c r="AV150" s="116">
        <f t="shared" si="466"/>
        <v>46971.43</v>
      </c>
      <c r="AW150" s="252">
        <f t="shared" si="466"/>
        <v>46971.43</v>
      </c>
      <c r="AX150" s="116">
        <f t="shared" si="466"/>
        <v>46971.43</v>
      </c>
      <c r="AY150" s="252">
        <f t="shared" ref="AY150:CA150" si="467">AX150</f>
        <v>46971.43</v>
      </c>
      <c r="AZ150" s="116">
        <f t="shared" si="467"/>
        <v>46971.43</v>
      </c>
      <c r="BA150" s="116">
        <f t="shared" si="467"/>
        <v>46971.43</v>
      </c>
      <c r="BB150" s="116">
        <f t="shared" si="467"/>
        <v>46971.43</v>
      </c>
      <c r="BC150" s="116">
        <f t="shared" si="467"/>
        <v>46971.43</v>
      </c>
      <c r="BD150" s="116">
        <f t="shared" si="467"/>
        <v>46971.43</v>
      </c>
      <c r="BE150" s="116">
        <f t="shared" si="467"/>
        <v>46971.43</v>
      </c>
      <c r="BF150" s="116">
        <f t="shared" si="467"/>
        <v>46971.43</v>
      </c>
      <c r="BG150" s="116">
        <f t="shared" si="467"/>
        <v>46971.43</v>
      </c>
      <c r="BH150" s="116">
        <f t="shared" si="467"/>
        <v>46971.43</v>
      </c>
      <c r="BI150" s="116">
        <f t="shared" si="467"/>
        <v>46971.43</v>
      </c>
      <c r="BJ150" s="116">
        <f t="shared" si="467"/>
        <v>46971.43</v>
      </c>
      <c r="BK150" s="252">
        <f t="shared" si="467"/>
        <v>46971.43</v>
      </c>
      <c r="BL150" s="116">
        <f t="shared" si="467"/>
        <v>46971.43</v>
      </c>
      <c r="BM150" s="116">
        <f t="shared" si="467"/>
        <v>46971.43</v>
      </c>
      <c r="BN150" s="116">
        <f t="shared" si="467"/>
        <v>46971.43</v>
      </c>
      <c r="BO150" s="116">
        <f t="shared" si="467"/>
        <v>46971.43</v>
      </c>
      <c r="BP150" s="116">
        <f t="shared" si="467"/>
        <v>46971.43</v>
      </c>
      <c r="BQ150" s="116">
        <f t="shared" si="467"/>
        <v>46971.43</v>
      </c>
      <c r="BR150" s="116">
        <f t="shared" si="467"/>
        <v>46971.43</v>
      </c>
      <c r="BS150" s="116">
        <f t="shared" si="467"/>
        <v>46971.43</v>
      </c>
      <c r="BT150" s="116">
        <f t="shared" si="467"/>
        <v>46971.43</v>
      </c>
      <c r="BU150" s="116">
        <f t="shared" si="467"/>
        <v>46971.43</v>
      </c>
      <c r="BV150" s="116">
        <f t="shared" si="467"/>
        <v>46971.43</v>
      </c>
      <c r="BW150" s="252">
        <f t="shared" si="467"/>
        <v>46971.43</v>
      </c>
      <c r="BX150" s="116">
        <f t="shared" si="467"/>
        <v>46971.43</v>
      </c>
      <c r="BY150" s="116">
        <f t="shared" si="467"/>
        <v>46971.43</v>
      </c>
      <c r="BZ150" s="116">
        <f t="shared" si="467"/>
        <v>46971.43</v>
      </c>
      <c r="CA150" s="116">
        <f t="shared" si="467"/>
        <v>46971.43</v>
      </c>
      <c r="CB150" s="116">
        <f t="shared" ref="CB150:DG150" si="468">CA150</f>
        <v>46971.43</v>
      </c>
      <c r="CC150" s="116">
        <f t="shared" si="468"/>
        <v>46971.43</v>
      </c>
      <c r="CD150" s="116">
        <f t="shared" si="468"/>
        <v>46971.43</v>
      </c>
      <c r="CE150" s="116">
        <f t="shared" si="468"/>
        <v>46971.43</v>
      </c>
      <c r="CF150" s="116">
        <f t="shared" si="468"/>
        <v>46971.43</v>
      </c>
      <c r="CG150" s="116">
        <f t="shared" si="468"/>
        <v>46971.43</v>
      </c>
      <c r="CH150" s="116">
        <f t="shared" si="468"/>
        <v>46971.43</v>
      </c>
      <c r="CI150" s="252">
        <f t="shared" si="468"/>
        <v>46971.43</v>
      </c>
      <c r="CJ150" s="116">
        <f t="shared" si="468"/>
        <v>46971.43</v>
      </c>
      <c r="CK150" s="116">
        <f t="shared" si="468"/>
        <v>46971.43</v>
      </c>
      <c r="CL150" s="116">
        <f t="shared" si="468"/>
        <v>46971.43</v>
      </c>
      <c r="CM150" s="116">
        <f t="shared" si="468"/>
        <v>46971.43</v>
      </c>
      <c r="CN150" s="116">
        <f t="shared" si="468"/>
        <v>46971.43</v>
      </c>
      <c r="CO150" s="116">
        <f t="shared" si="468"/>
        <v>46971.43</v>
      </c>
      <c r="CP150" s="116">
        <f t="shared" si="468"/>
        <v>46971.43</v>
      </c>
      <c r="CQ150" s="116">
        <f t="shared" si="468"/>
        <v>46971.43</v>
      </c>
      <c r="CR150" s="116">
        <f t="shared" si="468"/>
        <v>46971.43</v>
      </c>
      <c r="CS150" s="116">
        <f t="shared" si="468"/>
        <v>46971.43</v>
      </c>
      <c r="CT150" s="116">
        <f t="shared" si="468"/>
        <v>46971.43</v>
      </c>
      <c r="CU150" s="252">
        <f t="shared" si="468"/>
        <v>46971.43</v>
      </c>
      <c r="CV150" s="116">
        <f t="shared" si="468"/>
        <v>46971.43</v>
      </c>
      <c r="CW150" s="116">
        <f t="shared" si="468"/>
        <v>46971.43</v>
      </c>
      <c r="CX150" s="116">
        <f t="shared" si="468"/>
        <v>46971.43</v>
      </c>
      <c r="CY150" s="116">
        <f t="shared" si="468"/>
        <v>46971.43</v>
      </c>
      <c r="CZ150" s="116">
        <f t="shared" si="468"/>
        <v>46971.43</v>
      </c>
      <c r="DA150" s="116">
        <f t="shared" si="468"/>
        <v>46971.43</v>
      </c>
      <c r="DB150" s="116">
        <f t="shared" si="468"/>
        <v>46971.43</v>
      </c>
      <c r="DC150" s="116">
        <f t="shared" si="468"/>
        <v>46971.43</v>
      </c>
      <c r="DD150" s="116">
        <f t="shared" si="468"/>
        <v>46971.43</v>
      </c>
      <c r="DE150" s="116">
        <f t="shared" si="468"/>
        <v>46971.43</v>
      </c>
      <c r="DF150" s="116">
        <f t="shared" si="468"/>
        <v>46971.43</v>
      </c>
      <c r="DG150" s="116">
        <f t="shared" si="468"/>
        <v>46971.43</v>
      </c>
    </row>
    <row r="151" spans="1:111" x14ac:dyDescent="0.25">
      <c r="B151" s="1" t="s">
        <v>24</v>
      </c>
      <c r="C151" s="1"/>
      <c r="D151" s="116"/>
      <c r="E151" s="116"/>
      <c r="F151" s="116"/>
      <c r="G151" s="116"/>
      <c r="H151" s="116"/>
      <c r="I151" s="116"/>
      <c r="J151" s="114"/>
      <c r="K151" s="114"/>
      <c r="L151" s="114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>
        <f t="shared" ref="V151:AA151" si="469">+V98+U151</f>
        <v>0</v>
      </c>
      <c r="W151" s="116">
        <f t="shared" si="469"/>
        <v>0</v>
      </c>
      <c r="X151" s="116">
        <f t="shared" si="469"/>
        <v>0</v>
      </c>
      <c r="Y151" s="116">
        <f t="shared" si="469"/>
        <v>0</v>
      </c>
      <c r="Z151" s="116">
        <f t="shared" si="469"/>
        <v>0</v>
      </c>
      <c r="AA151" s="116">
        <f t="shared" si="469"/>
        <v>0</v>
      </c>
      <c r="AB151" s="116">
        <f>+AB98</f>
        <v>4264.74</v>
      </c>
      <c r="AC151" s="116">
        <f t="shared" ref="AC151:AM151" si="470">+AC98+AB151</f>
        <v>9507.06</v>
      </c>
      <c r="AD151" s="116">
        <f t="shared" si="470"/>
        <v>15822.49</v>
      </c>
      <c r="AE151" s="116">
        <f t="shared" si="470"/>
        <v>22094.07</v>
      </c>
      <c r="AF151" s="116">
        <f t="shared" si="470"/>
        <v>26056.329999999998</v>
      </c>
      <c r="AG151" s="116">
        <f t="shared" si="470"/>
        <v>29698.03</v>
      </c>
      <c r="AH151" s="116">
        <f t="shared" si="470"/>
        <v>33146.54</v>
      </c>
      <c r="AI151" s="116">
        <f t="shared" si="470"/>
        <v>36902.99</v>
      </c>
      <c r="AJ151" s="116">
        <f t="shared" si="470"/>
        <v>38841.85</v>
      </c>
      <c r="AK151" s="116">
        <f t="shared" si="470"/>
        <v>43065.53</v>
      </c>
      <c r="AL151" s="116">
        <f t="shared" si="470"/>
        <v>44343.49</v>
      </c>
      <c r="AM151" s="116">
        <f t="shared" si="470"/>
        <v>46971.43</v>
      </c>
      <c r="AN151" s="116">
        <f>+AN98</f>
        <v>4061.8700000000003</v>
      </c>
      <c r="AO151" s="116">
        <f t="shared" ref="AO151:BT151" si="471">+AO98+AN151</f>
        <v>6200.2900000000009</v>
      </c>
      <c r="AP151" s="116">
        <f t="shared" si="471"/>
        <v>8641.6200000000008</v>
      </c>
      <c r="AQ151" s="116">
        <f t="shared" si="471"/>
        <v>10741.810000000001</v>
      </c>
      <c r="AR151" s="116">
        <f t="shared" si="471"/>
        <v>13010.210000000001</v>
      </c>
      <c r="AS151" s="116">
        <f t="shared" si="471"/>
        <v>15860.26</v>
      </c>
      <c r="AT151" s="116">
        <f t="shared" si="471"/>
        <v>18797.900000000001</v>
      </c>
      <c r="AU151" s="116">
        <f t="shared" si="471"/>
        <v>21871.72</v>
      </c>
      <c r="AV151" s="116">
        <f t="shared" si="471"/>
        <v>23755.45</v>
      </c>
      <c r="AW151" s="252">
        <f t="shared" ref="AW151" si="472">+AW98+AV151</f>
        <v>26047.23</v>
      </c>
      <c r="AX151" s="116">
        <f t="shared" ref="AX151" si="473">+AX98+AW151</f>
        <v>25338.744695876539</v>
      </c>
      <c r="AY151" s="252">
        <f t="shared" si="471"/>
        <v>25836.108475580731</v>
      </c>
      <c r="AZ151" s="116">
        <f t="shared" si="471"/>
        <v>25849.738431822221</v>
      </c>
      <c r="BA151" s="116">
        <f t="shared" si="471"/>
        <v>26584.497578757222</v>
      </c>
      <c r="BB151" s="116">
        <f t="shared" si="471"/>
        <v>27852.403863790481</v>
      </c>
      <c r="BC151" s="116">
        <f t="shared" si="471"/>
        <v>30193.67952247573</v>
      </c>
      <c r="BD151" s="116">
        <f t="shared" si="471"/>
        <v>32059.639560489995</v>
      </c>
      <c r="BE151" s="116">
        <f t="shared" si="471"/>
        <v>34125.156799527555</v>
      </c>
      <c r="BF151" s="116">
        <f t="shared" si="471"/>
        <v>35909.114734091134</v>
      </c>
      <c r="BG151" s="116">
        <f t="shared" si="471"/>
        <v>38020.150198571871</v>
      </c>
      <c r="BH151" s="116">
        <f t="shared" si="471"/>
        <v>38326.337879706894</v>
      </c>
      <c r="BI151" s="116">
        <f t="shared" si="471"/>
        <v>38943.109786011104</v>
      </c>
      <c r="BJ151" s="116">
        <f t="shared" si="471"/>
        <v>39320.359698912805</v>
      </c>
      <c r="BK151" s="252">
        <f t="shared" si="471"/>
        <v>40877.971341238917</v>
      </c>
      <c r="BL151" s="116">
        <f t="shared" si="471"/>
        <v>41106.184341139859</v>
      </c>
      <c r="BM151" s="116">
        <f t="shared" si="471"/>
        <v>42300.131891072298</v>
      </c>
      <c r="BN151" s="116">
        <f t="shared" si="471"/>
        <v>44296.086445713277</v>
      </c>
      <c r="BO151" s="116">
        <f t="shared" si="471"/>
        <v>47064.949280897643</v>
      </c>
      <c r="BP151" s="116">
        <f t="shared" si="471"/>
        <v>49342.820570618627</v>
      </c>
      <c r="BQ151" s="116">
        <f t="shared" si="471"/>
        <v>51788.467732264209</v>
      </c>
      <c r="BR151" s="116">
        <f t="shared" si="471"/>
        <v>53570.782756177679</v>
      </c>
      <c r="BS151" s="116">
        <f t="shared" si="471"/>
        <v>56354.579352032859</v>
      </c>
      <c r="BT151" s="116">
        <f t="shared" si="471"/>
        <v>56760.913048896349</v>
      </c>
      <c r="BU151" s="116">
        <f t="shared" ref="BU151:CZ151" si="474">+BU98+BT151</f>
        <v>57336.839051003408</v>
      </c>
      <c r="BV151" s="116">
        <f t="shared" si="474"/>
        <v>57992.272268224704</v>
      </c>
      <c r="BW151" s="252">
        <f t="shared" si="474"/>
        <v>59793.635065475799</v>
      </c>
      <c r="BX151" s="116">
        <f t="shared" si="474"/>
        <v>60108.73775490807</v>
      </c>
      <c r="BY151" s="116">
        <f t="shared" si="474"/>
        <v>61794.976137772639</v>
      </c>
      <c r="BZ151" s="116">
        <f t="shared" si="474"/>
        <v>64043.800364329356</v>
      </c>
      <c r="CA151" s="116">
        <f t="shared" si="474"/>
        <v>66454.776153679748</v>
      </c>
      <c r="CB151" s="116">
        <f t="shared" si="474"/>
        <v>69767.609749421536</v>
      </c>
      <c r="CC151" s="116">
        <f t="shared" si="474"/>
        <v>72469.338362532653</v>
      </c>
      <c r="CD151" s="116">
        <f t="shared" si="474"/>
        <v>74138.142375264957</v>
      </c>
      <c r="CE151" s="116">
        <f t="shared" si="474"/>
        <v>77599.334140492996</v>
      </c>
      <c r="CF151" s="116">
        <f t="shared" si="474"/>
        <v>77790.738633749977</v>
      </c>
      <c r="CG151" s="116">
        <f t="shared" si="474"/>
        <v>78671.289206397138</v>
      </c>
      <c r="CH151" s="116">
        <f t="shared" si="474"/>
        <v>79390.234217784004</v>
      </c>
      <c r="CI151" s="252">
        <f t="shared" si="474"/>
        <v>80843.715343993899</v>
      </c>
      <c r="CJ151" s="116">
        <f t="shared" si="474"/>
        <v>81800.165623193709</v>
      </c>
      <c r="CK151" s="116">
        <f t="shared" si="474"/>
        <v>83357.222080323772</v>
      </c>
      <c r="CL151" s="116">
        <f t="shared" si="474"/>
        <v>85530.783834941845</v>
      </c>
      <c r="CM151" s="116">
        <f t="shared" si="474"/>
        <v>88680.699367570778</v>
      </c>
      <c r="CN151" s="116">
        <f t="shared" si="474"/>
        <v>92478.751503103063</v>
      </c>
      <c r="CO151" s="116">
        <f t="shared" si="474"/>
        <v>95230.747521543672</v>
      </c>
      <c r="CP151" s="116">
        <f t="shared" si="474"/>
        <v>97586.124609186736</v>
      </c>
      <c r="CQ151" s="116">
        <f t="shared" si="474"/>
        <v>101510.90728799909</v>
      </c>
      <c r="CR151" s="116">
        <f t="shared" si="474"/>
        <v>101516.92508485308</v>
      </c>
      <c r="CS151" s="116">
        <f t="shared" si="474"/>
        <v>102920.2328010761</v>
      </c>
      <c r="CT151" s="116">
        <f t="shared" si="474"/>
        <v>103805.58333168337</v>
      </c>
      <c r="CU151" s="252">
        <f t="shared" si="474"/>
        <v>105475.50034252259</v>
      </c>
      <c r="CV151" s="116">
        <f t="shared" si="474"/>
        <v>106671.99545384155</v>
      </c>
      <c r="CW151" s="116">
        <f t="shared" si="474"/>
        <v>108521.19962467124</v>
      </c>
      <c r="CX151" s="116">
        <f t="shared" si="474"/>
        <v>110666.20879266421</v>
      </c>
      <c r="CY151" s="116">
        <f t="shared" si="474"/>
        <v>114758.75007686748</v>
      </c>
      <c r="CZ151" s="116">
        <f t="shared" si="474"/>
        <v>119079.9867915972</v>
      </c>
      <c r="DA151" s="116">
        <f t="shared" ref="DA151:DG151" si="475">+DA98+CZ151</f>
        <v>121749.71725957202</v>
      </c>
      <c r="DB151" s="116">
        <f t="shared" si="475"/>
        <v>124719.57756207441</v>
      </c>
      <c r="DC151" s="116">
        <f t="shared" si="475"/>
        <v>128588.44050848726</v>
      </c>
      <c r="DD151" s="116">
        <f t="shared" si="475"/>
        <v>128857.57998692221</v>
      </c>
      <c r="DE151" s="116">
        <f t="shared" si="475"/>
        <v>130444.2770800757</v>
      </c>
      <c r="DF151" s="116">
        <f t="shared" si="475"/>
        <v>131087.9122469076</v>
      </c>
      <c r="DG151" s="116">
        <f t="shared" si="475"/>
        <v>133356.65463576821</v>
      </c>
    </row>
    <row r="152" spans="1:111" x14ac:dyDescent="0.25">
      <c r="A152" s="5"/>
      <c r="B152" s="6" t="s">
        <v>25</v>
      </c>
      <c r="C152" s="6"/>
      <c r="D152" s="55">
        <f t="shared" ref="D152:AI152" si="476">SUM(D146:D151)</f>
        <v>0</v>
      </c>
      <c r="E152" s="55">
        <f t="shared" si="476"/>
        <v>0</v>
      </c>
      <c r="F152" s="55">
        <f t="shared" si="476"/>
        <v>0</v>
      </c>
      <c r="G152" s="55">
        <f t="shared" si="476"/>
        <v>0</v>
      </c>
      <c r="H152" s="55">
        <f t="shared" si="476"/>
        <v>0</v>
      </c>
      <c r="I152" s="55">
        <f t="shared" si="476"/>
        <v>0</v>
      </c>
      <c r="J152" s="55">
        <f t="shared" si="476"/>
        <v>0</v>
      </c>
      <c r="K152" s="55">
        <f t="shared" si="476"/>
        <v>0</v>
      </c>
      <c r="L152" s="55">
        <f t="shared" si="476"/>
        <v>0</v>
      </c>
      <c r="M152" s="55">
        <f t="shared" si="476"/>
        <v>0</v>
      </c>
      <c r="N152" s="55">
        <f t="shared" si="476"/>
        <v>0</v>
      </c>
      <c r="O152" s="55">
        <f t="shared" si="476"/>
        <v>0</v>
      </c>
      <c r="P152" s="55">
        <f t="shared" si="476"/>
        <v>0</v>
      </c>
      <c r="Q152" s="55">
        <f t="shared" si="476"/>
        <v>0</v>
      </c>
      <c r="R152" s="55">
        <f t="shared" si="476"/>
        <v>0</v>
      </c>
      <c r="S152" s="55">
        <f t="shared" si="476"/>
        <v>0</v>
      </c>
      <c r="T152" s="55">
        <f t="shared" si="476"/>
        <v>0</v>
      </c>
      <c r="U152" s="55">
        <f t="shared" si="476"/>
        <v>0</v>
      </c>
      <c r="V152" s="55">
        <f t="shared" si="476"/>
        <v>0</v>
      </c>
      <c r="W152" s="55">
        <f t="shared" si="476"/>
        <v>0</v>
      </c>
      <c r="X152" s="55">
        <f t="shared" si="476"/>
        <v>0</v>
      </c>
      <c r="Y152" s="55">
        <f t="shared" si="476"/>
        <v>0</v>
      </c>
      <c r="Z152" s="55">
        <f t="shared" si="476"/>
        <v>0</v>
      </c>
      <c r="AA152" s="55">
        <f t="shared" si="476"/>
        <v>0</v>
      </c>
      <c r="AB152" s="55">
        <f t="shared" si="476"/>
        <v>886.67000000000007</v>
      </c>
      <c r="AC152" s="55">
        <f t="shared" si="476"/>
        <v>997.49999999999818</v>
      </c>
      <c r="AD152" s="55">
        <f t="shared" si="476"/>
        <v>2882.4999999999982</v>
      </c>
      <c r="AE152" s="55">
        <f t="shared" si="476"/>
        <v>2067.6700000000019</v>
      </c>
      <c r="AF152" s="55">
        <f t="shared" si="476"/>
        <v>2597.7000000000007</v>
      </c>
      <c r="AG152" s="55">
        <f t="shared" si="476"/>
        <v>2776.3299999999981</v>
      </c>
      <c r="AH152" s="55">
        <f t="shared" si="476"/>
        <v>3365.8900000000031</v>
      </c>
      <c r="AI152" s="55">
        <f t="shared" si="476"/>
        <v>1442.8099999999977</v>
      </c>
      <c r="AJ152" s="55">
        <f t="shared" ref="AJ152:BO152" si="477">SUM(AJ146:AJ151)</f>
        <v>893.89999999999418</v>
      </c>
      <c r="AK152" s="55">
        <f t="shared" si="477"/>
        <v>2723.1899999999951</v>
      </c>
      <c r="AL152" s="55">
        <f t="shared" si="477"/>
        <v>1693.5899999999965</v>
      </c>
      <c r="AM152" s="55">
        <f t="shared" si="477"/>
        <v>673.2699999999968</v>
      </c>
      <c r="AN152" s="55">
        <f t="shared" ref="AN152:AT152" si="478">SUM(AN146:AN151)</f>
        <v>1618.5599999999954</v>
      </c>
      <c r="AO152" s="55">
        <f t="shared" si="478"/>
        <v>2132.5</v>
      </c>
      <c r="AP152" s="55">
        <f t="shared" si="478"/>
        <v>3140.1099999999988</v>
      </c>
      <c r="AQ152" s="55">
        <f t="shared" si="478"/>
        <v>3450.1899999999987</v>
      </c>
      <c r="AR152" s="55">
        <f t="shared" si="478"/>
        <v>4943.9399999999969</v>
      </c>
      <c r="AS152" s="55">
        <f t="shared" si="478"/>
        <v>5380.6799999999985</v>
      </c>
      <c r="AT152" s="55">
        <f t="shared" si="478"/>
        <v>4730.3099999999977</v>
      </c>
      <c r="AU152" s="55">
        <f t="shared" ref="AU152:AV152" si="479">SUM(AU146:AU151)</f>
        <v>5468.9099999999962</v>
      </c>
      <c r="AV152" s="55">
        <f t="shared" si="479"/>
        <v>3324.7300000000068</v>
      </c>
      <c r="AW152" s="257">
        <f t="shared" ref="AW152" si="480">SUM(AW146:AW151)</f>
        <v>3022.950000000008</v>
      </c>
      <c r="AX152" s="55">
        <f t="shared" ref="AX152" si="481">SUM(AX146:AX151)</f>
        <v>2164.4646958765479</v>
      </c>
      <c r="AY152" s="257">
        <f t="shared" si="477"/>
        <v>2511.8284755807399</v>
      </c>
      <c r="AZ152" s="55">
        <f t="shared" si="477"/>
        <v>2375.4584318222296</v>
      </c>
      <c r="BA152" s="55">
        <f t="shared" si="477"/>
        <v>2960.2175787572305</v>
      </c>
      <c r="BB152" s="55">
        <f t="shared" si="477"/>
        <v>4078.1238637904898</v>
      </c>
      <c r="BC152" s="55">
        <f t="shared" si="477"/>
        <v>6269.3995224757382</v>
      </c>
      <c r="BD152" s="55">
        <f t="shared" si="477"/>
        <v>7985.3595604900038</v>
      </c>
      <c r="BE152" s="55">
        <f t="shared" si="477"/>
        <v>9900.876799527563</v>
      </c>
      <c r="BF152" s="55">
        <f t="shared" si="477"/>
        <v>11534.834734091142</v>
      </c>
      <c r="BG152" s="55">
        <f t="shared" si="477"/>
        <v>13495.87019857188</v>
      </c>
      <c r="BH152" s="55">
        <f t="shared" si="477"/>
        <v>13652.057879706903</v>
      </c>
      <c r="BI152" s="55">
        <f t="shared" si="477"/>
        <v>14118.829786011112</v>
      </c>
      <c r="BJ152" s="55">
        <f t="shared" si="477"/>
        <v>14346.079698912814</v>
      </c>
      <c r="BK152" s="257">
        <f t="shared" si="477"/>
        <v>15753.691341238926</v>
      </c>
      <c r="BL152" s="55">
        <f t="shared" si="477"/>
        <v>15831.904341139867</v>
      </c>
      <c r="BM152" s="55">
        <f t="shared" si="477"/>
        <v>16875.851891072307</v>
      </c>
      <c r="BN152" s="55">
        <f t="shared" si="477"/>
        <v>18721.806445713286</v>
      </c>
      <c r="BO152" s="55">
        <f t="shared" si="477"/>
        <v>21340.669280897651</v>
      </c>
      <c r="BP152" s="55">
        <f t="shared" ref="BP152:CU152" si="482">SUM(BP146:BP151)</f>
        <v>23468.540570618636</v>
      </c>
      <c r="BQ152" s="55">
        <f t="shared" si="482"/>
        <v>25764.187732264218</v>
      </c>
      <c r="BR152" s="55">
        <f t="shared" si="482"/>
        <v>27396.502756177688</v>
      </c>
      <c r="BS152" s="55">
        <f t="shared" si="482"/>
        <v>30030.299352032867</v>
      </c>
      <c r="BT152" s="55">
        <f t="shared" si="482"/>
        <v>30286.633048896358</v>
      </c>
      <c r="BU152" s="55">
        <f t="shared" si="482"/>
        <v>30712.559051003416</v>
      </c>
      <c r="BV152" s="55">
        <f t="shared" si="482"/>
        <v>31217.992268224712</v>
      </c>
      <c r="BW152" s="257">
        <f t="shared" si="482"/>
        <v>32869.355065475807</v>
      </c>
      <c r="BX152" s="55">
        <f t="shared" si="482"/>
        <v>33034.457754908079</v>
      </c>
      <c r="BY152" s="55">
        <f t="shared" si="482"/>
        <v>34570.696137772647</v>
      </c>
      <c r="BZ152" s="55">
        <f t="shared" si="482"/>
        <v>36669.520364329364</v>
      </c>
      <c r="CA152" s="55">
        <f t="shared" si="482"/>
        <v>38930.496153679756</v>
      </c>
      <c r="CB152" s="55">
        <f t="shared" si="482"/>
        <v>42093.329749421544</v>
      </c>
      <c r="CC152" s="55">
        <f t="shared" si="482"/>
        <v>44645.058362532662</v>
      </c>
      <c r="CD152" s="55">
        <f t="shared" si="482"/>
        <v>46163.862375264966</v>
      </c>
      <c r="CE152" s="55">
        <f t="shared" si="482"/>
        <v>49475.054140493005</v>
      </c>
      <c r="CF152" s="55">
        <f t="shared" si="482"/>
        <v>49516.458633749986</v>
      </c>
      <c r="CG152" s="55">
        <f t="shared" si="482"/>
        <v>50247.009206397146</v>
      </c>
      <c r="CH152" s="55">
        <f t="shared" si="482"/>
        <v>50815.954217784012</v>
      </c>
      <c r="CI152" s="257">
        <f t="shared" si="482"/>
        <v>52119.435343993908</v>
      </c>
      <c r="CJ152" s="55">
        <f t="shared" si="482"/>
        <v>52925.885623193717</v>
      </c>
      <c r="CK152" s="55">
        <f t="shared" si="482"/>
        <v>54332.942080323781</v>
      </c>
      <c r="CL152" s="55">
        <f t="shared" si="482"/>
        <v>56356.503834941854</v>
      </c>
      <c r="CM152" s="55">
        <f t="shared" si="482"/>
        <v>59356.419367570787</v>
      </c>
      <c r="CN152" s="55">
        <f t="shared" si="482"/>
        <v>63004.471503103072</v>
      </c>
      <c r="CO152" s="55">
        <f t="shared" si="482"/>
        <v>65606.467521543673</v>
      </c>
      <c r="CP152" s="55">
        <f t="shared" si="482"/>
        <v>67811.844609186752</v>
      </c>
      <c r="CQ152" s="55">
        <f t="shared" si="482"/>
        <v>71586.627287999087</v>
      </c>
      <c r="CR152" s="55">
        <f t="shared" si="482"/>
        <v>71442.64508485308</v>
      </c>
      <c r="CS152" s="55">
        <f t="shared" si="482"/>
        <v>72695.952801076113</v>
      </c>
      <c r="CT152" s="55">
        <f t="shared" si="482"/>
        <v>73431.30333168339</v>
      </c>
      <c r="CU152" s="257">
        <f t="shared" si="482"/>
        <v>74951.220342522603</v>
      </c>
      <c r="CV152" s="55">
        <f t="shared" ref="CV152:DG152" si="483">SUM(CV146:CV151)</f>
        <v>75997.715453841549</v>
      </c>
      <c r="CW152" s="55">
        <f t="shared" si="483"/>
        <v>77696.919624671253</v>
      </c>
      <c r="CX152" s="55">
        <f t="shared" si="483"/>
        <v>79691.928792664228</v>
      </c>
      <c r="CY152" s="55">
        <f t="shared" si="483"/>
        <v>83634.470076867496</v>
      </c>
      <c r="CZ152" s="55">
        <f t="shared" si="483"/>
        <v>87805.706791597215</v>
      </c>
      <c r="DA152" s="55">
        <f t="shared" si="483"/>
        <v>90325.437259572034</v>
      </c>
      <c r="DB152" s="55">
        <f t="shared" si="483"/>
        <v>93145.297562074411</v>
      </c>
      <c r="DC152" s="55">
        <f t="shared" si="483"/>
        <v>96864.160508487257</v>
      </c>
      <c r="DD152" s="55">
        <f t="shared" si="483"/>
        <v>96983.299986922211</v>
      </c>
      <c r="DE152" s="55">
        <f t="shared" si="483"/>
        <v>98419.9970800757</v>
      </c>
      <c r="DF152" s="55">
        <f t="shared" si="483"/>
        <v>98913.632246907597</v>
      </c>
      <c r="DG152" s="55">
        <f t="shared" si="483"/>
        <v>101032.37463576821</v>
      </c>
    </row>
    <row r="153" spans="1:111" x14ac:dyDescent="0.25">
      <c r="A153" s="3"/>
      <c r="B153" s="4" t="s">
        <v>26</v>
      </c>
      <c r="C153" s="4"/>
      <c r="D153" s="56">
        <f t="shared" ref="D153:I153" si="484">D152</f>
        <v>0</v>
      </c>
      <c r="E153" s="56">
        <f t="shared" si="484"/>
        <v>0</v>
      </c>
      <c r="F153" s="56">
        <f t="shared" si="484"/>
        <v>0</v>
      </c>
      <c r="G153" s="56">
        <f t="shared" si="484"/>
        <v>0</v>
      </c>
      <c r="H153" s="56">
        <f t="shared" si="484"/>
        <v>0</v>
      </c>
      <c r="I153" s="56">
        <f t="shared" si="484"/>
        <v>0</v>
      </c>
      <c r="J153" s="56">
        <f t="shared" ref="J153:AM153" si="485">J152+J143</f>
        <v>0</v>
      </c>
      <c r="K153" s="56">
        <f t="shared" si="485"/>
        <v>0</v>
      </c>
      <c r="L153" s="56">
        <f t="shared" si="485"/>
        <v>0</v>
      </c>
      <c r="M153" s="56">
        <f t="shared" si="485"/>
        <v>0</v>
      </c>
      <c r="N153" s="56">
        <f t="shared" si="485"/>
        <v>0</v>
      </c>
      <c r="O153" s="56">
        <f t="shared" si="485"/>
        <v>0</v>
      </c>
      <c r="P153" s="56">
        <f t="shared" si="485"/>
        <v>0</v>
      </c>
      <c r="Q153" s="56">
        <f t="shared" si="485"/>
        <v>0</v>
      </c>
      <c r="R153" s="56">
        <f t="shared" si="485"/>
        <v>0</v>
      </c>
      <c r="S153" s="56">
        <f t="shared" si="485"/>
        <v>0</v>
      </c>
      <c r="T153" s="56">
        <f t="shared" si="485"/>
        <v>0</v>
      </c>
      <c r="U153" s="56">
        <f t="shared" si="485"/>
        <v>0</v>
      </c>
      <c r="V153" s="56">
        <f t="shared" si="485"/>
        <v>0</v>
      </c>
      <c r="W153" s="56">
        <f t="shared" si="485"/>
        <v>0</v>
      </c>
      <c r="X153" s="56">
        <f t="shared" si="485"/>
        <v>0</v>
      </c>
      <c r="Y153" s="56">
        <f t="shared" si="485"/>
        <v>0</v>
      </c>
      <c r="Z153" s="56">
        <f t="shared" si="485"/>
        <v>0</v>
      </c>
      <c r="AA153" s="56">
        <f t="shared" si="485"/>
        <v>0</v>
      </c>
      <c r="AB153" s="56">
        <f t="shared" si="485"/>
        <v>886.67000000000007</v>
      </c>
      <c r="AC153" s="56">
        <f t="shared" si="485"/>
        <v>997.49999999999818</v>
      </c>
      <c r="AD153" s="56">
        <f t="shared" si="485"/>
        <v>2882.4999999999982</v>
      </c>
      <c r="AE153" s="56">
        <f t="shared" si="485"/>
        <v>2067.6700000000019</v>
      </c>
      <c r="AF153" s="56">
        <f t="shared" si="485"/>
        <v>2882.7000000000007</v>
      </c>
      <c r="AG153" s="56">
        <f t="shared" si="485"/>
        <v>2961.3299999999981</v>
      </c>
      <c r="AH153" s="56">
        <f t="shared" si="485"/>
        <v>3250.8900000000031</v>
      </c>
      <c r="AI153" s="56">
        <f t="shared" si="485"/>
        <v>1442.8099999999977</v>
      </c>
      <c r="AJ153" s="56">
        <f t="shared" si="485"/>
        <v>853.89999999999418</v>
      </c>
      <c r="AK153" s="56">
        <f t="shared" si="485"/>
        <v>2723.1899999999951</v>
      </c>
      <c r="AL153" s="56">
        <f t="shared" si="485"/>
        <v>2023.6699999999964</v>
      </c>
      <c r="AM153" s="56">
        <f t="shared" si="485"/>
        <v>1920.5599999999968</v>
      </c>
      <c r="AN153" s="56">
        <f t="shared" ref="AN153:AT153" si="486">AN152+AN143</f>
        <v>2644.2599999999957</v>
      </c>
      <c r="AO153" s="56">
        <f t="shared" si="486"/>
        <v>2957.6</v>
      </c>
      <c r="AP153" s="56">
        <f t="shared" si="486"/>
        <v>3880.8899999999985</v>
      </c>
      <c r="AQ153" s="56">
        <f t="shared" si="486"/>
        <v>5191.1399999999985</v>
      </c>
      <c r="AR153" s="56">
        <f t="shared" si="486"/>
        <v>7326.819999999997</v>
      </c>
      <c r="AS153" s="56">
        <f t="shared" si="486"/>
        <v>7193.909999999998</v>
      </c>
      <c r="AT153" s="56">
        <f t="shared" si="486"/>
        <v>7114.239999999998</v>
      </c>
      <c r="AU153" s="56">
        <f t="shared" ref="AU153:AV153" si="487">AU152+AU143</f>
        <v>7935.0899999999965</v>
      </c>
      <c r="AV153" s="56">
        <f t="shared" si="487"/>
        <v>6887.6500000000069</v>
      </c>
      <c r="AW153" s="253">
        <f t="shared" ref="AW153" si="488">AW152+AW143</f>
        <v>6355.6200000000081</v>
      </c>
      <c r="AX153" s="56">
        <f t="shared" ref="AX153" si="489">AX152+AX143</f>
        <v>6882.7846958765476</v>
      </c>
      <c r="AY153" s="253">
        <f t="shared" ref="AY153:BU153" si="490">AY152+AY143</f>
        <v>7230.1484755807396</v>
      </c>
      <c r="AZ153" s="56">
        <f t="shared" si="490"/>
        <v>7093.7784318222293</v>
      </c>
      <c r="BA153" s="56">
        <f t="shared" si="490"/>
        <v>7678.5375787572302</v>
      </c>
      <c r="BB153" s="56">
        <f t="shared" si="490"/>
        <v>8796.4438637904896</v>
      </c>
      <c r="BC153" s="56">
        <f t="shared" si="490"/>
        <v>10987.719522475738</v>
      </c>
      <c r="BD153" s="56">
        <f t="shared" si="490"/>
        <v>12703.679560490003</v>
      </c>
      <c r="BE153" s="56">
        <f t="shared" si="490"/>
        <v>14619.196799527563</v>
      </c>
      <c r="BF153" s="56">
        <f t="shared" si="490"/>
        <v>16253.154734091142</v>
      </c>
      <c r="BG153" s="56">
        <f t="shared" si="490"/>
        <v>18214.19019857188</v>
      </c>
      <c r="BH153" s="56">
        <f t="shared" si="490"/>
        <v>18370.377879706903</v>
      </c>
      <c r="BI153" s="56">
        <f t="shared" si="490"/>
        <v>18837.149786011112</v>
      </c>
      <c r="BJ153" s="56">
        <f t="shared" si="490"/>
        <v>19064.399698912814</v>
      </c>
      <c r="BK153" s="253">
        <f t="shared" si="490"/>
        <v>20472.011341238926</v>
      </c>
      <c r="BL153" s="56">
        <f t="shared" si="490"/>
        <v>20550.224341139867</v>
      </c>
      <c r="BM153" s="56">
        <f t="shared" si="490"/>
        <v>21594.171891072307</v>
      </c>
      <c r="BN153" s="56">
        <f t="shared" si="490"/>
        <v>23440.126445713286</v>
      </c>
      <c r="BO153" s="56">
        <f t="shared" si="490"/>
        <v>26058.989280897651</v>
      </c>
      <c r="BP153" s="56">
        <f t="shared" si="490"/>
        <v>28186.860570618635</v>
      </c>
      <c r="BQ153" s="56">
        <f t="shared" si="490"/>
        <v>30482.507732264217</v>
      </c>
      <c r="BR153" s="56">
        <f t="shared" si="490"/>
        <v>32114.822756177688</v>
      </c>
      <c r="BS153" s="56">
        <f t="shared" si="490"/>
        <v>34748.619352032867</v>
      </c>
      <c r="BT153" s="56">
        <f t="shared" si="490"/>
        <v>35004.953048896357</v>
      </c>
      <c r="BU153" s="56">
        <f t="shared" si="490"/>
        <v>35430.879051003416</v>
      </c>
      <c r="BV153" s="56">
        <f t="shared" ref="BV153:DA153" si="491">BV152+BV143</f>
        <v>35936.312268224712</v>
      </c>
      <c r="BW153" s="253">
        <f t="shared" si="491"/>
        <v>37587.675065475807</v>
      </c>
      <c r="BX153" s="56">
        <f t="shared" si="491"/>
        <v>37752.777754908078</v>
      </c>
      <c r="BY153" s="56">
        <f t="shared" si="491"/>
        <v>39289.016137772647</v>
      </c>
      <c r="BZ153" s="56">
        <f t="shared" si="491"/>
        <v>41387.840364329364</v>
      </c>
      <c r="CA153" s="56">
        <f t="shared" si="491"/>
        <v>43648.816153679756</v>
      </c>
      <c r="CB153" s="56">
        <f t="shared" si="491"/>
        <v>46811.649749421544</v>
      </c>
      <c r="CC153" s="56">
        <f t="shared" si="491"/>
        <v>49363.378362532661</v>
      </c>
      <c r="CD153" s="56">
        <f t="shared" si="491"/>
        <v>50882.182375264965</v>
      </c>
      <c r="CE153" s="56">
        <f t="shared" si="491"/>
        <v>54193.374140493004</v>
      </c>
      <c r="CF153" s="56">
        <f t="shared" si="491"/>
        <v>54234.778633749986</v>
      </c>
      <c r="CG153" s="56">
        <f t="shared" si="491"/>
        <v>54965.329206397146</v>
      </c>
      <c r="CH153" s="56">
        <f t="shared" si="491"/>
        <v>55534.274217784012</v>
      </c>
      <c r="CI153" s="253">
        <f t="shared" si="491"/>
        <v>56837.755343993907</v>
      </c>
      <c r="CJ153" s="56">
        <f t="shared" si="491"/>
        <v>57644.205623193717</v>
      </c>
      <c r="CK153" s="56">
        <f t="shared" si="491"/>
        <v>59051.262080323781</v>
      </c>
      <c r="CL153" s="56">
        <f t="shared" si="491"/>
        <v>61074.823834941853</v>
      </c>
      <c r="CM153" s="56">
        <f t="shared" si="491"/>
        <v>64074.739367570786</v>
      </c>
      <c r="CN153" s="56">
        <f t="shared" si="491"/>
        <v>67722.791503103072</v>
      </c>
      <c r="CO153" s="56">
        <f t="shared" si="491"/>
        <v>70324.78752154368</v>
      </c>
      <c r="CP153" s="56">
        <f t="shared" si="491"/>
        <v>72530.164609186759</v>
      </c>
      <c r="CQ153" s="56">
        <f t="shared" si="491"/>
        <v>76304.947287999094</v>
      </c>
      <c r="CR153" s="56">
        <f t="shared" si="491"/>
        <v>76160.965084853087</v>
      </c>
      <c r="CS153" s="56">
        <f t="shared" si="491"/>
        <v>77414.27280107612</v>
      </c>
      <c r="CT153" s="56">
        <f t="shared" si="491"/>
        <v>78149.623331683397</v>
      </c>
      <c r="CU153" s="253">
        <f t="shared" si="491"/>
        <v>79669.54034252261</v>
      </c>
      <c r="CV153" s="56">
        <f t="shared" si="491"/>
        <v>80716.035453841556</v>
      </c>
      <c r="CW153" s="56">
        <f t="shared" si="491"/>
        <v>82415.23962467126</v>
      </c>
      <c r="CX153" s="56">
        <f t="shared" si="491"/>
        <v>84410.248792664235</v>
      </c>
      <c r="CY153" s="56">
        <f t="shared" si="491"/>
        <v>88352.790076867503</v>
      </c>
      <c r="CZ153" s="56">
        <f t="shared" si="491"/>
        <v>92524.026791597222</v>
      </c>
      <c r="DA153" s="56">
        <f t="shared" si="491"/>
        <v>95043.757259572041</v>
      </c>
      <c r="DB153" s="56">
        <f t="shared" ref="DB153:DG153" si="492">DB152+DB143</f>
        <v>97863.617562074418</v>
      </c>
      <c r="DC153" s="56">
        <f t="shared" si="492"/>
        <v>101582.48050848726</v>
      </c>
      <c r="DD153" s="56">
        <f t="shared" si="492"/>
        <v>101701.61998692222</v>
      </c>
      <c r="DE153" s="56">
        <f t="shared" si="492"/>
        <v>103138.31708007571</v>
      </c>
      <c r="DF153" s="56">
        <f t="shared" si="492"/>
        <v>103631.9522469076</v>
      </c>
      <c r="DG153" s="56">
        <f t="shared" si="492"/>
        <v>105750.69463576822</v>
      </c>
    </row>
    <row r="154" spans="1:111" s="169" customFormat="1" x14ac:dyDescent="0.25">
      <c r="B154" s="284"/>
      <c r="C154" s="284" t="s">
        <v>259</v>
      </c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>
        <f>+W149-V149</f>
        <v>0</v>
      </c>
      <c r="X154" s="285">
        <f t="shared" ref="X154:AW154" si="493">+X149-W149</f>
        <v>0</v>
      </c>
      <c r="Y154" s="285">
        <f t="shared" si="493"/>
        <v>0</v>
      </c>
      <c r="Z154" s="285">
        <f t="shared" si="493"/>
        <v>0</v>
      </c>
      <c r="AA154" s="285">
        <f t="shared" si="493"/>
        <v>0</v>
      </c>
      <c r="AB154" s="285">
        <f t="shared" si="493"/>
        <v>-4414.2</v>
      </c>
      <c r="AC154" s="285">
        <f t="shared" si="493"/>
        <v>-5131.4900000000007</v>
      </c>
      <c r="AD154" s="285">
        <f t="shared" si="493"/>
        <v>-4430.43</v>
      </c>
      <c r="AE154" s="285">
        <f t="shared" si="493"/>
        <v>-7086.409999999998</v>
      </c>
      <c r="AF154" s="285">
        <f t="shared" si="493"/>
        <v>-3432.2299999999996</v>
      </c>
      <c r="AG154" s="285">
        <f t="shared" si="493"/>
        <v>-3463.0700000000033</v>
      </c>
      <c r="AH154" s="285">
        <f t="shared" si="493"/>
        <v>-2858.9499999999971</v>
      </c>
      <c r="AI154" s="285">
        <f t="shared" si="493"/>
        <v>-5679.5299999999988</v>
      </c>
      <c r="AJ154" s="285">
        <f t="shared" si="493"/>
        <v>-2487.7700000000041</v>
      </c>
      <c r="AK154" s="285">
        <f t="shared" si="493"/>
        <v>-2394.3899999999994</v>
      </c>
      <c r="AL154" s="285">
        <f t="shared" si="493"/>
        <v>-2307.5599999999977</v>
      </c>
      <c r="AM154" s="285">
        <f t="shared" si="493"/>
        <v>-3648.260000000002</v>
      </c>
      <c r="AN154" s="285">
        <f t="shared" si="493"/>
        <v>-3116.5800000000017</v>
      </c>
      <c r="AO154" s="285">
        <f t="shared" si="493"/>
        <v>-1624.4799999999959</v>
      </c>
      <c r="AP154" s="285">
        <f t="shared" si="493"/>
        <v>-1433.7200000000012</v>
      </c>
      <c r="AQ154" s="285">
        <f t="shared" si="493"/>
        <v>-1790.1100000000006</v>
      </c>
      <c r="AR154" s="285">
        <f t="shared" si="493"/>
        <v>-774.65000000000146</v>
      </c>
      <c r="AS154" s="285">
        <f t="shared" si="493"/>
        <v>-2413.3099999999977</v>
      </c>
      <c r="AT154" s="285">
        <f t="shared" si="493"/>
        <v>-3588.010000000002</v>
      </c>
      <c r="AU154" s="285">
        <f t="shared" si="493"/>
        <v>-2335.2200000000012</v>
      </c>
      <c r="AV154" s="285">
        <f t="shared" si="493"/>
        <v>-4027.9099999999962</v>
      </c>
      <c r="AW154" s="286">
        <f t="shared" si="493"/>
        <v>-2593.5599999999977</v>
      </c>
      <c r="AX154" s="285">
        <v>-150</v>
      </c>
      <c r="AY154" s="286">
        <f t="shared" ref="AY154:CU155" si="494">+AX154</f>
        <v>-150</v>
      </c>
      <c r="AZ154" s="285">
        <f t="shared" si="494"/>
        <v>-150</v>
      </c>
      <c r="BA154" s="285">
        <f t="shared" si="494"/>
        <v>-150</v>
      </c>
      <c r="BB154" s="285">
        <f t="shared" si="494"/>
        <v>-150</v>
      </c>
      <c r="BC154" s="285">
        <f t="shared" si="494"/>
        <v>-150</v>
      </c>
      <c r="BD154" s="285">
        <f t="shared" si="494"/>
        <v>-150</v>
      </c>
      <c r="BE154" s="285">
        <f t="shared" si="494"/>
        <v>-150</v>
      </c>
      <c r="BF154" s="285">
        <f t="shared" si="494"/>
        <v>-150</v>
      </c>
      <c r="BG154" s="285">
        <f t="shared" si="494"/>
        <v>-150</v>
      </c>
      <c r="BH154" s="285">
        <f t="shared" si="494"/>
        <v>-150</v>
      </c>
      <c r="BI154" s="285">
        <f t="shared" si="494"/>
        <v>-150</v>
      </c>
      <c r="BJ154" s="285">
        <f t="shared" si="494"/>
        <v>-150</v>
      </c>
      <c r="BK154" s="286">
        <f t="shared" si="494"/>
        <v>-150</v>
      </c>
      <c r="BL154" s="285">
        <f t="shared" si="494"/>
        <v>-150</v>
      </c>
      <c r="BM154" s="285">
        <f t="shared" si="494"/>
        <v>-150</v>
      </c>
      <c r="BN154" s="285">
        <f t="shared" si="494"/>
        <v>-150</v>
      </c>
      <c r="BO154" s="285">
        <f t="shared" si="494"/>
        <v>-150</v>
      </c>
      <c r="BP154" s="285">
        <f t="shared" si="494"/>
        <v>-150</v>
      </c>
      <c r="BQ154" s="285">
        <f t="shared" si="494"/>
        <v>-150</v>
      </c>
      <c r="BR154" s="285">
        <f t="shared" si="494"/>
        <v>-150</v>
      </c>
      <c r="BS154" s="285">
        <f t="shared" si="494"/>
        <v>-150</v>
      </c>
      <c r="BT154" s="285">
        <f t="shared" si="494"/>
        <v>-150</v>
      </c>
      <c r="BU154" s="285">
        <f t="shared" si="494"/>
        <v>-150</v>
      </c>
      <c r="BV154" s="285">
        <f t="shared" si="494"/>
        <v>-150</v>
      </c>
      <c r="BW154" s="286">
        <f t="shared" si="494"/>
        <v>-150</v>
      </c>
      <c r="BX154" s="285">
        <f t="shared" si="494"/>
        <v>-150</v>
      </c>
      <c r="BY154" s="285">
        <f t="shared" si="494"/>
        <v>-150</v>
      </c>
      <c r="BZ154" s="285">
        <f t="shared" si="494"/>
        <v>-150</v>
      </c>
      <c r="CA154" s="285">
        <f t="shared" si="494"/>
        <v>-150</v>
      </c>
      <c r="CB154" s="285">
        <f t="shared" si="494"/>
        <v>-150</v>
      </c>
      <c r="CC154" s="285">
        <f t="shared" si="494"/>
        <v>-150</v>
      </c>
      <c r="CD154" s="285">
        <f t="shared" si="494"/>
        <v>-150</v>
      </c>
      <c r="CE154" s="285">
        <f t="shared" si="494"/>
        <v>-150</v>
      </c>
      <c r="CF154" s="285">
        <f t="shared" si="494"/>
        <v>-150</v>
      </c>
      <c r="CG154" s="285">
        <f t="shared" si="494"/>
        <v>-150</v>
      </c>
      <c r="CH154" s="285">
        <f t="shared" si="494"/>
        <v>-150</v>
      </c>
      <c r="CI154" s="286">
        <f t="shared" si="494"/>
        <v>-150</v>
      </c>
      <c r="CJ154" s="285">
        <f t="shared" si="494"/>
        <v>-150</v>
      </c>
      <c r="CK154" s="285">
        <f t="shared" si="494"/>
        <v>-150</v>
      </c>
      <c r="CL154" s="285">
        <f t="shared" si="494"/>
        <v>-150</v>
      </c>
      <c r="CM154" s="285">
        <f t="shared" si="494"/>
        <v>-150</v>
      </c>
      <c r="CN154" s="285">
        <f t="shared" si="494"/>
        <v>-150</v>
      </c>
      <c r="CO154" s="285">
        <f t="shared" si="494"/>
        <v>-150</v>
      </c>
      <c r="CP154" s="285">
        <f t="shared" si="494"/>
        <v>-150</v>
      </c>
      <c r="CQ154" s="285">
        <f t="shared" si="494"/>
        <v>-150</v>
      </c>
      <c r="CR154" s="285">
        <f t="shared" si="494"/>
        <v>-150</v>
      </c>
      <c r="CS154" s="285">
        <f t="shared" si="494"/>
        <v>-150</v>
      </c>
      <c r="CT154" s="285">
        <f t="shared" si="494"/>
        <v>-150</v>
      </c>
      <c r="CU154" s="286">
        <f t="shared" si="494"/>
        <v>-150</v>
      </c>
      <c r="CV154" s="285">
        <f t="shared" ref="CV154:DG155" si="495">+CU154</f>
        <v>-150</v>
      </c>
      <c r="CW154" s="285">
        <f t="shared" si="495"/>
        <v>-150</v>
      </c>
      <c r="CX154" s="285">
        <f t="shared" si="495"/>
        <v>-150</v>
      </c>
      <c r="CY154" s="285">
        <f t="shared" si="495"/>
        <v>-150</v>
      </c>
      <c r="CZ154" s="285">
        <f t="shared" si="495"/>
        <v>-150</v>
      </c>
      <c r="DA154" s="285">
        <f t="shared" si="495"/>
        <v>-150</v>
      </c>
      <c r="DB154" s="285">
        <f t="shared" si="495"/>
        <v>-150</v>
      </c>
      <c r="DC154" s="285">
        <f t="shared" si="495"/>
        <v>-150</v>
      </c>
      <c r="DD154" s="285">
        <f t="shared" si="495"/>
        <v>-150</v>
      </c>
      <c r="DE154" s="285">
        <f t="shared" si="495"/>
        <v>-150</v>
      </c>
      <c r="DF154" s="285">
        <f t="shared" si="495"/>
        <v>-150</v>
      </c>
      <c r="DG154" s="285">
        <f t="shared" si="495"/>
        <v>-150</v>
      </c>
    </row>
    <row r="155" spans="1:111" s="169" customFormat="1" x14ac:dyDescent="0.25">
      <c r="B155" s="284"/>
      <c r="C155" s="284" t="s">
        <v>366</v>
      </c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85"/>
      <c r="AB155" s="285"/>
      <c r="AC155" s="285"/>
      <c r="AD155" s="285"/>
      <c r="AE155" s="285"/>
      <c r="AF155" s="285"/>
      <c r="AG155" s="285"/>
      <c r="AH155" s="285"/>
      <c r="AI155" s="285"/>
      <c r="AJ155" s="285"/>
      <c r="AK155" s="285"/>
      <c r="AL155" s="285"/>
      <c r="AM155" s="285"/>
      <c r="AN155" s="285"/>
      <c r="AO155" s="285"/>
      <c r="AP155" s="285"/>
      <c r="AQ155" s="285"/>
      <c r="AR155" s="285"/>
      <c r="AS155" s="285"/>
      <c r="AT155" s="285"/>
      <c r="AU155" s="285"/>
      <c r="AV155" s="285"/>
      <c r="AW155" s="286"/>
      <c r="AX155" s="285">
        <v>0</v>
      </c>
      <c r="AY155" s="286">
        <f t="shared" si="494"/>
        <v>0</v>
      </c>
      <c r="AZ155" s="285">
        <f t="shared" ref="AZ155:CX155" si="496">+AY155</f>
        <v>0</v>
      </c>
      <c r="BA155" s="285">
        <f t="shared" si="496"/>
        <v>0</v>
      </c>
      <c r="BB155" s="285">
        <f t="shared" si="496"/>
        <v>0</v>
      </c>
      <c r="BC155" s="285">
        <f t="shared" si="496"/>
        <v>0</v>
      </c>
      <c r="BD155" s="285">
        <f t="shared" si="496"/>
        <v>0</v>
      </c>
      <c r="BE155" s="285">
        <f t="shared" si="496"/>
        <v>0</v>
      </c>
      <c r="BF155" s="285">
        <f t="shared" si="496"/>
        <v>0</v>
      </c>
      <c r="BG155" s="285">
        <f t="shared" si="496"/>
        <v>0</v>
      </c>
      <c r="BH155" s="285">
        <f t="shared" si="496"/>
        <v>0</v>
      </c>
      <c r="BI155" s="285">
        <f t="shared" si="496"/>
        <v>0</v>
      </c>
      <c r="BJ155" s="285">
        <f t="shared" si="496"/>
        <v>0</v>
      </c>
      <c r="BK155" s="286">
        <f t="shared" si="496"/>
        <v>0</v>
      </c>
      <c r="BL155" s="285">
        <f t="shared" si="496"/>
        <v>0</v>
      </c>
      <c r="BM155" s="285">
        <f t="shared" si="496"/>
        <v>0</v>
      </c>
      <c r="BN155" s="285">
        <f t="shared" si="496"/>
        <v>0</v>
      </c>
      <c r="BO155" s="285">
        <f t="shared" si="496"/>
        <v>0</v>
      </c>
      <c r="BP155" s="285">
        <f t="shared" si="496"/>
        <v>0</v>
      </c>
      <c r="BQ155" s="285">
        <f t="shared" si="496"/>
        <v>0</v>
      </c>
      <c r="BR155" s="285">
        <f t="shared" si="496"/>
        <v>0</v>
      </c>
      <c r="BS155" s="285">
        <f t="shared" si="496"/>
        <v>0</v>
      </c>
      <c r="BT155" s="285">
        <f t="shared" si="496"/>
        <v>0</v>
      </c>
      <c r="BU155" s="285">
        <f t="shared" si="496"/>
        <v>0</v>
      </c>
      <c r="BV155" s="285">
        <f t="shared" si="496"/>
        <v>0</v>
      </c>
      <c r="BW155" s="286">
        <f t="shared" si="496"/>
        <v>0</v>
      </c>
      <c r="BX155" s="285">
        <f t="shared" si="496"/>
        <v>0</v>
      </c>
      <c r="BY155" s="285">
        <f t="shared" si="496"/>
        <v>0</v>
      </c>
      <c r="BZ155" s="285">
        <f t="shared" si="496"/>
        <v>0</v>
      </c>
      <c r="CA155" s="285">
        <f t="shared" si="496"/>
        <v>0</v>
      </c>
      <c r="CB155" s="285">
        <f t="shared" si="496"/>
        <v>0</v>
      </c>
      <c r="CC155" s="285">
        <f t="shared" si="496"/>
        <v>0</v>
      </c>
      <c r="CD155" s="285">
        <f t="shared" si="496"/>
        <v>0</v>
      </c>
      <c r="CE155" s="285">
        <f t="shared" si="496"/>
        <v>0</v>
      </c>
      <c r="CF155" s="285">
        <f t="shared" si="496"/>
        <v>0</v>
      </c>
      <c r="CG155" s="285">
        <f t="shared" si="496"/>
        <v>0</v>
      </c>
      <c r="CH155" s="285">
        <f t="shared" si="496"/>
        <v>0</v>
      </c>
      <c r="CI155" s="286">
        <f t="shared" si="496"/>
        <v>0</v>
      </c>
      <c r="CJ155" s="285">
        <f t="shared" si="496"/>
        <v>0</v>
      </c>
      <c r="CK155" s="285">
        <f t="shared" si="496"/>
        <v>0</v>
      </c>
      <c r="CL155" s="285">
        <f t="shared" si="496"/>
        <v>0</v>
      </c>
      <c r="CM155" s="285">
        <f t="shared" si="496"/>
        <v>0</v>
      </c>
      <c r="CN155" s="285">
        <f t="shared" si="496"/>
        <v>0</v>
      </c>
      <c r="CO155" s="285">
        <f t="shared" si="496"/>
        <v>0</v>
      </c>
      <c r="CP155" s="285">
        <f t="shared" si="496"/>
        <v>0</v>
      </c>
      <c r="CQ155" s="285">
        <f t="shared" si="496"/>
        <v>0</v>
      </c>
      <c r="CR155" s="285">
        <f t="shared" si="496"/>
        <v>0</v>
      </c>
      <c r="CS155" s="285">
        <f t="shared" si="496"/>
        <v>0</v>
      </c>
      <c r="CT155" s="285">
        <f t="shared" si="496"/>
        <v>0</v>
      </c>
      <c r="CU155" s="286">
        <f t="shared" si="496"/>
        <v>0</v>
      </c>
      <c r="CV155" s="285">
        <f t="shared" si="496"/>
        <v>0</v>
      </c>
      <c r="CW155" s="285">
        <f t="shared" si="496"/>
        <v>0</v>
      </c>
      <c r="CX155" s="285">
        <f t="shared" si="496"/>
        <v>0</v>
      </c>
      <c r="CY155" s="285">
        <f t="shared" si="495"/>
        <v>0</v>
      </c>
      <c r="CZ155" s="285"/>
      <c r="DA155" s="285"/>
      <c r="DB155" s="285"/>
      <c r="DC155" s="285"/>
      <c r="DD155" s="285"/>
      <c r="DE155" s="285"/>
      <c r="DF155" s="285"/>
      <c r="DG155" s="285"/>
    </row>
    <row r="156" spans="1:111" s="3" customFormat="1" x14ac:dyDescent="0.25">
      <c r="A156"/>
      <c r="B156" s="1"/>
      <c r="C156" s="59" t="s">
        <v>35</v>
      </c>
      <c r="D156" s="58">
        <f t="shared" ref="D156:AI156" si="497">D153-D129</f>
        <v>0</v>
      </c>
      <c r="E156" s="58">
        <f t="shared" si="497"/>
        <v>0</v>
      </c>
      <c r="F156" s="58">
        <f t="shared" si="497"/>
        <v>0</v>
      </c>
      <c r="G156" s="58">
        <f t="shared" si="497"/>
        <v>0</v>
      </c>
      <c r="H156" s="58">
        <f t="shared" si="497"/>
        <v>0</v>
      </c>
      <c r="I156" s="58">
        <f t="shared" si="497"/>
        <v>0</v>
      </c>
      <c r="J156" s="58">
        <f t="shared" si="497"/>
        <v>0</v>
      </c>
      <c r="K156" s="58">
        <f t="shared" si="497"/>
        <v>0</v>
      </c>
      <c r="L156" s="58">
        <f t="shared" si="497"/>
        <v>0</v>
      </c>
      <c r="M156" s="58">
        <f t="shared" si="497"/>
        <v>0</v>
      </c>
      <c r="N156" s="58">
        <f t="shared" si="497"/>
        <v>0</v>
      </c>
      <c r="O156" s="58">
        <f t="shared" si="497"/>
        <v>0</v>
      </c>
      <c r="P156" s="58">
        <f t="shared" si="497"/>
        <v>0</v>
      </c>
      <c r="Q156" s="58">
        <f t="shared" si="497"/>
        <v>0</v>
      </c>
      <c r="R156" s="58">
        <f t="shared" si="497"/>
        <v>0</v>
      </c>
      <c r="S156" s="58">
        <f t="shared" si="497"/>
        <v>0</v>
      </c>
      <c r="T156" s="58">
        <f t="shared" si="497"/>
        <v>0</v>
      </c>
      <c r="U156" s="58">
        <f t="shared" si="497"/>
        <v>0</v>
      </c>
      <c r="V156" s="58">
        <f t="shared" si="497"/>
        <v>0</v>
      </c>
      <c r="W156" s="58">
        <f t="shared" si="497"/>
        <v>0</v>
      </c>
      <c r="X156" s="58">
        <f t="shared" si="497"/>
        <v>0</v>
      </c>
      <c r="Y156" s="58">
        <f t="shared" si="497"/>
        <v>0</v>
      </c>
      <c r="Z156" s="58">
        <f t="shared" si="497"/>
        <v>0</v>
      </c>
      <c r="AA156" s="58">
        <f t="shared" si="497"/>
        <v>0</v>
      </c>
      <c r="AB156" s="58">
        <f t="shared" si="497"/>
        <v>0</v>
      </c>
      <c r="AC156" s="58">
        <f t="shared" si="497"/>
        <v>-1.8189894035458565E-12</v>
      </c>
      <c r="AD156" s="58">
        <f t="shared" si="497"/>
        <v>0</v>
      </c>
      <c r="AE156" s="58">
        <f t="shared" si="497"/>
        <v>0</v>
      </c>
      <c r="AF156" s="58">
        <f t="shared" si="497"/>
        <v>0</v>
      </c>
      <c r="AG156" s="58">
        <f t="shared" si="497"/>
        <v>0</v>
      </c>
      <c r="AH156" s="58">
        <f t="shared" si="497"/>
        <v>0</v>
      </c>
      <c r="AI156" s="58">
        <f t="shared" si="497"/>
        <v>-2.2737367544323206E-12</v>
      </c>
      <c r="AJ156" s="58">
        <f t="shared" ref="AJ156:BO156" si="498">AJ153-AJ129</f>
        <v>-5.9117155615240335E-12</v>
      </c>
      <c r="AK156" s="58">
        <f t="shared" si="498"/>
        <v>-4.5474735088646412E-12</v>
      </c>
      <c r="AL156" s="58">
        <f t="shared" si="498"/>
        <v>-3.637978807091713E-12</v>
      </c>
      <c r="AM156" s="58">
        <f t="shared" si="498"/>
        <v>-3.1832314562052488E-12</v>
      </c>
      <c r="AN156" s="58">
        <f t="shared" si="498"/>
        <v>-4.5474735088646412E-12</v>
      </c>
      <c r="AO156" s="58">
        <f t="shared" si="498"/>
        <v>0</v>
      </c>
      <c r="AP156" s="58">
        <f t="shared" si="498"/>
        <v>0</v>
      </c>
      <c r="AQ156" s="58">
        <f t="shared" si="498"/>
        <v>0</v>
      </c>
      <c r="AR156" s="58">
        <f t="shared" ref="AR156:AV156" si="499">AR153-AR129</f>
        <v>0</v>
      </c>
      <c r="AS156" s="58">
        <f t="shared" si="499"/>
        <v>0</v>
      </c>
      <c r="AT156" s="58">
        <f t="shared" si="499"/>
        <v>0</v>
      </c>
      <c r="AU156" s="58">
        <f t="shared" si="499"/>
        <v>0</v>
      </c>
      <c r="AV156" s="58">
        <f t="shared" si="499"/>
        <v>7.2759576141834259E-12</v>
      </c>
      <c r="AW156" s="254">
        <f t="shared" ref="AW156" si="500">AW153-AW129</f>
        <v>8.1854523159563541E-12</v>
      </c>
      <c r="AX156" s="58">
        <f t="shared" ref="AX156" si="501">AX153-AX129</f>
        <v>7.2759576141834259E-12</v>
      </c>
      <c r="AY156" s="254">
        <f t="shared" si="498"/>
        <v>8.1854523159563541E-12</v>
      </c>
      <c r="AZ156" s="58">
        <f t="shared" si="498"/>
        <v>8.1854523159563541E-12</v>
      </c>
      <c r="BA156" s="58">
        <f t="shared" si="498"/>
        <v>7.2759576141834259E-12</v>
      </c>
      <c r="BB156" s="58">
        <f t="shared" si="498"/>
        <v>0</v>
      </c>
      <c r="BC156" s="58">
        <f t="shared" si="498"/>
        <v>0</v>
      </c>
      <c r="BD156" s="58">
        <f t="shared" si="498"/>
        <v>0</v>
      </c>
      <c r="BE156" s="58">
        <f t="shared" si="498"/>
        <v>0</v>
      </c>
      <c r="BF156" s="58">
        <f t="shared" si="498"/>
        <v>0</v>
      </c>
      <c r="BG156" s="58">
        <f t="shared" si="498"/>
        <v>0</v>
      </c>
      <c r="BH156" s="58">
        <f t="shared" si="498"/>
        <v>0</v>
      </c>
      <c r="BI156" s="58">
        <f t="shared" si="498"/>
        <v>0</v>
      </c>
      <c r="BJ156" s="58">
        <f t="shared" si="498"/>
        <v>0</v>
      </c>
      <c r="BK156" s="254">
        <f t="shared" si="498"/>
        <v>0</v>
      </c>
      <c r="BL156" s="58">
        <f t="shared" si="498"/>
        <v>0</v>
      </c>
      <c r="BM156" s="58">
        <f t="shared" si="498"/>
        <v>0</v>
      </c>
      <c r="BN156" s="58">
        <f t="shared" si="498"/>
        <v>0</v>
      </c>
      <c r="BO156" s="58">
        <f t="shared" si="498"/>
        <v>0</v>
      </c>
      <c r="BP156" s="58">
        <f t="shared" ref="BP156:CU156" si="502">BP153-BP129</f>
        <v>0</v>
      </c>
      <c r="BQ156" s="58">
        <f t="shared" si="502"/>
        <v>0</v>
      </c>
      <c r="BR156" s="58">
        <f t="shared" si="502"/>
        <v>0</v>
      </c>
      <c r="BS156" s="58">
        <f t="shared" si="502"/>
        <v>0</v>
      </c>
      <c r="BT156" s="58">
        <f t="shared" si="502"/>
        <v>0</v>
      </c>
      <c r="BU156" s="58">
        <f t="shared" si="502"/>
        <v>0</v>
      </c>
      <c r="BV156" s="58">
        <f t="shared" si="502"/>
        <v>0</v>
      </c>
      <c r="BW156" s="254">
        <f t="shared" si="502"/>
        <v>0</v>
      </c>
      <c r="BX156" s="58">
        <f t="shared" si="502"/>
        <v>0</v>
      </c>
      <c r="BY156" s="58">
        <f t="shared" si="502"/>
        <v>0</v>
      </c>
      <c r="BZ156" s="58">
        <f t="shared" si="502"/>
        <v>0</v>
      </c>
      <c r="CA156" s="58">
        <f t="shared" si="502"/>
        <v>0</v>
      </c>
      <c r="CB156" s="58">
        <f t="shared" si="502"/>
        <v>0</v>
      </c>
      <c r="CC156" s="58">
        <f t="shared" si="502"/>
        <v>0</v>
      </c>
      <c r="CD156" s="58">
        <f t="shared" si="502"/>
        <v>0</v>
      </c>
      <c r="CE156" s="58">
        <f t="shared" si="502"/>
        <v>0</v>
      </c>
      <c r="CF156" s="58">
        <f t="shared" si="502"/>
        <v>0</v>
      </c>
      <c r="CG156" s="58">
        <f t="shared" si="502"/>
        <v>0</v>
      </c>
      <c r="CH156" s="58">
        <f t="shared" si="502"/>
        <v>0</v>
      </c>
      <c r="CI156" s="254">
        <f t="shared" si="502"/>
        <v>0</v>
      </c>
      <c r="CJ156" s="58">
        <f t="shared" si="502"/>
        <v>0</v>
      </c>
      <c r="CK156" s="58">
        <f t="shared" si="502"/>
        <v>0</v>
      </c>
      <c r="CL156" s="58">
        <f t="shared" si="502"/>
        <v>0</v>
      </c>
      <c r="CM156" s="58">
        <f t="shared" si="502"/>
        <v>0</v>
      </c>
      <c r="CN156" s="58">
        <f t="shared" si="502"/>
        <v>0</v>
      </c>
      <c r="CO156" s="58">
        <f t="shared" si="502"/>
        <v>0</v>
      </c>
      <c r="CP156" s="58">
        <f t="shared" si="502"/>
        <v>0</v>
      </c>
      <c r="CQ156" s="58">
        <f t="shared" si="502"/>
        <v>0</v>
      </c>
      <c r="CR156" s="58">
        <f t="shared" si="502"/>
        <v>0</v>
      </c>
      <c r="CS156" s="58">
        <f t="shared" si="502"/>
        <v>0</v>
      </c>
      <c r="CT156" s="58">
        <f t="shared" si="502"/>
        <v>0</v>
      </c>
      <c r="CU156" s="254">
        <f t="shared" si="502"/>
        <v>0</v>
      </c>
      <c r="CV156" s="58">
        <f t="shared" ref="CV156:DG156" si="503">CV153-CV129</f>
        <v>0</v>
      </c>
      <c r="CW156" s="58">
        <f t="shared" si="503"/>
        <v>0</v>
      </c>
      <c r="CX156" s="58">
        <f t="shared" si="503"/>
        <v>0</v>
      </c>
      <c r="CY156" s="58">
        <f t="shared" si="503"/>
        <v>0</v>
      </c>
      <c r="CZ156" s="58">
        <f t="shared" si="503"/>
        <v>0</v>
      </c>
      <c r="DA156" s="58">
        <f t="shared" si="503"/>
        <v>0</v>
      </c>
      <c r="DB156" s="58">
        <f t="shared" si="503"/>
        <v>0</v>
      </c>
      <c r="DC156" s="58">
        <f t="shared" si="503"/>
        <v>0</v>
      </c>
      <c r="DD156" s="58">
        <f t="shared" si="503"/>
        <v>0</v>
      </c>
      <c r="DE156" s="58">
        <f t="shared" si="503"/>
        <v>0</v>
      </c>
      <c r="DF156" s="58">
        <f t="shared" si="503"/>
        <v>0</v>
      </c>
      <c r="DG156" s="58">
        <f t="shared" si="503"/>
        <v>0</v>
      </c>
    </row>
    <row r="157" spans="1:111" x14ac:dyDescent="0.25">
      <c r="P157" s="166"/>
      <c r="Q157" s="166"/>
      <c r="R157" s="166"/>
      <c r="AW157" s="251"/>
      <c r="AY157" s="251"/>
      <c r="BK157" s="251"/>
      <c r="BW157" s="251"/>
      <c r="CI157" s="251"/>
      <c r="CU157" s="251"/>
    </row>
    <row r="158" spans="1:111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260"/>
      <c r="AX158" s="30"/>
      <c r="AY158" s="26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26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26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26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260"/>
      <c r="CV158" s="30"/>
      <c r="CW158" s="30"/>
      <c r="CX158" s="30"/>
      <c r="CY158" s="30"/>
      <c r="CZ158" s="30"/>
      <c r="DA158" s="30"/>
      <c r="DB158" s="30"/>
      <c r="DC158" s="30"/>
      <c r="DD158" s="30"/>
      <c r="DE158" s="30"/>
      <c r="DF158" s="30"/>
      <c r="DG158" s="30"/>
    </row>
    <row r="159" spans="1:111" x14ac:dyDescent="0.25">
      <c r="AW159" s="251"/>
      <c r="AY159" s="251"/>
      <c r="BK159" s="251"/>
      <c r="BW159" s="251"/>
      <c r="CI159" s="251"/>
      <c r="CU159" s="251"/>
    </row>
    <row r="160" spans="1:111" x14ac:dyDescent="0.25">
      <c r="B160" s="1" t="s">
        <v>11</v>
      </c>
      <c r="D160" s="116">
        <f t="shared" ref="D160:AI160" si="504">D98</f>
        <v>0</v>
      </c>
      <c r="E160" s="116">
        <f t="shared" si="504"/>
        <v>0</v>
      </c>
      <c r="F160" s="116">
        <f t="shared" si="504"/>
        <v>0</v>
      </c>
      <c r="G160" s="116">
        <f t="shared" si="504"/>
        <v>0</v>
      </c>
      <c r="H160" s="116">
        <f t="shared" si="504"/>
        <v>0</v>
      </c>
      <c r="I160" s="116">
        <f t="shared" si="504"/>
        <v>0</v>
      </c>
      <c r="J160" s="116">
        <f t="shared" si="504"/>
        <v>0</v>
      </c>
      <c r="K160" s="116">
        <f t="shared" si="504"/>
        <v>0</v>
      </c>
      <c r="L160" s="116">
        <f t="shared" si="504"/>
        <v>0</v>
      </c>
      <c r="M160" s="116">
        <f t="shared" si="504"/>
        <v>0</v>
      </c>
      <c r="N160" s="116">
        <f t="shared" si="504"/>
        <v>0</v>
      </c>
      <c r="O160" s="116">
        <f t="shared" si="504"/>
        <v>0</v>
      </c>
      <c r="P160" s="116">
        <f t="shared" si="504"/>
        <v>0</v>
      </c>
      <c r="Q160" s="116">
        <f t="shared" si="504"/>
        <v>0</v>
      </c>
      <c r="R160" s="116">
        <f t="shared" si="504"/>
        <v>0</v>
      </c>
      <c r="S160" s="116">
        <f t="shared" si="504"/>
        <v>0</v>
      </c>
      <c r="T160" s="116">
        <f t="shared" si="504"/>
        <v>0</v>
      </c>
      <c r="U160" s="116">
        <f t="shared" si="504"/>
        <v>0</v>
      </c>
      <c r="V160" s="116">
        <f t="shared" si="504"/>
        <v>0</v>
      </c>
      <c r="W160" s="116">
        <f t="shared" si="504"/>
        <v>0</v>
      </c>
      <c r="X160" s="116">
        <f t="shared" si="504"/>
        <v>0</v>
      </c>
      <c r="Y160" s="116">
        <f t="shared" si="504"/>
        <v>0</v>
      </c>
      <c r="Z160" s="116">
        <f t="shared" si="504"/>
        <v>0</v>
      </c>
      <c r="AA160" s="116">
        <f t="shared" si="504"/>
        <v>0</v>
      </c>
      <c r="AB160" s="116">
        <f t="shared" si="504"/>
        <v>4264.74</v>
      </c>
      <c r="AC160" s="116">
        <f t="shared" si="504"/>
        <v>5242.32</v>
      </c>
      <c r="AD160" s="116">
        <f t="shared" si="504"/>
        <v>6315.43</v>
      </c>
      <c r="AE160" s="116">
        <f t="shared" si="504"/>
        <v>6271.58</v>
      </c>
      <c r="AF160" s="116">
        <f t="shared" si="504"/>
        <v>3962.2599999999998</v>
      </c>
      <c r="AG160" s="116">
        <f t="shared" si="504"/>
        <v>3641.6999999999994</v>
      </c>
      <c r="AH160" s="116">
        <f t="shared" si="504"/>
        <v>3448.51</v>
      </c>
      <c r="AI160" s="116">
        <f t="shared" si="504"/>
        <v>3756.45</v>
      </c>
      <c r="AJ160" s="116">
        <f t="shared" ref="AJ160:BO160" si="505">AJ98</f>
        <v>1938.8599999999997</v>
      </c>
      <c r="AK160" s="116">
        <f t="shared" si="505"/>
        <v>4223.68</v>
      </c>
      <c r="AL160" s="116">
        <f t="shared" si="505"/>
        <v>1277.96</v>
      </c>
      <c r="AM160" s="116">
        <f t="shared" si="505"/>
        <v>2627.94</v>
      </c>
      <c r="AN160" s="116">
        <f t="shared" si="505"/>
        <v>4061.8700000000003</v>
      </c>
      <c r="AO160" s="116">
        <f t="shared" si="505"/>
        <v>2138.420000000001</v>
      </c>
      <c r="AP160" s="116">
        <f t="shared" si="505"/>
        <v>2441.3299999999995</v>
      </c>
      <c r="AQ160" s="116">
        <f t="shared" si="505"/>
        <v>2100.1900000000014</v>
      </c>
      <c r="AR160" s="116">
        <f>AR98</f>
        <v>2268.3999999999996</v>
      </c>
      <c r="AS160" s="116">
        <f>AS98</f>
        <v>2850.0499999999997</v>
      </c>
      <c r="AT160" s="116">
        <f t="shared" si="505"/>
        <v>2937.6400000000003</v>
      </c>
      <c r="AU160" s="116">
        <f t="shared" ref="AU160" si="506">AU98</f>
        <v>3073.8200000000006</v>
      </c>
      <c r="AV160" s="116">
        <f t="shared" ref="AV160:AW160" si="507">AV98</f>
        <v>1883.7299999999998</v>
      </c>
      <c r="AW160" s="252">
        <f t="shared" si="507"/>
        <v>2291.7800000000002</v>
      </c>
      <c r="AX160" s="116">
        <f t="shared" ref="AX160" si="508">AX98</f>
        <v>-708.48530412345985</v>
      </c>
      <c r="AY160" s="252">
        <f t="shared" si="505"/>
        <v>497.36377970419221</v>
      </c>
      <c r="AZ160" s="116">
        <f t="shared" si="505"/>
        <v>13.629956241489962</v>
      </c>
      <c r="BA160" s="116">
        <f t="shared" si="505"/>
        <v>734.75914693500204</v>
      </c>
      <c r="BB160" s="116">
        <f t="shared" si="505"/>
        <v>1267.9062850332587</v>
      </c>
      <c r="BC160" s="116">
        <f t="shared" si="505"/>
        <v>2341.275658685247</v>
      </c>
      <c r="BD160" s="116">
        <f t="shared" si="505"/>
        <v>1865.960038014264</v>
      </c>
      <c r="BE160" s="116">
        <f t="shared" si="505"/>
        <v>2065.5172390375624</v>
      </c>
      <c r="BF160" s="116">
        <f t="shared" si="505"/>
        <v>1783.9579345635823</v>
      </c>
      <c r="BG160" s="116">
        <f t="shared" si="505"/>
        <v>2111.0354644807353</v>
      </c>
      <c r="BH160" s="116">
        <f t="shared" si="505"/>
        <v>306.18768113502506</v>
      </c>
      <c r="BI160" s="116">
        <f t="shared" si="505"/>
        <v>616.77190630420614</v>
      </c>
      <c r="BJ160" s="116">
        <f t="shared" si="505"/>
        <v>377.24991290169805</v>
      </c>
      <c r="BK160" s="252">
        <f t="shared" si="505"/>
        <v>1557.611642326113</v>
      </c>
      <c r="BL160" s="116">
        <f t="shared" si="505"/>
        <v>228.21299990093783</v>
      </c>
      <c r="BM160" s="116">
        <f t="shared" si="505"/>
        <v>1193.9475499324383</v>
      </c>
      <c r="BN160" s="116">
        <f t="shared" si="505"/>
        <v>1995.9545546409765</v>
      </c>
      <c r="BO160" s="116">
        <f t="shared" si="505"/>
        <v>2768.8628351843668</v>
      </c>
      <c r="BP160" s="116">
        <f t="shared" ref="BP160:CU160" si="509">BP98</f>
        <v>2277.8712897209821</v>
      </c>
      <c r="BQ160" s="116">
        <f t="shared" si="509"/>
        <v>2445.6471616455797</v>
      </c>
      <c r="BR160" s="116">
        <f t="shared" si="509"/>
        <v>1782.3150239134668</v>
      </c>
      <c r="BS160" s="116">
        <f t="shared" si="509"/>
        <v>2783.7965958551817</v>
      </c>
      <c r="BT160" s="116">
        <f t="shared" si="509"/>
        <v>406.33369686349147</v>
      </c>
      <c r="BU160" s="116">
        <f t="shared" si="509"/>
        <v>575.92600210706064</v>
      </c>
      <c r="BV160" s="116">
        <f t="shared" si="509"/>
        <v>655.43321722129735</v>
      </c>
      <c r="BW160" s="252">
        <f t="shared" si="509"/>
        <v>1801.3627972510933</v>
      </c>
      <c r="BX160" s="116">
        <f t="shared" si="509"/>
        <v>315.10268943226788</v>
      </c>
      <c r="BY160" s="116">
        <f t="shared" si="509"/>
        <v>1686.2383828645654</v>
      </c>
      <c r="BZ160" s="116">
        <f t="shared" si="509"/>
        <v>2248.8242265567137</v>
      </c>
      <c r="CA160" s="116">
        <f t="shared" si="509"/>
        <v>2410.975789350387</v>
      </c>
      <c r="CB160" s="116">
        <f t="shared" si="509"/>
        <v>3312.8335957417808</v>
      </c>
      <c r="CC160" s="116">
        <f t="shared" si="509"/>
        <v>2701.7286131111218</v>
      </c>
      <c r="CD160" s="116">
        <f t="shared" si="509"/>
        <v>1668.8040127323013</v>
      </c>
      <c r="CE160" s="116">
        <f t="shared" si="509"/>
        <v>3461.1917652280331</v>
      </c>
      <c r="CF160" s="116">
        <f t="shared" si="509"/>
        <v>191.40449325698344</v>
      </c>
      <c r="CG160" s="116">
        <f t="shared" si="509"/>
        <v>880.55057264715947</v>
      </c>
      <c r="CH160" s="116">
        <f t="shared" si="509"/>
        <v>718.9450113868636</v>
      </c>
      <c r="CI160" s="252">
        <f t="shared" si="509"/>
        <v>1453.481126209894</v>
      </c>
      <c r="CJ160" s="116">
        <f t="shared" si="509"/>
        <v>956.45027919980862</v>
      </c>
      <c r="CK160" s="116">
        <f t="shared" si="509"/>
        <v>1557.0564571300686</v>
      </c>
      <c r="CL160" s="116">
        <f t="shared" si="509"/>
        <v>2173.5617546180697</v>
      </c>
      <c r="CM160" s="116">
        <f t="shared" si="509"/>
        <v>3149.9155326289315</v>
      </c>
      <c r="CN160" s="116">
        <f t="shared" si="509"/>
        <v>3798.0521355322785</v>
      </c>
      <c r="CO160" s="116">
        <f t="shared" si="509"/>
        <v>2751.9960184406141</v>
      </c>
      <c r="CP160" s="116">
        <f t="shared" si="509"/>
        <v>2355.3770876430613</v>
      </c>
      <c r="CQ160" s="116">
        <f t="shared" si="509"/>
        <v>3924.7826788123543</v>
      </c>
      <c r="CR160" s="116">
        <f t="shared" si="509"/>
        <v>6.0177968539885844</v>
      </c>
      <c r="CS160" s="116">
        <f t="shared" si="509"/>
        <v>1403.3077162230159</v>
      </c>
      <c r="CT160" s="116">
        <f t="shared" si="509"/>
        <v>885.3505306072741</v>
      </c>
      <c r="CU160" s="252">
        <f t="shared" si="509"/>
        <v>1669.9170108392102</v>
      </c>
      <c r="CV160" s="116">
        <f t="shared" ref="CV160:DG160" si="510">CV98</f>
        <v>1196.4951113189584</v>
      </c>
      <c r="CW160" s="116">
        <f t="shared" si="510"/>
        <v>1849.2041708296895</v>
      </c>
      <c r="CX160" s="116">
        <f t="shared" si="510"/>
        <v>2145.0091679929778</v>
      </c>
      <c r="CY160" s="116">
        <f t="shared" si="510"/>
        <v>4092.5412842032679</v>
      </c>
      <c r="CZ160" s="116">
        <f t="shared" si="510"/>
        <v>4321.2367147297173</v>
      </c>
      <c r="DA160" s="116">
        <f t="shared" si="510"/>
        <v>2669.7304679748217</v>
      </c>
      <c r="DB160" s="116">
        <f t="shared" si="510"/>
        <v>2969.8603025023845</v>
      </c>
      <c r="DC160" s="116">
        <f t="shared" si="510"/>
        <v>3868.8629464128403</v>
      </c>
      <c r="DD160" s="116">
        <f t="shared" si="510"/>
        <v>269.13947843495521</v>
      </c>
      <c r="DE160" s="116">
        <f t="shared" si="510"/>
        <v>1586.6970931534909</v>
      </c>
      <c r="DF160" s="116">
        <f t="shared" si="510"/>
        <v>643.63516683190232</v>
      </c>
      <c r="DG160" s="116">
        <f t="shared" si="510"/>
        <v>2268.7423888606068</v>
      </c>
    </row>
    <row r="161" spans="1:111" x14ac:dyDescent="0.25">
      <c r="B161" s="11" t="s">
        <v>28</v>
      </c>
      <c r="D161" s="116">
        <f t="shared" ref="D161:AI161" si="511">-(D115-C115)</f>
        <v>0</v>
      </c>
      <c r="E161" s="116">
        <f t="shared" si="511"/>
        <v>0</v>
      </c>
      <c r="F161" s="116">
        <f t="shared" si="511"/>
        <v>0</v>
      </c>
      <c r="G161" s="116">
        <f t="shared" si="511"/>
        <v>0</v>
      </c>
      <c r="H161" s="116">
        <f t="shared" si="511"/>
        <v>0</v>
      </c>
      <c r="I161" s="116">
        <f t="shared" si="511"/>
        <v>0</v>
      </c>
      <c r="J161" s="116">
        <f t="shared" si="511"/>
        <v>0</v>
      </c>
      <c r="K161" s="116">
        <f t="shared" si="511"/>
        <v>0</v>
      </c>
      <c r="L161" s="116">
        <f t="shared" si="511"/>
        <v>0</v>
      </c>
      <c r="M161" s="116">
        <f t="shared" si="511"/>
        <v>0</v>
      </c>
      <c r="N161" s="116">
        <f t="shared" si="511"/>
        <v>0</v>
      </c>
      <c r="O161" s="116">
        <f t="shared" si="511"/>
        <v>0</v>
      </c>
      <c r="P161" s="116">
        <f t="shared" si="511"/>
        <v>0</v>
      </c>
      <c r="Q161" s="116">
        <f t="shared" si="511"/>
        <v>0</v>
      </c>
      <c r="R161" s="116">
        <f t="shared" si="511"/>
        <v>0</v>
      </c>
      <c r="S161" s="116">
        <f t="shared" si="511"/>
        <v>0</v>
      </c>
      <c r="T161" s="116">
        <f t="shared" si="511"/>
        <v>0</v>
      </c>
      <c r="U161" s="116">
        <f t="shared" si="511"/>
        <v>0</v>
      </c>
      <c r="V161" s="116">
        <f t="shared" si="511"/>
        <v>0</v>
      </c>
      <c r="W161" s="116">
        <f t="shared" si="511"/>
        <v>0</v>
      </c>
      <c r="X161" s="116">
        <f t="shared" si="511"/>
        <v>0</v>
      </c>
      <c r="Y161" s="116">
        <f t="shared" si="511"/>
        <v>0</v>
      </c>
      <c r="Z161" s="116">
        <f t="shared" si="511"/>
        <v>0</v>
      </c>
      <c r="AA161" s="116">
        <f t="shared" si="511"/>
        <v>0</v>
      </c>
      <c r="AB161" s="116">
        <f t="shared" si="511"/>
        <v>0</v>
      </c>
      <c r="AC161" s="116">
        <f t="shared" si="511"/>
        <v>0</v>
      </c>
      <c r="AD161" s="116">
        <f t="shared" si="511"/>
        <v>-125</v>
      </c>
      <c r="AE161" s="116">
        <f t="shared" si="511"/>
        <v>-125</v>
      </c>
      <c r="AF161" s="116">
        <f t="shared" si="511"/>
        <v>0</v>
      </c>
      <c r="AG161" s="116">
        <f t="shared" si="511"/>
        <v>0</v>
      </c>
      <c r="AH161" s="116">
        <f t="shared" si="511"/>
        <v>0</v>
      </c>
      <c r="AI161" s="116">
        <f t="shared" si="511"/>
        <v>0</v>
      </c>
      <c r="AJ161" s="116">
        <f t="shared" ref="AJ161:BO161" si="512">-(AJ115-AI115)</f>
        <v>-350</v>
      </c>
      <c r="AK161" s="116">
        <f t="shared" si="512"/>
        <v>120</v>
      </c>
      <c r="AL161" s="116">
        <f t="shared" si="512"/>
        <v>0</v>
      </c>
      <c r="AM161" s="116">
        <f t="shared" si="512"/>
        <v>0</v>
      </c>
      <c r="AN161" s="116">
        <f t="shared" si="512"/>
        <v>0</v>
      </c>
      <c r="AO161" s="116">
        <f t="shared" si="512"/>
        <v>0</v>
      </c>
      <c r="AP161" s="116">
        <f t="shared" si="512"/>
        <v>0</v>
      </c>
      <c r="AQ161" s="116">
        <f t="shared" si="512"/>
        <v>0</v>
      </c>
      <c r="AR161" s="116">
        <f t="shared" si="512"/>
        <v>0</v>
      </c>
      <c r="AS161" s="116">
        <f t="shared" si="512"/>
        <v>0</v>
      </c>
      <c r="AT161" s="116">
        <f t="shared" si="512"/>
        <v>0</v>
      </c>
      <c r="AU161" s="116">
        <f t="shared" si="512"/>
        <v>0</v>
      </c>
      <c r="AV161" s="116">
        <f t="shared" si="512"/>
        <v>0</v>
      </c>
      <c r="AW161" s="252">
        <f t="shared" si="512"/>
        <v>0</v>
      </c>
      <c r="AX161" s="116">
        <f t="shared" si="512"/>
        <v>306.60023050893346</v>
      </c>
      <c r="AY161" s="252">
        <f t="shared" si="512"/>
        <v>-71.904366850403335</v>
      </c>
      <c r="AZ161" s="116">
        <f t="shared" si="512"/>
        <v>13.572815506793546</v>
      </c>
      <c r="BA161" s="116">
        <f t="shared" si="512"/>
        <v>-39.994610155861523</v>
      </c>
      <c r="BB161" s="116">
        <f t="shared" si="512"/>
        <v>-29.568920824639861</v>
      </c>
      <c r="BC161" s="116">
        <f t="shared" si="512"/>
        <v>-61.194066925358527</v>
      </c>
      <c r="BD161" s="116">
        <f t="shared" si="512"/>
        <v>22.173655072096778</v>
      </c>
      <c r="BE161" s="116">
        <f t="shared" si="512"/>
        <v>-5.2159601770653694</v>
      </c>
      <c r="BF161" s="116">
        <f t="shared" si="512"/>
        <v>15.615585616999851</v>
      </c>
      <c r="BG161" s="116">
        <f t="shared" si="512"/>
        <v>-21.623586959047032</v>
      </c>
      <c r="BH161" s="116">
        <f t="shared" si="512"/>
        <v>106.90999969739201</v>
      </c>
      <c r="BI161" s="116">
        <f t="shared" si="512"/>
        <v>-20.553004658291087</v>
      </c>
      <c r="BJ161" s="116">
        <f t="shared" si="512"/>
        <v>16.611815904608392</v>
      </c>
      <c r="BK161" s="252">
        <f t="shared" si="512"/>
        <v>-68.791812147933939</v>
      </c>
      <c r="BL161" s="116">
        <f t="shared" si="512"/>
        <v>58.881567972481662</v>
      </c>
      <c r="BM161" s="116">
        <f t="shared" si="512"/>
        <v>-52.381917855701033</v>
      </c>
      <c r="BN161" s="116">
        <f t="shared" si="512"/>
        <v>-43.501255121264137</v>
      </c>
      <c r="BO161" s="116">
        <f t="shared" si="512"/>
        <v>-43.550140766646678</v>
      </c>
      <c r="BP161" s="116">
        <f t="shared" ref="BP161:CU161" si="513">-(BP115-BO115)</f>
        <v>22.535923752870644</v>
      </c>
      <c r="BQ161" s="116">
        <f t="shared" si="513"/>
        <v>-3.3773315744595038</v>
      </c>
      <c r="BR161" s="116">
        <f t="shared" si="513"/>
        <v>35.979462004954371</v>
      </c>
      <c r="BS161" s="116">
        <f t="shared" si="513"/>
        <v>-57.72769928770532</v>
      </c>
      <c r="BT161" s="116">
        <f t="shared" si="513"/>
        <v>135.61603404118273</v>
      </c>
      <c r="BU161" s="116">
        <f t="shared" si="513"/>
        <v>-12.453199767138301</v>
      </c>
      <c r="BV161" s="116">
        <f t="shared" si="513"/>
        <v>-1.0580809599015879</v>
      </c>
      <c r="BW161" s="252">
        <f t="shared" si="513"/>
        <v>-65.410214637987565</v>
      </c>
      <c r="BX161" s="116">
        <f t="shared" si="513"/>
        <v>64.537584603287883</v>
      </c>
      <c r="BY161" s="116">
        <f t="shared" si="513"/>
        <v>-72.844249515466913</v>
      </c>
      <c r="BZ161" s="116">
        <f t="shared" si="513"/>
        <v>-29.888466741897957</v>
      </c>
      <c r="CA161" s="116">
        <f t="shared" si="513"/>
        <v>-10.208425360068418</v>
      </c>
      <c r="CB161" s="116">
        <f t="shared" si="513"/>
        <v>-51.924564941445567</v>
      </c>
      <c r="CC161" s="116">
        <f t="shared" si="513"/>
        <v>38.071564215936121</v>
      </c>
      <c r="CD161" s="116">
        <f t="shared" si="513"/>
        <v>54.876127637161574</v>
      </c>
      <c r="CE161" s="116">
        <f t="shared" si="513"/>
        <v>-98.560987530739567</v>
      </c>
      <c r="CF161" s="116">
        <f t="shared" si="513"/>
        <v>180.23832605970614</v>
      </c>
      <c r="CG161" s="116">
        <f t="shared" si="513"/>
        <v>-39.799841979189466</v>
      </c>
      <c r="CH161" s="116">
        <f t="shared" si="513"/>
        <v>11.773226293927792</v>
      </c>
      <c r="CI161" s="252">
        <f t="shared" si="513"/>
        <v>-42.211275860186333</v>
      </c>
      <c r="CJ161" s="116">
        <f t="shared" si="513"/>
        <v>9.5410205794167382</v>
      </c>
      <c r="CK161" s="116">
        <f t="shared" si="513"/>
        <v>-31.296455532708137</v>
      </c>
      <c r="CL161" s="116">
        <f t="shared" si="513"/>
        <v>-32.124928676229104</v>
      </c>
      <c r="CM161" s="116">
        <f t="shared" si="513"/>
        <v>-52.439197965337712</v>
      </c>
      <c r="CN161" s="116">
        <f t="shared" si="513"/>
        <v>-37.70786009428906</v>
      </c>
      <c r="CO161" s="116">
        <f t="shared" si="513"/>
        <v>60.005939167541271</v>
      </c>
      <c r="CP161" s="116">
        <f t="shared" si="513"/>
        <v>20.667064687731511</v>
      </c>
      <c r="CQ161" s="116">
        <f t="shared" si="513"/>
        <v>-85.051677032123678</v>
      </c>
      <c r="CR161" s="116">
        <f t="shared" si="513"/>
        <v>210.59884700354706</v>
      </c>
      <c r="CS161" s="116">
        <f t="shared" si="513"/>
        <v>-75.936630084235219</v>
      </c>
      <c r="CT161" s="116">
        <f t="shared" si="513"/>
        <v>30.116259246225184</v>
      </c>
      <c r="CU161" s="252">
        <f t="shared" si="513"/>
        <v>-44.008766916253307</v>
      </c>
      <c r="CV161" s="116">
        <f t="shared" ref="CV161:DG161" si="514">-(CV115-CU115)</f>
        <v>6.4182078442350416</v>
      </c>
      <c r="CW161" s="116">
        <f t="shared" si="514"/>
        <v>-33.401393241117262</v>
      </c>
      <c r="CX161" s="116">
        <f t="shared" si="514"/>
        <v>-15.13737076109345</v>
      </c>
      <c r="CY161" s="116">
        <f t="shared" si="514"/>
        <v>-101.19719789088157</v>
      </c>
      <c r="CZ161" s="116">
        <f t="shared" si="514"/>
        <v>-15.56725015999308</v>
      </c>
      <c r="DA161" s="116">
        <f t="shared" si="514"/>
        <v>89.912633712918989</v>
      </c>
      <c r="DB161" s="116">
        <f t="shared" si="514"/>
        <v>-15.358687734411262</v>
      </c>
      <c r="DC161" s="116">
        <f t="shared" si="514"/>
        <v>-49.219298974666117</v>
      </c>
      <c r="DD161" s="116">
        <f t="shared" si="514"/>
        <v>190.49498762948463</v>
      </c>
      <c r="DE161" s="116">
        <f t="shared" si="514"/>
        <v>-70.494415438327167</v>
      </c>
      <c r="DF161" s="116">
        <f t="shared" si="514"/>
        <v>51.330168255017384</v>
      </c>
      <c r="DG161" s="116">
        <f t="shared" si="514"/>
        <v>-86.23279875817633</v>
      </c>
    </row>
    <row r="162" spans="1:111" x14ac:dyDescent="0.25">
      <c r="B162" s="1" t="s">
        <v>29</v>
      </c>
      <c r="D162" s="116">
        <v>0</v>
      </c>
      <c r="E162" s="116">
        <v>0</v>
      </c>
      <c r="F162" s="116">
        <v>0</v>
      </c>
      <c r="G162" s="116">
        <v>0</v>
      </c>
      <c r="H162" s="116">
        <v>0</v>
      </c>
      <c r="I162" s="116">
        <v>0</v>
      </c>
      <c r="J162" s="116">
        <f t="shared" ref="J162:O162" si="515">J143-H143</f>
        <v>0</v>
      </c>
      <c r="K162" s="116">
        <f t="shared" si="515"/>
        <v>0</v>
      </c>
      <c r="L162" s="116">
        <f t="shared" si="515"/>
        <v>0</v>
      </c>
      <c r="M162" s="116">
        <f t="shared" si="515"/>
        <v>0</v>
      </c>
      <c r="N162" s="116">
        <f t="shared" si="515"/>
        <v>0</v>
      </c>
      <c r="O162" s="116">
        <f t="shared" si="515"/>
        <v>0</v>
      </c>
      <c r="P162" s="116">
        <f t="shared" ref="P162:AW162" si="516">P143-O143-(P127-O127)</f>
        <v>0</v>
      </c>
      <c r="Q162" s="116">
        <f t="shared" si="516"/>
        <v>0</v>
      </c>
      <c r="R162" s="116">
        <f t="shared" si="516"/>
        <v>0</v>
      </c>
      <c r="S162" s="116">
        <f t="shared" si="516"/>
        <v>0</v>
      </c>
      <c r="T162" s="116">
        <f t="shared" si="516"/>
        <v>0</v>
      </c>
      <c r="U162" s="116">
        <f t="shared" si="516"/>
        <v>0</v>
      </c>
      <c r="V162" s="116">
        <f t="shared" si="516"/>
        <v>0</v>
      </c>
      <c r="W162" s="116">
        <f t="shared" si="516"/>
        <v>0</v>
      </c>
      <c r="X162" s="116">
        <f t="shared" si="516"/>
        <v>0</v>
      </c>
      <c r="Y162" s="116">
        <f t="shared" si="516"/>
        <v>0</v>
      </c>
      <c r="Z162" s="116">
        <f t="shared" si="516"/>
        <v>0</v>
      </c>
      <c r="AA162" s="116">
        <f t="shared" si="516"/>
        <v>0</v>
      </c>
      <c r="AB162" s="116">
        <f t="shared" si="516"/>
        <v>46.73</v>
      </c>
      <c r="AC162" s="116">
        <f t="shared" si="516"/>
        <v>1.5400000000000063</v>
      </c>
      <c r="AD162" s="116">
        <f t="shared" si="516"/>
        <v>2.3599999999999994</v>
      </c>
      <c r="AE162" s="116">
        <f t="shared" si="516"/>
        <v>-88.38</v>
      </c>
      <c r="AF162" s="116">
        <f t="shared" si="516"/>
        <v>300.58</v>
      </c>
      <c r="AG162" s="116">
        <f t="shared" si="516"/>
        <v>-168.79</v>
      </c>
      <c r="AH162" s="116">
        <f t="shared" si="516"/>
        <v>-297.19</v>
      </c>
      <c r="AI162" s="116">
        <f t="shared" si="516"/>
        <v>71.860000000000014</v>
      </c>
      <c r="AJ162" s="116">
        <f t="shared" si="516"/>
        <v>-39.140000000000015</v>
      </c>
      <c r="AK162" s="116">
        <f t="shared" si="516"/>
        <v>199.06</v>
      </c>
      <c r="AL162" s="116">
        <f t="shared" si="516"/>
        <v>594.45000000000005</v>
      </c>
      <c r="AM162" s="116">
        <f t="shared" si="516"/>
        <v>609.65000000000009</v>
      </c>
      <c r="AN162" s="116">
        <f t="shared" si="516"/>
        <v>-330.96999999999991</v>
      </c>
      <c r="AO162" s="116">
        <f t="shared" si="516"/>
        <v>-82.370000000000132</v>
      </c>
      <c r="AP162" s="116">
        <f t="shared" si="516"/>
        <v>-90.259999999999934</v>
      </c>
      <c r="AQ162" s="116">
        <f t="shared" si="516"/>
        <v>608.94000000000005</v>
      </c>
      <c r="AR162" s="116">
        <f t="shared" si="516"/>
        <v>741.93000000000006</v>
      </c>
      <c r="AS162" s="116">
        <f t="shared" si="516"/>
        <v>-269.65000000000009</v>
      </c>
      <c r="AT162" s="116">
        <f t="shared" si="516"/>
        <v>573.57999999999981</v>
      </c>
      <c r="AU162" s="116">
        <f t="shared" si="516"/>
        <v>-217.75</v>
      </c>
      <c r="AV162" s="116">
        <f t="shared" si="516"/>
        <v>1396.7400000000002</v>
      </c>
      <c r="AW162" s="252">
        <f t="shared" si="516"/>
        <v>-230.25</v>
      </c>
      <c r="AX162" s="116">
        <f t="shared" ref="AX162:CA162" si="517">AX143-AW143-(AX127-AW127)</f>
        <v>1385.6499999999996</v>
      </c>
      <c r="AY162" s="252">
        <f t="shared" si="517"/>
        <v>0</v>
      </c>
      <c r="AZ162" s="116">
        <f t="shared" si="517"/>
        <v>0</v>
      </c>
      <c r="BA162" s="116">
        <f t="shared" si="517"/>
        <v>0</v>
      </c>
      <c r="BB162" s="116">
        <f t="shared" si="517"/>
        <v>0</v>
      </c>
      <c r="BC162" s="116">
        <f t="shared" si="517"/>
        <v>0</v>
      </c>
      <c r="BD162" s="116">
        <f t="shared" si="517"/>
        <v>0</v>
      </c>
      <c r="BE162" s="116">
        <f t="shared" si="517"/>
        <v>0</v>
      </c>
      <c r="BF162" s="116">
        <f t="shared" si="517"/>
        <v>0</v>
      </c>
      <c r="BG162" s="116">
        <f t="shared" si="517"/>
        <v>0</v>
      </c>
      <c r="BH162" s="116">
        <f t="shared" si="517"/>
        <v>0</v>
      </c>
      <c r="BI162" s="116">
        <f t="shared" si="517"/>
        <v>0</v>
      </c>
      <c r="BJ162" s="116">
        <f t="shared" si="517"/>
        <v>0</v>
      </c>
      <c r="BK162" s="252">
        <f t="shared" si="517"/>
        <v>0</v>
      </c>
      <c r="BL162" s="116">
        <f t="shared" si="517"/>
        <v>0</v>
      </c>
      <c r="BM162" s="116">
        <f t="shared" si="517"/>
        <v>0</v>
      </c>
      <c r="BN162" s="116">
        <f t="shared" si="517"/>
        <v>0</v>
      </c>
      <c r="BO162" s="116">
        <f t="shared" si="517"/>
        <v>0</v>
      </c>
      <c r="BP162" s="116">
        <f t="shared" si="517"/>
        <v>0</v>
      </c>
      <c r="BQ162" s="116">
        <f t="shared" si="517"/>
        <v>0</v>
      </c>
      <c r="BR162" s="116">
        <f t="shared" si="517"/>
        <v>0</v>
      </c>
      <c r="BS162" s="116">
        <f t="shared" si="517"/>
        <v>0</v>
      </c>
      <c r="BT162" s="116">
        <f t="shared" si="517"/>
        <v>0</v>
      </c>
      <c r="BU162" s="116">
        <f t="shared" si="517"/>
        <v>0</v>
      </c>
      <c r="BV162" s="116">
        <f t="shared" si="517"/>
        <v>0</v>
      </c>
      <c r="BW162" s="252">
        <f t="shared" si="517"/>
        <v>0</v>
      </c>
      <c r="BX162" s="116">
        <f t="shared" si="517"/>
        <v>0</v>
      </c>
      <c r="BY162" s="116">
        <f t="shared" si="517"/>
        <v>0</v>
      </c>
      <c r="BZ162" s="116">
        <f t="shared" si="517"/>
        <v>0</v>
      </c>
      <c r="CA162" s="116">
        <f t="shared" si="517"/>
        <v>0</v>
      </c>
      <c r="CB162" s="116">
        <f t="shared" ref="CB162:DG162" si="518">CB143-CA143-(CB127-CA127)</f>
        <v>0</v>
      </c>
      <c r="CC162" s="116">
        <f t="shared" si="518"/>
        <v>0</v>
      </c>
      <c r="CD162" s="116">
        <f t="shared" si="518"/>
        <v>0</v>
      </c>
      <c r="CE162" s="116">
        <f t="shared" si="518"/>
        <v>0</v>
      </c>
      <c r="CF162" s="116">
        <f t="shared" si="518"/>
        <v>0</v>
      </c>
      <c r="CG162" s="116">
        <f t="shared" si="518"/>
        <v>0</v>
      </c>
      <c r="CH162" s="116">
        <f t="shared" si="518"/>
        <v>0</v>
      </c>
      <c r="CI162" s="252">
        <f t="shared" si="518"/>
        <v>0</v>
      </c>
      <c r="CJ162" s="116">
        <f t="shared" si="518"/>
        <v>0</v>
      </c>
      <c r="CK162" s="116">
        <f t="shared" si="518"/>
        <v>0</v>
      </c>
      <c r="CL162" s="116">
        <f t="shared" si="518"/>
        <v>0</v>
      </c>
      <c r="CM162" s="116">
        <f t="shared" si="518"/>
        <v>0</v>
      </c>
      <c r="CN162" s="116">
        <f t="shared" si="518"/>
        <v>0</v>
      </c>
      <c r="CO162" s="116">
        <f t="shared" si="518"/>
        <v>0</v>
      </c>
      <c r="CP162" s="116">
        <f t="shared" si="518"/>
        <v>0</v>
      </c>
      <c r="CQ162" s="116">
        <f t="shared" si="518"/>
        <v>0</v>
      </c>
      <c r="CR162" s="116">
        <f t="shared" si="518"/>
        <v>0</v>
      </c>
      <c r="CS162" s="116">
        <f t="shared" si="518"/>
        <v>0</v>
      </c>
      <c r="CT162" s="116">
        <f t="shared" si="518"/>
        <v>0</v>
      </c>
      <c r="CU162" s="252">
        <f t="shared" si="518"/>
        <v>0</v>
      </c>
      <c r="CV162" s="116">
        <f t="shared" si="518"/>
        <v>0</v>
      </c>
      <c r="CW162" s="116">
        <f t="shared" si="518"/>
        <v>0</v>
      </c>
      <c r="CX162" s="116">
        <f t="shared" si="518"/>
        <v>0</v>
      </c>
      <c r="CY162" s="116">
        <f t="shared" si="518"/>
        <v>0</v>
      </c>
      <c r="CZ162" s="116">
        <f t="shared" si="518"/>
        <v>0</v>
      </c>
      <c r="DA162" s="116">
        <f t="shared" si="518"/>
        <v>0</v>
      </c>
      <c r="DB162" s="116">
        <f t="shared" si="518"/>
        <v>0</v>
      </c>
      <c r="DC162" s="116">
        <f t="shared" si="518"/>
        <v>0</v>
      </c>
      <c r="DD162" s="116">
        <f t="shared" si="518"/>
        <v>0</v>
      </c>
      <c r="DE162" s="116">
        <f t="shared" si="518"/>
        <v>0</v>
      </c>
      <c r="DF162" s="116">
        <f t="shared" si="518"/>
        <v>0</v>
      </c>
      <c r="DG162" s="116">
        <f t="shared" si="518"/>
        <v>0</v>
      </c>
    </row>
    <row r="163" spans="1:111" s="3" customFormat="1" x14ac:dyDescent="0.25">
      <c r="A163"/>
      <c r="B163" s="4" t="s">
        <v>27</v>
      </c>
      <c r="D163" s="10">
        <f>SUM(D160:D162)</f>
        <v>0</v>
      </c>
      <c r="E163" s="10">
        <f t="shared" ref="E163:BP163" si="519">SUM(E160:E162)</f>
        <v>0</v>
      </c>
      <c r="F163" s="10">
        <f t="shared" si="519"/>
        <v>0</v>
      </c>
      <c r="G163" s="10">
        <f t="shared" si="519"/>
        <v>0</v>
      </c>
      <c r="H163" s="10">
        <f t="shared" si="519"/>
        <v>0</v>
      </c>
      <c r="I163" s="10">
        <f t="shared" si="519"/>
        <v>0</v>
      </c>
      <c r="J163" s="10">
        <f t="shared" si="519"/>
        <v>0</v>
      </c>
      <c r="K163" s="10">
        <f t="shared" si="519"/>
        <v>0</v>
      </c>
      <c r="L163" s="10">
        <f t="shared" si="519"/>
        <v>0</v>
      </c>
      <c r="M163" s="10">
        <f t="shared" si="519"/>
        <v>0</v>
      </c>
      <c r="N163" s="10">
        <f t="shared" si="519"/>
        <v>0</v>
      </c>
      <c r="O163" s="10">
        <f t="shared" si="519"/>
        <v>0</v>
      </c>
      <c r="P163" s="10">
        <f>SUM(P160:P162)</f>
        <v>0</v>
      </c>
      <c r="Q163" s="10">
        <f t="shared" si="519"/>
        <v>0</v>
      </c>
      <c r="R163" s="10">
        <f t="shared" si="519"/>
        <v>0</v>
      </c>
      <c r="S163" s="10">
        <f t="shared" si="519"/>
        <v>0</v>
      </c>
      <c r="T163" s="10">
        <f t="shared" si="519"/>
        <v>0</v>
      </c>
      <c r="U163" s="10">
        <f t="shared" si="519"/>
        <v>0</v>
      </c>
      <c r="V163" s="10">
        <f t="shared" si="519"/>
        <v>0</v>
      </c>
      <c r="W163" s="10">
        <f t="shared" si="519"/>
        <v>0</v>
      </c>
      <c r="X163" s="10">
        <f t="shared" si="519"/>
        <v>0</v>
      </c>
      <c r="Y163" s="10">
        <f t="shared" si="519"/>
        <v>0</v>
      </c>
      <c r="Z163" s="10">
        <f t="shared" si="519"/>
        <v>0</v>
      </c>
      <c r="AA163" s="10">
        <f t="shared" ref="AA163:AF163" si="520">SUM(AA160:AA162)</f>
        <v>0</v>
      </c>
      <c r="AB163" s="10">
        <f t="shared" si="520"/>
        <v>4311.4699999999993</v>
      </c>
      <c r="AC163" s="10">
        <f t="shared" si="520"/>
        <v>5243.86</v>
      </c>
      <c r="AD163" s="10">
        <f t="shared" si="520"/>
        <v>6192.79</v>
      </c>
      <c r="AE163" s="10">
        <f t="shared" si="520"/>
        <v>6058.2</v>
      </c>
      <c r="AF163" s="10">
        <f t="shared" si="520"/>
        <v>4262.84</v>
      </c>
      <c r="AG163" s="10">
        <f t="shared" si="519"/>
        <v>3472.9099999999994</v>
      </c>
      <c r="AH163" s="10">
        <f t="shared" si="519"/>
        <v>3151.32</v>
      </c>
      <c r="AI163" s="10">
        <f t="shared" si="519"/>
        <v>3828.31</v>
      </c>
      <c r="AJ163" s="10">
        <f t="shared" si="519"/>
        <v>1549.7199999999996</v>
      </c>
      <c r="AK163" s="10">
        <f t="shared" si="519"/>
        <v>4542.7400000000007</v>
      </c>
      <c r="AL163" s="10">
        <f t="shared" si="519"/>
        <v>1872.41</v>
      </c>
      <c r="AM163" s="10">
        <f t="shared" si="519"/>
        <v>3237.59</v>
      </c>
      <c r="AN163" s="10">
        <f t="shared" si="519"/>
        <v>3730.9000000000005</v>
      </c>
      <c r="AO163" s="10">
        <f>SUM(AO160:AO162)</f>
        <v>2056.0500000000006</v>
      </c>
      <c r="AP163" s="10">
        <f>SUM(AP160:AP162)</f>
        <v>2351.0699999999997</v>
      </c>
      <c r="AQ163" s="10">
        <f t="shared" si="519"/>
        <v>2709.1300000000015</v>
      </c>
      <c r="AR163" s="10">
        <f>SUM(AR160:AR162)</f>
        <v>3010.33</v>
      </c>
      <c r="AS163" s="10">
        <f>SUM(AS160:AS162)</f>
        <v>2580.3999999999996</v>
      </c>
      <c r="AT163" s="10">
        <f t="shared" si="519"/>
        <v>3511.2200000000003</v>
      </c>
      <c r="AU163" s="10">
        <f t="shared" ref="AU163" si="521">SUM(AU160:AU162)</f>
        <v>2856.0700000000006</v>
      </c>
      <c r="AV163" s="10">
        <f t="shared" ref="AV163:AW163" si="522">SUM(AV160:AV162)</f>
        <v>3280.4700000000003</v>
      </c>
      <c r="AW163" s="261">
        <f t="shared" si="522"/>
        <v>2061.5300000000002</v>
      </c>
      <c r="AX163" s="10">
        <f t="shared" ref="AX163" si="523">SUM(AX160:AX162)</f>
        <v>983.76492638547325</v>
      </c>
      <c r="AY163" s="261">
        <f t="shared" si="519"/>
        <v>425.45941285378888</v>
      </c>
      <c r="AZ163" s="10">
        <f t="shared" si="519"/>
        <v>27.20277174828351</v>
      </c>
      <c r="BA163" s="10">
        <f t="shared" si="519"/>
        <v>694.76453677914049</v>
      </c>
      <c r="BB163" s="10">
        <f t="shared" si="519"/>
        <v>1238.3373642086187</v>
      </c>
      <c r="BC163" s="10">
        <f t="shared" si="519"/>
        <v>2280.0815917598884</v>
      </c>
      <c r="BD163" s="10">
        <f t="shared" si="519"/>
        <v>1888.1336930863608</v>
      </c>
      <c r="BE163" s="10">
        <f t="shared" si="519"/>
        <v>2060.301278860497</v>
      </c>
      <c r="BF163" s="10">
        <f t="shared" si="519"/>
        <v>1799.5735201805821</v>
      </c>
      <c r="BG163" s="10">
        <f t="shared" si="519"/>
        <v>2089.4118775216884</v>
      </c>
      <c r="BH163" s="10">
        <f t="shared" si="519"/>
        <v>413.09768083241704</v>
      </c>
      <c r="BI163" s="10">
        <f t="shared" si="519"/>
        <v>596.21890164591503</v>
      </c>
      <c r="BJ163" s="10">
        <f t="shared" si="519"/>
        <v>393.86172880630647</v>
      </c>
      <c r="BK163" s="261">
        <f t="shared" si="519"/>
        <v>1488.819830178179</v>
      </c>
      <c r="BL163" s="10">
        <f t="shared" si="519"/>
        <v>287.09456787341946</v>
      </c>
      <c r="BM163" s="10">
        <f t="shared" si="519"/>
        <v>1141.5656320767373</v>
      </c>
      <c r="BN163" s="10">
        <f t="shared" si="519"/>
        <v>1952.4532995197123</v>
      </c>
      <c r="BO163" s="10">
        <f t="shared" si="519"/>
        <v>2725.3126944177202</v>
      </c>
      <c r="BP163" s="10">
        <f t="shared" si="519"/>
        <v>2300.4072134738526</v>
      </c>
      <c r="BQ163" s="10">
        <f t="shared" ref="BQ163:DG163" si="524">SUM(BQ160:BQ162)</f>
        <v>2442.2698300711199</v>
      </c>
      <c r="BR163" s="10">
        <f t="shared" si="524"/>
        <v>1818.2944859184213</v>
      </c>
      <c r="BS163" s="10">
        <f t="shared" si="524"/>
        <v>2726.0688965674763</v>
      </c>
      <c r="BT163" s="10">
        <f t="shared" si="524"/>
        <v>541.9497309046742</v>
      </c>
      <c r="BU163" s="10">
        <f t="shared" si="524"/>
        <v>563.47280233992228</v>
      </c>
      <c r="BV163" s="10">
        <f t="shared" si="524"/>
        <v>654.37513626139571</v>
      </c>
      <c r="BW163" s="261">
        <f t="shared" si="524"/>
        <v>1735.9525826131057</v>
      </c>
      <c r="BX163" s="10">
        <f t="shared" si="524"/>
        <v>379.64027403555576</v>
      </c>
      <c r="BY163" s="10">
        <f t="shared" si="524"/>
        <v>1613.3941333490984</v>
      </c>
      <c r="BZ163" s="10">
        <f t="shared" si="524"/>
        <v>2218.9357598148158</v>
      </c>
      <c r="CA163" s="10">
        <f t="shared" si="524"/>
        <v>2400.7673639903187</v>
      </c>
      <c r="CB163" s="10">
        <f t="shared" si="524"/>
        <v>3260.9090308003351</v>
      </c>
      <c r="CC163" s="10">
        <f t="shared" si="524"/>
        <v>2739.800177327058</v>
      </c>
      <c r="CD163" s="10">
        <f t="shared" si="524"/>
        <v>1723.6801403694628</v>
      </c>
      <c r="CE163" s="10">
        <f t="shared" si="524"/>
        <v>3362.6307776972935</v>
      </c>
      <c r="CF163" s="10">
        <f t="shared" si="524"/>
        <v>371.64281931668961</v>
      </c>
      <c r="CG163" s="10">
        <f t="shared" si="524"/>
        <v>840.75073066796995</v>
      </c>
      <c r="CH163" s="10">
        <f t="shared" si="524"/>
        <v>730.71823768079139</v>
      </c>
      <c r="CI163" s="261">
        <f t="shared" si="524"/>
        <v>1411.2698503497077</v>
      </c>
      <c r="CJ163" s="10">
        <f t="shared" si="524"/>
        <v>965.9912997792253</v>
      </c>
      <c r="CK163" s="10">
        <f t="shared" si="524"/>
        <v>1525.7600015973603</v>
      </c>
      <c r="CL163" s="10">
        <f t="shared" si="524"/>
        <v>2141.4368259418407</v>
      </c>
      <c r="CM163" s="10">
        <f t="shared" si="524"/>
        <v>3097.4763346635937</v>
      </c>
      <c r="CN163" s="10">
        <f t="shared" si="524"/>
        <v>3760.3442754379894</v>
      </c>
      <c r="CO163" s="10">
        <f t="shared" si="524"/>
        <v>2812.0019576081554</v>
      </c>
      <c r="CP163" s="10">
        <f t="shared" si="524"/>
        <v>2376.0441523307927</v>
      </c>
      <c r="CQ163" s="10">
        <f t="shared" si="524"/>
        <v>3839.7310017802306</v>
      </c>
      <c r="CR163" s="10">
        <f t="shared" si="524"/>
        <v>216.61664385753565</v>
      </c>
      <c r="CS163" s="10">
        <f t="shared" si="524"/>
        <v>1327.3710861387806</v>
      </c>
      <c r="CT163" s="10">
        <f t="shared" si="524"/>
        <v>915.46678985349922</v>
      </c>
      <c r="CU163" s="261">
        <f t="shared" si="524"/>
        <v>1625.9082439229569</v>
      </c>
      <c r="CV163" s="10">
        <f t="shared" si="524"/>
        <v>1202.9133191631934</v>
      </c>
      <c r="CW163" s="10">
        <f t="shared" si="524"/>
        <v>1815.8027775885721</v>
      </c>
      <c r="CX163" s="10">
        <f t="shared" si="524"/>
        <v>2129.8717972318846</v>
      </c>
      <c r="CY163" s="10">
        <f t="shared" si="524"/>
        <v>3991.3440863123865</v>
      </c>
      <c r="CZ163" s="10">
        <f t="shared" si="524"/>
        <v>4305.6694645697244</v>
      </c>
      <c r="DA163" s="10">
        <f t="shared" si="524"/>
        <v>2759.6431016877409</v>
      </c>
      <c r="DB163" s="10">
        <f t="shared" si="524"/>
        <v>2954.501614767973</v>
      </c>
      <c r="DC163" s="10">
        <f t="shared" si="524"/>
        <v>3819.6436474381744</v>
      </c>
      <c r="DD163" s="10">
        <f t="shared" si="524"/>
        <v>459.63446606443983</v>
      </c>
      <c r="DE163" s="10">
        <f t="shared" si="524"/>
        <v>1516.2026777151636</v>
      </c>
      <c r="DF163" s="10">
        <f t="shared" si="524"/>
        <v>694.96533508691971</v>
      </c>
      <c r="DG163" s="10">
        <f t="shared" si="524"/>
        <v>2182.5095901024306</v>
      </c>
    </row>
    <row r="164" spans="1:111" x14ac:dyDescent="0.25">
      <c r="AW164" s="251"/>
      <c r="AY164" s="251"/>
      <c r="BK164" s="251"/>
      <c r="BW164" s="251"/>
      <c r="CI164" s="251"/>
      <c r="CU164" s="251"/>
    </row>
    <row r="165" spans="1:111" x14ac:dyDescent="0.25">
      <c r="AW165" s="251"/>
      <c r="AY165" s="251"/>
      <c r="BK165" s="251"/>
      <c r="BW165" s="251"/>
      <c r="CI165" s="251"/>
      <c r="CU165" s="251"/>
    </row>
    <row r="166" spans="1:111" x14ac:dyDescent="0.25">
      <c r="B166" s="1" t="s">
        <v>30</v>
      </c>
      <c r="E166" s="116">
        <f t="shared" ref="E166:AJ166" si="525">E146-D146</f>
        <v>0</v>
      </c>
      <c r="F166" s="116">
        <f t="shared" si="525"/>
        <v>0</v>
      </c>
      <c r="G166" s="116">
        <f t="shared" si="525"/>
        <v>0</v>
      </c>
      <c r="H166" s="116">
        <f t="shared" si="525"/>
        <v>0</v>
      </c>
      <c r="I166" s="116">
        <f t="shared" si="525"/>
        <v>0</v>
      </c>
      <c r="J166" s="116">
        <f t="shared" si="525"/>
        <v>0</v>
      </c>
      <c r="K166" s="116">
        <f t="shared" si="525"/>
        <v>0</v>
      </c>
      <c r="L166" s="116">
        <f t="shared" si="525"/>
        <v>0</v>
      </c>
      <c r="M166" s="116">
        <f t="shared" si="525"/>
        <v>0</v>
      </c>
      <c r="N166" s="116">
        <f t="shared" si="525"/>
        <v>0</v>
      </c>
      <c r="O166" s="116">
        <f t="shared" si="525"/>
        <v>0</v>
      </c>
      <c r="P166" s="116">
        <f t="shared" si="525"/>
        <v>0</v>
      </c>
      <c r="Q166" s="116">
        <f t="shared" si="525"/>
        <v>0</v>
      </c>
      <c r="R166" s="116">
        <f t="shared" si="525"/>
        <v>0</v>
      </c>
      <c r="S166" s="116">
        <f t="shared" si="525"/>
        <v>0</v>
      </c>
      <c r="T166" s="116">
        <f t="shared" si="525"/>
        <v>0</v>
      </c>
      <c r="U166" s="116">
        <f t="shared" si="525"/>
        <v>0</v>
      </c>
      <c r="V166" s="116">
        <f t="shared" si="525"/>
        <v>0</v>
      </c>
      <c r="W166" s="116">
        <f t="shared" si="525"/>
        <v>0</v>
      </c>
      <c r="X166" s="116">
        <f t="shared" si="525"/>
        <v>0</v>
      </c>
      <c r="Y166" s="116">
        <f t="shared" si="525"/>
        <v>0</v>
      </c>
      <c r="Z166" s="116">
        <f t="shared" si="525"/>
        <v>0</v>
      </c>
      <c r="AA166" s="116">
        <f t="shared" si="525"/>
        <v>0</v>
      </c>
      <c r="AB166" s="116">
        <f t="shared" si="525"/>
        <v>1036.1300000000001</v>
      </c>
      <c r="AC166" s="116">
        <f t="shared" si="525"/>
        <v>0</v>
      </c>
      <c r="AD166" s="116">
        <f t="shared" si="525"/>
        <v>0</v>
      </c>
      <c r="AE166" s="116">
        <f t="shared" si="525"/>
        <v>0</v>
      </c>
      <c r="AF166" s="116">
        <f t="shared" si="525"/>
        <v>0</v>
      </c>
      <c r="AG166" s="116">
        <f t="shared" si="525"/>
        <v>0</v>
      </c>
      <c r="AH166" s="116">
        <f t="shared" si="525"/>
        <v>0</v>
      </c>
      <c r="AI166" s="116">
        <f t="shared" si="525"/>
        <v>0</v>
      </c>
      <c r="AJ166" s="116">
        <f t="shared" si="525"/>
        <v>0</v>
      </c>
      <c r="AK166" s="116">
        <f t="shared" ref="AK166:BP166" si="526">AK146-AJ146</f>
        <v>0</v>
      </c>
      <c r="AL166" s="116">
        <f t="shared" si="526"/>
        <v>0</v>
      </c>
      <c r="AM166" s="116">
        <f t="shared" si="526"/>
        <v>0</v>
      </c>
      <c r="AN166" s="116">
        <f t="shared" si="526"/>
        <v>0</v>
      </c>
      <c r="AO166" s="116">
        <f t="shared" si="526"/>
        <v>0</v>
      </c>
      <c r="AP166" s="116">
        <f t="shared" si="526"/>
        <v>0</v>
      </c>
      <c r="AQ166" s="116">
        <f t="shared" si="526"/>
        <v>0</v>
      </c>
      <c r="AR166" s="116">
        <f t="shared" si="526"/>
        <v>0</v>
      </c>
      <c r="AS166" s="116">
        <f t="shared" si="526"/>
        <v>0</v>
      </c>
      <c r="AT166" s="116">
        <f t="shared" si="526"/>
        <v>0</v>
      </c>
      <c r="AU166" s="116">
        <f t="shared" si="526"/>
        <v>0</v>
      </c>
      <c r="AV166" s="116">
        <f t="shared" si="526"/>
        <v>0</v>
      </c>
      <c r="AW166" s="252">
        <f t="shared" si="526"/>
        <v>0</v>
      </c>
      <c r="AX166" s="116">
        <f t="shared" si="526"/>
        <v>0</v>
      </c>
      <c r="AY166" s="252">
        <f t="shared" si="526"/>
        <v>0</v>
      </c>
      <c r="AZ166" s="116">
        <f t="shared" si="526"/>
        <v>0</v>
      </c>
      <c r="BA166" s="116">
        <f t="shared" si="526"/>
        <v>0</v>
      </c>
      <c r="BB166" s="116">
        <f t="shared" si="526"/>
        <v>0</v>
      </c>
      <c r="BC166" s="116">
        <f t="shared" si="526"/>
        <v>0</v>
      </c>
      <c r="BD166" s="116">
        <f t="shared" si="526"/>
        <v>0</v>
      </c>
      <c r="BE166" s="116">
        <f t="shared" si="526"/>
        <v>0</v>
      </c>
      <c r="BF166" s="116">
        <f t="shared" si="526"/>
        <v>0</v>
      </c>
      <c r="BG166" s="116">
        <f t="shared" si="526"/>
        <v>0</v>
      </c>
      <c r="BH166" s="116">
        <f t="shared" si="526"/>
        <v>0</v>
      </c>
      <c r="BI166" s="116">
        <f t="shared" si="526"/>
        <v>0</v>
      </c>
      <c r="BJ166" s="116">
        <f t="shared" si="526"/>
        <v>0</v>
      </c>
      <c r="BK166" s="252">
        <f t="shared" si="526"/>
        <v>0</v>
      </c>
      <c r="BL166" s="116">
        <f t="shared" si="526"/>
        <v>0</v>
      </c>
      <c r="BM166" s="116">
        <f t="shared" si="526"/>
        <v>0</v>
      </c>
      <c r="BN166" s="116">
        <f t="shared" si="526"/>
        <v>0</v>
      </c>
      <c r="BO166" s="116">
        <f t="shared" si="526"/>
        <v>0</v>
      </c>
      <c r="BP166" s="116">
        <f t="shared" si="526"/>
        <v>0</v>
      </c>
      <c r="BQ166" s="116">
        <f t="shared" ref="BQ166:CV166" si="527">BQ146-BP146</f>
        <v>0</v>
      </c>
      <c r="BR166" s="116">
        <f t="shared" si="527"/>
        <v>0</v>
      </c>
      <c r="BS166" s="116">
        <f t="shared" si="527"/>
        <v>0</v>
      </c>
      <c r="BT166" s="116">
        <f t="shared" si="527"/>
        <v>0</v>
      </c>
      <c r="BU166" s="116">
        <f t="shared" si="527"/>
        <v>0</v>
      </c>
      <c r="BV166" s="116">
        <f t="shared" si="527"/>
        <v>0</v>
      </c>
      <c r="BW166" s="252">
        <f t="shared" si="527"/>
        <v>0</v>
      </c>
      <c r="BX166" s="116">
        <f t="shared" si="527"/>
        <v>0</v>
      </c>
      <c r="BY166" s="116">
        <f t="shared" si="527"/>
        <v>0</v>
      </c>
      <c r="BZ166" s="116">
        <f t="shared" si="527"/>
        <v>0</v>
      </c>
      <c r="CA166" s="116">
        <f t="shared" si="527"/>
        <v>0</v>
      </c>
      <c r="CB166" s="116">
        <f t="shared" si="527"/>
        <v>0</v>
      </c>
      <c r="CC166" s="116">
        <f t="shared" si="527"/>
        <v>0</v>
      </c>
      <c r="CD166" s="116">
        <f t="shared" si="527"/>
        <v>0</v>
      </c>
      <c r="CE166" s="116">
        <f t="shared" si="527"/>
        <v>0</v>
      </c>
      <c r="CF166" s="116">
        <f t="shared" si="527"/>
        <v>0</v>
      </c>
      <c r="CG166" s="116">
        <f t="shared" si="527"/>
        <v>0</v>
      </c>
      <c r="CH166" s="116">
        <f t="shared" si="527"/>
        <v>0</v>
      </c>
      <c r="CI166" s="252">
        <f t="shared" si="527"/>
        <v>0</v>
      </c>
      <c r="CJ166" s="116">
        <f t="shared" si="527"/>
        <v>0</v>
      </c>
      <c r="CK166" s="116">
        <f t="shared" si="527"/>
        <v>0</v>
      </c>
      <c r="CL166" s="116">
        <f t="shared" si="527"/>
        <v>0</v>
      </c>
      <c r="CM166" s="116">
        <f t="shared" si="527"/>
        <v>0</v>
      </c>
      <c r="CN166" s="116">
        <f t="shared" si="527"/>
        <v>0</v>
      </c>
      <c r="CO166" s="116">
        <f t="shared" si="527"/>
        <v>0</v>
      </c>
      <c r="CP166" s="116">
        <f t="shared" si="527"/>
        <v>0</v>
      </c>
      <c r="CQ166" s="116">
        <f t="shared" si="527"/>
        <v>0</v>
      </c>
      <c r="CR166" s="116">
        <f t="shared" si="527"/>
        <v>0</v>
      </c>
      <c r="CS166" s="116">
        <f t="shared" si="527"/>
        <v>0</v>
      </c>
      <c r="CT166" s="116">
        <f t="shared" si="527"/>
        <v>0</v>
      </c>
      <c r="CU166" s="252">
        <f t="shared" si="527"/>
        <v>0</v>
      </c>
      <c r="CV166" s="116">
        <f t="shared" si="527"/>
        <v>0</v>
      </c>
      <c r="CW166" s="116">
        <f t="shared" ref="CW166:DG166" si="528">CW146-CV146</f>
        <v>0</v>
      </c>
      <c r="CX166" s="116">
        <f t="shared" si="528"/>
        <v>0</v>
      </c>
      <c r="CY166" s="116">
        <f t="shared" si="528"/>
        <v>0</v>
      </c>
      <c r="CZ166" s="116">
        <f t="shared" si="528"/>
        <v>0</v>
      </c>
      <c r="DA166" s="116">
        <f t="shared" si="528"/>
        <v>0</v>
      </c>
      <c r="DB166" s="116">
        <f t="shared" si="528"/>
        <v>0</v>
      </c>
      <c r="DC166" s="116">
        <f t="shared" si="528"/>
        <v>0</v>
      </c>
      <c r="DD166" s="116">
        <f t="shared" si="528"/>
        <v>0</v>
      </c>
      <c r="DE166" s="116">
        <f t="shared" si="528"/>
        <v>0</v>
      </c>
      <c r="DF166" s="116">
        <f t="shared" si="528"/>
        <v>0</v>
      </c>
      <c r="DG166" s="116">
        <f t="shared" si="528"/>
        <v>0</v>
      </c>
    </row>
    <row r="167" spans="1:111" x14ac:dyDescent="0.25">
      <c r="B167" s="1" t="s">
        <v>300</v>
      </c>
      <c r="E167" s="116">
        <f t="shared" ref="E167:AF167" si="529">+E149-D149</f>
        <v>0</v>
      </c>
      <c r="F167" s="116">
        <f t="shared" si="529"/>
        <v>0</v>
      </c>
      <c r="G167" s="116">
        <f t="shared" si="529"/>
        <v>0</v>
      </c>
      <c r="H167" s="116">
        <f t="shared" si="529"/>
        <v>0</v>
      </c>
      <c r="I167" s="116">
        <f t="shared" si="529"/>
        <v>0</v>
      </c>
      <c r="J167" s="116">
        <f t="shared" si="529"/>
        <v>0</v>
      </c>
      <c r="K167" s="116">
        <f t="shared" si="529"/>
        <v>0</v>
      </c>
      <c r="L167" s="116">
        <f t="shared" si="529"/>
        <v>0</v>
      </c>
      <c r="M167" s="116">
        <f t="shared" si="529"/>
        <v>0</v>
      </c>
      <c r="N167" s="116">
        <f t="shared" si="529"/>
        <v>0</v>
      </c>
      <c r="O167" s="116">
        <f t="shared" si="529"/>
        <v>0</v>
      </c>
      <c r="P167" s="116">
        <f t="shared" si="529"/>
        <v>0</v>
      </c>
      <c r="Q167" s="116">
        <f t="shared" si="529"/>
        <v>0</v>
      </c>
      <c r="R167" s="116">
        <f t="shared" si="529"/>
        <v>0</v>
      </c>
      <c r="S167" s="116">
        <f t="shared" si="529"/>
        <v>0</v>
      </c>
      <c r="T167" s="116">
        <f t="shared" si="529"/>
        <v>0</v>
      </c>
      <c r="U167" s="116">
        <f t="shared" si="529"/>
        <v>0</v>
      </c>
      <c r="V167" s="116">
        <f t="shared" si="529"/>
        <v>0</v>
      </c>
      <c r="W167" s="116">
        <f t="shared" si="529"/>
        <v>0</v>
      </c>
      <c r="X167" s="116">
        <f t="shared" si="529"/>
        <v>0</v>
      </c>
      <c r="Y167" s="116">
        <f t="shared" si="529"/>
        <v>0</v>
      </c>
      <c r="Z167" s="116">
        <f t="shared" si="529"/>
        <v>0</v>
      </c>
      <c r="AA167" s="116">
        <f t="shared" si="529"/>
        <v>0</v>
      </c>
      <c r="AB167" s="116">
        <f t="shared" si="529"/>
        <v>-4414.2</v>
      </c>
      <c r="AC167" s="116">
        <f t="shared" si="529"/>
        <v>-5131.4900000000007</v>
      </c>
      <c r="AD167" s="116">
        <f t="shared" si="529"/>
        <v>-4430.43</v>
      </c>
      <c r="AE167" s="116">
        <f t="shared" si="529"/>
        <v>-7086.409999999998</v>
      </c>
      <c r="AF167" s="116">
        <f t="shared" si="529"/>
        <v>-3432.2299999999996</v>
      </c>
      <c r="AG167" s="116">
        <f t="shared" ref="AG167:CO167" si="530">+AG149-AF149</f>
        <v>-3463.0700000000033</v>
      </c>
      <c r="AH167" s="116">
        <f t="shared" si="530"/>
        <v>-2858.9499999999971</v>
      </c>
      <c r="AI167" s="116">
        <f t="shared" si="530"/>
        <v>-5679.5299999999988</v>
      </c>
      <c r="AJ167" s="116">
        <f t="shared" si="530"/>
        <v>-2487.7700000000041</v>
      </c>
      <c r="AK167" s="116">
        <f t="shared" si="530"/>
        <v>-2394.3899999999994</v>
      </c>
      <c r="AL167" s="116">
        <f t="shared" si="530"/>
        <v>-2307.5599999999977</v>
      </c>
      <c r="AM167" s="116">
        <f t="shared" si="530"/>
        <v>-3648.260000000002</v>
      </c>
      <c r="AN167" s="116">
        <f t="shared" si="530"/>
        <v>-3116.5800000000017</v>
      </c>
      <c r="AO167" s="116">
        <f t="shared" si="530"/>
        <v>-1624.4799999999959</v>
      </c>
      <c r="AP167" s="116">
        <f t="shared" si="530"/>
        <v>-1433.7200000000012</v>
      </c>
      <c r="AQ167" s="116">
        <f t="shared" si="530"/>
        <v>-1790.1100000000006</v>
      </c>
      <c r="AR167" s="116">
        <f t="shared" si="530"/>
        <v>-774.65000000000146</v>
      </c>
      <c r="AS167" s="116">
        <f t="shared" si="530"/>
        <v>-2413.3099999999977</v>
      </c>
      <c r="AT167" s="116">
        <f t="shared" si="530"/>
        <v>-3588.010000000002</v>
      </c>
      <c r="AU167" s="116">
        <f t="shared" si="530"/>
        <v>-2335.2200000000012</v>
      </c>
      <c r="AV167" s="116">
        <f t="shared" si="530"/>
        <v>-4027.9099999999962</v>
      </c>
      <c r="AW167" s="252">
        <f t="shared" si="530"/>
        <v>-2593.5599999999977</v>
      </c>
      <c r="AX167" s="116">
        <f t="shared" si="530"/>
        <v>-150</v>
      </c>
      <c r="AY167" s="252">
        <f t="shared" si="530"/>
        <v>-150</v>
      </c>
      <c r="AZ167" s="116">
        <f t="shared" si="530"/>
        <v>-150</v>
      </c>
      <c r="BA167" s="116">
        <f t="shared" si="530"/>
        <v>-150</v>
      </c>
      <c r="BB167" s="116">
        <f t="shared" si="530"/>
        <v>-150</v>
      </c>
      <c r="BC167" s="116">
        <f t="shared" si="530"/>
        <v>-150</v>
      </c>
      <c r="BD167" s="116">
        <f t="shared" si="530"/>
        <v>-150</v>
      </c>
      <c r="BE167" s="116">
        <f t="shared" si="530"/>
        <v>-150</v>
      </c>
      <c r="BF167" s="116">
        <f t="shared" si="530"/>
        <v>-150</v>
      </c>
      <c r="BG167" s="116">
        <f t="shared" si="530"/>
        <v>-150</v>
      </c>
      <c r="BH167" s="116">
        <f t="shared" si="530"/>
        <v>-150</v>
      </c>
      <c r="BI167" s="116">
        <f t="shared" si="530"/>
        <v>-150</v>
      </c>
      <c r="BJ167" s="116">
        <f t="shared" si="530"/>
        <v>-150</v>
      </c>
      <c r="BK167" s="252">
        <f t="shared" si="530"/>
        <v>-150</v>
      </c>
      <c r="BL167" s="116">
        <f t="shared" si="530"/>
        <v>-150</v>
      </c>
      <c r="BM167" s="116">
        <f t="shared" si="530"/>
        <v>-150</v>
      </c>
      <c r="BN167" s="116">
        <f t="shared" si="530"/>
        <v>-150</v>
      </c>
      <c r="BO167" s="116">
        <f t="shared" si="530"/>
        <v>-150</v>
      </c>
      <c r="BP167" s="116">
        <f t="shared" si="530"/>
        <v>-150</v>
      </c>
      <c r="BQ167" s="116">
        <f t="shared" si="530"/>
        <v>-150</v>
      </c>
      <c r="BR167" s="116">
        <f t="shared" si="530"/>
        <v>-150</v>
      </c>
      <c r="BS167" s="116">
        <f t="shared" si="530"/>
        <v>-150</v>
      </c>
      <c r="BT167" s="116">
        <f t="shared" si="530"/>
        <v>-150</v>
      </c>
      <c r="BU167" s="116">
        <f t="shared" si="530"/>
        <v>-150</v>
      </c>
      <c r="BV167" s="116">
        <f t="shared" si="530"/>
        <v>-150</v>
      </c>
      <c r="BW167" s="252">
        <f t="shared" si="530"/>
        <v>-150</v>
      </c>
      <c r="BX167" s="116">
        <f t="shared" si="530"/>
        <v>-150</v>
      </c>
      <c r="BY167" s="116">
        <f t="shared" si="530"/>
        <v>-150</v>
      </c>
      <c r="BZ167" s="116">
        <f t="shared" si="530"/>
        <v>-150</v>
      </c>
      <c r="CA167" s="116">
        <f t="shared" si="530"/>
        <v>-150</v>
      </c>
      <c r="CB167" s="116">
        <f t="shared" si="530"/>
        <v>-150</v>
      </c>
      <c r="CC167" s="116">
        <f t="shared" si="530"/>
        <v>-150</v>
      </c>
      <c r="CD167" s="116">
        <f t="shared" si="530"/>
        <v>-150</v>
      </c>
      <c r="CE167" s="116">
        <f t="shared" si="530"/>
        <v>-150</v>
      </c>
      <c r="CF167" s="116">
        <f t="shared" si="530"/>
        <v>-150</v>
      </c>
      <c r="CG167" s="116">
        <f t="shared" si="530"/>
        <v>-150</v>
      </c>
      <c r="CH167" s="116">
        <f t="shared" si="530"/>
        <v>-150</v>
      </c>
      <c r="CI167" s="252">
        <f t="shared" si="530"/>
        <v>-150</v>
      </c>
      <c r="CJ167" s="116">
        <f t="shared" si="530"/>
        <v>-150</v>
      </c>
      <c r="CK167" s="116">
        <f t="shared" si="530"/>
        <v>-150</v>
      </c>
      <c r="CL167" s="116">
        <f t="shared" si="530"/>
        <v>-150</v>
      </c>
      <c r="CM167" s="116">
        <f t="shared" si="530"/>
        <v>-150</v>
      </c>
      <c r="CN167" s="116">
        <f t="shared" si="530"/>
        <v>-150</v>
      </c>
      <c r="CO167" s="116">
        <f t="shared" si="530"/>
        <v>-150</v>
      </c>
      <c r="CP167" s="116">
        <f t="shared" ref="CP167:DG167" si="531">+CP149-CO149</f>
        <v>-150</v>
      </c>
      <c r="CQ167" s="116">
        <f t="shared" si="531"/>
        <v>-150</v>
      </c>
      <c r="CR167" s="116">
        <f t="shared" si="531"/>
        <v>-150</v>
      </c>
      <c r="CS167" s="116">
        <f t="shared" si="531"/>
        <v>-150</v>
      </c>
      <c r="CT167" s="116">
        <f t="shared" si="531"/>
        <v>-150</v>
      </c>
      <c r="CU167" s="252">
        <f t="shared" si="531"/>
        <v>-150</v>
      </c>
      <c r="CV167" s="116">
        <f t="shared" si="531"/>
        <v>-150</v>
      </c>
      <c r="CW167" s="116">
        <f t="shared" si="531"/>
        <v>-150</v>
      </c>
      <c r="CX167" s="116">
        <f t="shared" si="531"/>
        <v>-150</v>
      </c>
      <c r="CY167" s="116">
        <f t="shared" si="531"/>
        <v>-150</v>
      </c>
      <c r="CZ167" s="116">
        <f t="shared" si="531"/>
        <v>-150</v>
      </c>
      <c r="DA167" s="116">
        <f t="shared" si="531"/>
        <v>-150</v>
      </c>
      <c r="DB167" s="116">
        <f t="shared" si="531"/>
        <v>-150</v>
      </c>
      <c r="DC167" s="116">
        <f t="shared" si="531"/>
        <v>-150</v>
      </c>
      <c r="DD167" s="116">
        <f t="shared" si="531"/>
        <v>-150</v>
      </c>
      <c r="DE167" s="116">
        <f t="shared" si="531"/>
        <v>-150</v>
      </c>
      <c r="DF167" s="116">
        <f t="shared" si="531"/>
        <v>-150</v>
      </c>
      <c r="DG167" s="116">
        <f t="shared" si="531"/>
        <v>-150</v>
      </c>
    </row>
    <row r="168" spans="1:111" x14ac:dyDescent="0.25">
      <c r="A168" s="3"/>
      <c r="B168" s="4" t="s">
        <v>31</v>
      </c>
      <c r="C168" s="3"/>
      <c r="D168" s="10">
        <v>0</v>
      </c>
      <c r="E168" s="10">
        <f>E166</f>
        <v>0</v>
      </c>
      <c r="F168" s="10">
        <f t="shared" ref="F168:U168" si="532">F166</f>
        <v>0</v>
      </c>
      <c r="G168" s="10">
        <f t="shared" si="532"/>
        <v>0</v>
      </c>
      <c r="H168" s="10">
        <f t="shared" si="532"/>
        <v>0</v>
      </c>
      <c r="I168" s="10">
        <f t="shared" si="532"/>
        <v>0</v>
      </c>
      <c r="J168" s="10">
        <f t="shared" si="532"/>
        <v>0</v>
      </c>
      <c r="K168" s="10">
        <f t="shared" si="532"/>
        <v>0</v>
      </c>
      <c r="L168" s="10">
        <f t="shared" si="532"/>
        <v>0</v>
      </c>
      <c r="M168" s="10">
        <f t="shared" si="532"/>
        <v>0</v>
      </c>
      <c r="N168" s="10">
        <f t="shared" si="532"/>
        <v>0</v>
      </c>
      <c r="O168" s="10">
        <f t="shared" si="532"/>
        <v>0</v>
      </c>
      <c r="P168" s="10">
        <f>P166</f>
        <v>0</v>
      </c>
      <c r="Q168" s="10">
        <f t="shared" si="532"/>
        <v>0</v>
      </c>
      <c r="R168" s="10">
        <f t="shared" si="532"/>
        <v>0</v>
      </c>
      <c r="S168" s="10">
        <f t="shared" si="532"/>
        <v>0</v>
      </c>
      <c r="T168" s="10">
        <f t="shared" si="532"/>
        <v>0</v>
      </c>
      <c r="U168" s="10">
        <f t="shared" si="532"/>
        <v>0</v>
      </c>
      <c r="V168" s="10">
        <f>SUM(V166:V167)</f>
        <v>0</v>
      </c>
      <c r="W168" s="10">
        <f t="shared" ref="W168:CH168" si="533">SUM(W166:W167)</f>
        <v>0</v>
      </c>
      <c r="X168" s="10">
        <f t="shared" si="533"/>
        <v>0</v>
      </c>
      <c r="Y168" s="10">
        <f t="shared" si="533"/>
        <v>0</v>
      </c>
      <c r="Z168" s="10">
        <f t="shared" si="533"/>
        <v>0</v>
      </c>
      <c r="AA168" s="10">
        <f t="shared" si="533"/>
        <v>0</v>
      </c>
      <c r="AB168" s="10">
        <f t="shared" si="533"/>
        <v>-3378.0699999999997</v>
      </c>
      <c r="AC168" s="10">
        <f t="shared" si="533"/>
        <v>-5131.4900000000007</v>
      </c>
      <c r="AD168" s="10">
        <f t="shared" si="533"/>
        <v>-4430.43</v>
      </c>
      <c r="AE168" s="10">
        <f t="shared" si="533"/>
        <v>-7086.409999999998</v>
      </c>
      <c r="AF168" s="10">
        <f t="shared" si="533"/>
        <v>-3432.2299999999996</v>
      </c>
      <c r="AG168" s="10">
        <f t="shared" si="533"/>
        <v>-3463.0700000000033</v>
      </c>
      <c r="AH168" s="10">
        <f t="shared" si="533"/>
        <v>-2858.9499999999971</v>
      </c>
      <c r="AI168" s="10">
        <f t="shared" si="533"/>
        <v>-5679.5299999999988</v>
      </c>
      <c r="AJ168" s="10">
        <f t="shared" si="533"/>
        <v>-2487.7700000000041</v>
      </c>
      <c r="AK168" s="10">
        <f t="shared" si="533"/>
        <v>-2394.3899999999994</v>
      </c>
      <c r="AL168" s="10">
        <f t="shared" si="533"/>
        <v>-2307.5599999999977</v>
      </c>
      <c r="AM168" s="10">
        <f t="shared" si="533"/>
        <v>-3648.260000000002</v>
      </c>
      <c r="AN168" s="10">
        <f t="shared" si="533"/>
        <v>-3116.5800000000017</v>
      </c>
      <c r="AO168" s="10">
        <f>SUM(AO166:AO167)</f>
        <v>-1624.4799999999959</v>
      </c>
      <c r="AP168" s="10">
        <f>SUM(AP166:AP167)</f>
        <v>-1433.7200000000012</v>
      </c>
      <c r="AQ168" s="10">
        <f t="shared" si="533"/>
        <v>-1790.1100000000006</v>
      </c>
      <c r="AR168" s="10">
        <f>SUM(AR166:AR167)</f>
        <v>-774.65000000000146</v>
      </c>
      <c r="AS168" s="10">
        <f>SUM(AS166:AS167)</f>
        <v>-2413.3099999999977</v>
      </c>
      <c r="AT168" s="10">
        <f t="shared" si="533"/>
        <v>-3588.010000000002</v>
      </c>
      <c r="AU168" s="10">
        <f t="shared" ref="AU168" si="534">SUM(AU166:AU167)</f>
        <v>-2335.2200000000012</v>
      </c>
      <c r="AV168" s="10">
        <f t="shared" ref="AV168:AW168" si="535">SUM(AV166:AV167)</f>
        <v>-4027.9099999999962</v>
      </c>
      <c r="AW168" s="261">
        <f t="shared" si="535"/>
        <v>-2593.5599999999977</v>
      </c>
      <c r="AX168" s="10">
        <f t="shared" ref="AX168" si="536">SUM(AX166:AX167)</f>
        <v>-150</v>
      </c>
      <c r="AY168" s="261">
        <f t="shared" si="533"/>
        <v>-150</v>
      </c>
      <c r="AZ168" s="10">
        <f t="shared" si="533"/>
        <v>-150</v>
      </c>
      <c r="BA168" s="10">
        <f t="shared" si="533"/>
        <v>-150</v>
      </c>
      <c r="BB168" s="10">
        <f t="shared" si="533"/>
        <v>-150</v>
      </c>
      <c r="BC168" s="10">
        <f t="shared" si="533"/>
        <v>-150</v>
      </c>
      <c r="BD168" s="10">
        <f t="shared" si="533"/>
        <v>-150</v>
      </c>
      <c r="BE168" s="10">
        <f t="shared" si="533"/>
        <v>-150</v>
      </c>
      <c r="BF168" s="10">
        <f t="shared" si="533"/>
        <v>-150</v>
      </c>
      <c r="BG168" s="10">
        <f t="shared" si="533"/>
        <v>-150</v>
      </c>
      <c r="BH168" s="10">
        <f t="shared" si="533"/>
        <v>-150</v>
      </c>
      <c r="BI168" s="10">
        <f t="shared" si="533"/>
        <v>-150</v>
      </c>
      <c r="BJ168" s="10">
        <f t="shared" si="533"/>
        <v>-150</v>
      </c>
      <c r="BK168" s="261">
        <f t="shared" si="533"/>
        <v>-150</v>
      </c>
      <c r="BL168" s="10">
        <f t="shared" si="533"/>
        <v>-150</v>
      </c>
      <c r="BM168" s="10">
        <f t="shared" si="533"/>
        <v>-150</v>
      </c>
      <c r="BN168" s="10">
        <f t="shared" si="533"/>
        <v>-150</v>
      </c>
      <c r="BO168" s="10">
        <f t="shared" si="533"/>
        <v>-150</v>
      </c>
      <c r="BP168" s="10">
        <f t="shared" si="533"/>
        <v>-150</v>
      </c>
      <c r="BQ168" s="10">
        <f t="shared" si="533"/>
        <v>-150</v>
      </c>
      <c r="BR168" s="10">
        <f t="shared" si="533"/>
        <v>-150</v>
      </c>
      <c r="BS168" s="10">
        <f t="shared" si="533"/>
        <v>-150</v>
      </c>
      <c r="BT168" s="10">
        <f t="shared" si="533"/>
        <v>-150</v>
      </c>
      <c r="BU168" s="10">
        <f t="shared" si="533"/>
        <v>-150</v>
      </c>
      <c r="BV168" s="10">
        <f t="shared" si="533"/>
        <v>-150</v>
      </c>
      <c r="BW168" s="261">
        <f t="shared" si="533"/>
        <v>-150</v>
      </c>
      <c r="BX168" s="10">
        <f t="shared" si="533"/>
        <v>-150</v>
      </c>
      <c r="BY168" s="10">
        <f t="shared" si="533"/>
        <v>-150</v>
      </c>
      <c r="BZ168" s="10">
        <f t="shared" si="533"/>
        <v>-150</v>
      </c>
      <c r="CA168" s="10">
        <f t="shared" si="533"/>
        <v>-150</v>
      </c>
      <c r="CB168" s="10">
        <f t="shared" si="533"/>
        <v>-150</v>
      </c>
      <c r="CC168" s="10">
        <f t="shared" si="533"/>
        <v>-150</v>
      </c>
      <c r="CD168" s="10">
        <f t="shared" si="533"/>
        <v>-150</v>
      </c>
      <c r="CE168" s="10">
        <f t="shared" si="533"/>
        <v>-150</v>
      </c>
      <c r="CF168" s="10">
        <f t="shared" si="533"/>
        <v>-150</v>
      </c>
      <c r="CG168" s="10">
        <f t="shared" si="533"/>
        <v>-150</v>
      </c>
      <c r="CH168" s="10">
        <f t="shared" si="533"/>
        <v>-150</v>
      </c>
      <c r="CI168" s="261">
        <f t="shared" ref="CI168:DG168" si="537">SUM(CI166:CI167)</f>
        <v>-150</v>
      </c>
      <c r="CJ168" s="10">
        <f t="shared" si="537"/>
        <v>-150</v>
      </c>
      <c r="CK168" s="10">
        <f t="shared" si="537"/>
        <v>-150</v>
      </c>
      <c r="CL168" s="10">
        <f t="shared" si="537"/>
        <v>-150</v>
      </c>
      <c r="CM168" s="10">
        <f t="shared" si="537"/>
        <v>-150</v>
      </c>
      <c r="CN168" s="10">
        <f t="shared" si="537"/>
        <v>-150</v>
      </c>
      <c r="CO168" s="10">
        <f t="shared" si="537"/>
        <v>-150</v>
      </c>
      <c r="CP168" s="10">
        <f t="shared" si="537"/>
        <v>-150</v>
      </c>
      <c r="CQ168" s="10">
        <f t="shared" si="537"/>
        <v>-150</v>
      </c>
      <c r="CR168" s="10">
        <f t="shared" si="537"/>
        <v>-150</v>
      </c>
      <c r="CS168" s="10">
        <f t="shared" si="537"/>
        <v>-150</v>
      </c>
      <c r="CT168" s="10">
        <f t="shared" si="537"/>
        <v>-150</v>
      </c>
      <c r="CU168" s="261">
        <f t="shared" si="537"/>
        <v>-150</v>
      </c>
      <c r="CV168" s="10">
        <f t="shared" si="537"/>
        <v>-150</v>
      </c>
      <c r="CW168" s="10">
        <f t="shared" si="537"/>
        <v>-150</v>
      </c>
      <c r="CX168" s="10">
        <f t="shared" si="537"/>
        <v>-150</v>
      </c>
      <c r="CY168" s="10">
        <f t="shared" si="537"/>
        <v>-150</v>
      </c>
      <c r="CZ168" s="10">
        <f t="shared" si="537"/>
        <v>-150</v>
      </c>
      <c r="DA168" s="10">
        <f t="shared" si="537"/>
        <v>-150</v>
      </c>
      <c r="DB168" s="10">
        <f t="shared" si="537"/>
        <v>-150</v>
      </c>
      <c r="DC168" s="10">
        <f t="shared" si="537"/>
        <v>-150</v>
      </c>
      <c r="DD168" s="10">
        <f t="shared" si="537"/>
        <v>-150</v>
      </c>
      <c r="DE168" s="10">
        <f t="shared" si="537"/>
        <v>-150</v>
      </c>
      <c r="DF168" s="10">
        <f t="shared" si="537"/>
        <v>-150</v>
      </c>
      <c r="DG168" s="10">
        <f t="shared" si="537"/>
        <v>-150</v>
      </c>
    </row>
    <row r="169" spans="1:111" x14ac:dyDescent="0.25">
      <c r="AW169" s="251"/>
      <c r="AY169" s="251"/>
      <c r="BK169" s="251"/>
      <c r="BW169" s="251"/>
      <c r="CI169" s="251"/>
      <c r="CU169" s="251"/>
    </row>
    <row r="170" spans="1:111" x14ac:dyDescent="0.25">
      <c r="B170" s="1" t="s">
        <v>32</v>
      </c>
      <c r="D170" s="9">
        <f>D168+D163</f>
        <v>0</v>
      </c>
      <c r="E170" s="9">
        <f t="shared" ref="E170:BP170" si="538">E168+E163</f>
        <v>0</v>
      </c>
      <c r="F170" s="9">
        <f t="shared" si="538"/>
        <v>0</v>
      </c>
      <c r="G170" s="9">
        <f t="shared" si="538"/>
        <v>0</v>
      </c>
      <c r="H170" s="9">
        <f t="shared" si="538"/>
        <v>0</v>
      </c>
      <c r="I170" s="9">
        <f t="shared" si="538"/>
        <v>0</v>
      </c>
      <c r="J170" s="9">
        <f t="shared" si="538"/>
        <v>0</v>
      </c>
      <c r="K170" s="9">
        <f>K168+K163</f>
        <v>0</v>
      </c>
      <c r="L170" s="9">
        <f t="shared" si="538"/>
        <v>0</v>
      </c>
      <c r="M170" s="9">
        <f t="shared" si="538"/>
        <v>0</v>
      </c>
      <c r="N170" s="9">
        <f t="shared" si="538"/>
        <v>0</v>
      </c>
      <c r="O170" s="9">
        <f t="shared" si="538"/>
        <v>0</v>
      </c>
      <c r="P170" s="9">
        <f t="shared" si="538"/>
        <v>0</v>
      </c>
      <c r="Q170" s="9">
        <f t="shared" si="538"/>
        <v>0</v>
      </c>
      <c r="R170" s="9">
        <f t="shared" si="538"/>
        <v>0</v>
      </c>
      <c r="S170" s="9">
        <f t="shared" si="538"/>
        <v>0</v>
      </c>
      <c r="T170" s="9">
        <f t="shared" si="538"/>
        <v>0</v>
      </c>
      <c r="U170" s="9">
        <f t="shared" si="538"/>
        <v>0</v>
      </c>
      <c r="V170" s="9">
        <f t="shared" si="538"/>
        <v>0</v>
      </c>
      <c r="W170" s="9">
        <f t="shared" si="538"/>
        <v>0</v>
      </c>
      <c r="X170" s="9">
        <f t="shared" si="538"/>
        <v>0</v>
      </c>
      <c r="Y170" s="9">
        <f t="shared" si="538"/>
        <v>0</v>
      </c>
      <c r="Z170" s="9">
        <f t="shared" si="538"/>
        <v>0</v>
      </c>
      <c r="AA170" s="9">
        <f t="shared" ref="AA170:AF170" si="539">AA168+AA163</f>
        <v>0</v>
      </c>
      <c r="AB170" s="9">
        <f t="shared" si="539"/>
        <v>933.39999999999964</v>
      </c>
      <c r="AC170" s="9">
        <f t="shared" si="539"/>
        <v>112.36999999999898</v>
      </c>
      <c r="AD170" s="9">
        <f t="shared" si="539"/>
        <v>1762.3599999999997</v>
      </c>
      <c r="AE170" s="9">
        <f t="shared" si="539"/>
        <v>-1028.2099999999982</v>
      </c>
      <c r="AF170" s="9">
        <f t="shared" si="539"/>
        <v>830.61000000000058</v>
      </c>
      <c r="AG170" s="9">
        <f t="shared" si="538"/>
        <v>9.8399999999960528</v>
      </c>
      <c r="AH170" s="9">
        <f t="shared" si="538"/>
        <v>292.37000000000307</v>
      </c>
      <c r="AI170" s="9">
        <f t="shared" si="538"/>
        <v>-1851.2199999999989</v>
      </c>
      <c r="AJ170" s="9">
        <f t="shared" si="538"/>
        <v>-938.0500000000045</v>
      </c>
      <c r="AK170" s="9">
        <f t="shared" si="538"/>
        <v>2148.3500000000013</v>
      </c>
      <c r="AL170" s="9">
        <f t="shared" si="538"/>
        <v>-435.14999999999759</v>
      </c>
      <c r="AM170" s="9">
        <f t="shared" si="538"/>
        <v>-410.67000000000189</v>
      </c>
      <c r="AN170" s="9">
        <f t="shared" si="538"/>
        <v>614.3199999999988</v>
      </c>
      <c r="AO170" s="9">
        <f>AO168+AO163</f>
        <v>431.57000000000471</v>
      </c>
      <c r="AP170" s="9">
        <f>AP168+AP163</f>
        <v>917.34999999999854</v>
      </c>
      <c r="AQ170" s="9">
        <f t="shared" si="538"/>
        <v>919.02000000000089</v>
      </c>
      <c r="AR170" s="9">
        <f>AR168+AR163</f>
        <v>2235.6799999999985</v>
      </c>
      <c r="AS170" s="9">
        <f>AS168+AS163</f>
        <v>167.09000000000196</v>
      </c>
      <c r="AT170" s="9">
        <f t="shared" si="538"/>
        <v>-76.790000000001783</v>
      </c>
      <c r="AU170" s="9">
        <f t="shared" ref="AU170" si="540">AU168+AU163</f>
        <v>520.84999999999945</v>
      </c>
      <c r="AV170" s="9">
        <f t="shared" ref="AV170:AW170" si="541">AV168+AV163</f>
        <v>-747.43999999999596</v>
      </c>
      <c r="AW170" s="262">
        <f t="shared" si="541"/>
        <v>-532.02999999999747</v>
      </c>
      <c r="AX170" s="9">
        <f t="shared" ref="AX170" si="542">AX168+AX163</f>
        <v>833.76492638547325</v>
      </c>
      <c r="AY170" s="262">
        <f t="shared" si="538"/>
        <v>275.45941285378888</v>
      </c>
      <c r="AZ170" s="9">
        <f t="shared" si="538"/>
        <v>-122.79722825171649</v>
      </c>
      <c r="BA170" s="9">
        <f t="shared" si="538"/>
        <v>544.76453677914049</v>
      </c>
      <c r="BB170" s="9">
        <f t="shared" si="538"/>
        <v>1088.3373642086187</v>
      </c>
      <c r="BC170" s="9">
        <f t="shared" si="538"/>
        <v>2130.0815917598884</v>
      </c>
      <c r="BD170" s="9">
        <f t="shared" si="538"/>
        <v>1738.1336930863608</v>
      </c>
      <c r="BE170" s="9">
        <f t="shared" si="538"/>
        <v>1910.301278860497</v>
      </c>
      <c r="BF170" s="9">
        <f t="shared" si="538"/>
        <v>1649.5735201805821</v>
      </c>
      <c r="BG170" s="9">
        <f t="shared" si="538"/>
        <v>1939.4118775216884</v>
      </c>
      <c r="BH170" s="9">
        <f t="shared" si="538"/>
        <v>263.09768083241704</v>
      </c>
      <c r="BI170" s="9">
        <f t="shared" si="538"/>
        <v>446.21890164591503</v>
      </c>
      <c r="BJ170" s="9">
        <f t="shared" si="538"/>
        <v>243.86172880630647</v>
      </c>
      <c r="BK170" s="262">
        <f t="shared" si="538"/>
        <v>1338.819830178179</v>
      </c>
      <c r="BL170" s="9">
        <f t="shared" si="538"/>
        <v>137.09456787341946</v>
      </c>
      <c r="BM170" s="9">
        <f t="shared" si="538"/>
        <v>991.5656320767373</v>
      </c>
      <c r="BN170" s="9">
        <f t="shared" si="538"/>
        <v>1802.4532995197123</v>
      </c>
      <c r="BO170" s="9">
        <f t="shared" si="538"/>
        <v>2575.3126944177202</v>
      </c>
      <c r="BP170" s="9">
        <f t="shared" si="538"/>
        <v>2150.4072134738526</v>
      </c>
      <c r="BQ170" s="9">
        <f t="shared" ref="BQ170:DG170" si="543">BQ168+BQ163</f>
        <v>2292.2698300711199</v>
      </c>
      <c r="BR170" s="9">
        <f t="shared" si="543"/>
        <v>1668.2944859184213</v>
      </c>
      <c r="BS170" s="9">
        <f t="shared" si="543"/>
        <v>2576.0688965674763</v>
      </c>
      <c r="BT170" s="9">
        <f t="shared" si="543"/>
        <v>391.9497309046742</v>
      </c>
      <c r="BU170" s="9">
        <f t="shared" si="543"/>
        <v>413.47280233992228</v>
      </c>
      <c r="BV170" s="9">
        <f t="shared" si="543"/>
        <v>504.37513626139571</v>
      </c>
      <c r="BW170" s="262">
        <f t="shared" si="543"/>
        <v>1585.9525826131057</v>
      </c>
      <c r="BX170" s="9">
        <f t="shared" si="543"/>
        <v>229.64027403555576</v>
      </c>
      <c r="BY170" s="9">
        <f t="shared" si="543"/>
        <v>1463.3941333490984</v>
      </c>
      <c r="BZ170" s="9">
        <f t="shared" si="543"/>
        <v>2068.9357598148158</v>
      </c>
      <c r="CA170" s="9">
        <f t="shared" si="543"/>
        <v>2250.7673639903187</v>
      </c>
      <c r="CB170" s="9">
        <f t="shared" si="543"/>
        <v>3110.9090308003351</v>
      </c>
      <c r="CC170" s="9">
        <f t="shared" si="543"/>
        <v>2589.800177327058</v>
      </c>
      <c r="CD170" s="9">
        <f t="shared" si="543"/>
        <v>1573.6801403694628</v>
      </c>
      <c r="CE170" s="9">
        <f t="shared" si="543"/>
        <v>3212.6307776972935</v>
      </c>
      <c r="CF170" s="9">
        <f t="shared" si="543"/>
        <v>221.64281931668961</v>
      </c>
      <c r="CG170" s="9">
        <f t="shared" si="543"/>
        <v>690.75073066796995</v>
      </c>
      <c r="CH170" s="9">
        <f t="shared" si="543"/>
        <v>580.71823768079139</v>
      </c>
      <c r="CI170" s="262">
        <f t="shared" si="543"/>
        <v>1261.2698503497077</v>
      </c>
      <c r="CJ170" s="9">
        <f t="shared" si="543"/>
        <v>815.9912997792253</v>
      </c>
      <c r="CK170" s="9">
        <f t="shared" si="543"/>
        <v>1375.7600015973603</v>
      </c>
      <c r="CL170" s="9">
        <f t="shared" si="543"/>
        <v>1991.4368259418407</v>
      </c>
      <c r="CM170" s="9">
        <f t="shared" si="543"/>
        <v>2947.4763346635937</v>
      </c>
      <c r="CN170" s="9">
        <f t="shared" si="543"/>
        <v>3610.3442754379894</v>
      </c>
      <c r="CO170" s="9">
        <f t="shared" si="543"/>
        <v>2662.0019576081554</v>
      </c>
      <c r="CP170" s="9">
        <f t="shared" si="543"/>
        <v>2226.0441523307927</v>
      </c>
      <c r="CQ170" s="9">
        <f t="shared" si="543"/>
        <v>3689.7310017802306</v>
      </c>
      <c r="CR170" s="9">
        <f t="shared" si="543"/>
        <v>66.616643857535649</v>
      </c>
      <c r="CS170" s="9">
        <f t="shared" si="543"/>
        <v>1177.3710861387806</v>
      </c>
      <c r="CT170" s="9">
        <f t="shared" si="543"/>
        <v>765.46678985349922</v>
      </c>
      <c r="CU170" s="262">
        <f t="shared" si="543"/>
        <v>1475.9082439229569</v>
      </c>
      <c r="CV170" s="9">
        <f t="shared" si="543"/>
        <v>1052.9133191631934</v>
      </c>
      <c r="CW170" s="9">
        <f t="shared" si="543"/>
        <v>1665.8027775885721</v>
      </c>
      <c r="CX170" s="9">
        <f t="shared" si="543"/>
        <v>1979.8717972318846</v>
      </c>
      <c r="CY170" s="9">
        <f t="shared" si="543"/>
        <v>3841.3440863123865</v>
      </c>
      <c r="CZ170" s="9">
        <f t="shared" si="543"/>
        <v>4155.6694645697244</v>
      </c>
      <c r="DA170" s="9">
        <f t="shared" si="543"/>
        <v>2609.6431016877409</v>
      </c>
      <c r="DB170" s="9">
        <f t="shared" si="543"/>
        <v>2804.501614767973</v>
      </c>
      <c r="DC170" s="9">
        <f t="shared" si="543"/>
        <v>3669.6436474381744</v>
      </c>
      <c r="DD170" s="9">
        <f t="shared" si="543"/>
        <v>309.63446606443983</v>
      </c>
      <c r="DE170" s="9">
        <f t="shared" si="543"/>
        <v>1366.2026777151636</v>
      </c>
      <c r="DF170" s="9">
        <f t="shared" si="543"/>
        <v>544.96533508691971</v>
      </c>
      <c r="DG170" s="9">
        <f t="shared" si="543"/>
        <v>2032.5095901024306</v>
      </c>
    </row>
    <row r="171" spans="1:111" x14ac:dyDescent="0.25">
      <c r="AW171" s="251"/>
      <c r="AY171" s="251"/>
      <c r="BK171" s="251"/>
      <c r="BW171" s="251"/>
      <c r="CI171" s="251"/>
      <c r="CU171" s="251"/>
    </row>
    <row r="172" spans="1:111" x14ac:dyDescent="0.25">
      <c r="B172" s="1" t="s">
        <v>33</v>
      </c>
      <c r="D172" s="9">
        <v>0</v>
      </c>
      <c r="E172" s="9">
        <f>D173</f>
        <v>0</v>
      </c>
      <c r="F172" s="9">
        <f t="shared" ref="F172:BQ172" si="544">E173</f>
        <v>0</v>
      </c>
      <c r="G172" s="9">
        <f t="shared" si="544"/>
        <v>0</v>
      </c>
      <c r="H172" s="9">
        <f t="shared" si="544"/>
        <v>0</v>
      </c>
      <c r="I172" s="9">
        <f t="shared" si="544"/>
        <v>0</v>
      </c>
      <c r="J172" s="9">
        <f>I173</f>
        <v>0</v>
      </c>
      <c r="K172" s="9">
        <f t="shared" si="544"/>
        <v>0</v>
      </c>
      <c r="L172" s="9">
        <f t="shared" si="544"/>
        <v>0</v>
      </c>
      <c r="M172" s="9">
        <f t="shared" si="544"/>
        <v>0</v>
      </c>
      <c r="N172" s="9">
        <f t="shared" si="544"/>
        <v>0</v>
      </c>
      <c r="O172" s="9">
        <f t="shared" si="544"/>
        <v>0</v>
      </c>
      <c r="P172" s="9">
        <f>O173</f>
        <v>0</v>
      </c>
      <c r="Q172" s="9">
        <f t="shared" si="544"/>
        <v>0</v>
      </c>
      <c r="R172" s="9">
        <f t="shared" si="544"/>
        <v>0</v>
      </c>
      <c r="S172" s="9">
        <f t="shared" si="544"/>
        <v>0</v>
      </c>
      <c r="T172" s="9">
        <f t="shared" si="544"/>
        <v>0</v>
      </c>
      <c r="U172" s="9">
        <f t="shared" si="544"/>
        <v>0</v>
      </c>
      <c r="V172" s="9">
        <f>U173</f>
        <v>0</v>
      </c>
      <c r="W172" s="9">
        <f t="shared" si="544"/>
        <v>0</v>
      </c>
      <c r="X172" s="9">
        <f t="shared" si="544"/>
        <v>0</v>
      </c>
      <c r="Y172" s="9">
        <f t="shared" si="544"/>
        <v>0</v>
      </c>
      <c r="Z172" s="9">
        <f t="shared" si="544"/>
        <v>0</v>
      </c>
      <c r="AA172" s="9">
        <f t="shared" si="544"/>
        <v>0</v>
      </c>
      <c r="AB172" s="9">
        <f>AA173</f>
        <v>0</v>
      </c>
      <c r="AC172" s="9">
        <f>AB173</f>
        <v>933.39999999999964</v>
      </c>
      <c r="AD172" s="9">
        <f>AC173</f>
        <v>1045.7699999999986</v>
      </c>
      <c r="AE172" s="9">
        <f>AD173</f>
        <v>2808.1299999999983</v>
      </c>
      <c r="AF172" s="9">
        <f>AE173</f>
        <v>1779.92</v>
      </c>
      <c r="AG172" s="9">
        <f t="shared" si="544"/>
        <v>2610.5300000000007</v>
      </c>
      <c r="AH172" s="9">
        <f t="shared" si="544"/>
        <v>2620.3699999999967</v>
      </c>
      <c r="AI172" s="9">
        <f t="shared" si="544"/>
        <v>2912.74</v>
      </c>
      <c r="AJ172" s="9">
        <f t="shared" si="544"/>
        <v>1061.5200000000009</v>
      </c>
      <c r="AK172" s="9">
        <f t="shared" si="544"/>
        <v>123.46999999999639</v>
      </c>
      <c r="AL172" s="9">
        <f t="shared" si="544"/>
        <v>2271.8199999999979</v>
      </c>
      <c r="AM172" s="9">
        <f t="shared" si="544"/>
        <v>1836.6700000000003</v>
      </c>
      <c r="AN172" s="9">
        <f t="shared" si="544"/>
        <v>1425.9999999999984</v>
      </c>
      <c r="AO172" s="9">
        <f t="shared" si="544"/>
        <v>2040.3199999999972</v>
      </c>
      <c r="AP172" s="9">
        <f t="shared" si="544"/>
        <v>2471.8900000000021</v>
      </c>
      <c r="AQ172" s="9">
        <f t="shared" si="544"/>
        <v>3389.2400000000007</v>
      </c>
      <c r="AR172" s="9">
        <f t="shared" si="544"/>
        <v>4308.260000000002</v>
      </c>
      <c r="AS172" s="9">
        <f t="shared" si="544"/>
        <v>6543.9400000000005</v>
      </c>
      <c r="AT172" s="9">
        <f t="shared" si="544"/>
        <v>6711.0300000000025</v>
      </c>
      <c r="AU172" s="9">
        <f t="shared" si="544"/>
        <v>6634.2400000000007</v>
      </c>
      <c r="AV172" s="9">
        <f t="shared" si="544"/>
        <v>7155.09</v>
      </c>
      <c r="AW172" s="262">
        <f t="shared" si="544"/>
        <v>6407.6500000000042</v>
      </c>
      <c r="AX172" s="9">
        <f t="shared" si="544"/>
        <v>5875.6200000000063</v>
      </c>
      <c r="AY172" s="262">
        <f t="shared" si="544"/>
        <v>6709.384926385479</v>
      </c>
      <c r="AZ172" s="9">
        <f t="shared" si="544"/>
        <v>6984.8443392392683</v>
      </c>
      <c r="BA172" s="9">
        <f t="shared" si="544"/>
        <v>6862.0471109875516</v>
      </c>
      <c r="BB172" s="9">
        <f t="shared" si="544"/>
        <v>7406.8116477666917</v>
      </c>
      <c r="BC172" s="9">
        <f t="shared" si="544"/>
        <v>8495.1490119753107</v>
      </c>
      <c r="BD172" s="9">
        <f t="shared" si="544"/>
        <v>10625.230603735199</v>
      </c>
      <c r="BE172" s="9">
        <f t="shared" si="544"/>
        <v>12363.364296821561</v>
      </c>
      <c r="BF172" s="9">
        <f t="shared" si="544"/>
        <v>14273.665575682058</v>
      </c>
      <c r="BG172" s="9">
        <f t="shared" si="544"/>
        <v>15923.23909586264</v>
      </c>
      <c r="BH172" s="9">
        <f t="shared" si="544"/>
        <v>17862.650973384327</v>
      </c>
      <c r="BI172" s="9">
        <f t="shared" si="544"/>
        <v>18125.748654216743</v>
      </c>
      <c r="BJ172" s="9">
        <f t="shared" si="544"/>
        <v>18571.967555862659</v>
      </c>
      <c r="BK172" s="262">
        <f t="shared" si="544"/>
        <v>18815.829284668966</v>
      </c>
      <c r="BL172" s="9">
        <f t="shared" si="544"/>
        <v>20154.649114847143</v>
      </c>
      <c r="BM172" s="9">
        <f t="shared" si="544"/>
        <v>20291.743682720564</v>
      </c>
      <c r="BN172" s="9">
        <f t="shared" si="544"/>
        <v>21283.309314797301</v>
      </c>
      <c r="BO172" s="9">
        <f t="shared" si="544"/>
        <v>23085.762614317013</v>
      </c>
      <c r="BP172" s="9">
        <f t="shared" si="544"/>
        <v>25661.075308734733</v>
      </c>
      <c r="BQ172" s="9">
        <f t="shared" si="544"/>
        <v>27811.482522208586</v>
      </c>
      <c r="BR172" s="9">
        <f t="shared" ref="BR172:DG172" si="545">BQ173</f>
        <v>30103.752352279706</v>
      </c>
      <c r="BS172" s="9">
        <f t="shared" si="545"/>
        <v>31772.046838198126</v>
      </c>
      <c r="BT172" s="9">
        <f t="shared" si="545"/>
        <v>34348.115734765604</v>
      </c>
      <c r="BU172" s="9">
        <f t="shared" si="545"/>
        <v>34740.065465670275</v>
      </c>
      <c r="BV172" s="9">
        <f t="shared" si="545"/>
        <v>35153.538268010197</v>
      </c>
      <c r="BW172" s="262">
        <f t="shared" si="545"/>
        <v>35657.913404271596</v>
      </c>
      <c r="BX172" s="9">
        <f t="shared" si="545"/>
        <v>37243.865986884703</v>
      </c>
      <c r="BY172" s="9">
        <f t="shared" si="545"/>
        <v>37473.506260920258</v>
      </c>
      <c r="BZ172" s="9">
        <f t="shared" si="545"/>
        <v>38936.900394269353</v>
      </c>
      <c r="CA172" s="9">
        <f t="shared" si="545"/>
        <v>41005.836154084165</v>
      </c>
      <c r="CB172" s="9">
        <f t="shared" si="545"/>
        <v>43256.60351807448</v>
      </c>
      <c r="CC172" s="9">
        <f t="shared" si="545"/>
        <v>46367.512548874816</v>
      </c>
      <c r="CD172" s="9">
        <f t="shared" si="545"/>
        <v>48957.312726201875</v>
      </c>
      <c r="CE172" s="9">
        <f t="shared" si="545"/>
        <v>50530.992866571338</v>
      </c>
      <c r="CF172" s="9">
        <f t="shared" si="545"/>
        <v>53743.623644268635</v>
      </c>
      <c r="CG172" s="9">
        <f t="shared" si="545"/>
        <v>53965.266463585322</v>
      </c>
      <c r="CH172" s="9">
        <f t="shared" si="545"/>
        <v>54656.017194253291</v>
      </c>
      <c r="CI172" s="262">
        <f t="shared" si="545"/>
        <v>55236.735431934081</v>
      </c>
      <c r="CJ172" s="9">
        <f t="shared" si="545"/>
        <v>56498.00528228379</v>
      </c>
      <c r="CK172" s="9">
        <f t="shared" si="545"/>
        <v>57313.996582063017</v>
      </c>
      <c r="CL172" s="9">
        <f t="shared" si="545"/>
        <v>58689.756583660375</v>
      </c>
      <c r="CM172" s="9">
        <f t="shared" si="545"/>
        <v>60681.193409602216</v>
      </c>
      <c r="CN172" s="9">
        <f t="shared" si="545"/>
        <v>63628.669744265811</v>
      </c>
      <c r="CO172" s="9">
        <f t="shared" si="545"/>
        <v>67239.014019703798</v>
      </c>
      <c r="CP172" s="9">
        <f t="shared" si="545"/>
        <v>69901.015977311952</v>
      </c>
      <c r="CQ172" s="9">
        <f t="shared" si="545"/>
        <v>72127.060129642749</v>
      </c>
      <c r="CR172" s="9">
        <f t="shared" si="545"/>
        <v>75816.791131422986</v>
      </c>
      <c r="CS172" s="9">
        <f t="shared" si="545"/>
        <v>75883.407775280517</v>
      </c>
      <c r="CT172" s="9">
        <f t="shared" si="545"/>
        <v>77060.778861419298</v>
      </c>
      <c r="CU172" s="262">
        <f t="shared" si="545"/>
        <v>77826.245651272795</v>
      </c>
      <c r="CV172" s="9">
        <f t="shared" si="545"/>
        <v>79302.153895195748</v>
      </c>
      <c r="CW172" s="9">
        <f t="shared" si="545"/>
        <v>80355.067214358947</v>
      </c>
      <c r="CX172" s="9">
        <f t="shared" si="545"/>
        <v>82020.869991947518</v>
      </c>
      <c r="CY172" s="9">
        <f t="shared" si="545"/>
        <v>84000.741789179403</v>
      </c>
      <c r="CZ172" s="9">
        <f t="shared" si="545"/>
        <v>87842.085875491786</v>
      </c>
      <c r="DA172" s="9">
        <f t="shared" si="545"/>
        <v>91997.755340061514</v>
      </c>
      <c r="DB172" s="9">
        <f t="shared" si="545"/>
        <v>94607.398441749261</v>
      </c>
      <c r="DC172" s="9">
        <f t="shared" si="545"/>
        <v>97411.900056517232</v>
      </c>
      <c r="DD172" s="9">
        <f t="shared" si="545"/>
        <v>101081.54370395541</v>
      </c>
      <c r="DE172" s="9">
        <f t="shared" si="545"/>
        <v>101391.17817001985</v>
      </c>
      <c r="DF172" s="9">
        <f t="shared" si="545"/>
        <v>102757.38084773501</v>
      </c>
      <c r="DG172" s="9">
        <f t="shared" si="545"/>
        <v>103302.34618282193</v>
      </c>
    </row>
    <row r="173" spans="1:111" x14ac:dyDescent="0.25">
      <c r="B173" s="1" t="s">
        <v>34</v>
      </c>
      <c r="D173" s="9">
        <v>0</v>
      </c>
      <c r="E173" s="9">
        <f>E172+E170</f>
        <v>0</v>
      </c>
      <c r="F173" s="9">
        <f t="shared" ref="F173:BQ173" si="546">F172+F170</f>
        <v>0</v>
      </c>
      <c r="G173" s="9">
        <f t="shared" si="546"/>
        <v>0</v>
      </c>
      <c r="H173" s="9">
        <f t="shared" si="546"/>
        <v>0</v>
      </c>
      <c r="I173" s="9">
        <f t="shared" si="546"/>
        <v>0</v>
      </c>
      <c r="J173" s="9">
        <f t="shared" si="546"/>
        <v>0</v>
      </c>
      <c r="K173" s="9">
        <f t="shared" si="546"/>
        <v>0</v>
      </c>
      <c r="L173" s="9">
        <f t="shared" si="546"/>
        <v>0</v>
      </c>
      <c r="M173" s="9">
        <f t="shared" si="546"/>
        <v>0</v>
      </c>
      <c r="N173" s="9">
        <f t="shared" si="546"/>
        <v>0</v>
      </c>
      <c r="O173" s="9">
        <f t="shared" si="546"/>
        <v>0</v>
      </c>
      <c r="P173" s="9">
        <f>P172+P170</f>
        <v>0</v>
      </c>
      <c r="Q173" s="9">
        <f t="shared" si="546"/>
        <v>0</v>
      </c>
      <c r="R173" s="9">
        <f t="shared" si="546"/>
        <v>0</v>
      </c>
      <c r="S173" s="9">
        <f t="shared" si="546"/>
        <v>0</v>
      </c>
      <c r="T173" s="9">
        <f t="shared" si="546"/>
        <v>0</v>
      </c>
      <c r="U173" s="9">
        <f t="shared" si="546"/>
        <v>0</v>
      </c>
      <c r="V173" s="9">
        <f t="shared" si="546"/>
        <v>0</v>
      </c>
      <c r="W173" s="9">
        <f t="shared" si="546"/>
        <v>0</v>
      </c>
      <c r="X173" s="9">
        <f t="shared" si="546"/>
        <v>0</v>
      </c>
      <c r="Y173" s="9">
        <f t="shared" si="546"/>
        <v>0</v>
      </c>
      <c r="Z173" s="9">
        <f t="shared" si="546"/>
        <v>0</v>
      </c>
      <c r="AA173" s="9">
        <f t="shared" ref="AA173:AF173" si="547">AA172+AA170</f>
        <v>0</v>
      </c>
      <c r="AB173" s="9">
        <f t="shared" si="547"/>
        <v>933.39999999999964</v>
      </c>
      <c r="AC173" s="9">
        <f t="shared" si="547"/>
        <v>1045.7699999999986</v>
      </c>
      <c r="AD173" s="9">
        <f t="shared" si="547"/>
        <v>2808.1299999999983</v>
      </c>
      <c r="AE173" s="9">
        <f t="shared" si="547"/>
        <v>1779.92</v>
      </c>
      <c r="AF173" s="9">
        <f t="shared" si="547"/>
        <v>2610.5300000000007</v>
      </c>
      <c r="AG173" s="9">
        <f t="shared" si="546"/>
        <v>2620.3699999999967</v>
      </c>
      <c r="AH173" s="9">
        <f t="shared" si="546"/>
        <v>2912.74</v>
      </c>
      <c r="AI173" s="9">
        <f t="shared" si="546"/>
        <v>1061.5200000000009</v>
      </c>
      <c r="AJ173" s="9">
        <f t="shared" si="546"/>
        <v>123.46999999999639</v>
      </c>
      <c r="AK173" s="9">
        <f t="shared" si="546"/>
        <v>2271.8199999999979</v>
      </c>
      <c r="AL173" s="9">
        <f t="shared" si="546"/>
        <v>1836.6700000000003</v>
      </c>
      <c r="AM173" s="9">
        <f t="shared" si="546"/>
        <v>1425.9999999999984</v>
      </c>
      <c r="AN173" s="9">
        <f t="shared" si="546"/>
        <v>2040.3199999999972</v>
      </c>
      <c r="AO173" s="9">
        <f>AO172+AO170</f>
        <v>2471.8900000000021</v>
      </c>
      <c r="AP173" s="9">
        <f>AP172+AP170</f>
        <v>3389.2400000000007</v>
      </c>
      <c r="AQ173" s="9">
        <f t="shared" si="546"/>
        <v>4308.260000000002</v>
      </c>
      <c r="AR173" s="9">
        <f>AR172+AR170</f>
        <v>6543.9400000000005</v>
      </c>
      <c r="AS173" s="9">
        <f>AS172+AS170</f>
        <v>6711.0300000000025</v>
      </c>
      <c r="AT173" s="9">
        <f t="shared" si="546"/>
        <v>6634.2400000000007</v>
      </c>
      <c r="AU173" s="9">
        <f t="shared" ref="AU173" si="548">AU172+AU170</f>
        <v>7155.09</v>
      </c>
      <c r="AV173" s="9">
        <f t="shared" ref="AV173:AW173" si="549">AV172+AV170</f>
        <v>6407.6500000000042</v>
      </c>
      <c r="AW173" s="262">
        <f t="shared" si="549"/>
        <v>5875.6200000000063</v>
      </c>
      <c r="AX173" s="9">
        <f t="shared" ref="AX173" si="550">AX172+AX170</f>
        <v>6709.384926385479</v>
      </c>
      <c r="AY173" s="262">
        <f t="shared" si="546"/>
        <v>6984.8443392392683</v>
      </c>
      <c r="AZ173" s="9">
        <f t="shared" si="546"/>
        <v>6862.0471109875516</v>
      </c>
      <c r="BA173" s="9">
        <f t="shared" si="546"/>
        <v>7406.8116477666917</v>
      </c>
      <c r="BB173" s="9">
        <f t="shared" si="546"/>
        <v>8495.1490119753107</v>
      </c>
      <c r="BC173" s="9">
        <f t="shared" si="546"/>
        <v>10625.230603735199</v>
      </c>
      <c r="BD173" s="9">
        <f t="shared" si="546"/>
        <v>12363.364296821561</v>
      </c>
      <c r="BE173" s="9">
        <f t="shared" si="546"/>
        <v>14273.665575682058</v>
      </c>
      <c r="BF173" s="9">
        <f t="shared" si="546"/>
        <v>15923.23909586264</v>
      </c>
      <c r="BG173" s="9">
        <f t="shared" si="546"/>
        <v>17862.650973384327</v>
      </c>
      <c r="BH173" s="9">
        <f t="shared" si="546"/>
        <v>18125.748654216743</v>
      </c>
      <c r="BI173" s="9">
        <f t="shared" si="546"/>
        <v>18571.967555862659</v>
      </c>
      <c r="BJ173" s="9">
        <f t="shared" si="546"/>
        <v>18815.829284668966</v>
      </c>
      <c r="BK173" s="262">
        <f t="shared" si="546"/>
        <v>20154.649114847143</v>
      </c>
      <c r="BL173" s="9">
        <f t="shared" si="546"/>
        <v>20291.743682720564</v>
      </c>
      <c r="BM173" s="9">
        <f t="shared" si="546"/>
        <v>21283.309314797301</v>
      </c>
      <c r="BN173" s="9">
        <f t="shared" si="546"/>
        <v>23085.762614317013</v>
      </c>
      <c r="BO173" s="9">
        <f t="shared" si="546"/>
        <v>25661.075308734733</v>
      </c>
      <c r="BP173" s="9">
        <f t="shared" si="546"/>
        <v>27811.482522208586</v>
      </c>
      <c r="BQ173" s="9">
        <f t="shared" si="546"/>
        <v>30103.752352279706</v>
      </c>
      <c r="BR173" s="9">
        <f t="shared" ref="BR173:DG173" si="551">BR172+BR170</f>
        <v>31772.046838198126</v>
      </c>
      <c r="BS173" s="9">
        <f t="shared" si="551"/>
        <v>34348.115734765604</v>
      </c>
      <c r="BT173" s="9">
        <f t="shared" si="551"/>
        <v>34740.065465670275</v>
      </c>
      <c r="BU173" s="9">
        <f t="shared" si="551"/>
        <v>35153.538268010197</v>
      </c>
      <c r="BV173" s="9">
        <f t="shared" si="551"/>
        <v>35657.913404271596</v>
      </c>
      <c r="BW173" s="262">
        <f t="shared" si="551"/>
        <v>37243.865986884703</v>
      </c>
      <c r="BX173" s="9">
        <f t="shared" si="551"/>
        <v>37473.506260920258</v>
      </c>
      <c r="BY173" s="9">
        <f t="shared" si="551"/>
        <v>38936.900394269353</v>
      </c>
      <c r="BZ173" s="9">
        <f t="shared" si="551"/>
        <v>41005.836154084165</v>
      </c>
      <c r="CA173" s="9">
        <f t="shared" si="551"/>
        <v>43256.60351807448</v>
      </c>
      <c r="CB173" s="9">
        <f t="shared" si="551"/>
        <v>46367.512548874816</v>
      </c>
      <c r="CC173" s="9">
        <f t="shared" si="551"/>
        <v>48957.312726201875</v>
      </c>
      <c r="CD173" s="9">
        <f t="shared" si="551"/>
        <v>50530.992866571338</v>
      </c>
      <c r="CE173" s="9">
        <f t="shared" si="551"/>
        <v>53743.623644268635</v>
      </c>
      <c r="CF173" s="9">
        <f t="shared" si="551"/>
        <v>53965.266463585322</v>
      </c>
      <c r="CG173" s="9">
        <f t="shared" si="551"/>
        <v>54656.017194253291</v>
      </c>
      <c r="CH173" s="9">
        <f t="shared" si="551"/>
        <v>55236.735431934081</v>
      </c>
      <c r="CI173" s="262">
        <f t="shared" si="551"/>
        <v>56498.00528228379</v>
      </c>
      <c r="CJ173" s="9">
        <f t="shared" si="551"/>
        <v>57313.996582063017</v>
      </c>
      <c r="CK173" s="9">
        <f t="shared" si="551"/>
        <v>58689.756583660375</v>
      </c>
      <c r="CL173" s="9">
        <f t="shared" si="551"/>
        <v>60681.193409602216</v>
      </c>
      <c r="CM173" s="9">
        <f t="shared" si="551"/>
        <v>63628.669744265811</v>
      </c>
      <c r="CN173" s="9">
        <f t="shared" si="551"/>
        <v>67239.014019703798</v>
      </c>
      <c r="CO173" s="9">
        <f t="shared" si="551"/>
        <v>69901.015977311952</v>
      </c>
      <c r="CP173" s="9">
        <f t="shared" si="551"/>
        <v>72127.060129642749</v>
      </c>
      <c r="CQ173" s="9">
        <f t="shared" si="551"/>
        <v>75816.791131422986</v>
      </c>
      <c r="CR173" s="9">
        <f t="shared" si="551"/>
        <v>75883.407775280517</v>
      </c>
      <c r="CS173" s="9">
        <f t="shared" si="551"/>
        <v>77060.778861419298</v>
      </c>
      <c r="CT173" s="9">
        <f t="shared" si="551"/>
        <v>77826.245651272795</v>
      </c>
      <c r="CU173" s="262">
        <f t="shared" si="551"/>
        <v>79302.153895195748</v>
      </c>
      <c r="CV173" s="9">
        <f t="shared" si="551"/>
        <v>80355.067214358947</v>
      </c>
      <c r="CW173" s="9">
        <f t="shared" si="551"/>
        <v>82020.869991947518</v>
      </c>
      <c r="CX173" s="9">
        <f t="shared" si="551"/>
        <v>84000.741789179403</v>
      </c>
      <c r="CY173" s="9">
        <f t="shared" si="551"/>
        <v>87842.085875491786</v>
      </c>
      <c r="CZ173" s="9">
        <f t="shared" si="551"/>
        <v>91997.755340061514</v>
      </c>
      <c r="DA173" s="9">
        <f t="shared" si="551"/>
        <v>94607.398441749261</v>
      </c>
      <c r="DB173" s="9">
        <f t="shared" si="551"/>
        <v>97411.900056517232</v>
      </c>
      <c r="DC173" s="9">
        <f t="shared" si="551"/>
        <v>101081.54370395541</v>
      </c>
      <c r="DD173" s="9">
        <f t="shared" si="551"/>
        <v>101391.17817001985</v>
      </c>
      <c r="DE173" s="9">
        <f t="shared" si="551"/>
        <v>102757.38084773501</v>
      </c>
      <c r="DF173" s="9">
        <f t="shared" si="551"/>
        <v>103302.34618282193</v>
      </c>
      <c r="DG173" s="9">
        <f t="shared" si="551"/>
        <v>105334.85577292436</v>
      </c>
    </row>
    <row r="174" spans="1:111" x14ac:dyDescent="0.25">
      <c r="C174" s="8" t="s">
        <v>35</v>
      </c>
      <c r="D174" s="9">
        <f t="shared" ref="D174:AI174" si="552">D173-D111</f>
        <v>0</v>
      </c>
      <c r="E174" s="9">
        <f t="shared" si="552"/>
        <v>0</v>
      </c>
      <c r="F174" s="9">
        <f t="shared" si="552"/>
        <v>0</v>
      </c>
      <c r="G174" s="9">
        <f t="shared" si="552"/>
        <v>0</v>
      </c>
      <c r="H174" s="9">
        <f t="shared" si="552"/>
        <v>0</v>
      </c>
      <c r="I174" s="9">
        <f t="shared" si="552"/>
        <v>0</v>
      </c>
      <c r="J174" s="9">
        <f t="shared" si="552"/>
        <v>0</v>
      </c>
      <c r="K174" s="9">
        <f t="shared" si="552"/>
        <v>0</v>
      </c>
      <c r="L174" s="9">
        <f t="shared" si="552"/>
        <v>0</v>
      </c>
      <c r="M174" s="9">
        <f t="shared" si="552"/>
        <v>0</v>
      </c>
      <c r="N174" s="135">
        <f t="shared" si="552"/>
        <v>0</v>
      </c>
      <c r="O174" s="135">
        <f t="shared" si="552"/>
        <v>0</v>
      </c>
      <c r="P174" s="135">
        <f t="shared" si="552"/>
        <v>0</v>
      </c>
      <c r="Q174" s="9">
        <f t="shared" si="552"/>
        <v>0</v>
      </c>
      <c r="R174" s="135">
        <f t="shared" si="552"/>
        <v>0</v>
      </c>
      <c r="S174" s="9">
        <f t="shared" si="552"/>
        <v>0</v>
      </c>
      <c r="T174" s="9">
        <f t="shared" si="552"/>
        <v>0</v>
      </c>
      <c r="U174" s="9">
        <f t="shared" si="552"/>
        <v>0</v>
      </c>
      <c r="V174" s="135">
        <f t="shared" si="552"/>
        <v>0</v>
      </c>
      <c r="W174" s="135">
        <f t="shared" si="552"/>
        <v>0</v>
      </c>
      <c r="X174" s="135">
        <f t="shared" si="552"/>
        <v>0</v>
      </c>
      <c r="Y174" s="135">
        <f t="shared" si="552"/>
        <v>0</v>
      </c>
      <c r="Z174" s="135">
        <f t="shared" si="552"/>
        <v>0</v>
      </c>
      <c r="AA174" s="135">
        <f t="shared" si="552"/>
        <v>0</v>
      </c>
      <c r="AB174" s="135">
        <f t="shared" si="552"/>
        <v>0</v>
      </c>
      <c r="AC174" s="135">
        <f t="shared" si="552"/>
        <v>0</v>
      </c>
      <c r="AD174" s="135">
        <f t="shared" si="552"/>
        <v>0</v>
      </c>
      <c r="AE174" s="135">
        <f t="shared" si="552"/>
        <v>0</v>
      </c>
      <c r="AF174" s="135">
        <f t="shared" si="552"/>
        <v>0</v>
      </c>
      <c r="AG174" s="135">
        <f t="shared" si="552"/>
        <v>0</v>
      </c>
      <c r="AH174" s="135">
        <f t="shared" si="552"/>
        <v>0</v>
      </c>
      <c r="AI174" s="135">
        <f t="shared" si="552"/>
        <v>0</v>
      </c>
      <c r="AJ174" s="135">
        <f t="shared" ref="AJ174:BO174" si="553">AJ173-AJ111</f>
        <v>-3.6237679523765109E-12</v>
      </c>
      <c r="AK174" s="135">
        <f t="shared" si="553"/>
        <v>0</v>
      </c>
      <c r="AL174" s="135">
        <f t="shared" si="553"/>
        <v>0</v>
      </c>
      <c r="AM174" s="135">
        <f t="shared" si="553"/>
        <v>0</v>
      </c>
      <c r="AN174" s="135">
        <f t="shared" si="553"/>
        <v>-2.9558577807620168E-12</v>
      </c>
      <c r="AO174" s="135">
        <f t="shared" si="553"/>
        <v>0</v>
      </c>
      <c r="AP174" s="135">
        <f t="shared" si="553"/>
        <v>0</v>
      </c>
      <c r="AQ174" s="135">
        <f t="shared" si="553"/>
        <v>0</v>
      </c>
      <c r="AR174" s="135">
        <f>AR173-AR111</f>
        <v>0</v>
      </c>
      <c r="AS174" s="135">
        <f>AS173-AS111</f>
        <v>0</v>
      </c>
      <c r="AT174" s="135">
        <f t="shared" si="553"/>
        <v>0</v>
      </c>
      <c r="AU174" s="135">
        <f t="shared" ref="AU174" si="554">AU173-AU111</f>
        <v>0</v>
      </c>
      <c r="AV174" s="135">
        <f t="shared" ref="AV174:AW174" si="555">AV173-AV111</f>
        <v>0</v>
      </c>
      <c r="AW174" s="596">
        <f t="shared" si="555"/>
        <v>0</v>
      </c>
      <c r="AX174" s="9">
        <f t="shared" ref="AX174" si="556">AX173-AX111</f>
        <v>0</v>
      </c>
      <c r="AY174" s="262">
        <f t="shared" si="553"/>
        <v>0</v>
      </c>
      <c r="AZ174" s="9">
        <f t="shared" si="553"/>
        <v>0</v>
      </c>
      <c r="BA174" s="9">
        <f t="shared" si="553"/>
        <v>0</v>
      </c>
      <c r="BB174" s="9">
        <f t="shared" si="553"/>
        <v>0</v>
      </c>
      <c r="BC174" s="9">
        <f t="shared" si="553"/>
        <v>0</v>
      </c>
      <c r="BD174" s="9">
        <f t="shared" si="553"/>
        <v>0</v>
      </c>
      <c r="BE174" s="9">
        <f t="shared" si="553"/>
        <v>0</v>
      </c>
      <c r="BF174" s="9">
        <f t="shared" si="553"/>
        <v>0</v>
      </c>
      <c r="BG174" s="9">
        <f t="shared" si="553"/>
        <v>0</v>
      </c>
      <c r="BH174" s="9">
        <f t="shared" si="553"/>
        <v>0</v>
      </c>
      <c r="BI174" s="9">
        <f t="shared" si="553"/>
        <v>0</v>
      </c>
      <c r="BJ174" s="9">
        <f t="shared" si="553"/>
        <v>0</v>
      </c>
      <c r="BK174" s="262">
        <f t="shared" si="553"/>
        <v>0</v>
      </c>
      <c r="BL174" s="9">
        <f t="shared" si="553"/>
        <v>0</v>
      </c>
      <c r="BM174" s="9">
        <f t="shared" si="553"/>
        <v>0</v>
      </c>
      <c r="BN174" s="9">
        <f t="shared" si="553"/>
        <v>0</v>
      </c>
      <c r="BO174" s="9">
        <f t="shared" si="553"/>
        <v>0</v>
      </c>
      <c r="BP174" s="9">
        <f t="shared" ref="BP174:CU174" si="557">BP173-BP111</f>
        <v>0</v>
      </c>
      <c r="BQ174" s="9">
        <f t="shared" si="557"/>
        <v>0</v>
      </c>
      <c r="BR174" s="9">
        <f t="shared" si="557"/>
        <v>0</v>
      </c>
      <c r="BS174" s="9">
        <f t="shared" si="557"/>
        <v>0</v>
      </c>
      <c r="BT174" s="9">
        <f t="shared" si="557"/>
        <v>0</v>
      </c>
      <c r="BU174" s="9">
        <f t="shared" si="557"/>
        <v>0</v>
      </c>
      <c r="BV174" s="9">
        <f t="shared" si="557"/>
        <v>0</v>
      </c>
      <c r="BW174" s="262">
        <f t="shared" si="557"/>
        <v>0</v>
      </c>
      <c r="BX174" s="9">
        <f t="shared" si="557"/>
        <v>0</v>
      </c>
      <c r="BY174" s="9">
        <f t="shared" si="557"/>
        <v>0</v>
      </c>
      <c r="BZ174" s="9">
        <f t="shared" si="557"/>
        <v>0</v>
      </c>
      <c r="CA174" s="9">
        <f t="shared" si="557"/>
        <v>0</v>
      </c>
      <c r="CB174" s="9">
        <f t="shared" si="557"/>
        <v>0</v>
      </c>
      <c r="CC174" s="9">
        <f t="shared" si="557"/>
        <v>0</v>
      </c>
      <c r="CD174" s="9">
        <f t="shared" si="557"/>
        <v>0</v>
      </c>
      <c r="CE174" s="9">
        <f t="shared" si="557"/>
        <v>0</v>
      </c>
      <c r="CF174" s="9">
        <f t="shared" si="557"/>
        <v>0</v>
      </c>
      <c r="CG174" s="9">
        <f t="shared" si="557"/>
        <v>0</v>
      </c>
      <c r="CH174" s="9">
        <f t="shared" si="557"/>
        <v>0</v>
      </c>
      <c r="CI174" s="262">
        <f t="shared" si="557"/>
        <v>0</v>
      </c>
      <c r="CJ174" s="9">
        <f t="shared" si="557"/>
        <v>0</v>
      </c>
      <c r="CK174" s="9">
        <f t="shared" si="557"/>
        <v>0</v>
      </c>
      <c r="CL174" s="9">
        <f t="shared" si="557"/>
        <v>0</v>
      </c>
      <c r="CM174" s="9">
        <f t="shared" si="557"/>
        <v>0</v>
      </c>
      <c r="CN174" s="9">
        <f t="shared" si="557"/>
        <v>0</v>
      </c>
      <c r="CO174" s="9">
        <f t="shared" si="557"/>
        <v>0</v>
      </c>
      <c r="CP174" s="9">
        <f t="shared" si="557"/>
        <v>0</v>
      </c>
      <c r="CQ174" s="9">
        <f t="shared" si="557"/>
        <v>0</v>
      </c>
      <c r="CR174" s="9">
        <f t="shared" si="557"/>
        <v>0</v>
      </c>
      <c r="CS174" s="9">
        <f t="shared" si="557"/>
        <v>0</v>
      </c>
      <c r="CT174" s="9">
        <f t="shared" si="557"/>
        <v>0</v>
      </c>
      <c r="CU174" s="262">
        <f t="shared" si="557"/>
        <v>0</v>
      </c>
      <c r="CV174" s="9">
        <f t="shared" ref="CV174:DG174" si="558">CV173-CV111</f>
        <v>0</v>
      </c>
      <c r="CW174" s="9">
        <f t="shared" si="558"/>
        <v>0</v>
      </c>
      <c r="CX174" s="9">
        <f t="shared" si="558"/>
        <v>0</v>
      </c>
      <c r="CY174" s="9">
        <f t="shared" si="558"/>
        <v>0</v>
      </c>
      <c r="CZ174" s="9">
        <f t="shared" si="558"/>
        <v>0</v>
      </c>
      <c r="DA174" s="9">
        <f t="shared" si="558"/>
        <v>0</v>
      </c>
      <c r="DB174" s="9">
        <f t="shared" si="558"/>
        <v>0</v>
      </c>
      <c r="DC174" s="9">
        <f t="shared" si="558"/>
        <v>0</v>
      </c>
      <c r="DD174" s="9">
        <f t="shared" si="558"/>
        <v>0</v>
      </c>
      <c r="DE174" s="9">
        <f t="shared" si="558"/>
        <v>0</v>
      </c>
      <c r="DF174" s="9">
        <f t="shared" si="558"/>
        <v>0</v>
      </c>
      <c r="DG174" s="9">
        <f t="shared" si="558"/>
        <v>0</v>
      </c>
    </row>
    <row r="175" spans="1:11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60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</row>
  </sheetData>
  <conditionalFormatting sqref="A173:XFD173">
    <cfRule type="cellIs" dxfId="0" priority="1" operator="lessThan">
      <formula>0</formula>
    </cfRule>
  </conditionalFormatting>
  <pageMargins left="0.7" right="0.7" top="0.75" bottom="0.75" header="0.3" footer="0.3"/>
  <pageSetup scale="10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704F9-EB95-4406-8456-593F4CDE8E21}">
  <dimension ref="A1"/>
  <sheetViews>
    <sheetView showGridLines="0" zoomScaleNormal="100" workbookViewId="0">
      <selection activeCell="A2" sqref="A2"/>
    </sheetView>
  </sheetViews>
  <sheetFormatPr defaultColWidth="8.71093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71969-6692-436E-A9D4-61C76D6D34C8}">
  <dimension ref="A1:Q43"/>
  <sheetViews>
    <sheetView topLeftCell="N1" workbookViewId="0">
      <pane ySplit="1" topLeftCell="A15" activePane="bottomLeft" state="frozen"/>
      <selection activeCell="R3" sqref="R3:R13"/>
      <selection pane="bottomLeft" activeCell="R3" sqref="R3:R13"/>
    </sheetView>
  </sheetViews>
  <sheetFormatPr defaultColWidth="9.140625" defaultRowHeight="15" x14ac:dyDescent="0.25"/>
  <cols>
    <col min="1" max="1" width="17.28515625" style="38" bestFit="1" customWidth="1"/>
    <col min="2" max="2" width="7.42578125" style="38" bestFit="1" customWidth="1"/>
    <col min="3" max="3" width="8.42578125" style="38" bestFit="1" customWidth="1"/>
    <col min="4" max="4" width="12.7109375" style="38" bestFit="1" customWidth="1"/>
    <col min="5" max="5" width="7.28515625" style="38" bestFit="1" customWidth="1"/>
    <col min="6" max="6" width="31.42578125" style="38" bestFit="1" customWidth="1"/>
    <col min="7" max="7" width="21" style="38" bestFit="1" customWidth="1"/>
    <col min="8" max="8" width="43.28515625" style="38" bestFit="1" customWidth="1"/>
    <col min="9" max="9" width="7" style="38" bestFit="1" customWidth="1"/>
    <col min="10" max="10" width="106.140625" style="38" bestFit="1" customWidth="1"/>
    <col min="11" max="11" width="8.42578125" style="38" bestFit="1" customWidth="1"/>
    <col min="12" max="13" width="9.140625" style="38"/>
    <col min="14" max="14" width="39.140625" style="38" bestFit="1" customWidth="1"/>
    <col min="15" max="15" width="17.28515625" style="38" bestFit="1" customWidth="1"/>
    <col min="16" max="16" width="12.7109375" style="38" bestFit="1" customWidth="1"/>
    <col min="17" max="17" width="11.42578125" style="38" bestFit="1" customWidth="1"/>
    <col min="18" max="16384" width="9.140625" style="38"/>
  </cols>
  <sheetData>
    <row r="1" spans="1:14" x14ac:dyDescent="0.25">
      <c r="A1" s="38" t="s">
        <v>51</v>
      </c>
      <c r="B1" s="38" t="s">
        <v>52</v>
      </c>
      <c r="C1" s="38" t="s">
        <v>53</v>
      </c>
      <c r="D1" s="38" t="s">
        <v>54</v>
      </c>
      <c r="E1" s="38" t="s">
        <v>55</v>
      </c>
      <c r="F1" s="38" t="s">
        <v>56</v>
      </c>
      <c r="G1" s="38" t="s">
        <v>57</v>
      </c>
      <c r="H1" s="38" t="s">
        <v>58</v>
      </c>
      <c r="I1" s="38" t="s">
        <v>59</v>
      </c>
      <c r="J1" s="39" t="s">
        <v>60</v>
      </c>
      <c r="K1" s="38" t="s">
        <v>61</v>
      </c>
    </row>
    <row r="2" spans="1:14" x14ac:dyDescent="0.25">
      <c r="A2" s="40" t="s">
        <v>62</v>
      </c>
      <c r="B2" s="41">
        <v>44836</v>
      </c>
      <c r="C2" s="40">
        <v>1</v>
      </c>
      <c r="D2" s="40">
        <v>50</v>
      </c>
      <c r="E2" s="40">
        <v>50</v>
      </c>
      <c r="F2" s="40" t="s">
        <v>63</v>
      </c>
      <c r="G2" s="40" t="s">
        <v>63</v>
      </c>
      <c r="H2" s="40" t="s">
        <v>64</v>
      </c>
      <c r="I2" s="40" t="s">
        <v>65</v>
      </c>
      <c r="J2" s="42" t="s">
        <v>65</v>
      </c>
      <c r="K2" s="40">
        <v>50</v>
      </c>
      <c r="N2" s="38" t="s">
        <v>66</v>
      </c>
    </row>
    <row r="3" spans="1:14" x14ac:dyDescent="0.25">
      <c r="A3" s="40" t="s">
        <v>62</v>
      </c>
      <c r="B3" s="41">
        <v>44846</v>
      </c>
      <c r="C3" s="40">
        <v>2</v>
      </c>
      <c r="D3" s="40">
        <v>50</v>
      </c>
      <c r="E3" s="40">
        <v>100</v>
      </c>
      <c r="F3" s="40" t="s">
        <v>63</v>
      </c>
      <c r="G3" s="40" t="s">
        <v>63</v>
      </c>
      <c r="H3" s="40" t="s">
        <v>67</v>
      </c>
      <c r="I3" s="40" t="s">
        <v>65</v>
      </c>
      <c r="J3" s="40" t="s">
        <v>68</v>
      </c>
      <c r="K3" s="40">
        <v>100</v>
      </c>
    </row>
    <row r="4" spans="1:14" x14ac:dyDescent="0.25">
      <c r="A4" s="40" t="s">
        <v>62</v>
      </c>
      <c r="B4" s="41">
        <v>44858</v>
      </c>
      <c r="C4" s="40">
        <v>1</v>
      </c>
      <c r="D4" s="40">
        <v>50</v>
      </c>
      <c r="E4" s="40">
        <v>50</v>
      </c>
      <c r="F4" s="40" t="s">
        <v>63</v>
      </c>
      <c r="G4" s="40" t="s">
        <v>63</v>
      </c>
      <c r="H4" s="40" t="s">
        <v>69</v>
      </c>
      <c r="I4" s="40" t="s">
        <v>65</v>
      </c>
      <c r="J4" s="40" t="s">
        <v>68</v>
      </c>
      <c r="K4" s="40">
        <v>50</v>
      </c>
    </row>
    <row r="5" spans="1:14" x14ac:dyDescent="0.25">
      <c r="A5" s="40" t="s">
        <v>62</v>
      </c>
      <c r="B5" s="41">
        <v>44859</v>
      </c>
      <c r="C5" s="40">
        <v>0.75</v>
      </c>
      <c r="D5" s="40">
        <v>50</v>
      </c>
      <c r="E5" s="40">
        <v>37.5</v>
      </c>
      <c r="F5" s="40" t="s">
        <v>63</v>
      </c>
      <c r="G5" s="40" t="s">
        <v>63</v>
      </c>
      <c r="H5" s="40" t="s">
        <v>70</v>
      </c>
      <c r="I5" s="40" t="s">
        <v>65</v>
      </c>
      <c r="J5" s="40" t="s">
        <v>68</v>
      </c>
      <c r="K5" s="40">
        <v>37.5</v>
      </c>
    </row>
    <row r="6" spans="1:14" x14ac:dyDescent="0.25">
      <c r="A6" s="40" t="s">
        <v>62</v>
      </c>
      <c r="B6" s="41">
        <v>44861</v>
      </c>
      <c r="C6" s="40">
        <v>1</v>
      </c>
      <c r="D6" s="40">
        <v>50</v>
      </c>
      <c r="E6" s="40">
        <v>50</v>
      </c>
      <c r="F6" s="40" t="s">
        <v>63</v>
      </c>
      <c r="G6" s="40" t="s">
        <v>63</v>
      </c>
      <c r="H6" s="40" t="s">
        <v>71</v>
      </c>
      <c r="I6" s="40" t="s">
        <v>65</v>
      </c>
      <c r="J6" s="40" t="s">
        <v>68</v>
      </c>
      <c r="K6" s="40">
        <v>50</v>
      </c>
    </row>
    <row r="7" spans="1:14" x14ac:dyDescent="0.25">
      <c r="A7" s="40" t="s">
        <v>72</v>
      </c>
      <c r="B7" s="41">
        <v>44849</v>
      </c>
      <c r="C7" s="40">
        <v>1</v>
      </c>
      <c r="D7" s="40">
        <v>60</v>
      </c>
      <c r="E7" s="40">
        <v>60</v>
      </c>
      <c r="F7" s="40" t="s">
        <v>63</v>
      </c>
      <c r="G7" s="40" t="s">
        <v>63</v>
      </c>
      <c r="H7" s="40" t="s">
        <v>73</v>
      </c>
      <c r="I7" s="40" t="s">
        <v>65</v>
      </c>
      <c r="J7" s="40" t="s">
        <v>68</v>
      </c>
      <c r="K7" s="40">
        <v>60</v>
      </c>
    </row>
    <row r="8" spans="1:14" x14ac:dyDescent="0.25">
      <c r="A8" s="40" t="s">
        <v>74</v>
      </c>
      <c r="B8" s="41">
        <v>44852</v>
      </c>
      <c r="C8" s="40">
        <v>3.5</v>
      </c>
      <c r="D8" s="40">
        <v>50</v>
      </c>
      <c r="E8" s="40">
        <v>175</v>
      </c>
      <c r="F8" s="40" t="s">
        <v>63</v>
      </c>
      <c r="G8" s="40" t="s">
        <v>63</v>
      </c>
      <c r="H8" s="40" t="s">
        <v>75</v>
      </c>
      <c r="I8" s="40" t="s">
        <v>63</v>
      </c>
      <c r="J8" s="40" t="s">
        <v>76</v>
      </c>
      <c r="K8" s="40">
        <v>200</v>
      </c>
    </row>
    <row r="9" spans="1:14" x14ac:dyDescent="0.25">
      <c r="A9" s="40" t="s">
        <v>74</v>
      </c>
      <c r="B9" s="41">
        <v>44857</v>
      </c>
      <c r="C9" s="40">
        <v>1</v>
      </c>
      <c r="D9" s="40">
        <v>50</v>
      </c>
      <c r="E9" s="40">
        <v>50</v>
      </c>
      <c r="F9" s="40" t="s">
        <v>63</v>
      </c>
      <c r="G9" s="40" t="s">
        <v>63</v>
      </c>
      <c r="H9" s="40" t="s">
        <v>77</v>
      </c>
      <c r="I9" s="40" t="s">
        <v>65</v>
      </c>
      <c r="J9" s="40" t="s">
        <v>78</v>
      </c>
      <c r="K9" s="40">
        <v>50</v>
      </c>
    </row>
    <row r="10" spans="1:14" x14ac:dyDescent="0.25">
      <c r="A10" s="40" t="s">
        <v>79</v>
      </c>
      <c r="B10" s="41">
        <v>44837</v>
      </c>
      <c r="C10" s="40">
        <v>1</v>
      </c>
      <c r="D10" s="40">
        <v>50</v>
      </c>
      <c r="E10" s="40">
        <v>50</v>
      </c>
      <c r="F10" s="40" t="s">
        <v>63</v>
      </c>
      <c r="G10" s="40" t="s">
        <v>63</v>
      </c>
      <c r="H10" s="40" t="s">
        <v>80</v>
      </c>
      <c r="I10" s="40" t="s">
        <v>65</v>
      </c>
      <c r="J10" s="40" t="s">
        <v>68</v>
      </c>
      <c r="K10" s="40">
        <v>50</v>
      </c>
    </row>
    <row r="11" spans="1:14" x14ac:dyDescent="0.25">
      <c r="A11" s="40" t="s">
        <v>81</v>
      </c>
      <c r="B11" s="41">
        <v>44842</v>
      </c>
      <c r="C11" s="40">
        <v>1</v>
      </c>
      <c r="D11" s="40">
        <v>60</v>
      </c>
      <c r="E11" s="40">
        <v>60</v>
      </c>
      <c r="F11" s="40" t="s">
        <v>63</v>
      </c>
      <c r="G11" s="40" t="s">
        <v>63</v>
      </c>
      <c r="H11" s="40" t="s">
        <v>82</v>
      </c>
      <c r="I11" s="40" t="s">
        <v>65</v>
      </c>
      <c r="J11" s="40" t="s">
        <v>68</v>
      </c>
      <c r="K11" s="40">
        <v>60</v>
      </c>
    </row>
    <row r="12" spans="1:14" x14ac:dyDescent="0.25">
      <c r="A12" s="40" t="s">
        <v>81</v>
      </c>
      <c r="B12" s="41">
        <v>44846</v>
      </c>
      <c r="C12" s="40">
        <v>1</v>
      </c>
      <c r="D12" s="40">
        <v>60</v>
      </c>
      <c r="E12" s="40">
        <v>60</v>
      </c>
      <c r="F12" s="40" t="s">
        <v>63</v>
      </c>
      <c r="G12" s="40" t="s">
        <v>63</v>
      </c>
      <c r="H12" s="40" t="s">
        <v>82</v>
      </c>
      <c r="I12" s="40" t="s">
        <v>65</v>
      </c>
      <c r="J12" s="40" t="s">
        <v>68</v>
      </c>
      <c r="K12" s="40">
        <v>60</v>
      </c>
    </row>
    <row r="13" spans="1:14" x14ac:dyDescent="0.25">
      <c r="A13" s="40" t="s">
        <v>81</v>
      </c>
      <c r="B13" s="41">
        <v>44853</v>
      </c>
      <c r="C13" s="40">
        <v>1.25</v>
      </c>
      <c r="D13" s="40">
        <v>60</v>
      </c>
      <c r="E13" s="40">
        <v>75</v>
      </c>
      <c r="F13" s="40" t="s">
        <v>63</v>
      </c>
      <c r="G13" s="40" t="s">
        <v>63</v>
      </c>
      <c r="H13" s="40" t="s">
        <v>83</v>
      </c>
      <c r="I13" s="40" t="s">
        <v>65</v>
      </c>
      <c r="J13" s="40" t="s">
        <v>68</v>
      </c>
      <c r="K13" s="40">
        <v>75</v>
      </c>
    </row>
    <row r="14" spans="1:14" x14ac:dyDescent="0.25">
      <c r="A14" s="40" t="s">
        <v>84</v>
      </c>
      <c r="B14" s="41">
        <v>44856</v>
      </c>
      <c r="C14" s="40">
        <v>1</v>
      </c>
      <c r="D14" s="40">
        <v>60</v>
      </c>
      <c r="E14" s="40">
        <v>60</v>
      </c>
      <c r="F14" s="40" t="s">
        <v>63</v>
      </c>
      <c r="G14" s="40" t="s">
        <v>63</v>
      </c>
      <c r="H14" s="40" t="s">
        <v>82</v>
      </c>
      <c r="I14" s="40" t="s">
        <v>65</v>
      </c>
      <c r="J14" s="40" t="s">
        <v>68</v>
      </c>
      <c r="K14" s="40">
        <v>60</v>
      </c>
      <c r="N14" s="38" t="s">
        <v>85</v>
      </c>
    </row>
    <row r="15" spans="1:14" x14ac:dyDescent="0.25">
      <c r="A15" s="40" t="s">
        <v>86</v>
      </c>
      <c r="B15" s="41">
        <v>44845</v>
      </c>
      <c r="C15" s="40">
        <v>1</v>
      </c>
      <c r="D15" s="40">
        <v>50</v>
      </c>
      <c r="E15" s="40">
        <v>50</v>
      </c>
      <c r="F15" s="40" t="s">
        <v>63</v>
      </c>
      <c r="G15" s="40" t="s">
        <v>63</v>
      </c>
      <c r="H15" s="40" t="s">
        <v>87</v>
      </c>
      <c r="I15" s="40" t="s">
        <v>65</v>
      </c>
      <c r="J15" s="40" t="s">
        <v>68</v>
      </c>
      <c r="K15" s="40">
        <v>50</v>
      </c>
    </row>
    <row r="16" spans="1:14" x14ac:dyDescent="0.25">
      <c r="A16" s="40" t="s">
        <v>86</v>
      </c>
      <c r="B16" s="41">
        <v>44851</v>
      </c>
      <c r="C16" s="40">
        <v>1.5</v>
      </c>
      <c r="D16" s="40">
        <v>50</v>
      </c>
      <c r="E16" s="40">
        <v>75</v>
      </c>
      <c r="F16" s="40" t="s">
        <v>63</v>
      </c>
      <c r="G16" s="40" t="s">
        <v>63</v>
      </c>
      <c r="H16" s="40" t="s">
        <v>88</v>
      </c>
      <c r="I16" s="40" t="s">
        <v>65</v>
      </c>
      <c r="J16" s="40" t="s">
        <v>68</v>
      </c>
      <c r="K16" s="40">
        <v>75</v>
      </c>
    </row>
    <row r="17" spans="1:17" x14ac:dyDescent="0.25">
      <c r="A17" s="40" t="s">
        <v>89</v>
      </c>
      <c r="B17" s="41">
        <v>44851</v>
      </c>
      <c r="C17" s="40">
        <v>1.5</v>
      </c>
      <c r="D17" s="40">
        <v>50</v>
      </c>
      <c r="E17" s="40">
        <v>75</v>
      </c>
      <c r="F17" s="40" t="s">
        <v>63</v>
      </c>
      <c r="G17" s="40" t="s">
        <v>63</v>
      </c>
      <c r="H17" s="40" t="s">
        <v>90</v>
      </c>
      <c r="I17" s="40" t="s">
        <v>65</v>
      </c>
      <c r="J17" s="40" t="s">
        <v>68</v>
      </c>
      <c r="K17" s="40">
        <v>75</v>
      </c>
    </row>
    <row r="18" spans="1:17" x14ac:dyDescent="0.25">
      <c r="A18" s="40" t="s">
        <v>89</v>
      </c>
      <c r="B18" s="41">
        <v>44857</v>
      </c>
      <c r="C18" s="40">
        <v>1.5</v>
      </c>
      <c r="D18" s="40">
        <v>50</v>
      </c>
      <c r="E18" s="40">
        <v>75</v>
      </c>
      <c r="F18" s="40" t="s">
        <v>63</v>
      </c>
      <c r="G18" s="40" t="s">
        <v>63</v>
      </c>
      <c r="H18" s="40" t="s">
        <v>90</v>
      </c>
      <c r="I18" s="40" t="s">
        <v>65</v>
      </c>
      <c r="J18" s="40" t="s">
        <v>68</v>
      </c>
      <c r="K18" s="40">
        <v>75</v>
      </c>
      <c r="O18" s="48" t="s">
        <v>132</v>
      </c>
      <c r="P18" t="s">
        <v>134</v>
      </c>
      <c r="Q18" t="s">
        <v>135</v>
      </c>
    </row>
    <row r="19" spans="1:17" x14ac:dyDescent="0.25">
      <c r="A19" s="40" t="s">
        <v>91</v>
      </c>
      <c r="B19" s="41">
        <v>44836</v>
      </c>
      <c r="C19" s="40">
        <v>1.5</v>
      </c>
      <c r="D19" s="40">
        <v>50</v>
      </c>
      <c r="E19" s="40">
        <v>75</v>
      </c>
      <c r="F19" s="40" t="s">
        <v>63</v>
      </c>
      <c r="G19" s="40" t="s">
        <v>63</v>
      </c>
      <c r="H19" s="40" t="s">
        <v>92</v>
      </c>
      <c r="I19" s="40" t="s">
        <v>65</v>
      </c>
      <c r="J19" s="42" t="s">
        <v>65</v>
      </c>
      <c r="K19" s="40">
        <v>75</v>
      </c>
      <c r="O19" s="49" t="s">
        <v>62</v>
      </c>
      <c r="P19">
        <v>5.75</v>
      </c>
      <c r="Q19">
        <v>287.5</v>
      </c>
    </row>
    <row r="20" spans="1:17" x14ac:dyDescent="0.25">
      <c r="A20" s="40" t="s">
        <v>93</v>
      </c>
      <c r="B20" s="41">
        <v>44836</v>
      </c>
      <c r="C20" s="40">
        <v>2</v>
      </c>
      <c r="D20" s="40">
        <v>50</v>
      </c>
      <c r="E20" s="40">
        <v>100</v>
      </c>
      <c r="F20" s="40" t="s">
        <v>63</v>
      </c>
      <c r="G20" s="40" t="s">
        <v>63</v>
      </c>
      <c r="H20" s="40" t="s">
        <v>94</v>
      </c>
      <c r="I20" s="40" t="s">
        <v>65</v>
      </c>
      <c r="J20" s="42" t="s">
        <v>65</v>
      </c>
      <c r="K20" s="40">
        <v>100</v>
      </c>
      <c r="O20" s="49" t="s">
        <v>72</v>
      </c>
      <c r="P20">
        <v>1</v>
      </c>
      <c r="Q20">
        <v>60</v>
      </c>
    </row>
    <row r="21" spans="1:17" ht="14.25" customHeight="1" x14ac:dyDescent="0.25">
      <c r="A21" s="40" t="s">
        <v>93</v>
      </c>
      <c r="B21" s="41">
        <v>44854</v>
      </c>
      <c r="C21" s="40">
        <v>1.5</v>
      </c>
      <c r="D21" s="40">
        <v>50</v>
      </c>
      <c r="E21" s="40">
        <v>75</v>
      </c>
      <c r="F21" s="40" t="s">
        <v>63</v>
      </c>
      <c r="G21" s="40" t="s">
        <v>63</v>
      </c>
      <c r="H21" s="40" t="s">
        <v>94</v>
      </c>
      <c r="I21" s="40" t="s">
        <v>65</v>
      </c>
      <c r="J21" s="40" t="s">
        <v>95</v>
      </c>
      <c r="K21" s="40">
        <v>75</v>
      </c>
      <c r="O21" s="49" t="s">
        <v>74</v>
      </c>
      <c r="P21">
        <v>4.5</v>
      </c>
      <c r="Q21">
        <v>225</v>
      </c>
    </row>
    <row r="22" spans="1:17" x14ac:dyDescent="0.25">
      <c r="A22" s="40" t="s">
        <v>96</v>
      </c>
      <c r="B22" s="41">
        <v>44847</v>
      </c>
      <c r="C22" s="40">
        <v>2</v>
      </c>
      <c r="D22" s="40">
        <v>50</v>
      </c>
      <c r="E22" s="40">
        <v>100</v>
      </c>
      <c r="F22" s="40" t="s">
        <v>63</v>
      </c>
      <c r="G22" s="40" t="s">
        <v>63</v>
      </c>
      <c r="H22" s="40" t="s">
        <v>97</v>
      </c>
      <c r="I22" s="40" t="s">
        <v>65</v>
      </c>
      <c r="J22" s="40" t="s">
        <v>68</v>
      </c>
      <c r="K22" s="40">
        <v>100</v>
      </c>
      <c r="O22" s="49" t="s">
        <v>79</v>
      </c>
      <c r="P22">
        <v>1</v>
      </c>
      <c r="Q22">
        <v>50</v>
      </c>
    </row>
    <row r="23" spans="1:17" x14ac:dyDescent="0.25">
      <c r="A23" s="40" t="s">
        <v>98</v>
      </c>
      <c r="B23" s="41">
        <v>44856</v>
      </c>
      <c r="C23" s="40">
        <v>0.5</v>
      </c>
      <c r="D23" s="40">
        <v>60</v>
      </c>
      <c r="E23" s="40">
        <v>30</v>
      </c>
      <c r="F23" s="40" t="s">
        <v>63</v>
      </c>
      <c r="G23" s="40" t="s">
        <v>63</v>
      </c>
      <c r="H23" s="40" t="s">
        <v>99</v>
      </c>
      <c r="I23" s="40" t="s">
        <v>65</v>
      </c>
      <c r="J23" s="40" t="s">
        <v>68</v>
      </c>
      <c r="K23" s="40">
        <v>30</v>
      </c>
      <c r="O23" s="49" t="s">
        <v>81</v>
      </c>
      <c r="P23">
        <v>3.25</v>
      </c>
      <c r="Q23">
        <v>195</v>
      </c>
    </row>
    <row r="24" spans="1:17" x14ac:dyDescent="0.25">
      <c r="A24" s="40" t="s">
        <v>100</v>
      </c>
      <c r="B24" s="41">
        <v>44857</v>
      </c>
      <c r="C24" s="40">
        <v>2</v>
      </c>
      <c r="D24" s="40">
        <v>50</v>
      </c>
      <c r="E24" s="40">
        <v>100</v>
      </c>
      <c r="F24" s="40" t="s">
        <v>63</v>
      </c>
      <c r="G24" s="40" t="s">
        <v>63</v>
      </c>
      <c r="H24" s="40" t="s">
        <v>101</v>
      </c>
      <c r="I24" s="40" t="s">
        <v>65</v>
      </c>
      <c r="J24" s="40" t="s">
        <v>68</v>
      </c>
      <c r="K24" s="40">
        <v>100</v>
      </c>
      <c r="O24" s="49" t="s">
        <v>84</v>
      </c>
      <c r="P24">
        <v>1</v>
      </c>
      <c r="Q24">
        <v>60</v>
      </c>
    </row>
    <row r="25" spans="1:17" x14ac:dyDescent="0.25">
      <c r="A25" s="40" t="s">
        <v>100</v>
      </c>
      <c r="B25" s="41">
        <v>44863</v>
      </c>
      <c r="C25" s="40">
        <v>1</v>
      </c>
      <c r="D25" s="40">
        <v>50</v>
      </c>
      <c r="E25" s="40">
        <v>50</v>
      </c>
      <c r="F25" s="40" t="s">
        <v>63</v>
      </c>
      <c r="G25" s="40" t="s">
        <v>63</v>
      </c>
      <c r="H25" s="40" t="s">
        <v>102</v>
      </c>
      <c r="I25" s="40" t="s">
        <v>65</v>
      </c>
      <c r="J25" s="40" t="s">
        <v>68</v>
      </c>
      <c r="K25" s="40">
        <v>50</v>
      </c>
      <c r="O25" s="49" t="s">
        <v>86</v>
      </c>
      <c r="P25">
        <v>2.5</v>
      </c>
      <c r="Q25">
        <v>125</v>
      </c>
    </row>
    <row r="26" spans="1:17" x14ac:dyDescent="0.25">
      <c r="A26" s="40" t="s">
        <v>100</v>
      </c>
      <c r="B26" s="41">
        <v>44865</v>
      </c>
      <c r="C26" s="40">
        <v>1</v>
      </c>
      <c r="D26" s="40">
        <v>50</v>
      </c>
      <c r="E26" s="40">
        <v>50</v>
      </c>
      <c r="F26" s="40" t="s">
        <v>63</v>
      </c>
      <c r="G26" s="40" t="s">
        <v>63</v>
      </c>
      <c r="H26" s="40" t="s">
        <v>102</v>
      </c>
      <c r="I26" s="40" t="s">
        <v>65</v>
      </c>
      <c r="J26" s="40" t="s">
        <v>68</v>
      </c>
      <c r="K26" s="40">
        <v>50</v>
      </c>
      <c r="O26" s="49" t="s">
        <v>89</v>
      </c>
      <c r="P26">
        <v>3</v>
      </c>
      <c r="Q26">
        <v>150</v>
      </c>
    </row>
    <row r="27" spans="1:17" x14ac:dyDescent="0.25">
      <c r="A27" s="40" t="s">
        <v>103</v>
      </c>
      <c r="B27" s="41">
        <v>44838</v>
      </c>
      <c r="C27" s="40">
        <v>1</v>
      </c>
      <c r="D27" s="40">
        <v>50</v>
      </c>
      <c r="E27" s="40">
        <v>50</v>
      </c>
      <c r="F27" s="40" t="s">
        <v>63</v>
      </c>
      <c r="G27" s="40" t="s">
        <v>63</v>
      </c>
      <c r="H27" s="40" t="s">
        <v>104</v>
      </c>
      <c r="I27" s="40" t="s">
        <v>65</v>
      </c>
      <c r="J27" s="40" t="s">
        <v>68</v>
      </c>
      <c r="K27" s="40">
        <v>50</v>
      </c>
      <c r="O27" s="49" t="s">
        <v>91</v>
      </c>
      <c r="P27">
        <v>1.5</v>
      </c>
      <c r="Q27">
        <v>75</v>
      </c>
    </row>
    <row r="28" spans="1:17" x14ac:dyDescent="0.25">
      <c r="A28" s="40" t="s">
        <v>103</v>
      </c>
      <c r="B28" s="41">
        <v>44840</v>
      </c>
      <c r="C28" s="40">
        <v>2</v>
      </c>
      <c r="D28" s="40">
        <v>50</v>
      </c>
      <c r="E28" s="40">
        <v>100</v>
      </c>
      <c r="F28" s="40" t="s">
        <v>63</v>
      </c>
      <c r="G28" s="40" t="s">
        <v>63</v>
      </c>
      <c r="H28" s="40" t="s">
        <v>104</v>
      </c>
      <c r="I28" s="40" t="s">
        <v>65</v>
      </c>
      <c r="J28" s="40" t="s">
        <v>68</v>
      </c>
      <c r="K28" s="40">
        <v>100</v>
      </c>
      <c r="O28" s="49" t="s">
        <v>93</v>
      </c>
      <c r="P28">
        <v>3.5</v>
      </c>
      <c r="Q28">
        <v>175</v>
      </c>
    </row>
    <row r="29" spans="1:17" x14ac:dyDescent="0.25">
      <c r="A29" s="40" t="s">
        <v>103</v>
      </c>
      <c r="B29" s="41">
        <v>44851</v>
      </c>
      <c r="C29" s="40">
        <v>1.5</v>
      </c>
      <c r="D29" s="40">
        <v>50</v>
      </c>
      <c r="E29" s="40">
        <v>75</v>
      </c>
      <c r="F29" s="40" t="s">
        <v>63</v>
      </c>
      <c r="G29" s="40" t="s">
        <v>63</v>
      </c>
      <c r="H29" s="40" t="s">
        <v>105</v>
      </c>
      <c r="I29" s="40" t="s">
        <v>65</v>
      </c>
      <c r="J29" s="40" t="s">
        <v>68</v>
      </c>
      <c r="K29" s="40">
        <v>75</v>
      </c>
      <c r="O29" s="49" t="s">
        <v>96</v>
      </c>
      <c r="P29">
        <v>2</v>
      </c>
      <c r="Q29">
        <v>100</v>
      </c>
    </row>
    <row r="30" spans="1:17" x14ac:dyDescent="0.25">
      <c r="A30" s="40" t="s">
        <v>103</v>
      </c>
      <c r="B30" s="41">
        <v>44857</v>
      </c>
      <c r="C30" s="40">
        <v>1</v>
      </c>
      <c r="D30" s="40">
        <v>50</v>
      </c>
      <c r="E30" s="40">
        <v>75</v>
      </c>
      <c r="F30" s="40" t="s">
        <v>63</v>
      </c>
      <c r="G30" s="40" t="s">
        <v>63</v>
      </c>
      <c r="H30" s="40" t="s">
        <v>104</v>
      </c>
      <c r="I30" s="40" t="s">
        <v>65</v>
      </c>
      <c r="J30" s="40" t="s">
        <v>68</v>
      </c>
      <c r="K30" s="40">
        <v>75</v>
      </c>
      <c r="O30" s="49" t="s">
        <v>98</v>
      </c>
      <c r="P30">
        <v>0.5</v>
      </c>
      <c r="Q30">
        <v>30</v>
      </c>
    </row>
    <row r="31" spans="1:17" x14ac:dyDescent="0.25">
      <c r="A31" s="40" t="s">
        <v>103</v>
      </c>
      <c r="B31" s="41">
        <v>44858</v>
      </c>
      <c r="C31" s="40">
        <v>1</v>
      </c>
      <c r="D31" s="40">
        <v>50</v>
      </c>
      <c r="E31" s="40">
        <v>50</v>
      </c>
      <c r="F31" s="40" t="s">
        <v>63</v>
      </c>
      <c r="G31" s="40" t="s">
        <v>63</v>
      </c>
      <c r="H31" s="40" t="s">
        <v>104</v>
      </c>
      <c r="I31" s="40" t="s">
        <v>65</v>
      </c>
      <c r="J31" s="40" t="s">
        <v>68</v>
      </c>
      <c r="K31" s="40">
        <v>50</v>
      </c>
      <c r="O31" s="49" t="s">
        <v>100</v>
      </c>
      <c r="P31">
        <v>4</v>
      </c>
      <c r="Q31">
        <v>200</v>
      </c>
    </row>
    <row r="32" spans="1:17" x14ac:dyDescent="0.25">
      <c r="A32" s="40" t="s">
        <v>103</v>
      </c>
      <c r="B32" s="41">
        <v>44859</v>
      </c>
      <c r="C32" s="40">
        <v>1</v>
      </c>
      <c r="D32" s="40">
        <v>50</v>
      </c>
      <c r="E32" s="40">
        <v>50</v>
      </c>
      <c r="F32" s="40" t="s">
        <v>63</v>
      </c>
      <c r="G32" s="40" t="s">
        <v>63</v>
      </c>
      <c r="H32" s="40" t="s">
        <v>104</v>
      </c>
      <c r="I32" s="40" t="s">
        <v>65</v>
      </c>
      <c r="J32" s="40" t="s">
        <v>68</v>
      </c>
      <c r="K32" s="40">
        <v>50</v>
      </c>
      <c r="O32" s="49" t="s">
        <v>103</v>
      </c>
      <c r="P32">
        <v>8.75</v>
      </c>
      <c r="Q32">
        <v>462.5</v>
      </c>
    </row>
    <row r="33" spans="1:17" x14ac:dyDescent="0.25">
      <c r="A33" s="40" t="s">
        <v>103</v>
      </c>
      <c r="B33" s="41">
        <v>44860</v>
      </c>
      <c r="C33" s="40">
        <v>1.25</v>
      </c>
      <c r="D33" s="40">
        <v>50</v>
      </c>
      <c r="E33" s="40">
        <v>62.5</v>
      </c>
      <c r="F33" s="40" t="s">
        <v>63</v>
      </c>
      <c r="G33" s="40" t="s">
        <v>63</v>
      </c>
      <c r="H33" s="40" t="s">
        <v>104</v>
      </c>
      <c r="I33" s="40" t="s">
        <v>65</v>
      </c>
      <c r="J33" s="40" t="s">
        <v>68</v>
      </c>
      <c r="K33" s="40">
        <v>62.5</v>
      </c>
      <c r="O33" s="49" t="s">
        <v>106</v>
      </c>
      <c r="P33">
        <v>1.5</v>
      </c>
      <c r="Q33">
        <v>75</v>
      </c>
    </row>
    <row r="34" spans="1:17" x14ac:dyDescent="0.25">
      <c r="A34" s="40" t="s">
        <v>106</v>
      </c>
      <c r="B34" s="41">
        <v>44846</v>
      </c>
      <c r="C34" s="40">
        <v>1.5</v>
      </c>
      <c r="D34" s="40">
        <v>50</v>
      </c>
      <c r="E34" s="40">
        <v>75</v>
      </c>
      <c r="F34" s="40" t="s">
        <v>63</v>
      </c>
      <c r="G34" s="40" t="s">
        <v>63</v>
      </c>
      <c r="H34" s="40" t="s">
        <v>107</v>
      </c>
      <c r="I34" s="40" t="s">
        <v>65</v>
      </c>
      <c r="J34" s="40" t="s">
        <v>68</v>
      </c>
      <c r="K34" s="40">
        <v>75</v>
      </c>
      <c r="O34" s="49" t="s">
        <v>108</v>
      </c>
      <c r="P34">
        <v>2</v>
      </c>
      <c r="Q34">
        <v>120</v>
      </c>
    </row>
    <row r="35" spans="1:17" x14ac:dyDescent="0.25">
      <c r="A35" s="40" t="s">
        <v>108</v>
      </c>
      <c r="B35" s="41">
        <v>44860</v>
      </c>
      <c r="C35" s="40">
        <v>1</v>
      </c>
      <c r="D35" s="40">
        <v>60</v>
      </c>
      <c r="E35" s="40">
        <v>60</v>
      </c>
      <c r="F35" s="40" t="s">
        <v>109</v>
      </c>
      <c r="G35" s="40" t="s">
        <v>63</v>
      </c>
      <c r="H35" s="40" t="s">
        <v>110</v>
      </c>
      <c r="I35" s="40" t="s">
        <v>65</v>
      </c>
      <c r="J35" s="40" t="s">
        <v>68</v>
      </c>
      <c r="K35" s="40">
        <v>60</v>
      </c>
      <c r="O35" s="49" t="s">
        <v>111</v>
      </c>
      <c r="P35">
        <v>11.5</v>
      </c>
      <c r="Q35">
        <v>450</v>
      </c>
    </row>
    <row r="36" spans="1:17" x14ac:dyDescent="0.25">
      <c r="A36" s="40" t="s">
        <v>108</v>
      </c>
      <c r="B36" s="41">
        <v>44861</v>
      </c>
      <c r="C36" s="40">
        <v>1</v>
      </c>
      <c r="D36" s="40">
        <v>60</v>
      </c>
      <c r="E36" s="40">
        <v>60</v>
      </c>
      <c r="F36" s="40" t="s">
        <v>63</v>
      </c>
      <c r="G36" s="40" t="s">
        <v>63</v>
      </c>
      <c r="H36" s="40" t="s">
        <v>110</v>
      </c>
      <c r="I36" s="40" t="s">
        <v>65</v>
      </c>
      <c r="J36" s="40" t="s">
        <v>68</v>
      </c>
      <c r="K36" s="40">
        <v>60</v>
      </c>
      <c r="O36" s="49" t="s">
        <v>133</v>
      </c>
      <c r="P36">
        <v>57.25</v>
      </c>
      <c r="Q36">
        <v>2840</v>
      </c>
    </row>
    <row r="37" spans="1:17" x14ac:dyDescent="0.25">
      <c r="A37" s="40" t="s">
        <v>111</v>
      </c>
      <c r="B37" s="41">
        <v>44840</v>
      </c>
      <c r="C37" s="40">
        <v>1.5</v>
      </c>
      <c r="D37" s="40">
        <v>50</v>
      </c>
      <c r="E37" s="40">
        <v>75</v>
      </c>
      <c r="F37" s="40" t="s">
        <v>63</v>
      </c>
      <c r="G37" s="40" t="s">
        <v>63</v>
      </c>
      <c r="H37" s="40" t="s">
        <v>112</v>
      </c>
      <c r="I37" s="40" t="s">
        <v>65</v>
      </c>
      <c r="J37" s="40" t="s">
        <v>68</v>
      </c>
      <c r="K37" s="40">
        <v>75</v>
      </c>
    </row>
    <row r="38" spans="1:17" x14ac:dyDescent="0.25">
      <c r="A38" s="40" t="s">
        <v>111</v>
      </c>
      <c r="B38" s="41">
        <v>44855</v>
      </c>
      <c r="C38" s="40">
        <v>2</v>
      </c>
      <c r="D38" s="40">
        <v>50</v>
      </c>
      <c r="E38" s="40">
        <v>100</v>
      </c>
      <c r="F38" s="40" t="s">
        <v>63</v>
      </c>
      <c r="G38" s="40" t="s">
        <v>63</v>
      </c>
      <c r="H38" s="40" t="s">
        <v>97</v>
      </c>
      <c r="I38" s="40" t="s">
        <v>65</v>
      </c>
      <c r="J38" s="40" t="s">
        <v>68</v>
      </c>
      <c r="K38" s="40">
        <v>100</v>
      </c>
    </row>
    <row r="39" spans="1:17" x14ac:dyDescent="0.25">
      <c r="A39" s="40" t="s">
        <v>111</v>
      </c>
      <c r="B39" s="41">
        <v>44857</v>
      </c>
      <c r="C39" s="40">
        <v>0.5</v>
      </c>
      <c r="D39" s="40">
        <v>50</v>
      </c>
      <c r="E39" s="40">
        <v>25</v>
      </c>
      <c r="F39" s="40" t="s">
        <v>65</v>
      </c>
      <c r="G39" s="40" t="s">
        <v>63</v>
      </c>
      <c r="H39" s="40" t="s">
        <v>97</v>
      </c>
      <c r="I39" s="40" t="s">
        <v>65</v>
      </c>
      <c r="J39" s="40" t="s">
        <v>68</v>
      </c>
      <c r="K39" s="40">
        <v>25</v>
      </c>
    </row>
    <row r="40" spans="1:17" x14ac:dyDescent="0.25">
      <c r="A40" s="40" t="s">
        <v>111</v>
      </c>
      <c r="B40" s="41">
        <v>44863</v>
      </c>
      <c r="C40" s="40">
        <v>5</v>
      </c>
      <c r="D40" s="40">
        <v>50</v>
      </c>
      <c r="E40" s="40">
        <v>125</v>
      </c>
      <c r="F40" s="40" t="s">
        <v>63</v>
      </c>
      <c r="G40" s="40" t="s">
        <v>63</v>
      </c>
      <c r="H40" s="40" t="s">
        <v>97</v>
      </c>
      <c r="I40" s="40" t="s">
        <v>65</v>
      </c>
      <c r="J40" s="40" t="s">
        <v>68</v>
      </c>
      <c r="K40" s="40">
        <v>250</v>
      </c>
    </row>
    <row r="41" spans="1:17" x14ac:dyDescent="0.25">
      <c r="A41" s="40" t="s">
        <v>111</v>
      </c>
      <c r="B41" s="41">
        <v>44864</v>
      </c>
      <c r="C41" s="40">
        <v>2.5</v>
      </c>
      <c r="D41" s="40">
        <v>50</v>
      </c>
      <c r="E41" s="40">
        <v>125</v>
      </c>
      <c r="F41" s="40" t="s">
        <v>63</v>
      </c>
      <c r="G41" s="40" t="s">
        <v>63</v>
      </c>
      <c r="H41" s="40" t="s">
        <v>97</v>
      </c>
      <c r="I41" s="40" t="s">
        <v>65</v>
      </c>
      <c r="J41" s="40" t="s">
        <v>113</v>
      </c>
      <c r="K41" s="40">
        <v>125</v>
      </c>
    </row>
    <row r="42" spans="1:17" x14ac:dyDescent="0.25">
      <c r="B42" s="43"/>
    </row>
    <row r="43" spans="1:17" x14ac:dyDescent="0.25">
      <c r="B43" s="43"/>
      <c r="K43" s="38">
        <f>SUM(K2:K41)</f>
        <v>2990</v>
      </c>
    </row>
  </sheetData>
  <autoFilter ref="A1:K41" xr:uid="{D3EF0EA6-529F-4507-9157-BE315FC3F571}">
    <sortState xmlns:xlrd2="http://schemas.microsoft.com/office/spreadsheetml/2017/richdata2" ref="A2:K41">
      <sortCondition ref="A1:A41"/>
    </sortState>
  </autoFilter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50884-CA0A-40B5-9B91-41BC9D88A1A2}">
  <dimension ref="A1:Q27"/>
  <sheetViews>
    <sheetView workbookViewId="0">
      <pane ySplit="1" topLeftCell="A2" activePane="bottomLeft" state="frozen"/>
      <selection activeCell="O19" sqref="O19:O35"/>
      <selection pane="bottomLeft" activeCell="O19" sqref="O19:O35"/>
    </sheetView>
  </sheetViews>
  <sheetFormatPr defaultColWidth="9.140625" defaultRowHeight="15" x14ac:dyDescent="0.25"/>
  <cols>
    <col min="1" max="1" width="16.28515625" style="38" bestFit="1" customWidth="1"/>
    <col min="2" max="2" width="7" style="38" bestFit="1" customWidth="1"/>
    <col min="3" max="3" width="6.140625" style="38" bestFit="1" customWidth="1"/>
    <col min="4" max="4" width="10.42578125" style="38" bestFit="1" customWidth="1"/>
    <col min="5" max="5" width="5" style="38" bestFit="1" customWidth="1"/>
    <col min="6" max="6" width="7.140625" style="38" bestFit="1" customWidth="1"/>
    <col min="7" max="7" width="38.42578125" style="38" bestFit="1" customWidth="1"/>
    <col min="8" max="8" width="27.140625" style="38" bestFit="1" customWidth="1"/>
    <col min="9" max="9" width="4.7109375" style="38" bestFit="1" customWidth="1"/>
    <col min="10" max="10" width="6.28515625" style="38" bestFit="1" customWidth="1"/>
    <col min="11" max="14" width="9.140625" style="38"/>
    <col min="15" max="15" width="16.28515625" style="38" bestFit="1" customWidth="1"/>
    <col min="16" max="16" width="12.7109375" style="38" bestFit="1" customWidth="1"/>
    <col min="17" max="17" width="11.42578125" style="38" bestFit="1" customWidth="1"/>
    <col min="18" max="16384" width="9.140625" style="38"/>
  </cols>
  <sheetData>
    <row r="1" spans="1:17" x14ac:dyDescent="0.25">
      <c r="A1" s="38" t="s">
        <v>51</v>
      </c>
      <c r="B1" s="38" t="s">
        <v>52</v>
      </c>
      <c r="C1" s="38" t="s">
        <v>53</v>
      </c>
      <c r="D1" s="38" t="s">
        <v>54</v>
      </c>
      <c r="E1" s="38" t="s">
        <v>55</v>
      </c>
      <c r="F1" s="38" t="s">
        <v>56</v>
      </c>
      <c r="G1" s="38" t="s">
        <v>57</v>
      </c>
      <c r="H1" s="38" t="s">
        <v>58</v>
      </c>
      <c r="I1" s="38" t="s">
        <v>59</v>
      </c>
      <c r="J1" s="38" t="s">
        <v>61</v>
      </c>
    </row>
    <row r="2" spans="1:17" x14ac:dyDescent="0.25">
      <c r="A2" s="44" t="s">
        <v>103</v>
      </c>
      <c r="B2" s="45">
        <v>44822</v>
      </c>
      <c r="C2" s="44">
        <v>1</v>
      </c>
      <c r="D2" s="44">
        <v>50</v>
      </c>
      <c r="E2" s="44">
        <v>50</v>
      </c>
      <c r="F2" s="44" t="s">
        <v>63</v>
      </c>
      <c r="G2" s="44" t="s">
        <v>63</v>
      </c>
      <c r="H2" s="44" t="s">
        <v>114</v>
      </c>
      <c r="I2" s="44" t="s">
        <v>65</v>
      </c>
      <c r="J2" s="44">
        <v>50</v>
      </c>
      <c r="M2" s="38" t="s">
        <v>66</v>
      </c>
    </row>
    <row r="3" spans="1:17" x14ac:dyDescent="0.25">
      <c r="A3" s="44" t="s">
        <v>93</v>
      </c>
      <c r="B3" s="45">
        <v>44822</v>
      </c>
      <c r="C3" s="44">
        <v>2</v>
      </c>
      <c r="D3" s="44">
        <v>50</v>
      </c>
      <c r="E3" s="44">
        <v>100</v>
      </c>
      <c r="F3" s="44" t="s">
        <v>63</v>
      </c>
      <c r="G3" s="44" t="s">
        <v>63</v>
      </c>
      <c r="H3" s="44" t="s">
        <v>97</v>
      </c>
      <c r="I3" s="44" t="s">
        <v>65</v>
      </c>
      <c r="J3" s="44">
        <v>100</v>
      </c>
    </row>
    <row r="4" spans="1:17" x14ac:dyDescent="0.25">
      <c r="A4" s="44" t="s">
        <v>74</v>
      </c>
      <c r="B4" s="45">
        <v>44822</v>
      </c>
      <c r="C4" s="44">
        <v>1.5</v>
      </c>
      <c r="D4" s="44">
        <v>50</v>
      </c>
      <c r="E4" s="44">
        <v>75</v>
      </c>
      <c r="F4" s="44" t="s">
        <v>63</v>
      </c>
      <c r="G4" s="44" t="s">
        <v>63</v>
      </c>
      <c r="H4" s="44" t="s">
        <v>115</v>
      </c>
      <c r="I4" s="44">
        <v>25</v>
      </c>
      <c r="J4" s="44">
        <v>100</v>
      </c>
    </row>
    <row r="5" spans="1:17" x14ac:dyDescent="0.25">
      <c r="A5" s="44" t="s">
        <v>89</v>
      </c>
      <c r="B5" s="45">
        <v>44822</v>
      </c>
      <c r="C5" s="44">
        <v>1.5</v>
      </c>
      <c r="D5" s="44">
        <v>50</v>
      </c>
      <c r="E5" s="44">
        <v>75</v>
      </c>
      <c r="F5" s="44" t="s">
        <v>63</v>
      </c>
      <c r="G5" s="44" t="s">
        <v>63</v>
      </c>
      <c r="H5" s="44" t="s">
        <v>116</v>
      </c>
      <c r="I5" s="44" t="s">
        <v>65</v>
      </c>
      <c r="J5" s="44">
        <v>75</v>
      </c>
    </row>
    <row r="6" spans="1:17" x14ac:dyDescent="0.25">
      <c r="A6" s="44" t="s">
        <v>91</v>
      </c>
      <c r="B6" s="45">
        <v>44822</v>
      </c>
      <c r="C6" s="44">
        <v>1.5</v>
      </c>
      <c r="D6" s="44">
        <v>50</v>
      </c>
      <c r="E6" s="44">
        <v>75</v>
      </c>
      <c r="F6" s="44" t="s">
        <v>63</v>
      </c>
      <c r="G6" s="44" t="s">
        <v>63</v>
      </c>
      <c r="H6" s="44" t="s">
        <v>97</v>
      </c>
      <c r="I6" s="44" t="s">
        <v>65</v>
      </c>
      <c r="J6" s="44">
        <v>75</v>
      </c>
    </row>
    <row r="7" spans="1:17" x14ac:dyDescent="0.25">
      <c r="A7" s="44" t="s">
        <v>62</v>
      </c>
      <c r="B7" s="45">
        <v>44823</v>
      </c>
      <c r="C7" s="44">
        <v>2</v>
      </c>
      <c r="D7" s="44">
        <v>50</v>
      </c>
      <c r="E7" s="44">
        <v>100</v>
      </c>
      <c r="F7" s="44" t="s">
        <v>63</v>
      </c>
      <c r="G7" s="44" t="s">
        <v>63</v>
      </c>
      <c r="H7" s="44" t="s">
        <v>117</v>
      </c>
      <c r="I7" s="44" t="s">
        <v>65</v>
      </c>
      <c r="J7" s="44">
        <v>100</v>
      </c>
    </row>
    <row r="8" spans="1:17" x14ac:dyDescent="0.25">
      <c r="A8" s="44" t="s">
        <v>89</v>
      </c>
      <c r="B8" s="45">
        <v>44823</v>
      </c>
      <c r="C8" s="44">
        <v>1</v>
      </c>
      <c r="D8" s="44">
        <v>50</v>
      </c>
      <c r="E8" s="44">
        <v>50</v>
      </c>
      <c r="F8" s="44" t="s">
        <v>63</v>
      </c>
      <c r="G8" s="44" t="s">
        <v>63</v>
      </c>
      <c r="H8" s="44" t="s">
        <v>116</v>
      </c>
      <c r="I8" s="44" t="s">
        <v>65</v>
      </c>
      <c r="J8" s="44">
        <v>50</v>
      </c>
    </row>
    <row r="9" spans="1:17" x14ac:dyDescent="0.25">
      <c r="A9" s="44" t="s">
        <v>93</v>
      </c>
      <c r="B9" s="45">
        <v>44826</v>
      </c>
      <c r="C9" s="44">
        <v>1</v>
      </c>
      <c r="D9" s="44">
        <v>50</v>
      </c>
      <c r="E9" s="44">
        <v>50</v>
      </c>
      <c r="F9" s="44" t="s">
        <v>63</v>
      </c>
      <c r="G9" s="44" t="s">
        <v>63</v>
      </c>
      <c r="H9" s="44" t="s">
        <v>118</v>
      </c>
      <c r="I9" s="44" t="s">
        <v>65</v>
      </c>
      <c r="J9" s="44">
        <v>50</v>
      </c>
    </row>
    <row r="10" spans="1:17" x14ac:dyDescent="0.25">
      <c r="A10" s="44" t="s">
        <v>119</v>
      </c>
      <c r="B10" s="45">
        <v>44827</v>
      </c>
      <c r="C10" s="44">
        <v>0.5</v>
      </c>
      <c r="D10" s="44">
        <v>50</v>
      </c>
      <c r="E10" s="44">
        <v>25</v>
      </c>
      <c r="F10" s="44" t="s">
        <v>65</v>
      </c>
      <c r="G10" s="44" t="s">
        <v>120</v>
      </c>
      <c r="H10" s="44" t="s">
        <v>121</v>
      </c>
      <c r="I10" s="44"/>
      <c r="J10" s="44"/>
      <c r="O10" s="48" t="s">
        <v>132</v>
      </c>
      <c r="P10" t="s">
        <v>134</v>
      </c>
      <c r="Q10" t="s">
        <v>135</v>
      </c>
    </row>
    <row r="11" spans="1:17" x14ac:dyDescent="0.25">
      <c r="A11" s="44" t="s">
        <v>93</v>
      </c>
      <c r="B11" s="45">
        <v>44827</v>
      </c>
      <c r="C11" s="44">
        <v>1</v>
      </c>
      <c r="D11" s="44">
        <v>50</v>
      </c>
      <c r="E11" s="44">
        <v>50</v>
      </c>
      <c r="F11" s="44" t="s">
        <v>63</v>
      </c>
      <c r="G11" s="44" t="s">
        <v>63</v>
      </c>
      <c r="H11" s="44" t="s">
        <v>122</v>
      </c>
      <c r="I11" s="44" t="s">
        <v>65</v>
      </c>
      <c r="J11" s="44">
        <v>50</v>
      </c>
      <c r="O11" s="49" t="s">
        <v>62</v>
      </c>
      <c r="P11">
        <v>2</v>
      </c>
      <c r="Q11">
        <v>100</v>
      </c>
    </row>
    <row r="12" spans="1:17" x14ac:dyDescent="0.25">
      <c r="A12" s="44" t="s">
        <v>79</v>
      </c>
      <c r="B12" s="45">
        <v>44829</v>
      </c>
      <c r="C12" s="44">
        <v>1</v>
      </c>
      <c r="D12" s="44">
        <v>50</v>
      </c>
      <c r="E12" s="44">
        <v>50</v>
      </c>
      <c r="F12" s="44" t="s">
        <v>63</v>
      </c>
      <c r="G12" s="44" t="s">
        <v>63</v>
      </c>
      <c r="H12" s="44" t="s">
        <v>123</v>
      </c>
      <c r="I12" s="44" t="s">
        <v>65</v>
      </c>
      <c r="J12" s="44">
        <v>50</v>
      </c>
      <c r="O12" s="49" t="s">
        <v>74</v>
      </c>
      <c r="P12">
        <v>1.5</v>
      </c>
      <c r="Q12">
        <v>75</v>
      </c>
    </row>
    <row r="13" spans="1:17" x14ac:dyDescent="0.25">
      <c r="A13" s="44" t="s">
        <v>93</v>
      </c>
      <c r="B13" s="45">
        <v>44829</v>
      </c>
      <c r="C13" s="44">
        <v>2</v>
      </c>
      <c r="D13" s="44">
        <v>100</v>
      </c>
      <c r="E13" s="44">
        <v>100</v>
      </c>
      <c r="F13" s="44" t="s">
        <v>63</v>
      </c>
      <c r="G13" s="44" t="s">
        <v>63</v>
      </c>
      <c r="H13" s="44" t="s">
        <v>112</v>
      </c>
      <c r="I13" s="44" t="s">
        <v>65</v>
      </c>
      <c r="J13" s="44">
        <v>100</v>
      </c>
      <c r="O13" s="49" t="s">
        <v>79</v>
      </c>
      <c r="P13">
        <v>2</v>
      </c>
      <c r="Q13">
        <v>100</v>
      </c>
    </row>
    <row r="14" spans="1:17" x14ac:dyDescent="0.25">
      <c r="A14" s="44" t="s">
        <v>124</v>
      </c>
      <c r="B14" s="45">
        <v>44829</v>
      </c>
      <c r="C14" s="44">
        <v>2</v>
      </c>
      <c r="D14" s="44">
        <v>100</v>
      </c>
      <c r="E14" s="44">
        <v>100</v>
      </c>
      <c r="F14" s="44" t="s">
        <v>63</v>
      </c>
      <c r="G14" s="44" t="s">
        <v>63</v>
      </c>
      <c r="H14" s="44" t="s">
        <v>112</v>
      </c>
      <c r="I14" s="44" t="s">
        <v>65</v>
      </c>
      <c r="J14" s="44">
        <v>100</v>
      </c>
      <c r="O14" s="49" t="s">
        <v>89</v>
      </c>
      <c r="P14">
        <v>2.5</v>
      </c>
      <c r="Q14">
        <v>125</v>
      </c>
    </row>
    <row r="15" spans="1:17" x14ac:dyDescent="0.25">
      <c r="A15" s="44" t="s">
        <v>79</v>
      </c>
      <c r="B15" s="45">
        <v>44830</v>
      </c>
      <c r="C15" s="44">
        <v>1</v>
      </c>
      <c r="D15" s="44">
        <v>50</v>
      </c>
      <c r="E15" s="44">
        <v>50</v>
      </c>
      <c r="F15" s="44" t="s">
        <v>63</v>
      </c>
      <c r="G15" s="44" t="s">
        <v>63</v>
      </c>
      <c r="H15" s="44" t="s">
        <v>123</v>
      </c>
      <c r="I15" s="44" t="s">
        <v>65</v>
      </c>
      <c r="J15" s="44">
        <v>50</v>
      </c>
      <c r="O15" s="49" t="s">
        <v>91</v>
      </c>
      <c r="P15">
        <v>1.5</v>
      </c>
      <c r="Q15">
        <v>75</v>
      </c>
    </row>
    <row r="16" spans="1:17" x14ac:dyDescent="0.25">
      <c r="A16" s="44" t="s">
        <v>93</v>
      </c>
      <c r="B16" s="45">
        <v>44832</v>
      </c>
      <c r="C16" s="44">
        <v>1.5</v>
      </c>
      <c r="D16" s="44">
        <v>50</v>
      </c>
      <c r="E16" s="44">
        <v>75</v>
      </c>
      <c r="F16" s="44" t="s">
        <v>63</v>
      </c>
      <c r="G16" s="44" t="s">
        <v>63</v>
      </c>
      <c r="H16" s="44" t="s">
        <v>112</v>
      </c>
      <c r="I16" s="44" t="s">
        <v>65</v>
      </c>
      <c r="J16" s="44">
        <v>75</v>
      </c>
      <c r="O16" s="49" t="s">
        <v>93</v>
      </c>
      <c r="P16">
        <v>7.5</v>
      </c>
      <c r="Q16">
        <v>375</v>
      </c>
    </row>
    <row r="17" spans="2:17" x14ac:dyDescent="0.25">
      <c r="B17" s="43"/>
      <c r="O17" s="49" t="s">
        <v>119</v>
      </c>
      <c r="P17">
        <v>0.5</v>
      </c>
      <c r="Q17">
        <v>25</v>
      </c>
    </row>
    <row r="18" spans="2:17" x14ac:dyDescent="0.25">
      <c r="J18" s="38">
        <f>SUM(J2:J16)</f>
        <v>1025</v>
      </c>
      <c r="O18" s="49" t="s">
        <v>103</v>
      </c>
      <c r="P18">
        <v>1</v>
      </c>
      <c r="Q18">
        <v>50</v>
      </c>
    </row>
    <row r="19" spans="2:17" x14ac:dyDescent="0.25">
      <c r="O19" s="49" t="s">
        <v>124</v>
      </c>
      <c r="P19">
        <v>2</v>
      </c>
      <c r="Q19">
        <v>100</v>
      </c>
    </row>
    <row r="20" spans="2:17" x14ac:dyDescent="0.25">
      <c r="O20" s="49" t="s">
        <v>133</v>
      </c>
      <c r="P20">
        <v>20.5</v>
      </c>
      <c r="Q20">
        <v>1025</v>
      </c>
    </row>
    <row r="21" spans="2:17" x14ac:dyDescent="0.25">
      <c r="O21"/>
      <c r="P21"/>
      <c r="Q21"/>
    </row>
    <row r="22" spans="2:17" x14ac:dyDescent="0.25">
      <c r="O22"/>
      <c r="P22"/>
      <c r="Q22"/>
    </row>
    <row r="23" spans="2:17" x14ac:dyDescent="0.25">
      <c r="O23"/>
      <c r="P23"/>
      <c r="Q23"/>
    </row>
    <row r="24" spans="2:17" x14ac:dyDescent="0.25">
      <c r="O24"/>
      <c r="P24"/>
      <c r="Q24"/>
    </row>
    <row r="25" spans="2:17" x14ac:dyDescent="0.25">
      <c r="O25"/>
      <c r="P25"/>
      <c r="Q25"/>
    </row>
    <row r="26" spans="2:17" x14ac:dyDescent="0.25">
      <c r="O26"/>
      <c r="P26"/>
      <c r="Q26"/>
    </row>
    <row r="27" spans="2:17" x14ac:dyDescent="0.25">
      <c r="O27"/>
      <c r="P27"/>
      <c r="Q27"/>
    </row>
  </sheetData>
  <pageMargins left="0.7" right="0.7" top="0.75" bottom="0.75" header="0.3" footer="0.3"/>
  <pageSetup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50D3-5430-4040-A2C7-88AE9FBF77B5}">
  <dimension ref="A1:Q22"/>
  <sheetViews>
    <sheetView workbookViewId="0">
      <pane ySplit="1" topLeftCell="A2" activePane="bottomLeft" state="frozen"/>
      <selection activeCell="O19" sqref="O19:O35"/>
      <selection pane="bottomLeft" activeCell="O19" sqref="O19:O35"/>
    </sheetView>
  </sheetViews>
  <sheetFormatPr defaultColWidth="9.140625" defaultRowHeight="15" x14ac:dyDescent="0.25"/>
  <cols>
    <col min="1" max="1" width="15.140625" style="38" bestFit="1" customWidth="1"/>
    <col min="2" max="2" width="9.7109375" style="38" bestFit="1" customWidth="1"/>
    <col min="3" max="3" width="6.140625" style="38" bestFit="1" customWidth="1"/>
    <col min="4" max="6" width="9.140625" style="38"/>
    <col min="7" max="7" width="18.7109375" style="38" bestFit="1" customWidth="1"/>
    <col min="8" max="14" width="9.140625" style="38"/>
    <col min="15" max="15" width="16.28515625" style="38" bestFit="1" customWidth="1"/>
    <col min="16" max="16" width="12.7109375" style="38" bestFit="1" customWidth="1"/>
    <col min="17" max="17" width="11.42578125" style="38" bestFit="1" customWidth="1"/>
    <col min="18" max="16384" width="9.140625" style="38"/>
  </cols>
  <sheetData>
    <row r="1" spans="1:17" x14ac:dyDescent="0.25">
      <c r="A1" s="38" t="s">
        <v>51</v>
      </c>
      <c r="B1" s="38" t="s">
        <v>52</v>
      </c>
      <c r="C1" s="38" t="s">
        <v>53</v>
      </c>
      <c r="D1" s="38" t="s">
        <v>54</v>
      </c>
      <c r="E1" s="38" t="s">
        <v>55</v>
      </c>
      <c r="F1" s="38" t="s">
        <v>56</v>
      </c>
      <c r="G1" s="38" t="s">
        <v>57</v>
      </c>
      <c r="H1" s="38" t="s">
        <v>58</v>
      </c>
      <c r="I1" s="38" t="s">
        <v>59</v>
      </c>
      <c r="J1" s="38" t="s">
        <v>61</v>
      </c>
    </row>
    <row r="2" spans="1:17" x14ac:dyDescent="0.25">
      <c r="A2" s="46" t="s">
        <v>74</v>
      </c>
      <c r="B2" s="47">
        <v>44793</v>
      </c>
      <c r="C2" s="46">
        <v>0.5</v>
      </c>
      <c r="D2" s="46">
        <v>50</v>
      </c>
      <c r="E2" s="46">
        <f t="shared" ref="E2:E7" si="0">C2*D2</f>
        <v>25</v>
      </c>
      <c r="F2" s="46" t="s">
        <v>63</v>
      </c>
      <c r="G2" s="46" t="s">
        <v>63</v>
      </c>
      <c r="H2" s="46" t="s">
        <v>125</v>
      </c>
      <c r="I2" s="46">
        <v>10</v>
      </c>
      <c r="J2" s="46">
        <f t="shared" ref="J2:J7" si="1">E2+I2</f>
        <v>35</v>
      </c>
    </row>
    <row r="3" spans="1:17" x14ac:dyDescent="0.25">
      <c r="A3" s="46" t="s">
        <v>100</v>
      </c>
      <c r="B3" s="47">
        <v>44794</v>
      </c>
      <c r="C3" s="46">
        <v>1.5</v>
      </c>
      <c r="D3" s="46">
        <v>50</v>
      </c>
      <c r="E3" s="46">
        <f t="shared" si="0"/>
        <v>75</v>
      </c>
      <c r="F3" s="46" t="s">
        <v>65</v>
      </c>
      <c r="G3" s="46" t="s">
        <v>63</v>
      </c>
      <c r="H3" s="46" t="s">
        <v>126</v>
      </c>
      <c r="I3" s="46">
        <v>0</v>
      </c>
      <c r="J3" s="46">
        <f t="shared" si="1"/>
        <v>75</v>
      </c>
    </row>
    <row r="4" spans="1:17" x14ac:dyDescent="0.25">
      <c r="A4" s="46" t="s">
        <v>93</v>
      </c>
      <c r="B4" s="47">
        <v>44794</v>
      </c>
      <c r="C4" s="46">
        <v>1</v>
      </c>
      <c r="D4" s="46">
        <v>50</v>
      </c>
      <c r="E4" s="46">
        <f t="shared" si="0"/>
        <v>50</v>
      </c>
      <c r="F4" s="46" t="s">
        <v>65</v>
      </c>
      <c r="G4" s="46" t="s">
        <v>65</v>
      </c>
      <c r="H4" s="46" t="s">
        <v>127</v>
      </c>
      <c r="I4" s="46"/>
      <c r="J4" s="46">
        <f t="shared" si="1"/>
        <v>50</v>
      </c>
    </row>
    <row r="5" spans="1:17" x14ac:dyDescent="0.25">
      <c r="A5" s="46" t="s">
        <v>111</v>
      </c>
      <c r="B5" s="47">
        <v>44796</v>
      </c>
      <c r="C5" s="46">
        <v>2</v>
      </c>
      <c r="D5" s="46">
        <v>50</v>
      </c>
      <c r="E5" s="46">
        <f t="shared" si="0"/>
        <v>100</v>
      </c>
      <c r="F5" s="46" t="s">
        <v>63</v>
      </c>
      <c r="G5" s="46" t="s">
        <v>63</v>
      </c>
      <c r="H5" s="46" t="s">
        <v>128</v>
      </c>
      <c r="I5" s="46"/>
      <c r="J5" s="46">
        <f t="shared" si="1"/>
        <v>100</v>
      </c>
      <c r="O5" s="48" t="s">
        <v>132</v>
      </c>
      <c r="P5" t="s">
        <v>134</v>
      </c>
      <c r="Q5" t="s">
        <v>135</v>
      </c>
    </row>
    <row r="6" spans="1:17" x14ac:dyDescent="0.25">
      <c r="A6" s="46" t="s">
        <v>93</v>
      </c>
      <c r="B6" s="47">
        <v>44796</v>
      </c>
      <c r="C6" s="46">
        <v>2</v>
      </c>
      <c r="D6" s="46">
        <v>50</v>
      </c>
      <c r="E6" s="46">
        <f t="shared" si="0"/>
        <v>100</v>
      </c>
      <c r="F6" s="46" t="s">
        <v>65</v>
      </c>
      <c r="G6" s="46" t="s">
        <v>65</v>
      </c>
      <c r="H6" s="46" t="s">
        <v>129</v>
      </c>
      <c r="I6" s="46"/>
      <c r="J6" s="46">
        <f t="shared" si="1"/>
        <v>100</v>
      </c>
      <c r="O6" s="49" t="s">
        <v>74</v>
      </c>
      <c r="P6">
        <v>0.5</v>
      </c>
      <c r="Q6">
        <v>25</v>
      </c>
    </row>
    <row r="7" spans="1:17" x14ac:dyDescent="0.25">
      <c r="A7" s="46" t="s">
        <v>130</v>
      </c>
      <c r="B7" s="47">
        <v>44796</v>
      </c>
      <c r="C7" s="46">
        <v>0.5</v>
      </c>
      <c r="D7" s="46">
        <v>50</v>
      </c>
      <c r="E7" s="46">
        <f t="shared" si="0"/>
        <v>25</v>
      </c>
      <c r="F7" s="46" t="s">
        <v>63</v>
      </c>
      <c r="G7" s="46" t="s">
        <v>63</v>
      </c>
      <c r="H7" s="46" t="s">
        <v>131</v>
      </c>
      <c r="I7" s="46"/>
      <c r="J7" s="46">
        <f t="shared" si="1"/>
        <v>25</v>
      </c>
      <c r="O7" s="49" t="s">
        <v>93</v>
      </c>
      <c r="P7">
        <v>3</v>
      </c>
      <c r="Q7">
        <v>150</v>
      </c>
    </row>
    <row r="8" spans="1:17" x14ac:dyDescent="0.25">
      <c r="O8" s="49" t="s">
        <v>130</v>
      </c>
      <c r="P8">
        <v>0.5</v>
      </c>
      <c r="Q8">
        <v>25</v>
      </c>
    </row>
    <row r="9" spans="1:17" x14ac:dyDescent="0.25">
      <c r="O9" s="49" t="s">
        <v>100</v>
      </c>
      <c r="P9">
        <v>1.5</v>
      </c>
      <c r="Q9">
        <v>75</v>
      </c>
    </row>
    <row r="10" spans="1:17" x14ac:dyDescent="0.25">
      <c r="J10" s="38">
        <f>SUM(J2:J7)</f>
        <v>385</v>
      </c>
      <c r="O10" s="49" t="s">
        <v>111</v>
      </c>
      <c r="P10">
        <v>2</v>
      </c>
      <c r="Q10">
        <v>100</v>
      </c>
    </row>
    <row r="11" spans="1:17" x14ac:dyDescent="0.25">
      <c r="O11" s="49" t="s">
        <v>133</v>
      </c>
      <c r="P11">
        <v>7.5</v>
      </c>
      <c r="Q11">
        <v>375</v>
      </c>
    </row>
    <row r="12" spans="1:17" x14ac:dyDescent="0.25">
      <c r="J12" s="38" t="s">
        <v>66</v>
      </c>
      <c r="O12"/>
      <c r="P12"/>
      <c r="Q12"/>
    </row>
    <row r="13" spans="1:17" x14ac:dyDescent="0.25">
      <c r="O13"/>
      <c r="P13"/>
      <c r="Q13"/>
    </row>
    <row r="14" spans="1:17" x14ac:dyDescent="0.25">
      <c r="O14"/>
      <c r="P14"/>
      <c r="Q14"/>
    </row>
    <row r="15" spans="1:17" x14ac:dyDescent="0.25">
      <c r="O15"/>
      <c r="P15"/>
      <c r="Q15"/>
    </row>
    <row r="16" spans="1:17" x14ac:dyDescent="0.25">
      <c r="O16"/>
      <c r="P16"/>
      <c r="Q16"/>
    </row>
    <row r="17" spans="15:17" x14ac:dyDescent="0.25">
      <c r="O17"/>
      <c r="P17"/>
      <c r="Q17"/>
    </row>
    <row r="18" spans="15:17" x14ac:dyDescent="0.25">
      <c r="O18"/>
      <c r="P18"/>
      <c r="Q18"/>
    </row>
    <row r="19" spans="15:17" x14ac:dyDescent="0.25">
      <c r="O19"/>
      <c r="P19"/>
      <c r="Q19"/>
    </row>
    <row r="20" spans="15:17" x14ac:dyDescent="0.25">
      <c r="O20"/>
      <c r="P20"/>
      <c r="Q20"/>
    </row>
    <row r="21" spans="15:17" x14ac:dyDescent="0.25">
      <c r="O21"/>
      <c r="P21"/>
      <c r="Q21"/>
    </row>
    <row r="22" spans="15:17" x14ac:dyDescent="0.25">
      <c r="O22"/>
      <c r="P22"/>
      <c r="Q22"/>
    </row>
  </sheetData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05E2-A9E4-4D00-9CD7-7E8C83250335}">
  <sheetPr>
    <tabColor theme="5" tint="-0.499984740745262"/>
    <pageSetUpPr fitToPage="1"/>
  </sheetPr>
  <dimension ref="B13:AT61"/>
  <sheetViews>
    <sheetView showGridLines="0" zoomScale="55" zoomScaleNormal="100" workbookViewId="0">
      <selection activeCell="AS22" sqref="AS22"/>
    </sheetView>
  </sheetViews>
  <sheetFormatPr defaultColWidth="8.7109375" defaultRowHeight="15" outlineLevelCol="1" x14ac:dyDescent="0.25"/>
  <cols>
    <col min="2" max="2" width="4.7109375" style="345" bestFit="1" customWidth="1"/>
    <col min="3" max="3" width="28.7109375" style="345" bestFit="1" customWidth="1"/>
    <col min="4" max="4" width="13.140625" hidden="1" customWidth="1" outlineLevel="1"/>
    <col min="5" max="5" width="12.42578125" hidden="1" customWidth="1" outlineLevel="1"/>
    <col min="6" max="6" width="13" hidden="1" customWidth="1" outlineLevel="1"/>
    <col min="7" max="14" width="12.42578125" hidden="1" customWidth="1" outlineLevel="1" collapsed="1"/>
    <col min="15" max="15" width="12.42578125" hidden="1" customWidth="1" outlineLevel="1"/>
    <col min="16" max="16" width="12.42578125" hidden="1" customWidth="1" outlineLevel="1" collapsed="1"/>
    <col min="17" max="17" width="12.42578125" hidden="1" customWidth="1" outlineLevel="1"/>
    <col min="18" max="18" width="12.7109375" customWidth="1" collapsed="1"/>
    <col min="19" max="21" width="13" hidden="1" customWidth="1" outlineLevel="1"/>
    <col min="22" max="22" width="11.7109375" hidden="1" customWidth="1" outlineLevel="1" collapsed="1"/>
    <col min="23" max="23" width="12.42578125" hidden="1" customWidth="1" outlineLevel="1" collapsed="1"/>
    <col min="24" max="26" width="11.7109375" hidden="1" customWidth="1" outlineLevel="1" collapsed="1"/>
    <col min="27" max="27" width="12.42578125" hidden="1" customWidth="1" outlineLevel="1" collapsed="1"/>
    <col min="28" max="28" width="13.42578125" hidden="1" customWidth="1" outlineLevel="1" collapsed="1"/>
    <col min="29" max="29" width="13.42578125" hidden="1" customWidth="1" outlineLevel="1"/>
    <col min="30" max="30" width="13.42578125" hidden="1" customWidth="1" outlineLevel="1" collapsed="1"/>
    <col min="31" max="31" width="13.42578125" hidden="1" customWidth="1" outlineLevel="1"/>
    <col min="32" max="32" width="13.42578125" customWidth="1" collapsed="1"/>
    <col min="33" max="33" width="13" hidden="1" customWidth="1" outlineLevel="1"/>
    <col min="34" max="36" width="13" hidden="1" customWidth="1" outlineLevel="1" collapsed="1"/>
    <col min="37" max="37" width="13" hidden="1" customWidth="1" outlineLevel="1"/>
    <col min="38" max="38" width="14.140625" hidden="1" customWidth="1" outlineLevel="1" collapsed="1"/>
    <col min="39" max="41" width="10.7109375" hidden="1" customWidth="1" outlineLevel="1"/>
    <col min="42" max="42" width="12.85546875" bestFit="1" customWidth="1" collapsed="1"/>
    <col min="43" max="44" width="10.7109375" hidden="1" customWidth="1" outlineLevel="1"/>
    <col min="45" max="45" width="16.28515625" bestFit="1" customWidth="1" collapsed="1"/>
    <col min="46" max="46" width="20.140625" bestFit="1" customWidth="1"/>
  </cols>
  <sheetData>
    <row r="13" spans="2:46" ht="15.75" thickBot="1" x14ac:dyDescent="0.3"/>
    <row r="14" spans="2:46" ht="17.25" thickTop="1" thickBot="1" x14ac:dyDescent="0.3">
      <c r="B14" s="663">
        <v>45961</v>
      </c>
      <c r="C14" s="664"/>
      <c r="D14" s="664"/>
      <c r="E14" s="664"/>
      <c r="F14" s="664"/>
      <c r="G14" s="664"/>
      <c r="H14" s="664"/>
      <c r="I14" s="664"/>
      <c r="J14" s="664"/>
      <c r="K14" s="664"/>
      <c r="L14" s="664"/>
      <c r="M14" s="664"/>
      <c r="N14" s="664"/>
      <c r="O14" s="664"/>
      <c r="P14" s="664"/>
      <c r="Q14" s="664"/>
      <c r="R14" s="664"/>
      <c r="S14" s="664"/>
      <c r="T14" s="664"/>
      <c r="U14" s="664"/>
      <c r="V14" s="664"/>
      <c r="W14" s="664"/>
      <c r="X14" s="664"/>
      <c r="Y14" s="664"/>
      <c r="Z14" s="664"/>
      <c r="AA14" s="664"/>
      <c r="AB14" s="664"/>
      <c r="AC14" s="664"/>
      <c r="AD14" s="664"/>
      <c r="AE14" s="664"/>
      <c r="AF14" s="664"/>
      <c r="AG14" s="664"/>
      <c r="AH14" s="664"/>
      <c r="AI14" s="664"/>
      <c r="AJ14" s="664"/>
      <c r="AK14" s="664"/>
      <c r="AL14" s="664"/>
      <c r="AM14" s="664"/>
      <c r="AN14" s="664"/>
      <c r="AO14" s="664"/>
      <c r="AP14" s="664"/>
      <c r="AQ14" s="664"/>
      <c r="AR14" s="664"/>
      <c r="AS14" s="664"/>
      <c r="AT14" s="665"/>
    </row>
    <row r="15" spans="2:46" ht="15.75" thickTop="1" x14ac:dyDescent="0.25">
      <c r="B15" s="346"/>
      <c r="C15" s="379"/>
      <c r="D15" s="574">
        <v>45535</v>
      </c>
      <c r="E15" s="574">
        <v>45565</v>
      </c>
      <c r="F15" s="574">
        <v>45596</v>
      </c>
      <c r="G15" s="574">
        <v>45626</v>
      </c>
      <c r="H15" s="574">
        <v>45657</v>
      </c>
      <c r="I15" s="573">
        <v>45688</v>
      </c>
      <c r="J15" s="574">
        <v>45716</v>
      </c>
      <c r="K15" s="573">
        <v>45747</v>
      </c>
      <c r="L15" s="574">
        <v>45777</v>
      </c>
      <c r="M15" s="573">
        <v>45808</v>
      </c>
      <c r="N15" s="574">
        <v>45838</v>
      </c>
      <c r="O15" s="574">
        <v>45869</v>
      </c>
      <c r="P15" s="574">
        <v>45900</v>
      </c>
      <c r="Q15" s="574">
        <v>45930</v>
      </c>
      <c r="R15" s="347" t="s">
        <v>280</v>
      </c>
      <c r="S15" s="574">
        <v>45565</v>
      </c>
      <c r="T15" s="574">
        <v>45596</v>
      </c>
      <c r="U15" s="574">
        <v>45626</v>
      </c>
      <c r="V15" s="574">
        <v>45657</v>
      </c>
      <c r="W15" s="573">
        <v>45688</v>
      </c>
      <c r="X15" s="574">
        <v>45716</v>
      </c>
      <c r="Y15" s="573">
        <v>45747</v>
      </c>
      <c r="Z15" s="574">
        <v>45777</v>
      </c>
      <c r="AA15" s="574">
        <v>45808</v>
      </c>
      <c r="AB15" s="574">
        <v>45838</v>
      </c>
      <c r="AC15" s="574">
        <v>45869</v>
      </c>
      <c r="AD15" s="574">
        <v>45900</v>
      </c>
      <c r="AE15" s="574">
        <v>45930</v>
      </c>
      <c r="AF15" s="348" t="s">
        <v>206</v>
      </c>
      <c r="AG15" s="573">
        <v>45688</v>
      </c>
      <c r="AH15" s="573">
        <v>45716</v>
      </c>
      <c r="AI15" s="573">
        <v>45747</v>
      </c>
      <c r="AJ15" s="573">
        <v>45777</v>
      </c>
      <c r="AK15" s="573">
        <v>45808</v>
      </c>
      <c r="AL15" s="573">
        <v>45838</v>
      </c>
      <c r="AM15" s="573">
        <v>45869</v>
      </c>
      <c r="AN15" s="573">
        <v>45900</v>
      </c>
      <c r="AO15" s="573">
        <v>45930</v>
      </c>
      <c r="AP15" s="548" t="s">
        <v>371</v>
      </c>
      <c r="AQ15" s="573">
        <v>45991</v>
      </c>
      <c r="AR15" s="573">
        <v>46022</v>
      </c>
      <c r="AS15" s="349" t="s">
        <v>287</v>
      </c>
      <c r="AT15" s="349" t="s">
        <v>370</v>
      </c>
    </row>
    <row r="16" spans="2:46" x14ac:dyDescent="0.25">
      <c r="B16" s="666" t="s">
        <v>2</v>
      </c>
      <c r="C16" s="667"/>
      <c r="D16" s="350">
        <v>12767.593177718407</v>
      </c>
      <c r="E16" s="350">
        <v>6113.1711943761493</v>
      </c>
      <c r="F16" s="350">
        <v>6127.5857542320337</v>
      </c>
      <c r="G16" s="350">
        <v>6569.6085756122675</v>
      </c>
      <c r="H16" s="350">
        <v>5526.4559582071479</v>
      </c>
      <c r="I16" s="350">
        <v>7567.276701019865</v>
      </c>
      <c r="J16" s="350">
        <v>7549.4577058940104</v>
      </c>
      <c r="K16" s="350">
        <v>6427.3261486218844</v>
      </c>
      <c r="L16" s="350">
        <v>5052.1015643449282</v>
      </c>
      <c r="M16" s="552">
        <v>5184.0236073104797</v>
      </c>
      <c r="N16" s="351">
        <v>5656.0279656004059</v>
      </c>
      <c r="O16" s="351">
        <v>7290.1838387748558</v>
      </c>
      <c r="P16" s="351">
        <v>6944.7902569927001</v>
      </c>
      <c r="Q16" s="351">
        <v>7864.4086591995456</v>
      </c>
      <c r="R16" s="351">
        <v>8702.9839764959288</v>
      </c>
      <c r="S16" s="351">
        <v>4188</v>
      </c>
      <c r="T16" s="351">
        <v>4938.75</v>
      </c>
      <c r="U16" s="351">
        <v>4938.75</v>
      </c>
      <c r="V16" s="351">
        <v>6152</v>
      </c>
      <c r="W16" s="351">
        <v>6721.05</v>
      </c>
      <c r="X16" s="351">
        <v>6501.14</v>
      </c>
      <c r="Y16" s="351">
        <v>7108.5</v>
      </c>
      <c r="Z16" s="351">
        <v>7861.75</v>
      </c>
      <c r="AA16" s="351">
        <v>7877.62</v>
      </c>
      <c r="AB16" s="351">
        <v>6887.45</v>
      </c>
      <c r="AC16" s="351">
        <v>7418.55</v>
      </c>
      <c r="AD16" s="351">
        <v>7653.35</v>
      </c>
      <c r="AE16" s="351">
        <v>6170.45</v>
      </c>
      <c r="AF16" s="351">
        <f>+SUMIF('Monthly Detail'!$4:$4, $B$14,'Monthly Detail'!$13:$13)</f>
        <v>6998.25</v>
      </c>
      <c r="AG16" s="351">
        <v>7249.7138221771829</v>
      </c>
      <c r="AH16" s="351">
        <v>4913.4871726024867</v>
      </c>
      <c r="AI16" s="351">
        <v>6536.715075223894</v>
      </c>
      <c r="AJ16" s="351">
        <v>9380.6105949641606</v>
      </c>
      <c r="AK16" s="351">
        <v>10754.416700710424</v>
      </c>
      <c r="AL16" s="351">
        <v>10296.469025833441</v>
      </c>
      <c r="AM16" s="351">
        <v>8231.4189836152764</v>
      </c>
      <c r="AN16" s="351">
        <v>7580.1792553820114</v>
      </c>
      <c r="AO16" s="351">
        <v>6911.5121495078683</v>
      </c>
      <c r="AP16" s="351">
        <v>7871.841058711183</v>
      </c>
      <c r="AQ16" s="351">
        <v>7017.707274880775</v>
      </c>
      <c r="AR16" s="351">
        <v>8571.1672628560773</v>
      </c>
      <c r="AS16" s="369">
        <f>+AF16-R16</f>
        <v>-1704.7339764959288</v>
      </c>
      <c r="AT16" s="369">
        <f>+AF16-AP16</f>
        <v>-873.591058711183</v>
      </c>
    </row>
    <row r="17" spans="2:46" x14ac:dyDescent="0.25">
      <c r="B17" s="668" t="s">
        <v>306</v>
      </c>
      <c r="C17" s="387" t="s">
        <v>263</v>
      </c>
      <c r="D17" s="352">
        <v>256.51065311043124</v>
      </c>
      <c r="E17" s="352">
        <v>54.700956375467307</v>
      </c>
      <c r="F17" s="352">
        <v>60.509581172091615</v>
      </c>
      <c r="G17" s="352">
        <v>80.177126323356731</v>
      </c>
      <c r="H17" s="352">
        <v>67.422003065502309</v>
      </c>
      <c r="I17" s="352">
        <v>74.919583286148907</v>
      </c>
      <c r="J17" s="352">
        <v>82.981115455643277</v>
      </c>
      <c r="K17" s="352">
        <v>86.779038688271072</v>
      </c>
      <c r="L17" s="352">
        <v>108.87894268230215</v>
      </c>
      <c r="M17" s="553">
        <v>114.89662036418613</v>
      </c>
      <c r="N17" s="353">
        <v>112.59858256341047</v>
      </c>
      <c r="O17" s="353">
        <v>88.894304962013294</v>
      </c>
      <c r="P17" s="353">
        <v>90.046534000187862</v>
      </c>
      <c r="Q17" s="353">
        <v>58.764254085682659</v>
      </c>
      <c r="R17" s="353">
        <v>79.39651691981237</v>
      </c>
      <c r="S17" s="353">
        <v>48</v>
      </c>
      <c r="T17" s="353">
        <v>50</v>
      </c>
      <c r="U17" s="353">
        <v>50</v>
      </c>
      <c r="V17" s="353">
        <v>61</v>
      </c>
      <c r="W17" s="353">
        <v>66</v>
      </c>
      <c r="X17" s="353">
        <v>69</v>
      </c>
      <c r="Y17" s="353">
        <v>68</v>
      </c>
      <c r="Z17" s="353">
        <v>82</v>
      </c>
      <c r="AA17" s="353">
        <v>83</v>
      </c>
      <c r="AB17" s="353">
        <v>72</v>
      </c>
      <c r="AC17" s="353">
        <v>76</v>
      </c>
      <c r="AD17" s="353">
        <v>73</v>
      </c>
      <c r="AE17" s="353">
        <v>62</v>
      </c>
      <c r="AF17" s="353">
        <f>+SUMIF('Monthly Detail'!$4:$4, $B$14,'Monthly Detail'!15:15)</f>
        <v>72</v>
      </c>
      <c r="AG17" s="353">
        <v>80.370052335922722</v>
      </c>
      <c r="AH17" s="353">
        <v>59.794008464817153</v>
      </c>
      <c r="AI17" s="353">
        <v>75.75967415903979</v>
      </c>
      <c r="AJ17" s="353">
        <v>108.72005187758309</v>
      </c>
      <c r="AK17" s="353">
        <v>130.30784367242583</v>
      </c>
      <c r="AL17" s="353">
        <v>113.65212523692115</v>
      </c>
      <c r="AM17" s="353">
        <v>95.401071163235301</v>
      </c>
      <c r="AN17" s="353">
        <v>92.036777644691625</v>
      </c>
      <c r="AO17" s="353">
        <v>76.462454067750741</v>
      </c>
      <c r="AP17" s="353">
        <v>91.233609967202582</v>
      </c>
      <c r="AQ17" s="353">
        <v>85.852883775497602</v>
      </c>
      <c r="AR17" s="353">
        <v>94.608294624172601</v>
      </c>
      <c r="AS17" s="447">
        <f t="shared" ref="AS17:AS59" si="0">+AF17-R17</f>
        <v>-7.3965169198123704</v>
      </c>
      <c r="AT17" s="447">
        <f t="shared" ref="AT17:AT59" si="1">+AF17-AP17</f>
        <v>-19.233609967202582</v>
      </c>
    </row>
    <row r="18" spans="2:46" x14ac:dyDescent="0.25">
      <c r="B18" s="669"/>
      <c r="C18" s="388" t="s">
        <v>224</v>
      </c>
      <c r="D18" s="392">
        <v>165.87293965570609</v>
      </c>
      <c r="E18" s="392">
        <v>50.532061316828923</v>
      </c>
      <c r="F18" s="392">
        <v>52.404371684836846</v>
      </c>
      <c r="G18" s="392">
        <v>68.511632193168566</v>
      </c>
      <c r="H18" s="392">
        <v>57.612335182992737</v>
      </c>
      <c r="I18" s="392">
        <v>64.01904345467689</v>
      </c>
      <c r="J18" s="392">
        <v>70.907650620295641</v>
      </c>
      <c r="K18" s="392">
        <v>74.152989179354037</v>
      </c>
      <c r="L18" s="392">
        <v>92.128336115794127</v>
      </c>
      <c r="M18" s="554">
        <v>96.681302501571267</v>
      </c>
      <c r="N18" s="571">
        <v>97.585438221622425</v>
      </c>
      <c r="O18" s="571">
        <v>72.731704059829056</v>
      </c>
      <c r="P18" s="571">
        <v>79.094928513678525</v>
      </c>
      <c r="Q18" s="571">
        <v>51.418722324972329</v>
      </c>
      <c r="R18" s="355">
        <v>64.693458230958228</v>
      </c>
      <c r="S18" s="355">
        <v>42</v>
      </c>
      <c r="T18" s="355">
        <v>46</v>
      </c>
      <c r="U18" s="355">
        <v>46</v>
      </c>
      <c r="V18" s="355">
        <v>54</v>
      </c>
      <c r="W18" s="355">
        <v>59</v>
      </c>
      <c r="X18" s="355">
        <v>59</v>
      </c>
      <c r="Y18" s="355">
        <v>63</v>
      </c>
      <c r="Z18" s="355">
        <v>69</v>
      </c>
      <c r="AA18" s="355">
        <v>78</v>
      </c>
      <c r="AB18" s="355">
        <v>62</v>
      </c>
      <c r="AC18" s="355">
        <v>67</v>
      </c>
      <c r="AD18" s="355">
        <v>60</v>
      </c>
      <c r="AE18" s="355">
        <v>54</v>
      </c>
      <c r="AF18" s="355">
        <f>+SUMIF('Monthly Detail'!$4:$4, $B$14,'Monthly Detail'!16:16)</f>
        <v>58</v>
      </c>
      <c r="AG18" s="355">
        <v>65.975416096652978</v>
      </c>
      <c r="AH18" s="355">
        <v>55.753872757734911</v>
      </c>
      <c r="AI18" s="355">
        <v>66.904647309281899</v>
      </c>
      <c r="AJ18" s="355">
        <v>91.993890050262607</v>
      </c>
      <c r="AK18" s="355">
        <v>109.64928309021199</v>
      </c>
      <c r="AL18" s="355">
        <v>98.498508538665007</v>
      </c>
      <c r="AM18" s="355">
        <v>78.055421860828872</v>
      </c>
      <c r="AN18" s="355">
        <v>80.843115498715619</v>
      </c>
      <c r="AO18" s="355">
        <v>66.904647309281899</v>
      </c>
      <c r="AP18" s="355">
        <v>74.338497010313219</v>
      </c>
      <c r="AQ18" s="355">
        <v>78.984653073457793</v>
      </c>
      <c r="AR18" s="355">
        <v>80.843115498715619</v>
      </c>
      <c r="AS18" s="448">
        <f t="shared" si="0"/>
        <v>-6.6934582309582282</v>
      </c>
      <c r="AT18" s="448">
        <f t="shared" si="1"/>
        <v>-16.338497010313219</v>
      </c>
    </row>
    <row r="19" spans="2:46" x14ac:dyDescent="0.25">
      <c r="B19" s="669"/>
      <c r="C19" s="389" t="s">
        <v>266</v>
      </c>
      <c r="D19" s="354">
        <v>100.62958339112835</v>
      </c>
      <c r="E19" s="354">
        <v>26.845157574565366</v>
      </c>
      <c r="F19" s="354">
        <v>46.165756008070559</v>
      </c>
      <c r="G19" s="354">
        <v>30.103595963664979</v>
      </c>
      <c r="H19" s="354">
        <v>35.068377937473841</v>
      </c>
      <c r="I19" s="354">
        <v>29.638446043831895</v>
      </c>
      <c r="J19" s="354">
        <v>42.063860537463519</v>
      </c>
      <c r="K19" s="354">
        <v>40.218570402361514</v>
      </c>
      <c r="L19" s="354">
        <v>45.332990787136794</v>
      </c>
      <c r="M19" s="555">
        <v>42.035348913726637</v>
      </c>
      <c r="N19" s="355">
        <v>47.541623748995541</v>
      </c>
      <c r="O19" s="355">
        <v>43.404404035704438</v>
      </c>
      <c r="P19" s="355">
        <v>40.1377249173891</v>
      </c>
      <c r="Q19" s="355">
        <v>27.423318573318575</v>
      </c>
      <c r="R19" s="355">
        <v>43.128972153972157</v>
      </c>
      <c r="S19" s="355">
        <v>37</v>
      </c>
      <c r="T19" s="355">
        <v>28</v>
      </c>
      <c r="U19" s="355">
        <v>28</v>
      </c>
      <c r="V19" s="355">
        <v>25</v>
      </c>
      <c r="W19" s="355">
        <v>35</v>
      </c>
      <c r="X19" s="355">
        <v>32</v>
      </c>
      <c r="Y19" s="355">
        <v>31</v>
      </c>
      <c r="Z19" s="355">
        <v>30</v>
      </c>
      <c r="AA19" s="355">
        <v>38</v>
      </c>
      <c r="AB19" s="355">
        <v>37</v>
      </c>
      <c r="AC19" s="355">
        <v>34</v>
      </c>
      <c r="AD19" s="355">
        <v>32</v>
      </c>
      <c r="AE19" s="355">
        <v>36</v>
      </c>
      <c r="AF19" s="355">
        <f>+SUMIF('Monthly Detail'!$4:$4, $B$14,'Monthly Detail'!17:17)</f>
        <v>33</v>
      </c>
      <c r="AG19" s="355">
        <v>40.158948928397464</v>
      </c>
      <c r="AH19" s="355">
        <v>33.937139939490812</v>
      </c>
      <c r="AI19" s="355">
        <v>40.724567927388982</v>
      </c>
      <c r="AJ19" s="355">
        <v>55.996280900159853</v>
      </c>
      <c r="AK19" s="355">
        <v>66.743041880998604</v>
      </c>
      <c r="AL19" s="355">
        <v>59.955613893100434</v>
      </c>
      <c r="AM19" s="355">
        <v>47.51199591528713</v>
      </c>
      <c r="AN19" s="355">
        <v>49.208852912261676</v>
      </c>
      <c r="AO19" s="355">
        <v>40.724567927388975</v>
      </c>
      <c r="AP19" s="355">
        <v>45.249519919321088</v>
      </c>
      <c r="AQ19" s="355">
        <v>48.077614914278655</v>
      </c>
      <c r="AR19" s="355">
        <v>49.208852912261676</v>
      </c>
      <c r="AS19" s="448">
        <f>+AF19-R19</f>
        <v>-10.128972153972157</v>
      </c>
      <c r="AT19" s="448">
        <f>+AF19-AP19</f>
        <v>-12.249519919321088</v>
      </c>
    </row>
    <row r="20" spans="2:46" x14ac:dyDescent="0.25">
      <c r="B20" s="669"/>
      <c r="C20" s="390" t="s">
        <v>273</v>
      </c>
      <c r="D20" s="354">
        <v>19</v>
      </c>
      <c r="E20" s="494">
        <v>-19</v>
      </c>
      <c r="F20" s="494">
        <v>14</v>
      </c>
      <c r="G20" s="494">
        <v>4</v>
      </c>
      <c r="H20" s="494">
        <v>15</v>
      </c>
      <c r="I20" s="494">
        <v>12</v>
      </c>
      <c r="J20" s="494">
        <v>12</v>
      </c>
      <c r="K20" s="494">
        <v>14</v>
      </c>
      <c r="L20" s="494">
        <v>31</v>
      </c>
      <c r="M20" s="556">
        <v>30</v>
      </c>
      <c r="N20" s="493">
        <v>21</v>
      </c>
      <c r="O20" s="493">
        <v>11</v>
      </c>
      <c r="P20" s="493">
        <v>8</v>
      </c>
      <c r="Q20" s="493">
        <v>-12</v>
      </c>
      <c r="R20" s="360">
        <v>12</v>
      </c>
      <c r="S20" s="493">
        <v>-23</v>
      </c>
      <c r="T20" s="493">
        <v>-20</v>
      </c>
      <c r="U20" s="493">
        <v>-20</v>
      </c>
      <c r="V20" s="493">
        <v>8</v>
      </c>
      <c r="W20" s="493">
        <v>5</v>
      </c>
      <c r="X20" s="493">
        <v>0</v>
      </c>
      <c r="Y20" s="493">
        <v>4</v>
      </c>
      <c r="Z20" s="493">
        <v>6</v>
      </c>
      <c r="AA20" s="493">
        <v>9</v>
      </c>
      <c r="AB20" s="493">
        <v>-15</v>
      </c>
      <c r="AC20" s="493">
        <v>5</v>
      </c>
      <c r="AD20" s="493">
        <v>-7</v>
      </c>
      <c r="AE20" s="493">
        <v>-6</v>
      </c>
      <c r="AF20" s="493">
        <f>+SUMIF('Monthly Detail'!$4:$4, $B$14,'Monthly Detail'!18:18)</f>
        <v>3</v>
      </c>
      <c r="AG20" s="493">
        <v>9</v>
      </c>
      <c r="AH20" s="493">
        <v>-11</v>
      </c>
      <c r="AI20" s="493">
        <v>12</v>
      </c>
      <c r="AJ20" s="493">
        <v>27</v>
      </c>
      <c r="AK20" s="493">
        <v>19</v>
      </c>
      <c r="AL20" s="493">
        <v>-12</v>
      </c>
      <c r="AM20" s="493">
        <v>-22</v>
      </c>
      <c r="AN20" s="493">
        <v>3</v>
      </c>
      <c r="AO20" s="493">
        <v>-15</v>
      </c>
      <c r="AP20" s="493">
        <v>8</v>
      </c>
      <c r="AQ20" s="493">
        <v>5</v>
      </c>
      <c r="AR20" s="493">
        <v>2</v>
      </c>
      <c r="AS20" s="448">
        <f t="shared" si="0"/>
        <v>-9</v>
      </c>
      <c r="AT20" s="448">
        <f t="shared" si="1"/>
        <v>-5</v>
      </c>
    </row>
    <row r="21" spans="2:46" x14ac:dyDescent="0.25">
      <c r="B21" s="669"/>
      <c r="C21" s="390" t="s">
        <v>264</v>
      </c>
      <c r="D21" s="354">
        <v>283.23351514911803</v>
      </c>
      <c r="E21" s="354">
        <v>61.120073210808826</v>
      </c>
      <c r="F21" s="354">
        <v>65.670948446448648</v>
      </c>
      <c r="G21" s="354">
        <v>88.973898358212793</v>
      </c>
      <c r="H21" s="354">
        <v>72.95425430582317</v>
      </c>
      <c r="I21" s="354">
        <v>81.803715152875711</v>
      </c>
      <c r="J21" s="354">
        <v>89.24796527249309</v>
      </c>
      <c r="K21" s="354">
        <v>92.278226887459269</v>
      </c>
      <c r="L21" s="354">
        <v>114.05626725962674</v>
      </c>
      <c r="M21" s="555">
        <v>120.85284802041379</v>
      </c>
      <c r="N21" s="355">
        <v>118.44579731062522</v>
      </c>
      <c r="O21" s="355">
        <v>93.836717504425835</v>
      </c>
      <c r="P21" s="355">
        <v>96.266988220642077</v>
      </c>
      <c r="Q21" s="355">
        <v>65.510345956774529</v>
      </c>
      <c r="R21" s="355">
        <v>85.463765031178127</v>
      </c>
      <c r="S21" s="355">
        <v>52</v>
      </c>
      <c r="T21" s="355">
        <v>55</v>
      </c>
      <c r="U21" s="355">
        <v>55</v>
      </c>
      <c r="V21" s="355">
        <v>66</v>
      </c>
      <c r="W21" s="355">
        <v>70</v>
      </c>
      <c r="X21" s="355">
        <v>74</v>
      </c>
      <c r="Y21" s="355">
        <v>72</v>
      </c>
      <c r="Z21" s="355">
        <v>90</v>
      </c>
      <c r="AA21" s="355">
        <v>90</v>
      </c>
      <c r="AB21" s="355">
        <v>77</v>
      </c>
      <c r="AC21" s="355">
        <v>88</v>
      </c>
      <c r="AD21" s="355">
        <v>84</v>
      </c>
      <c r="AE21" s="355">
        <v>68</v>
      </c>
      <c r="AF21" s="355">
        <f>+SUMIF('Monthly Detail'!$4:$4, $B$14,'Monthly Detail'!21:21)</f>
        <v>76</v>
      </c>
      <c r="AG21" s="355">
        <v>87.112252642472953</v>
      </c>
      <c r="AH21" s="355">
        <v>67.831013698409421</v>
      </c>
      <c r="AI21" s="355">
        <v>81.739075005521499</v>
      </c>
      <c r="AJ21" s="355">
        <v>116.29601929348706</v>
      </c>
      <c r="AK21" s="355">
        <v>141.17984886018414</v>
      </c>
      <c r="AL21" s="355">
        <v>126.68290960416374</v>
      </c>
      <c r="AM21" s="355">
        <v>106.76628368692741</v>
      </c>
      <c r="AN21" s="355">
        <v>101.57688476101515</v>
      </c>
      <c r="AO21" s="355">
        <v>85.666131832219904</v>
      </c>
      <c r="AP21" s="355">
        <v>98.879855373977662</v>
      </c>
      <c r="AQ21" s="355">
        <v>94.976244772217854</v>
      </c>
      <c r="AR21" s="355">
        <v>103.19358300172236</v>
      </c>
      <c r="AS21" s="448">
        <f t="shared" si="0"/>
        <v>-9.4637650311781272</v>
      </c>
      <c r="AT21" s="448">
        <f t="shared" si="1"/>
        <v>-22.879855373977662</v>
      </c>
    </row>
    <row r="22" spans="2:46" x14ac:dyDescent="0.25">
      <c r="B22" s="669"/>
      <c r="C22" s="390" t="s">
        <v>267</v>
      </c>
      <c r="D22" s="354">
        <v>175</v>
      </c>
      <c r="E22" s="354">
        <v>57</v>
      </c>
      <c r="F22" s="354">
        <v>57</v>
      </c>
      <c r="G22" s="354">
        <v>74</v>
      </c>
      <c r="H22" s="354">
        <v>62</v>
      </c>
      <c r="I22" s="354">
        <v>69</v>
      </c>
      <c r="J22" s="354">
        <v>75</v>
      </c>
      <c r="K22" s="354">
        <v>78</v>
      </c>
      <c r="L22" s="354">
        <v>96</v>
      </c>
      <c r="M22" s="555">
        <v>100</v>
      </c>
      <c r="N22" s="355">
        <v>101</v>
      </c>
      <c r="O22" s="355">
        <v>75</v>
      </c>
      <c r="P22" s="355">
        <v>82</v>
      </c>
      <c r="Q22" s="355">
        <v>54</v>
      </c>
      <c r="R22" s="355">
        <v>68</v>
      </c>
      <c r="S22" s="355">
        <v>43</v>
      </c>
      <c r="T22" s="355">
        <v>47</v>
      </c>
      <c r="U22" s="355">
        <v>47</v>
      </c>
      <c r="V22" s="355">
        <v>57</v>
      </c>
      <c r="W22" s="355">
        <v>63</v>
      </c>
      <c r="X22" s="355">
        <v>64</v>
      </c>
      <c r="Y22" s="355">
        <v>65</v>
      </c>
      <c r="Z22" s="355">
        <v>70</v>
      </c>
      <c r="AA22" s="355">
        <v>80</v>
      </c>
      <c r="AB22" s="355">
        <v>64</v>
      </c>
      <c r="AC22" s="355">
        <v>74</v>
      </c>
      <c r="AD22" s="355">
        <v>66</v>
      </c>
      <c r="AE22" s="355">
        <v>56</v>
      </c>
      <c r="AF22" s="355">
        <f>+SUMIF('Monthly Detail'!$4:$4, $B$14,'Monthly Detail'!22:22)</f>
        <v>61</v>
      </c>
      <c r="AG22" s="355">
        <v>71</v>
      </c>
      <c r="AH22" s="355">
        <v>60</v>
      </c>
      <c r="AI22" s="355">
        <v>72</v>
      </c>
      <c r="AJ22" s="355">
        <v>99</v>
      </c>
      <c r="AK22" s="355">
        <v>118</v>
      </c>
      <c r="AL22" s="355">
        <v>106</v>
      </c>
      <c r="AM22" s="355">
        <v>84</v>
      </c>
      <c r="AN22" s="355">
        <v>87</v>
      </c>
      <c r="AO22" s="355">
        <v>72</v>
      </c>
      <c r="AP22" s="355">
        <v>80</v>
      </c>
      <c r="AQ22" s="355">
        <v>85</v>
      </c>
      <c r="AR22" s="355">
        <v>87</v>
      </c>
      <c r="AS22" s="448">
        <f t="shared" si="0"/>
        <v>-7</v>
      </c>
      <c r="AT22" s="448">
        <f t="shared" si="1"/>
        <v>-19</v>
      </c>
    </row>
    <row r="23" spans="2:46" x14ac:dyDescent="0.25">
      <c r="B23" s="669"/>
      <c r="C23" s="390" t="s">
        <v>265</v>
      </c>
      <c r="D23" s="393">
        <v>0.11568338544886071</v>
      </c>
      <c r="E23" s="393">
        <v>0.11462708634538432</v>
      </c>
      <c r="F23" s="393">
        <v>0.10752848488243831</v>
      </c>
      <c r="G23" s="393">
        <v>0.10860212388711181</v>
      </c>
      <c r="H23" s="393">
        <v>0.11064502480641721</v>
      </c>
      <c r="I23" s="393">
        <v>0.11285462076601317</v>
      </c>
      <c r="J23" s="393">
        <v>9.4952269952269963E-2</v>
      </c>
      <c r="K23" s="393">
        <v>7.9698379698379715E-2</v>
      </c>
      <c r="L23" s="393">
        <v>7.6137126137126143E-2</v>
      </c>
      <c r="M23" s="557">
        <v>7.2636922636922632E-2</v>
      </c>
      <c r="N23" s="380">
        <v>7.0448370448370448E-2</v>
      </c>
      <c r="O23" s="380">
        <v>6.8644618644618641E-2</v>
      </c>
      <c r="P23" s="380">
        <v>8.1848081848081844E-2</v>
      </c>
      <c r="Q23" s="380">
        <v>9.2412217412217404E-2</v>
      </c>
      <c r="R23" s="380">
        <v>9.7858840505899325E-2</v>
      </c>
      <c r="S23" s="380">
        <v>7.6923076923076927E-2</v>
      </c>
      <c r="T23" s="380">
        <v>9.0909090909090912E-2</v>
      </c>
      <c r="U23" s="380">
        <v>9.0909090909090912E-2</v>
      </c>
      <c r="V23" s="380">
        <v>7.575757575757576E-2</v>
      </c>
      <c r="W23" s="380">
        <v>5.7142857142857141E-2</v>
      </c>
      <c r="X23" s="380">
        <v>6.7567567567567571E-2</v>
      </c>
      <c r="Y23" s="380">
        <v>5.5555555555555552E-2</v>
      </c>
      <c r="Z23" s="380">
        <v>8.8888888888888892E-2</v>
      </c>
      <c r="AA23" s="380">
        <v>7.7777777777777779E-2</v>
      </c>
      <c r="AB23" s="380">
        <v>6.4935064935064929E-2</v>
      </c>
      <c r="AC23" s="380">
        <v>0.13636363636363635</v>
      </c>
      <c r="AD23" s="380">
        <v>0.13095238095238096</v>
      </c>
      <c r="AE23" s="380">
        <v>8.8235294117647065E-2</v>
      </c>
      <c r="AF23" s="380">
        <f>+SUMIF('Monthly Detail'!$4:$4, $B$14,'Monthly Detail'!23:23)</f>
        <v>5.2631578947368418E-2</v>
      </c>
      <c r="AG23" s="380">
        <v>0.1</v>
      </c>
      <c r="AH23" s="380">
        <v>0.1</v>
      </c>
      <c r="AI23" s="380">
        <v>0.1</v>
      </c>
      <c r="AJ23" s="380">
        <v>0.1</v>
      </c>
      <c r="AK23" s="380">
        <v>0.1</v>
      </c>
      <c r="AL23" s="380">
        <v>0.1</v>
      </c>
      <c r="AM23" s="380">
        <v>0.1</v>
      </c>
      <c r="AN23" s="380">
        <v>0.1</v>
      </c>
      <c r="AO23" s="380">
        <v>0.1</v>
      </c>
      <c r="AP23" s="380">
        <v>0.1</v>
      </c>
      <c r="AQ23" s="380">
        <v>0.1</v>
      </c>
      <c r="AR23" s="380">
        <v>0.1</v>
      </c>
      <c r="AS23" s="449">
        <f>+AF23-R23</f>
        <v>-4.5227261558530907E-2</v>
      </c>
      <c r="AT23" s="449">
        <f t="shared" si="1"/>
        <v>-4.7368421052631587E-2</v>
      </c>
    </row>
    <row r="24" spans="2:46" x14ac:dyDescent="0.25">
      <c r="B24" s="669"/>
      <c r="C24" s="390" t="s">
        <v>271</v>
      </c>
      <c r="D24" s="393">
        <v>0.10581959770470717</v>
      </c>
      <c r="E24" s="393">
        <v>-0.21043654192454808</v>
      </c>
      <c r="F24" s="393">
        <v>0.24772313535325829</v>
      </c>
      <c r="G24" s="393">
        <v>3.805503322982684E-2</v>
      </c>
      <c r="H24" s="393">
        <v>0.25244206919549428</v>
      </c>
      <c r="I24" s="393">
        <v>0.18553784175327581</v>
      </c>
      <c r="J24" s="393">
        <v>0.20182458678467197</v>
      </c>
      <c r="K24" s="393">
        <v>0.25683032507379733</v>
      </c>
      <c r="L24" s="393">
        <v>0.46235454152054167</v>
      </c>
      <c r="M24" s="557">
        <v>0.40117829712422126</v>
      </c>
      <c r="N24" s="380">
        <v>0.25109536181567216</v>
      </c>
      <c r="O24" s="380">
        <v>0.17309200096498478</v>
      </c>
      <c r="P24" s="380">
        <v>0.18052132109967944</v>
      </c>
      <c r="Q24" s="380">
        <v>-0.14302129458379453</v>
      </c>
      <c r="R24" s="380">
        <v>0.19802700427700426</v>
      </c>
      <c r="S24" s="380">
        <v>-0.35384615384615381</v>
      </c>
      <c r="T24" s="380">
        <v>-0.30303030303030298</v>
      </c>
      <c r="U24" s="380">
        <v>-0.30303030303030298</v>
      </c>
      <c r="V24" s="380">
        <v>0.17391304347826098</v>
      </c>
      <c r="W24" s="380">
        <v>9.259259259259256E-2</v>
      </c>
      <c r="X24" s="380">
        <v>0</v>
      </c>
      <c r="Y24" s="380">
        <v>6.7796610169491567E-2</v>
      </c>
      <c r="Z24" s="380">
        <v>9.5238095238095344E-2</v>
      </c>
      <c r="AA24" s="380">
        <v>0.13043478260869557</v>
      </c>
      <c r="AB24" s="380">
        <v>-0.20512820512820518</v>
      </c>
      <c r="AC24" s="380">
        <v>8.0645161290322509E-2</v>
      </c>
      <c r="AD24" s="380">
        <v>-0.10447761194029848</v>
      </c>
      <c r="AE24" s="380">
        <v>-9.9999999999999978E-2</v>
      </c>
      <c r="AF24" s="380">
        <f>+SUMIF('Monthly Detail'!$4:$4, $B$14,'Monthly Detail'!24:24)</f>
        <v>7.4074074074074181E-2</v>
      </c>
      <c r="AG24" s="380">
        <v>0.14516129032258074</v>
      </c>
      <c r="AH24" s="380">
        <v>-0.15492957746478875</v>
      </c>
      <c r="AI24" s="380">
        <v>0.20000000000000018</v>
      </c>
      <c r="AJ24" s="380">
        <v>0.375</v>
      </c>
      <c r="AK24" s="380">
        <v>0.19191919191919182</v>
      </c>
      <c r="AL24" s="380">
        <v>-0.10169491525423735</v>
      </c>
      <c r="AM24" s="380">
        <v>-0.20754716981132082</v>
      </c>
      <c r="AN24" s="380">
        <v>3.5714285714285809E-2</v>
      </c>
      <c r="AO24" s="380">
        <v>-0.17241379310344818</v>
      </c>
      <c r="AP24" s="380">
        <v>0.11111111111111116</v>
      </c>
      <c r="AQ24" s="380">
        <v>6.25E-2</v>
      </c>
      <c r="AR24" s="380">
        <v>2.3529411764705799E-2</v>
      </c>
      <c r="AS24" s="449">
        <f t="shared" si="0"/>
        <v>-0.12395293020293008</v>
      </c>
      <c r="AT24" s="449">
        <f t="shared" si="1"/>
        <v>-3.7037037037036979E-2</v>
      </c>
    </row>
    <row r="25" spans="2:46" x14ac:dyDescent="0.25">
      <c r="B25" s="669"/>
      <c r="C25" s="390" t="s">
        <v>272</v>
      </c>
      <c r="D25" s="393">
        <v>0.94784536946117759</v>
      </c>
      <c r="E25" s="393">
        <v>0.88652739152331439</v>
      </c>
      <c r="F25" s="393">
        <v>0.91937494183924295</v>
      </c>
      <c r="G25" s="393">
        <v>0.92583286747525084</v>
      </c>
      <c r="H25" s="393">
        <v>0.92923121262891517</v>
      </c>
      <c r="I25" s="393">
        <v>0.92781222398082441</v>
      </c>
      <c r="J25" s="393">
        <v>0.94543534160394183</v>
      </c>
      <c r="K25" s="393">
        <v>0.95067934845325697</v>
      </c>
      <c r="L25" s="393">
        <v>0.95967016787285553</v>
      </c>
      <c r="M25" s="557">
        <v>0.96681302501571265</v>
      </c>
      <c r="N25" s="380">
        <v>0.96619245763982597</v>
      </c>
      <c r="O25" s="380">
        <v>0.96975605413105415</v>
      </c>
      <c r="P25" s="380">
        <v>0.96457229894729901</v>
      </c>
      <c r="Q25" s="380">
        <v>0.95219856157356164</v>
      </c>
      <c r="R25" s="380">
        <v>0.95137438574938571</v>
      </c>
      <c r="S25" s="380">
        <v>0.97674418604651159</v>
      </c>
      <c r="T25" s="380">
        <v>0.97872340425531912</v>
      </c>
      <c r="U25" s="380">
        <v>0.97872340425531912</v>
      </c>
      <c r="V25" s="380">
        <v>0.94736842105263153</v>
      </c>
      <c r="W25" s="380">
        <v>0.93650793650793651</v>
      </c>
      <c r="X25" s="380">
        <v>0.921875</v>
      </c>
      <c r="Y25" s="380">
        <v>0.96923076923076923</v>
      </c>
      <c r="Z25" s="380">
        <v>0.98571428571428577</v>
      </c>
      <c r="AA25" s="380">
        <v>0.97499999999999998</v>
      </c>
      <c r="AB25" s="380">
        <v>0.96875</v>
      </c>
      <c r="AC25" s="380">
        <v>0.90540540540540537</v>
      </c>
      <c r="AD25" s="380">
        <v>0.90909090909090906</v>
      </c>
      <c r="AE25" s="380">
        <v>0.9642857142857143</v>
      </c>
      <c r="AF25" s="380">
        <f>+SUMIF('Monthly Detail'!$4:$4, $B$14,'Monthly Detail'!25:25)</f>
        <v>0.95081967213114749</v>
      </c>
      <c r="AG25" s="380">
        <v>0.92923121262891517</v>
      </c>
      <c r="AH25" s="380">
        <v>0.92923121262891517</v>
      </c>
      <c r="AI25" s="380">
        <v>0.92923121262891517</v>
      </c>
      <c r="AJ25" s="380">
        <v>0.92923121262891517</v>
      </c>
      <c r="AK25" s="380">
        <v>0.92923121262891517</v>
      </c>
      <c r="AL25" s="380">
        <v>0.92923121262891517</v>
      </c>
      <c r="AM25" s="380">
        <v>0.92923121262891517</v>
      </c>
      <c r="AN25" s="380">
        <v>0.92923121262891517</v>
      </c>
      <c r="AO25" s="380">
        <v>0.92923121262891517</v>
      </c>
      <c r="AP25" s="380">
        <v>0.92923121262891517</v>
      </c>
      <c r="AQ25" s="380">
        <v>0.92923121262891517</v>
      </c>
      <c r="AR25" s="380">
        <v>0.92923121262891517</v>
      </c>
      <c r="AS25" s="449">
        <f t="shared" si="0"/>
        <v>-5.5471361823822285E-4</v>
      </c>
      <c r="AT25" s="449">
        <f t="shared" si="1"/>
        <v>2.1588459502232316E-2</v>
      </c>
    </row>
    <row r="26" spans="2:46" x14ac:dyDescent="0.25">
      <c r="B26" s="669"/>
      <c r="C26" s="390" t="s">
        <v>274</v>
      </c>
      <c r="D26" s="394">
        <v>1.5464285714285715</v>
      </c>
      <c r="E26" s="394">
        <v>1.1499999999999999</v>
      </c>
      <c r="F26" s="394">
        <v>1.1546666666666667</v>
      </c>
      <c r="G26" s="394">
        <v>1.1702702702702703</v>
      </c>
      <c r="H26" s="394">
        <v>1.1702702702702703</v>
      </c>
      <c r="I26" s="394">
        <v>1.1702702702702703</v>
      </c>
      <c r="J26" s="394">
        <v>1.1702702702702703</v>
      </c>
      <c r="K26" s="394">
        <v>1.1702702702702703</v>
      </c>
      <c r="L26" s="394">
        <v>1.1818181818181819</v>
      </c>
      <c r="M26" s="558">
        <v>1.1884057971014492</v>
      </c>
      <c r="N26" s="383">
        <v>1.1538461538461537</v>
      </c>
      <c r="O26" s="383">
        <v>1.2222222222222223</v>
      </c>
      <c r="P26" s="383">
        <v>1.1384615384615384</v>
      </c>
      <c r="Q26" s="383">
        <v>1.1428571428571428</v>
      </c>
      <c r="R26" s="383">
        <v>1.2272727272727273</v>
      </c>
      <c r="S26" s="383">
        <v>1.1428571428571428</v>
      </c>
      <c r="T26" s="383">
        <v>1.0869565217391304</v>
      </c>
      <c r="U26" s="383">
        <v>1.0869565217391304</v>
      </c>
      <c r="V26" s="383">
        <v>1.1296296296296295</v>
      </c>
      <c r="W26" s="383">
        <v>1.1186440677966101</v>
      </c>
      <c r="X26" s="383">
        <v>1.1694915254237288</v>
      </c>
      <c r="Y26" s="383">
        <v>1.0793650793650793</v>
      </c>
      <c r="Z26" s="383">
        <v>1.1884057971014492</v>
      </c>
      <c r="AA26" s="383">
        <v>1.0641025641025641</v>
      </c>
      <c r="AB26" s="383">
        <v>1.1612903225806452</v>
      </c>
      <c r="AC26" s="383">
        <v>1.1343283582089552</v>
      </c>
      <c r="AD26" s="383">
        <v>1.2166666666666666</v>
      </c>
      <c r="AE26" s="383">
        <v>1.1481481481481481</v>
      </c>
      <c r="AF26" s="383">
        <f>+SUMIF('Monthly Detail'!$4:$4, $B$14,'Monthly Detail'!26:26)</f>
        <v>1.2413793103448276</v>
      </c>
      <c r="AG26" s="383">
        <v>1.2181818181818183</v>
      </c>
      <c r="AH26" s="383">
        <v>1.0724637681159421</v>
      </c>
      <c r="AI26" s="383">
        <v>1.1323529411764706</v>
      </c>
      <c r="AJ26" s="383">
        <v>1.1818181818181819</v>
      </c>
      <c r="AK26" s="383">
        <v>1.1884057971014492</v>
      </c>
      <c r="AL26" s="383">
        <v>1.1538461538461537</v>
      </c>
      <c r="AM26" s="383">
        <v>1.2222222222222223</v>
      </c>
      <c r="AN26" s="383">
        <v>1.1384615384615384</v>
      </c>
      <c r="AO26" s="383">
        <v>1.1428571428571428</v>
      </c>
      <c r="AP26" s="383">
        <v>1.2272727272727273</v>
      </c>
      <c r="AQ26" s="383">
        <v>1.0869565217391304</v>
      </c>
      <c r="AR26" s="383">
        <v>1.1702702702702703</v>
      </c>
      <c r="AS26" s="450">
        <f t="shared" si="0"/>
        <v>1.4106583072100332E-2</v>
      </c>
      <c r="AT26" s="450">
        <f t="shared" si="1"/>
        <v>1.4106583072100332E-2</v>
      </c>
    </row>
    <row r="27" spans="2:46" x14ac:dyDescent="0.25">
      <c r="B27" s="669"/>
      <c r="C27" s="390" t="s">
        <v>245</v>
      </c>
      <c r="D27" s="357">
        <v>169.29703105288462</v>
      </c>
      <c r="E27" s="357">
        <v>68.923205033088806</v>
      </c>
      <c r="F27" s="357">
        <v>69.586018347905366</v>
      </c>
      <c r="G27" s="357">
        <v>76.168270007188895</v>
      </c>
      <c r="H27" s="357">
        <v>64.050902912227201</v>
      </c>
      <c r="I27" s="357">
        <v>86.157520779071248</v>
      </c>
      <c r="J27" s="357">
        <v>82.981115455643277</v>
      </c>
      <c r="K27" s="357">
        <v>127.56518687175848</v>
      </c>
      <c r="L27" s="357">
        <v>108.87894268230215</v>
      </c>
      <c r="M27" s="559">
        <v>109.90111513096065</v>
      </c>
      <c r="N27" s="358">
        <v>118.22851169158101</v>
      </c>
      <c r="O27" s="358">
        <v>147.56454623694205</v>
      </c>
      <c r="P27" s="358">
        <v>142.68282614757041</v>
      </c>
      <c r="Q27" s="358">
        <v>157.74121371027621</v>
      </c>
      <c r="R27" s="211">
        <v>173.98619448477405</v>
      </c>
      <c r="S27" s="211">
        <v>48</v>
      </c>
      <c r="T27" s="211">
        <v>50</v>
      </c>
      <c r="U27" s="211">
        <v>50</v>
      </c>
      <c r="V27" s="211">
        <v>61</v>
      </c>
      <c r="W27" s="211">
        <v>66</v>
      </c>
      <c r="X27" s="211">
        <v>143.75</v>
      </c>
      <c r="Y27" s="211">
        <v>155.5</v>
      </c>
      <c r="Z27" s="211">
        <v>170.75</v>
      </c>
      <c r="AA27" s="211">
        <v>168.75</v>
      </c>
      <c r="AB27" s="211">
        <v>135</v>
      </c>
      <c r="AC27" s="211">
        <v>146</v>
      </c>
      <c r="AD27" s="211">
        <v>150.85</v>
      </c>
      <c r="AE27" s="211">
        <v>124</v>
      </c>
      <c r="AF27" s="211">
        <f>+SUMIF('Monthly Detail'!$4:$4, $B$14,'Monthly Detail'!30:30)</f>
        <v>140</v>
      </c>
      <c r="AG27" s="211">
        <v>84.02323653301012</v>
      </c>
      <c r="AH27" s="211">
        <v>56.946674728397284</v>
      </c>
      <c r="AI27" s="211">
        <v>75.75967415903979</v>
      </c>
      <c r="AJ27" s="211">
        <v>108.72005187758309</v>
      </c>
      <c r="AK27" s="211">
        <v>124.64228525188558</v>
      </c>
      <c r="AL27" s="211">
        <v>119.33473149876721</v>
      </c>
      <c r="AM27" s="211">
        <v>95.401071163235301</v>
      </c>
      <c r="AN27" s="211">
        <v>87.853287751751097</v>
      </c>
      <c r="AO27" s="211">
        <v>80.103523309072202</v>
      </c>
      <c r="AP27" s="211">
        <v>91.233609967202582</v>
      </c>
      <c r="AQ27" s="211">
        <v>81.334310945208259</v>
      </c>
      <c r="AR27" s="211">
        <v>99.338709355381241</v>
      </c>
      <c r="AS27" s="451">
        <f t="shared" si="0"/>
        <v>-33.986194484774046</v>
      </c>
      <c r="AT27" s="451">
        <f t="shared" si="1"/>
        <v>48.766390032797418</v>
      </c>
    </row>
    <row r="28" spans="2:46" x14ac:dyDescent="0.25">
      <c r="B28" s="669"/>
      <c r="C28" s="390" t="s">
        <v>49</v>
      </c>
      <c r="D28" s="385">
        <v>75.415340117394592</v>
      </c>
      <c r="E28" s="385">
        <v>86.436561218253942</v>
      </c>
      <c r="F28" s="385">
        <v>84.88071657270342</v>
      </c>
      <c r="G28" s="385">
        <v>83.730254486896499</v>
      </c>
      <c r="H28" s="385">
        <v>83.625002529116458</v>
      </c>
      <c r="I28" s="385">
        <v>85.650420167034099</v>
      </c>
      <c r="J28" s="385">
        <v>88.96199189699189</v>
      </c>
      <c r="K28" s="385">
        <v>48.977397137192433</v>
      </c>
      <c r="L28" s="385">
        <v>44.757100303680758</v>
      </c>
      <c r="M28" s="560">
        <v>45.364761760358498</v>
      </c>
      <c r="N28" s="381">
        <v>45.983801775159947</v>
      </c>
      <c r="O28" s="381">
        <v>47.00030656666474</v>
      </c>
      <c r="P28" s="381">
        <v>46.181382861030976</v>
      </c>
      <c r="Q28" s="381">
        <v>47.304226568963344</v>
      </c>
      <c r="R28" s="381">
        <v>47.583410079568715</v>
      </c>
      <c r="S28" s="381">
        <v>80.538461538461533</v>
      </c>
      <c r="T28" s="381">
        <v>89.795454545454547</v>
      </c>
      <c r="U28" s="381">
        <v>89.795454545454547</v>
      </c>
      <c r="V28" s="381">
        <v>93.212121212121218</v>
      </c>
      <c r="W28" s="381">
        <v>96.015000000000001</v>
      </c>
      <c r="X28" s="381">
        <v>41.146455696202537</v>
      </c>
      <c r="Y28" s="381">
        <v>43.947449768160745</v>
      </c>
      <c r="Z28" s="381">
        <v>42.324360699865409</v>
      </c>
      <c r="AA28" s="381">
        <v>43.462731034482758</v>
      </c>
      <c r="AB28" s="381">
        <v>48.163986013986012</v>
      </c>
      <c r="AC28" s="381">
        <v>43.131104651162794</v>
      </c>
      <c r="AD28" s="381">
        <v>44.795727246122333</v>
      </c>
      <c r="AE28" s="381">
        <v>45.622550831792978</v>
      </c>
      <c r="AF28" s="381">
        <f>+SUMIF('Monthly Detail'!$4:$4, $B$14,'Monthly Detail'!32:32)</f>
        <v>47.851282051282048</v>
      </c>
      <c r="AG28" s="381">
        <v>83.625002529116458</v>
      </c>
      <c r="AH28" s="381">
        <v>83.625002529116458</v>
      </c>
      <c r="AI28" s="381">
        <v>83.625002529116458</v>
      </c>
      <c r="AJ28" s="381">
        <v>83.625002529116458</v>
      </c>
      <c r="AK28" s="381">
        <v>83.625002529116458</v>
      </c>
      <c r="AL28" s="381">
        <v>83.625002529116458</v>
      </c>
      <c r="AM28" s="381">
        <v>83.625002529116458</v>
      </c>
      <c r="AN28" s="381">
        <v>83.625002529116458</v>
      </c>
      <c r="AO28" s="381">
        <v>83.625002529116458</v>
      </c>
      <c r="AP28" s="381">
        <v>83.625002529116458</v>
      </c>
      <c r="AQ28" s="381">
        <v>83.625002529116458</v>
      </c>
      <c r="AR28" s="381">
        <v>83.625002529116458</v>
      </c>
      <c r="AS28" s="452">
        <f t="shared" si="0"/>
        <v>0.26787197171333332</v>
      </c>
      <c r="AT28" s="452">
        <f t="shared" si="1"/>
        <v>-35.773720477834409</v>
      </c>
    </row>
    <row r="29" spans="2:46" hidden="1" x14ac:dyDescent="0.25">
      <c r="B29" s="356"/>
      <c r="C29" s="390" t="s">
        <v>258</v>
      </c>
      <c r="D29" s="359">
        <v>0</v>
      </c>
      <c r="E29" s="359">
        <v>0</v>
      </c>
      <c r="F29" s="359">
        <v>0</v>
      </c>
      <c r="G29" s="359">
        <v>0</v>
      </c>
      <c r="H29" s="359">
        <v>0</v>
      </c>
      <c r="I29" s="359">
        <v>0</v>
      </c>
      <c r="J29" s="359">
        <v>0</v>
      </c>
      <c r="K29" s="359">
        <v>0</v>
      </c>
      <c r="L29" s="359">
        <v>0</v>
      </c>
      <c r="M29" s="561">
        <v>0</v>
      </c>
      <c r="N29" s="360">
        <v>0</v>
      </c>
      <c r="O29" s="360">
        <v>0</v>
      </c>
      <c r="P29" s="360">
        <v>0</v>
      </c>
      <c r="Q29" s="360">
        <v>0</v>
      </c>
      <c r="R29" s="358">
        <v>0</v>
      </c>
      <c r="S29" s="358">
        <v>0</v>
      </c>
      <c r="T29" s="358">
        <v>0</v>
      </c>
      <c r="U29" s="358">
        <v>0</v>
      </c>
      <c r="V29" s="358">
        <v>0</v>
      </c>
      <c r="W29" s="358">
        <v>0</v>
      </c>
      <c r="X29" s="358">
        <v>0</v>
      </c>
      <c r="Y29" s="358">
        <v>0</v>
      </c>
      <c r="Z29" s="358">
        <v>0</v>
      </c>
      <c r="AA29" s="358">
        <v>0</v>
      </c>
      <c r="AB29" s="358">
        <v>0</v>
      </c>
      <c r="AC29" s="358">
        <v>0</v>
      </c>
      <c r="AD29" s="358">
        <v>0</v>
      </c>
      <c r="AE29" s="358">
        <v>0</v>
      </c>
      <c r="AF29" s="358">
        <f>+SUMIF('Monthly Detail'!$4:$4, O14,'Monthly Detail'!30:30)</f>
        <v>0</v>
      </c>
      <c r="AG29" s="358">
        <v>0</v>
      </c>
      <c r="AH29" s="358">
        <v>0</v>
      </c>
      <c r="AI29" s="358">
        <v>0</v>
      </c>
      <c r="AJ29" s="358">
        <v>0</v>
      </c>
      <c r="AK29" s="358">
        <v>0</v>
      </c>
      <c r="AL29" s="358">
        <v>0</v>
      </c>
      <c r="AM29" s="358">
        <v>0</v>
      </c>
      <c r="AN29" s="358">
        <v>0</v>
      </c>
      <c r="AO29" s="358">
        <v>0</v>
      </c>
      <c r="AP29" s="358">
        <v>0</v>
      </c>
      <c r="AQ29" s="358">
        <v>0</v>
      </c>
      <c r="AR29" s="358">
        <v>0</v>
      </c>
      <c r="AS29" s="453">
        <f t="shared" si="0"/>
        <v>0</v>
      </c>
      <c r="AT29" s="453">
        <f t="shared" si="1"/>
        <v>0</v>
      </c>
    </row>
    <row r="30" spans="2:46" ht="2.65" customHeight="1" x14ac:dyDescent="0.25">
      <c r="B30" s="361"/>
      <c r="C30" s="390"/>
      <c r="D30" s="359"/>
      <c r="E30" s="359"/>
      <c r="F30" s="359"/>
      <c r="G30" s="359"/>
      <c r="H30" s="359"/>
      <c r="I30" s="359"/>
      <c r="J30" s="359"/>
      <c r="K30" s="359"/>
      <c r="L30" s="359"/>
      <c r="M30" s="561"/>
      <c r="N30" s="360"/>
      <c r="O30" s="360"/>
      <c r="P30" s="360"/>
      <c r="Q30" s="360"/>
      <c r="R30" s="360"/>
      <c r="S30" s="360"/>
      <c r="T30" s="360"/>
      <c r="U30" s="360"/>
      <c r="V30" s="360"/>
      <c r="W30" s="360"/>
      <c r="X30" s="360"/>
      <c r="Y30" s="360"/>
      <c r="Z30" s="360"/>
      <c r="AA30" s="360"/>
      <c r="AB30" s="360"/>
      <c r="AC30" s="360"/>
      <c r="AD30" s="360"/>
      <c r="AE30" s="360"/>
      <c r="AF30" s="360"/>
      <c r="AG30" s="360"/>
      <c r="AH30" s="360"/>
      <c r="AI30" s="360"/>
      <c r="AJ30" s="360"/>
      <c r="AK30" s="360"/>
      <c r="AL30" s="360"/>
      <c r="AM30" s="360"/>
      <c r="AN30" s="360"/>
      <c r="AO30" s="360"/>
      <c r="AP30" s="360"/>
      <c r="AQ30" s="360"/>
      <c r="AR30" s="360"/>
      <c r="AS30" s="453">
        <f t="shared" si="0"/>
        <v>0</v>
      </c>
      <c r="AT30" s="453">
        <f t="shared" si="1"/>
        <v>0</v>
      </c>
    </row>
    <row r="31" spans="2:46" ht="15.75" thickBot="1" x14ac:dyDescent="0.3">
      <c r="B31" s="362"/>
      <c r="C31" s="391" t="s">
        <v>50</v>
      </c>
      <c r="D31" s="363">
        <v>3.7499999999999999E-3</v>
      </c>
      <c r="E31" s="363">
        <v>7.4999999999999997E-3</v>
      </c>
      <c r="F31" s="363">
        <v>6.2500000000000003E-3</v>
      </c>
      <c r="G31" s="363">
        <v>6.2500000000000003E-3</v>
      </c>
      <c r="H31" s="363">
        <v>6.2500000000000003E-3</v>
      </c>
      <c r="I31" s="363">
        <v>6.2500000000000003E-3</v>
      </c>
      <c r="J31" s="363">
        <v>6.2500000000000003E-3</v>
      </c>
      <c r="K31" s="363">
        <v>8.7500000000000008E-3</v>
      </c>
      <c r="L31" s="363">
        <v>5.681818181818182E-3</v>
      </c>
      <c r="M31" s="562">
        <v>5.434782608695652E-3</v>
      </c>
      <c r="N31" s="364">
        <v>6.2500000000000003E-3</v>
      </c>
      <c r="O31" s="364">
        <v>9.4318181818181818E-3</v>
      </c>
      <c r="P31" s="364">
        <v>9.4318181818181818E-3</v>
      </c>
      <c r="Q31" s="364">
        <v>1.5251736111111112E-2</v>
      </c>
      <c r="R31" s="364">
        <v>1.1909554482018251E-2</v>
      </c>
      <c r="S31" s="364">
        <v>5.9523809523809521E-3</v>
      </c>
      <c r="T31" s="364">
        <v>6.5789473684210531E-3</v>
      </c>
      <c r="U31" s="364">
        <v>6.5789473684210531E-3</v>
      </c>
      <c r="V31" s="364">
        <v>6.5789473684210531E-3</v>
      </c>
      <c r="W31" s="364">
        <v>5.434782608695652E-3</v>
      </c>
      <c r="X31" s="364">
        <v>1.3020833333333334E-2</v>
      </c>
      <c r="Y31" s="364">
        <v>1.3611694677871149E-2</v>
      </c>
      <c r="Z31" s="364">
        <v>1.1831347006651885E-2</v>
      </c>
      <c r="AA31" s="364">
        <v>1.1551889375684557E-2</v>
      </c>
      <c r="AB31" s="364">
        <v>1.1160714285714286E-2</v>
      </c>
      <c r="AC31" s="364">
        <v>1.0915071770334928E-2</v>
      </c>
      <c r="AD31" s="364">
        <v>1.2300228310502282E-2</v>
      </c>
      <c r="AE31" s="364">
        <v>1.1363636363636364E-2</v>
      </c>
      <c r="AF31" s="364">
        <f>+SUMIF('Monthly Detail'!$4:$4, $B$14,'Monthly Detail'!46:46)</f>
        <v>1.0567632850241546E-2</v>
      </c>
      <c r="AG31" s="364">
        <v>5.681818181818182E-3</v>
      </c>
      <c r="AH31" s="364">
        <v>5.9523809523809521E-3</v>
      </c>
      <c r="AI31" s="364">
        <v>5.9523809523809521E-3</v>
      </c>
      <c r="AJ31" s="364">
        <v>5.681818181818182E-3</v>
      </c>
      <c r="AK31" s="364">
        <v>5.434782608695652E-3</v>
      </c>
      <c r="AL31" s="364">
        <v>6.2500000000000003E-3</v>
      </c>
      <c r="AM31" s="364">
        <v>5.681818181818182E-3</v>
      </c>
      <c r="AN31" s="364">
        <v>5.681818181818182E-3</v>
      </c>
      <c r="AO31" s="364">
        <v>5.9523809523809521E-3</v>
      </c>
      <c r="AP31" s="364">
        <v>5.434782608695652E-3</v>
      </c>
      <c r="AQ31" s="364">
        <v>6.5789473684210531E-3</v>
      </c>
      <c r="AR31" s="364">
        <v>6.2500000000000003E-3</v>
      </c>
      <c r="AS31" s="454">
        <f t="shared" si="0"/>
        <v>-1.341921631776705E-3</v>
      </c>
      <c r="AT31" s="454">
        <f t="shared" si="1"/>
        <v>5.132850241545894E-3</v>
      </c>
    </row>
    <row r="32" spans="2:46" ht="3.4" customHeight="1" x14ac:dyDescent="0.25">
      <c r="B32" s="651"/>
      <c r="C32" s="652"/>
      <c r="D32" s="365"/>
      <c r="E32" s="365"/>
      <c r="F32" s="365"/>
      <c r="G32" s="365"/>
      <c r="H32" s="365"/>
      <c r="I32" s="365"/>
      <c r="J32" s="365"/>
      <c r="K32" s="365"/>
      <c r="L32" s="365"/>
      <c r="M32" s="563"/>
      <c r="N32" s="366"/>
      <c r="O32" s="366"/>
      <c r="P32" s="366"/>
      <c r="Q32" s="366"/>
      <c r="R32" s="366"/>
      <c r="S32" s="366"/>
      <c r="T32" s="366"/>
      <c r="U32" s="366"/>
      <c r="V32" s="366"/>
      <c r="W32" s="366"/>
      <c r="X32" s="366"/>
      <c r="Y32" s="366"/>
      <c r="Z32" s="366"/>
      <c r="AA32" s="366"/>
      <c r="AB32" s="366"/>
      <c r="AC32" s="366"/>
      <c r="AD32" s="366"/>
      <c r="AE32" s="366"/>
      <c r="AF32" s="366"/>
      <c r="AG32" s="366"/>
      <c r="AH32" s="366"/>
      <c r="AI32" s="366"/>
      <c r="AJ32" s="366"/>
      <c r="AK32" s="366"/>
      <c r="AL32" s="366"/>
      <c r="AM32" s="366"/>
      <c r="AN32" s="366"/>
      <c r="AO32" s="366"/>
      <c r="AP32" s="366"/>
      <c r="AQ32" s="366"/>
      <c r="AR32" s="366"/>
      <c r="AS32" s="369">
        <f t="shared" si="0"/>
        <v>0</v>
      </c>
      <c r="AT32" s="369">
        <f t="shared" si="1"/>
        <v>0</v>
      </c>
    </row>
    <row r="33" spans="2:46" x14ac:dyDescent="0.25">
      <c r="B33" s="651" t="s">
        <v>215</v>
      </c>
      <c r="C33" s="652"/>
      <c r="D33" s="365"/>
      <c r="E33" s="365"/>
      <c r="F33" s="365"/>
      <c r="G33" s="365"/>
      <c r="H33" s="365"/>
      <c r="I33" s="365"/>
      <c r="J33" s="365"/>
      <c r="K33" s="365"/>
      <c r="L33" s="365"/>
      <c r="M33" s="563"/>
      <c r="N33" s="366"/>
      <c r="O33" s="366"/>
      <c r="P33" s="366"/>
      <c r="Q33" s="366"/>
      <c r="R33" s="366"/>
      <c r="S33" s="366"/>
      <c r="T33" s="366"/>
      <c r="U33" s="366"/>
      <c r="V33" s="366"/>
      <c r="W33" s="366"/>
      <c r="X33" s="366"/>
      <c r="Y33" s="366"/>
      <c r="Z33" s="366"/>
      <c r="AA33" s="366"/>
      <c r="AB33" s="366"/>
      <c r="AC33" s="366"/>
      <c r="AD33" s="366"/>
      <c r="AE33" s="366"/>
      <c r="AF33" s="366"/>
      <c r="AG33" s="366"/>
      <c r="AH33" s="366"/>
      <c r="AI33" s="366"/>
      <c r="AJ33" s="366"/>
      <c r="AK33" s="366"/>
      <c r="AL33" s="366"/>
      <c r="AM33" s="366"/>
      <c r="AN33" s="366"/>
      <c r="AO33" s="366"/>
      <c r="AP33" s="366"/>
      <c r="AQ33" s="366"/>
      <c r="AR33" s="366"/>
      <c r="AS33" s="369">
        <f t="shared" si="0"/>
        <v>0</v>
      </c>
      <c r="AT33" s="369">
        <f t="shared" si="1"/>
        <v>0</v>
      </c>
    </row>
    <row r="34" spans="2:46" x14ac:dyDescent="0.25">
      <c r="B34" s="651" t="s">
        <v>291</v>
      </c>
      <c r="C34" s="652"/>
      <c r="D34" s="365">
        <v>447.17993697454943</v>
      </c>
      <c r="E34" s="365">
        <v>163.21367642656602</v>
      </c>
      <c r="F34" s="365">
        <v>166.8000223364692</v>
      </c>
      <c r="G34" s="365">
        <v>185.26974045337877</v>
      </c>
      <c r="H34" s="365">
        <v>163.6541684993515</v>
      </c>
      <c r="I34" s="365">
        <v>219.35717727454664</v>
      </c>
      <c r="J34" s="365">
        <v>219.19167202721911</v>
      </c>
      <c r="K34" s="365">
        <v>191.81129032078368</v>
      </c>
      <c r="L34" s="365">
        <v>152.37538751291567</v>
      </c>
      <c r="M34" s="563">
        <v>157.62128769630033</v>
      </c>
      <c r="N34" s="366">
        <v>170.15145128905741</v>
      </c>
      <c r="O34" s="366">
        <v>217.58497478204293</v>
      </c>
      <c r="P34" s="366">
        <v>203.90092738957861</v>
      </c>
      <c r="Q34" s="366">
        <v>228.97021602319393</v>
      </c>
      <c r="R34" s="366">
        <v>261.82208877828219</v>
      </c>
      <c r="S34" s="366">
        <v>128.31</v>
      </c>
      <c r="T34" s="366">
        <v>160.15</v>
      </c>
      <c r="U34" s="366">
        <v>160.15</v>
      </c>
      <c r="V34" s="366">
        <v>171.4</v>
      </c>
      <c r="W34" s="366">
        <v>197.3</v>
      </c>
      <c r="X34" s="366">
        <v>202.11</v>
      </c>
      <c r="Y34" s="366">
        <v>214.54</v>
      </c>
      <c r="Z34" s="366">
        <v>247.79</v>
      </c>
      <c r="AA34" s="366">
        <v>240.23</v>
      </c>
      <c r="AB34" s="366">
        <v>182.1</v>
      </c>
      <c r="AC34" s="366">
        <v>216.6</v>
      </c>
      <c r="AD34" s="366">
        <v>205.55</v>
      </c>
      <c r="AE34" s="366">
        <v>222.12</v>
      </c>
      <c r="AF34" s="366">
        <f>+SUMIF('Monthly Detail'!$4:$4, $B$14,'Monthly Detail'!58:58)</f>
        <v>282</v>
      </c>
      <c r="AG34" s="366">
        <v>214.6847629654431</v>
      </c>
      <c r="AH34" s="366">
        <v>145.50240945471205</v>
      </c>
      <c r="AI34" s="366">
        <v>193.57083064495933</v>
      </c>
      <c r="AJ34" s="366">
        <v>277.78671150997411</v>
      </c>
      <c r="AK34" s="366">
        <v>318.46903986208031</v>
      </c>
      <c r="AL34" s="366">
        <v>304.9078993201195</v>
      </c>
      <c r="AM34" s="366">
        <v>243.75586081217108</v>
      </c>
      <c r="AN34" s="366">
        <v>224.47078968815657</v>
      </c>
      <c r="AO34" s="366">
        <v>204.6696440638637</v>
      </c>
      <c r="AP34" s="366">
        <v>233.1077299384398</v>
      </c>
      <c r="AQ34" s="366">
        <v>207.81438548096992</v>
      </c>
      <c r="AR34" s="366">
        <v>253.81677915816229</v>
      </c>
      <c r="AS34" s="369">
        <f t="shared" si="0"/>
        <v>20.177911221717807</v>
      </c>
      <c r="AT34" s="369">
        <f t="shared" si="1"/>
        <v>48.892270061560197</v>
      </c>
    </row>
    <row r="35" spans="2:46" x14ac:dyDescent="0.25">
      <c r="B35" s="651" t="s">
        <v>292</v>
      </c>
      <c r="C35" s="652"/>
      <c r="D35" s="365">
        <v>93.188842154669175</v>
      </c>
      <c r="E35" s="365">
        <v>209.70961070767819</v>
      </c>
      <c r="F35" s="365">
        <v>174.10753876287072</v>
      </c>
      <c r="G35" s="365">
        <v>245.00488244366909</v>
      </c>
      <c r="H35" s="365">
        <v>186.33407758706781</v>
      </c>
      <c r="I35" s="365">
        <v>319.58204438095919</v>
      </c>
      <c r="J35" s="365">
        <v>330.9607799661776</v>
      </c>
      <c r="K35" s="365">
        <v>365.80507356133654</v>
      </c>
      <c r="L35" s="365">
        <v>372.17717486226655</v>
      </c>
      <c r="M35" s="563">
        <v>416.83871223405333</v>
      </c>
      <c r="N35" s="366">
        <v>477.04278757425232</v>
      </c>
      <c r="O35" s="366">
        <v>587.36946746526985</v>
      </c>
      <c r="P35" s="366">
        <v>601.14480572110983</v>
      </c>
      <c r="Q35" s="366">
        <v>720.0463235612375</v>
      </c>
      <c r="R35" s="366">
        <v>780.64705247611505</v>
      </c>
      <c r="S35" s="366">
        <v>28.36</v>
      </c>
      <c r="T35" s="366">
        <v>356.29</v>
      </c>
      <c r="U35" s="366">
        <v>356.29</v>
      </c>
      <c r="V35" s="366">
        <v>589.19000000000005</v>
      </c>
      <c r="W35" s="366">
        <v>249.98</v>
      </c>
      <c r="X35" s="366">
        <v>544.29</v>
      </c>
      <c r="Y35" s="366">
        <v>810.15</v>
      </c>
      <c r="Z35" s="366">
        <v>682.78</v>
      </c>
      <c r="AA35" s="366">
        <v>754.25</v>
      </c>
      <c r="AB35" s="366">
        <v>503.73</v>
      </c>
      <c r="AC35" s="366">
        <v>588.11</v>
      </c>
      <c r="AD35" s="366">
        <v>768.16</v>
      </c>
      <c r="AE35" s="366">
        <v>893.43</v>
      </c>
      <c r="AF35" s="366">
        <f>+SUMIF('Monthly Detail'!$4:$4, $B$14,'Monthly Detail'!59:59)</f>
        <v>578.51</v>
      </c>
      <c r="AG35" s="366">
        <v>244.43671460359198</v>
      </c>
      <c r="AH35" s="366">
        <v>165.66676853420364</v>
      </c>
      <c r="AI35" s="366">
        <v>220.3967213712246</v>
      </c>
      <c r="AJ35" s="366">
        <v>316.28360664312106</v>
      </c>
      <c r="AK35" s="366">
        <v>362.60386965318895</v>
      </c>
      <c r="AL35" s="366">
        <v>347.16336705502334</v>
      </c>
      <c r="AM35" s="366">
        <v>277.5366120970977</v>
      </c>
      <c r="AN35" s="366">
        <v>255.57893162953005</v>
      </c>
      <c r="AO35" s="366">
        <v>233.03365680456011</v>
      </c>
      <c r="AP35" s="366">
        <v>265.41281676345818</v>
      </c>
      <c r="AQ35" s="366">
        <v>236.61421021532556</v>
      </c>
      <c r="AR35" s="366">
        <v>288.99181642748124</v>
      </c>
      <c r="AS35" s="369">
        <f t="shared" si="0"/>
        <v>-202.13705247611506</v>
      </c>
      <c r="AT35" s="369">
        <f t="shared" si="1"/>
        <v>313.09718323654181</v>
      </c>
    </row>
    <row r="36" spans="2:46" x14ac:dyDescent="0.25">
      <c r="B36" s="653" t="s">
        <v>333</v>
      </c>
      <c r="C36" s="654"/>
      <c r="D36" s="365"/>
      <c r="E36" s="365">
        <v>450</v>
      </c>
      <c r="F36" s="365">
        <v>540</v>
      </c>
      <c r="G36" s="365">
        <v>540</v>
      </c>
      <c r="H36" s="365">
        <v>600</v>
      </c>
      <c r="I36" s="365">
        <v>0</v>
      </c>
      <c r="J36" s="365">
        <v>300</v>
      </c>
      <c r="K36" s="365">
        <v>1103.4778030763773</v>
      </c>
      <c r="L36" s="365">
        <v>448.18414023453226</v>
      </c>
      <c r="M36" s="563">
        <v>0</v>
      </c>
      <c r="N36" s="366">
        <v>0</v>
      </c>
      <c r="O36" s="366">
        <v>998.46819355413072</v>
      </c>
      <c r="P36" s="366">
        <v>925.24239221355617</v>
      </c>
      <c r="Q36" s="366">
        <v>1091.1182056541431</v>
      </c>
      <c r="R36" s="366">
        <v>1394.7929172716108</v>
      </c>
      <c r="S36" s="366">
        <v>210</v>
      </c>
      <c r="T36" s="366">
        <v>432</v>
      </c>
      <c r="U36" s="366">
        <v>432</v>
      </c>
      <c r="V36" s="366">
        <v>470</v>
      </c>
      <c r="W36" s="366">
        <v>50</v>
      </c>
      <c r="X36" s="366">
        <v>45</v>
      </c>
      <c r="Y36" s="366">
        <v>0</v>
      </c>
      <c r="Z36" s="366">
        <v>0</v>
      </c>
      <c r="AA36" s="366">
        <v>629</v>
      </c>
      <c r="AB36" s="366">
        <v>0</v>
      </c>
      <c r="AC36" s="366">
        <v>0</v>
      </c>
      <c r="AD36" s="366">
        <v>0</v>
      </c>
      <c r="AE36" s="366">
        <v>30</v>
      </c>
      <c r="AF36" s="366">
        <f>+SUMIF('Monthly Detail'!$4:$4, $B$14,'Monthly Detail'!60:60)</f>
        <v>0</v>
      </c>
      <c r="AG36" s="366">
        <v>0</v>
      </c>
      <c r="AH36" s="366">
        <v>300</v>
      </c>
      <c r="AI36" s="366">
        <v>540</v>
      </c>
      <c r="AJ36" s="366">
        <v>940.80077816374637</v>
      </c>
      <c r="AK36" s="366">
        <v>1179.6342787782837</v>
      </c>
      <c r="AL36" s="366">
        <v>980.02097248150812</v>
      </c>
      <c r="AM36" s="366">
        <v>381.0160674485295</v>
      </c>
      <c r="AN36" s="366">
        <v>540</v>
      </c>
      <c r="AO36" s="366">
        <v>300</v>
      </c>
      <c r="AP36" s="366">
        <v>558.50414950803872</v>
      </c>
      <c r="AQ36" s="366">
        <v>540</v>
      </c>
      <c r="AR36" s="366">
        <v>680.08064033071855</v>
      </c>
      <c r="AS36" s="369">
        <f t="shared" si="0"/>
        <v>-1394.7929172716108</v>
      </c>
      <c r="AT36" s="369">
        <f t="shared" si="1"/>
        <v>-558.50414950803872</v>
      </c>
    </row>
    <row r="37" spans="2:46" x14ac:dyDescent="0.25">
      <c r="B37" s="655" t="s">
        <v>5</v>
      </c>
      <c r="C37" s="656"/>
      <c r="D37" s="367">
        <v>540.36877912921864</v>
      </c>
      <c r="E37" s="367">
        <v>822.92328713424422</v>
      </c>
      <c r="F37" s="367">
        <v>880.90756109933989</v>
      </c>
      <c r="G37" s="367">
        <v>970.27462289704783</v>
      </c>
      <c r="H37" s="367">
        <v>949.98824608641928</v>
      </c>
      <c r="I37" s="367">
        <v>538.93922165550589</v>
      </c>
      <c r="J37" s="367">
        <v>850.15245199339665</v>
      </c>
      <c r="K37" s="367">
        <v>1661.0941669584977</v>
      </c>
      <c r="L37" s="367">
        <v>972.73670260971448</v>
      </c>
      <c r="M37" s="564">
        <v>574.45999993035366</v>
      </c>
      <c r="N37" s="173">
        <v>647.19423886330969</v>
      </c>
      <c r="O37" s="173">
        <v>1803.4226358014434</v>
      </c>
      <c r="P37" s="173">
        <v>1730.2881253242444</v>
      </c>
      <c r="Q37" s="173">
        <v>2040.1347452385746</v>
      </c>
      <c r="R37" s="173">
        <v>2437.2620585260083</v>
      </c>
      <c r="S37" s="173">
        <v>366.67</v>
      </c>
      <c r="T37" s="173">
        <v>948.44</v>
      </c>
      <c r="U37" s="173">
        <v>948.44</v>
      </c>
      <c r="V37" s="173">
        <v>1230.5900000000001</v>
      </c>
      <c r="W37" s="173">
        <v>497.28</v>
      </c>
      <c r="X37" s="173">
        <v>791.4</v>
      </c>
      <c r="Y37" s="173">
        <v>1024.69</v>
      </c>
      <c r="Z37" s="173">
        <v>930.56999999999994</v>
      </c>
      <c r="AA37" s="173">
        <v>1623.48</v>
      </c>
      <c r="AB37" s="173">
        <v>685.83</v>
      </c>
      <c r="AC37" s="173">
        <v>804.71</v>
      </c>
      <c r="AD37" s="173">
        <v>973.71</v>
      </c>
      <c r="AE37" s="173">
        <v>1145.55</v>
      </c>
      <c r="AF37" s="173">
        <f>+SUM(AF34:AF36)</f>
        <v>860.51</v>
      </c>
      <c r="AG37" s="173">
        <v>459.12147756903505</v>
      </c>
      <c r="AH37" s="173">
        <v>611.16917798891564</v>
      </c>
      <c r="AI37" s="173">
        <v>953.96755201618396</v>
      </c>
      <c r="AJ37" s="173">
        <v>1534.8710963168414</v>
      </c>
      <c r="AK37" s="173">
        <v>1860.7071882935529</v>
      </c>
      <c r="AL37" s="173">
        <v>1632.092238856651</v>
      </c>
      <c r="AM37" s="173">
        <v>902.30854035779828</v>
      </c>
      <c r="AN37" s="173">
        <v>1020.0497213176866</v>
      </c>
      <c r="AO37" s="173">
        <v>737.70330086842387</v>
      </c>
      <c r="AP37" s="173">
        <v>1057.0246962099368</v>
      </c>
      <c r="AQ37" s="173">
        <v>984.42859569629547</v>
      </c>
      <c r="AR37" s="173">
        <v>1222.8892359163619</v>
      </c>
      <c r="AS37" s="455">
        <f t="shared" si="0"/>
        <v>-1576.7520585260083</v>
      </c>
      <c r="AT37" s="455">
        <f t="shared" si="1"/>
        <v>-196.5146962099368</v>
      </c>
    </row>
    <row r="38" spans="2:46" x14ac:dyDescent="0.25">
      <c r="B38" s="653" t="s">
        <v>3</v>
      </c>
      <c r="C38" s="654"/>
      <c r="D38" s="368">
        <v>12227.224398589187</v>
      </c>
      <c r="E38" s="368">
        <v>5290.2479072419046</v>
      </c>
      <c r="F38" s="368">
        <v>5246.6781931326941</v>
      </c>
      <c r="G38" s="368">
        <v>5599.3339527152193</v>
      </c>
      <c r="H38" s="368">
        <v>4576.4677121207287</v>
      </c>
      <c r="I38" s="368">
        <v>7028.3374793643588</v>
      </c>
      <c r="J38" s="368">
        <v>6699.3052539006139</v>
      </c>
      <c r="K38" s="368">
        <v>4766.2319816633863</v>
      </c>
      <c r="L38" s="368">
        <v>4079.3648617352137</v>
      </c>
      <c r="M38" s="565">
        <v>4609.5636073801261</v>
      </c>
      <c r="N38" s="172">
        <v>5008.8337267370962</v>
      </c>
      <c r="O38" s="172">
        <v>5486.7612029734119</v>
      </c>
      <c r="P38" s="172">
        <v>5214.5021316684561</v>
      </c>
      <c r="Q38" s="172">
        <v>5824.2739139609712</v>
      </c>
      <c r="R38" s="172">
        <v>6265.7219179699205</v>
      </c>
      <c r="S38" s="172">
        <v>3821.33</v>
      </c>
      <c r="T38" s="172">
        <v>3990.31</v>
      </c>
      <c r="U38" s="172">
        <v>3990.31</v>
      </c>
      <c r="V38" s="172">
        <v>4921.41</v>
      </c>
      <c r="W38" s="172">
        <v>6223.77</v>
      </c>
      <c r="X38" s="172">
        <v>5709.7400000000007</v>
      </c>
      <c r="Y38" s="172">
        <v>6083.8099999999995</v>
      </c>
      <c r="Z38" s="172">
        <v>6931.18</v>
      </c>
      <c r="AA38" s="172">
        <v>6254.1399999999994</v>
      </c>
      <c r="AB38" s="172">
        <v>6201.62</v>
      </c>
      <c r="AC38" s="172">
        <v>6613.84</v>
      </c>
      <c r="AD38" s="172">
        <v>6679.64</v>
      </c>
      <c r="AE38" s="172">
        <v>5024.8999999999996</v>
      </c>
      <c r="AF38" s="172">
        <f>+AF16-AF37</f>
        <v>6137.74</v>
      </c>
      <c r="AG38" s="172">
        <v>6790.5923446081479</v>
      </c>
      <c r="AH38" s="172">
        <v>4302.3179946135715</v>
      </c>
      <c r="AI38" s="172">
        <v>5582.7475232077104</v>
      </c>
      <c r="AJ38" s="172">
        <v>7845.7394986473191</v>
      </c>
      <c r="AK38" s="172">
        <v>8893.7095124168718</v>
      </c>
      <c r="AL38" s="172">
        <v>8664.3767869767908</v>
      </c>
      <c r="AM38" s="172">
        <v>7329.1104432574784</v>
      </c>
      <c r="AN38" s="172">
        <v>6560.1295340643246</v>
      </c>
      <c r="AO38" s="172">
        <v>6173.8088486394445</v>
      </c>
      <c r="AP38" s="172">
        <v>6814.8163625012457</v>
      </c>
      <c r="AQ38" s="172">
        <v>6033.2786791844792</v>
      </c>
      <c r="AR38" s="172">
        <v>7348.2780269397153</v>
      </c>
      <c r="AS38" s="369">
        <f t="shared" si="0"/>
        <v>-127.98191796992069</v>
      </c>
      <c r="AT38" s="369">
        <f t="shared" si="1"/>
        <v>-677.07636250124597</v>
      </c>
    </row>
    <row r="39" spans="2:46" x14ac:dyDescent="0.25">
      <c r="B39" s="657" t="s">
        <v>304</v>
      </c>
      <c r="C39" s="658"/>
      <c r="D39" s="386">
        <v>0.95767653530249897</v>
      </c>
      <c r="E39" s="386">
        <v>0.86538520499944482</v>
      </c>
      <c r="F39" s="386">
        <v>0.85623904806376017</v>
      </c>
      <c r="G39" s="386">
        <v>0.85230860990730772</v>
      </c>
      <c r="H39" s="386">
        <v>0.82810172499870838</v>
      </c>
      <c r="I39" s="386">
        <v>0.92878029402798612</v>
      </c>
      <c r="J39" s="386">
        <v>0.88738893770745075</v>
      </c>
      <c r="K39" s="386">
        <v>0.7415575110787459</v>
      </c>
      <c r="L39" s="386">
        <v>0.80745899696974077</v>
      </c>
      <c r="M39" s="566">
        <v>0.88918646143504176</v>
      </c>
      <c r="N39" s="384">
        <v>0.88557442735440794</v>
      </c>
      <c r="O39" s="384">
        <v>0.75262316072066071</v>
      </c>
      <c r="P39" s="384">
        <v>0.75085091683193472</v>
      </c>
      <c r="Q39" s="384">
        <v>0.74058637671987115</v>
      </c>
      <c r="R39" s="384">
        <v>0.71995098863696638</v>
      </c>
      <c r="S39" s="384">
        <v>0.91244746895893025</v>
      </c>
      <c r="T39" s="384">
        <v>0.80795950392305749</v>
      </c>
      <c r="U39" s="384">
        <v>0.80795950392305749</v>
      </c>
      <c r="V39" s="384">
        <v>0.7999691157347204</v>
      </c>
      <c r="W39" s="384">
        <v>0.92601156069364166</v>
      </c>
      <c r="X39" s="384">
        <v>0.87826750385317043</v>
      </c>
      <c r="Y39" s="384">
        <v>0.85585003868608001</v>
      </c>
      <c r="Z39" s="384">
        <v>0.8816332241549274</v>
      </c>
      <c r="AA39" s="384">
        <v>0.79391237454967356</v>
      </c>
      <c r="AB39" s="384">
        <v>0.9004232335624941</v>
      </c>
      <c r="AC39" s="384">
        <v>0.8915273200288466</v>
      </c>
      <c r="AD39" s="384">
        <v>0.87277336068519018</v>
      </c>
      <c r="AE39" s="384">
        <v>0.81434903451125928</v>
      </c>
      <c r="AF39" s="384">
        <f>+AF38/AF16</f>
        <v>0.87703925981495368</v>
      </c>
      <c r="AG39" s="384">
        <v>0.93667039984881018</v>
      </c>
      <c r="AH39" s="384">
        <v>0.87561396692011673</v>
      </c>
      <c r="AI39" s="384">
        <v>0.85406009883588074</v>
      </c>
      <c r="AJ39" s="384">
        <v>0.83637833797931938</v>
      </c>
      <c r="AK39" s="384">
        <v>0.82698204467280534</v>
      </c>
      <c r="AL39" s="384">
        <v>0.8414901035722252</v>
      </c>
      <c r="AM39" s="384">
        <v>0.89038238216839016</v>
      </c>
      <c r="AN39" s="384">
        <v>0.86543197898737811</v>
      </c>
      <c r="AO39" s="384">
        <v>0.89326455847712694</v>
      </c>
      <c r="AP39" s="384">
        <v>0.86572077760129484</v>
      </c>
      <c r="AQ39" s="384">
        <v>0.85972219171637931</v>
      </c>
      <c r="AR39" s="384">
        <v>0.85732523956032658</v>
      </c>
      <c r="AS39" s="456">
        <f t="shared" si="0"/>
        <v>0.15708827117798729</v>
      </c>
      <c r="AT39" s="456">
        <f t="shared" si="1"/>
        <v>1.1318482213658831E-2</v>
      </c>
    </row>
    <row r="40" spans="2:46" ht="4.9000000000000004" customHeight="1" x14ac:dyDescent="0.25">
      <c r="B40" s="651"/>
      <c r="C40" s="652"/>
      <c r="D40" s="365"/>
      <c r="E40" s="365"/>
      <c r="F40" s="365"/>
      <c r="G40" s="365"/>
      <c r="H40" s="365"/>
      <c r="I40" s="365"/>
      <c r="J40" s="365"/>
      <c r="K40" s="365"/>
      <c r="L40" s="365"/>
      <c r="M40" s="563"/>
      <c r="N40" s="366"/>
      <c r="O40" s="366"/>
      <c r="P40" s="366"/>
      <c r="Q40" s="366"/>
      <c r="R40" s="366"/>
      <c r="S40" s="366"/>
      <c r="T40" s="366"/>
      <c r="U40" s="366"/>
      <c r="V40" s="366"/>
      <c r="W40" s="366"/>
      <c r="X40" s="366"/>
      <c r="Y40" s="366"/>
      <c r="Z40" s="366"/>
      <c r="AA40" s="366"/>
      <c r="AB40" s="366"/>
      <c r="AC40" s="366"/>
      <c r="AD40" s="366"/>
      <c r="AE40" s="366"/>
      <c r="AF40" s="366"/>
      <c r="AG40" s="366"/>
      <c r="AH40" s="366"/>
      <c r="AI40" s="366"/>
      <c r="AJ40" s="366"/>
      <c r="AK40" s="366"/>
      <c r="AL40" s="366"/>
      <c r="AM40" s="366"/>
      <c r="AN40" s="366"/>
      <c r="AO40" s="366"/>
      <c r="AP40" s="366"/>
      <c r="AQ40" s="366"/>
      <c r="AR40" s="366"/>
      <c r="AS40" s="369">
        <f t="shared" si="0"/>
        <v>0</v>
      </c>
      <c r="AT40" s="369">
        <f t="shared" si="1"/>
        <v>0</v>
      </c>
    </row>
    <row r="41" spans="2:46" x14ac:dyDescent="0.25">
      <c r="B41" s="651" t="s">
        <v>4</v>
      </c>
      <c r="C41" s="652"/>
      <c r="D41" s="365"/>
      <c r="E41" s="365"/>
      <c r="F41" s="365"/>
      <c r="G41" s="365"/>
      <c r="H41" s="365"/>
      <c r="I41" s="365"/>
      <c r="J41" s="365"/>
      <c r="K41" s="365"/>
      <c r="L41" s="365"/>
      <c r="M41" s="563"/>
      <c r="N41" s="366"/>
      <c r="O41" s="366"/>
      <c r="P41" s="366"/>
      <c r="Q41" s="366"/>
      <c r="R41" s="366"/>
      <c r="S41" s="366"/>
      <c r="T41" s="366"/>
      <c r="U41" s="366"/>
      <c r="V41" s="366"/>
      <c r="W41" s="366"/>
      <c r="X41" s="366"/>
      <c r="Y41" s="366"/>
      <c r="Z41" s="366"/>
      <c r="AA41" s="366"/>
      <c r="AB41" s="366"/>
      <c r="AC41" s="366"/>
      <c r="AD41" s="366"/>
      <c r="AE41" s="366"/>
      <c r="AF41" s="366"/>
      <c r="AG41" s="366"/>
      <c r="AH41" s="366"/>
      <c r="AI41" s="366"/>
      <c r="AJ41" s="366"/>
      <c r="AK41" s="366"/>
      <c r="AL41" s="366"/>
      <c r="AM41" s="366"/>
      <c r="AN41" s="366"/>
      <c r="AO41" s="366"/>
      <c r="AP41" s="366"/>
      <c r="AQ41" s="366"/>
      <c r="AR41" s="366"/>
      <c r="AS41" s="369">
        <f t="shared" si="0"/>
        <v>0</v>
      </c>
      <c r="AT41" s="369">
        <f t="shared" si="1"/>
        <v>0</v>
      </c>
    </row>
    <row r="42" spans="2:46" x14ac:dyDescent="0.25">
      <c r="B42" s="651" t="s">
        <v>381</v>
      </c>
      <c r="C42" s="652"/>
      <c r="D42" s="365"/>
      <c r="E42" s="365"/>
      <c r="F42" s="365"/>
      <c r="G42" s="365"/>
      <c r="H42" s="365"/>
      <c r="I42" s="365"/>
      <c r="J42" s="365">
        <v>3813.1</v>
      </c>
      <c r="K42" s="365">
        <v>1906.55</v>
      </c>
      <c r="L42" s="365">
        <v>1906.55</v>
      </c>
      <c r="M42" s="563">
        <v>2599.1750000000002</v>
      </c>
      <c r="N42" s="366">
        <v>2659.6256060606061</v>
      </c>
      <c r="O42" s="366">
        <v>2659.649523809524</v>
      </c>
      <c r="P42" s="366">
        <v>2659.6761904761906</v>
      </c>
      <c r="Q42" s="366">
        <v>2655.33</v>
      </c>
      <c r="R42" s="366">
        <v>2636.6705723905725</v>
      </c>
      <c r="S42" s="366"/>
      <c r="T42" s="366"/>
      <c r="U42" s="366"/>
      <c r="V42" s="366"/>
      <c r="W42" s="366"/>
      <c r="X42" s="366">
        <v>739.41</v>
      </c>
      <c r="Y42" s="366">
        <v>1583.73</v>
      </c>
      <c r="Z42" s="366">
        <v>2659.62</v>
      </c>
      <c r="AA42" s="366">
        <v>2803.6</v>
      </c>
      <c r="AB42" s="366">
        <v>1219.9000000000001</v>
      </c>
      <c r="AC42" s="366">
        <v>1215.98</v>
      </c>
      <c r="AD42" s="366">
        <v>1219.9000000000001</v>
      </c>
      <c r="AE42" s="366">
        <v>982.41</v>
      </c>
      <c r="AF42" s="366">
        <f>+SUMIF('Monthly Detail'!$4:$4, $B$14,'Monthly Detail'!71:71)</f>
        <v>1199.74</v>
      </c>
      <c r="AG42" s="366"/>
      <c r="AH42" s="366">
        <v>0</v>
      </c>
      <c r="AI42" s="366">
        <v>0</v>
      </c>
      <c r="AJ42" s="366"/>
      <c r="AK42" s="366"/>
      <c r="AL42" s="366"/>
      <c r="AM42" s="366"/>
      <c r="AN42" s="366"/>
      <c r="AO42" s="366"/>
      <c r="AP42" s="366">
        <v>0</v>
      </c>
      <c r="AQ42" s="366"/>
      <c r="AR42" s="366"/>
      <c r="AS42" s="369">
        <f t="shared" si="0"/>
        <v>-1436.9305723905725</v>
      </c>
      <c r="AT42" s="369">
        <f t="shared" si="1"/>
        <v>1199.74</v>
      </c>
    </row>
    <row r="43" spans="2:46" ht="14.65" customHeight="1" x14ac:dyDescent="0.25">
      <c r="B43" s="651" t="s">
        <v>346</v>
      </c>
      <c r="C43" s="652"/>
      <c r="D43" s="365">
        <v>55</v>
      </c>
      <c r="E43" s="365">
        <v>39.480000000000004</v>
      </c>
      <c r="F43" s="365">
        <v>38.703333333333333</v>
      </c>
      <c r="G43" s="365">
        <v>294.04000000000002</v>
      </c>
      <c r="H43" s="365">
        <v>289.01666666666665</v>
      </c>
      <c r="I43" s="365">
        <v>293.82</v>
      </c>
      <c r="J43" s="365">
        <v>214.41</v>
      </c>
      <c r="K43" s="365">
        <v>214.41</v>
      </c>
      <c r="L43" s="365">
        <v>141.31</v>
      </c>
      <c r="M43" s="563">
        <v>114.41</v>
      </c>
      <c r="N43" s="366">
        <v>78.819999999999993</v>
      </c>
      <c r="O43" s="366">
        <v>78.819999999999993</v>
      </c>
      <c r="P43" s="366">
        <v>78.819999999999993</v>
      </c>
      <c r="Q43" s="366">
        <v>78.819999999999993</v>
      </c>
      <c r="R43" s="366">
        <v>64.41</v>
      </c>
      <c r="S43" s="366">
        <v>14.41</v>
      </c>
      <c r="T43" s="366">
        <v>183.38</v>
      </c>
      <c r="U43" s="366">
        <v>183.38</v>
      </c>
      <c r="V43" s="366">
        <v>28.82</v>
      </c>
      <c r="W43" s="366">
        <v>14.41</v>
      </c>
      <c r="X43" s="366">
        <v>14.41</v>
      </c>
      <c r="Y43" s="366">
        <v>41.31</v>
      </c>
      <c r="Z43" s="366">
        <v>14.41</v>
      </c>
      <c r="AA43" s="366">
        <v>28.82</v>
      </c>
      <c r="AB43" s="366">
        <v>28.82</v>
      </c>
      <c r="AC43" s="366">
        <v>33.82</v>
      </c>
      <c r="AD43" s="366">
        <v>28.82</v>
      </c>
      <c r="AE43" s="366">
        <v>14.41</v>
      </c>
      <c r="AF43" s="366">
        <f>+SUMIF('Monthly Detail'!$4:$4, $B$14,'Monthly Detail'!78:78)</f>
        <v>28.82</v>
      </c>
      <c r="AG43" s="366">
        <v>242.91833333333332</v>
      </c>
      <c r="AH43" s="366">
        <v>242.91833333333332</v>
      </c>
      <c r="AI43" s="366">
        <v>242.91833333333332</v>
      </c>
      <c r="AJ43" s="366">
        <v>242.91833333333332</v>
      </c>
      <c r="AK43" s="366">
        <v>242.91833333333332</v>
      </c>
      <c r="AL43" s="366">
        <v>242.91833333333332</v>
      </c>
      <c r="AM43" s="366">
        <v>242.91833333333332</v>
      </c>
      <c r="AN43" s="366">
        <v>242.91833333333332</v>
      </c>
      <c r="AO43" s="366">
        <v>242.91833333333332</v>
      </c>
      <c r="AP43" s="366">
        <v>242.91833333333332</v>
      </c>
      <c r="AQ43" s="366">
        <v>242.91833333333332</v>
      </c>
      <c r="AR43" s="366">
        <v>242.91833333333332</v>
      </c>
      <c r="AS43" s="369">
        <f t="shared" si="0"/>
        <v>-35.589999999999996</v>
      </c>
      <c r="AT43" s="369">
        <f t="shared" si="1"/>
        <v>-214.09833333333333</v>
      </c>
    </row>
    <row r="44" spans="2:46" x14ac:dyDescent="0.25">
      <c r="B44" s="651" t="s">
        <v>347</v>
      </c>
      <c r="C44" s="652"/>
      <c r="D44" s="365">
        <v>300</v>
      </c>
      <c r="E44" s="365">
        <v>400</v>
      </c>
      <c r="F44" s="365">
        <v>340</v>
      </c>
      <c r="G44" s="365">
        <v>340</v>
      </c>
      <c r="H44" s="365">
        <v>340</v>
      </c>
      <c r="I44" s="365">
        <v>340</v>
      </c>
      <c r="J44" s="365">
        <v>211.67</v>
      </c>
      <c r="K44" s="365">
        <v>368.33</v>
      </c>
      <c r="L44" s="365">
        <v>353.33</v>
      </c>
      <c r="M44" s="563">
        <v>330</v>
      </c>
      <c r="N44" s="366">
        <v>350</v>
      </c>
      <c r="O44" s="366">
        <v>350</v>
      </c>
      <c r="P44" s="366">
        <v>350</v>
      </c>
      <c r="Q44" s="366">
        <v>350</v>
      </c>
      <c r="R44" s="366">
        <v>350</v>
      </c>
      <c r="S44" s="366">
        <v>400</v>
      </c>
      <c r="T44" s="366">
        <v>330.08</v>
      </c>
      <c r="U44" s="366">
        <v>330.08</v>
      </c>
      <c r="V44" s="366">
        <v>280.5</v>
      </c>
      <c r="W44" s="366">
        <v>211.67</v>
      </c>
      <c r="X44" s="366">
        <v>368.33</v>
      </c>
      <c r="Y44" s="366">
        <v>353.33</v>
      </c>
      <c r="Z44" s="366">
        <v>330</v>
      </c>
      <c r="AA44" s="366">
        <v>373.01</v>
      </c>
      <c r="AB44" s="366">
        <v>276.25</v>
      </c>
      <c r="AC44" s="366">
        <v>382.5</v>
      </c>
      <c r="AD44" s="366">
        <v>297.5</v>
      </c>
      <c r="AE44" s="366">
        <v>318.75</v>
      </c>
      <c r="AF44" s="366">
        <f>+SUMIF('Monthly Detail'!$4:$4, $B$14,'Monthly Detail'!82:82)</f>
        <v>383.75</v>
      </c>
      <c r="AG44" s="366">
        <v>340</v>
      </c>
      <c r="AH44" s="366">
        <v>340</v>
      </c>
      <c r="AI44" s="366">
        <v>340</v>
      </c>
      <c r="AJ44" s="366">
        <v>340</v>
      </c>
      <c r="AK44" s="366">
        <v>340</v>
      </c>
      <c r="AL44" s="366">
        <v>340</v>
      </c>
      <c r="AM44" s="366">
        <v>340</v>
      </c>
      <c r="AN44" s="366">
        <v>340</v>
      </c>
      <c r="AO44" s="366">
        <v>340</v>
      </c>
      <c r="AP44" s="366">
        <v>340</v>
      </c>
      <c r="AQ44" s="366">
        <v>340</v>
      </c>
      <c r="AR44" s="366">
        <v>340</v>
      </c>
      <c r="AS44" s="369">
        <f t="shared" si="0"/>
        <v>33.75</v>
      </c>
      <c r="AT44" s="369">
        <f t="shared" si="1"/>
        <v>43.75</v>
      </c>
    </row>
    <row r="45" spans="2:46" x14ac:dyDescent="0.25">
      <c r="B45" s="651" t="s">
        <v>290</v>
      </c>
      <c r="C45" s="652"/>
      <c r="D45" s="365">
        <v>405.49666666666667</v>
      </c>
      <c r="E45" s="365">
        <v>505.52666666666664</v>
      </c>
      <c r="F45" s="365">
        <v>453.46666666666664</v>
      </c>
      <c r="G45" s="365">
        <v>392.58666666666664</v>
      </c>
      <c r="H45" s="365">
        <v>273.6033333333333</v>
      </c>
      <c r="I45" s="365">
        <v>190.00333333333333</v>
      </c>
      <c r="J45" s="365">
        <v>174.52</v>
      </c>
      <c r="K45" s="365">
        <v>221.82</v>
      </c>
      <c r="L45" s="365">
        <v>103.99</v>
      </c>
      <c r="M45" s="563">
        <v>171.41</v>
      </c>
      <c r="N45" s="366">
        <v>149.99</v>
      </c>
      <c r="O45" s="366">
        <v>149.99</v>
      </c>
      <c r="P45" s="366">
        <v>149.99</v>
      </c>
      <c r="Q45" s="366">
        <v>277.13</v>
      </c>
      <c r="R45" s="366">
        <v>159.99</v>
      </c>
      <c r="S45" s="366">
        <v>373.8</v>
      </c>
      <c r="T45" s="366">
        <v>265.57</v>
      </c>
      <c r="U45" s="366">
        <v>265.57</v>
      </c>
      <c r="V45" s="366">
        <v>123</v>
      </c>
      <c r="W45" s="366">
        <v>174.52</v>
      </c>
      <c r="X45" s="366">
        <v>221.82</v>
      </c>
      <c r="Y45" s="366">
        <v>103.99</v>
      </c>
      <c r="Z45" s="366">
        <v>171.41</v>
      </c>
      <c r="AA45" s="366">
        <v>149.99</v>
      </c>
      <c r="AB45" s="366">
        <v>149.99</v>
      </c>
      <c r="AC45" s="366">
        <v>165.59</v>
      </c>
      <c r="AD45" s="366">
        <v>277.13</v>
      </c>
      <c r="AE45" s="366">
        <v>159.99</v>
      </c>
      <c r="AF45" s="366">
        <f>+SUMIF('Monthly Detail'!$4:$4, $B$14,'Monthly Detail'!83:83)</f>
        <v>205.51</v>
      </c>
      <c r="AG45" s="366">
        <v>300.96366666666665</v>
      </c>
      <c r="AH45" s="366">
        <v>300.96366666666665</v>
      </c>
      <c r="AI45" s="366">
        <v>300.96366666666665</v>
      </c>
      <c r="AJ45" s="366">
        <v>300.96366666666665</v>
      </c>
      <c r="AK45" s="366">
        <v>300.96366666666665</v>
      </c>
      <c r="AL45" s="366">
        <v>300.96366666666665</v>
      </c>
      <c r="AM45" s="366">
        <v>300.96366666666665</v>
      </c>
      <c r="AN45" s="366">
        <v>300.96366666666665</v>
      </c>
      <c r="AO45" s="366">
        <v>300.96366666666665</v>
      </c>
      <c r="AP45" s="366">
        <v>300.96366666666665</v>
      </c>
      <c r="AQ45" s="366">
        <v>300.96366666666665</v>
      </c>
      <c r="AR45" s="366">
        <v>300.96366666666665</v>
      </c>
      <c r="AS45" s="369">
        <f t="shared" si="0"/>
        <v>45.519999999999982</v>
      </c>
      <c r="AT45" s="369">
        <f t="shared" si="1"/>
        <v>-95.453666666666663</v>
      </c>
    </row>
    <row r="46" spans="2:46" ht="15" customHeight="1" x14ac:dyDescent="0.25">
      <c r="B46" s="651" t="s">
        <v>288</v>
      </c>
      <c r="C46" s="652"/>
      <c r="D46" s="365">
        <v>0</v>
      </c>
      <c r="E46" s="365">
        <v>30</v>
      </c>
      <c r="F46" s="365">
        <v>33.333333333333336</v>
      </c>
      <c r="G46" s="365">
        <v>35.103333333333332</v>
      </c>
      <c r="H46" s="365">
        <v>20.433333333333334</v>
      </c>
      <c r="I46" s="365">
        <v>22.099999999999998</v>
      </c>
      <c r="J46" s="365">
        <v>25</v>
      </c>
      <c r="K46" s="365">
        <v>25</v>
      </c>
      <c r="L46" s="365">
        <v>25</v>
      </c>
      <c r="M46" s="563">
        <v>25</v>
      </c>
      <c r="N46" s="366">
        <v>25</v>
      </c>
      <c r="O46" s="366">
        <v>25</v>
      </c>
      <c r="P46" s="366">
        <v>25</v>
      </c>
      <c r="Q46" s="366">
        <v>25</v>
      </c>
      <c r="R46" s="366">
        <v>15</v>
      </c>
      <c r="S46" s="366">
        <v>20</v>
      </c>
      <c r="T46" s="366">
        <v>25.99</v>
      </c>
      <c r="U46" s="366">
        <v>25.99</v>
      </c>
      <c r="V46" s="366">
        <v>25</v>
      </c>
      <c r="W46" s="366">
        <v>25</v>
      </c>
      <c r="X46" s="366">
        <v>25</v>
      </c>
      <c r="Y46" s="366">
        <v>25</v>
      </c>
      <c r="Z46" s="366">
        <v>25</v>
      </c>
      <c r="AA46" s="366">
        <v>25</v>
      </c>
      <c r="AB46" s="366">
        <v>25</v>
      </c>
      <c r="AC46" s="366">
        <v>25</v>
      </c>
      <c r="AD46" s="366">
        <v>25</v>
      </c>
      <c r="AE46" s="366">
        <v>15</v>
      </c>
      <c r="AF46" s="366">
        <f>+SUMIF('Monthly Detail'!$4:$4, $B$14,'Monthly Detail'!84:84)</f>
        <v>30</v>
      </c>
      <c r="AG46" s="366">
        <v>22.47666666666667</v>
      </c>
      <c r="AH46" s="366">
        <v>22.47666666666667</v>
      </c>
      <c r="AI46" s="366">
        <v>22.47666666666667</v>
      </c>
      <c r="AJ46" s="366">
        <v>22.47666666666667</v>
      </c>
      <c r="AK46" s="366">
        <v>22.47666666666667</v>
      </c>
      <c r="AL46" s="366">
        <v>22.47666666666667</v>
      </c>
      <c r="AM46" s="366">
        <v>22.47666666666667</v>
      </c>
      <c r="AN46" s="366">
        <v>22.47666666666667</v>
      </c>
      <c r="AO46" s="366">
        <v>22.47666666666667</v>
      </c>
      <c r="AP46" s="366">
        <v>22.47666666666667</v>
      </c>
      <c r="AQ46" s="366">
        <v>22.47666666666667</v>
      </c>
      <c r="AR46" s="366">
        <v>22.47666666666667</v>
      </c>
      <c r="AS46" s="369">
        <f t="shared" si="0"/>
        <v>15</v>
      </c>
      <c r="AT46" s="369">
        <f t="shared" si="1"/>
        <v>7.5233333333333299</v>
      </c>
    </row>
    <row r="47" spans="2:46" x14ac:dyDescent="0.25">
      <c r="B47" s="651" t="s">
        <v>348</v>
      </c>
      <c r="C47" s="652"/>
      <c r="D47" s="365">
        <v>308.83</v>
      </c>
      <c r="E47" s="365">
        <v>1475.9433333333334</v>
      </c>
      <c r="F47" s="365">
        <v>1372.64</v>
      </c>
      <c r="G47" s="365">
        <v>1372.64</v>
      </c>
      <c r="H47" s="365">
        <v>1372.64</v>
      </c>
      <c r="I47" s="365">
        <v>1414.26</v>
      </c>
      <c r="J47" s="365">
        <v>1853.1920000000002</v>
      </c>
      <c r="K47" s="365">
        <v>1511.95</v>
      </c>
      <c r="L47" s="365">
        <v>1536.0283333333336</v>
      </c>
      <c r="M47" s="563">
        <v>1646.4233333333334</v>
      </c>
      <c r="N47" s="366">
        <v>1579.79</v>
      </c>
      <c r="O47" s="366">
        <v>1497.7866666666669</v>
      </c>
      <c r="P47" s="366">
        <v>1468.2066666666667</v>
      </c>
      <c r="Q47" s="366">
        <v>1555.425</v>
      </c>
      <c r="R47" s="366">
        <v>1516.67</v>
      </c>
      <c r="S47" s="366">
        <v>1372.64</v>
      </c>
      <c r="T47" s="366">
        <v>1711.17</v>
      </c>
      <c r="U47" s="366">
        <v>1711.17</v>
      </c>
      <c r="V47" s="366">
        <v>1414.26</v>
      </c>
      <c r="W47" s="366">
        <v>1684.72</v>
      </c>
      <c r="X47" s="366">
        <v>1374.5</v>
      </c>
      <c r="Y47" s="366">
        <v>1658.88</v>
      </c>
      <c r="Z47" s="366">
        <v>2035.01</v>
      </c>
      <c r="AA47" s="366">
        <v>1711.37</v>
      </c>
      <c r="AB47" s="366">
        <v>1507.24</v>
      </c>
      <c r="AC47" s="366">
        <v>1680.57</v>
      </c>
      <c r="AD47" s="366">
        <v>1724.48</v>
      </c>
      <c r="AE47" s="366">
        <v>1441.35</v>
      </c>
      <c r="AF47" s="366">
        <f>+SUMIF('Monthly Detail'!$4:$4, $B$14,'Monthly Detail'!85:85)</f>
        <v>1761.79</v>
      </c>
      <c r="AG47" s="366">
        <v>1372.64</v>
      </c>
      <c r="AH47" s="366">
        <v>1509.9040000000002</v>
      </c>
      <c r="AI47" s="366">
        <v>1509.9040000000002</v>
      </c>
      <c r="AJ47" s="366">
        <v>1509.9040000000002</v>
      </c>
      <c r="AK47" s="366">
        <v>1509.9040000000002</v>
      </c>
      <c r="AL47" s="366">
        <v>1509.9040000000002</v>
      </c>
      <c r="AM47" s="366">
        <v>1509.9040000000002</v>
      </c>
      <c r="AN47" s="366">
        <v>1509.9040000000002</v>
      </c>
      <c r="AO47" s="366">
        <v>1509.9040000000002</v>
      </c>
      <c r="AP47" s="366">
        <v>1509.9040000000002</v>
      </c>
      <c r="AQ47" s="366">
        <v>1509.9040000000002</v>
      </c>
      <c r="AR47" s="366">
        <v>1509.9040000000002</v>
      </c>
      <c r="AS47" s="369">
        <f t="shared" si="0"/>
        <v>245.11999999999989</v>
      </c>
      <c r="AT47" s="369">
        <f t="shared" si="1"/>
        <v>251.88599999999974</v>
      </c>
    </row>
    <row r="48" spans="2:46" ht="14.65" customHeight="1" x14ac:dyDescent="0.25">
      <c r="B48" s="651" t="s">
        <v>349</v>
      </c>
      <c r="C48" s="652"/>
      <c r="D48" s="365">
        <v>0.25</v>
      </c>
      <c r="E48" s="365">
        <v>10</v>
      </c>
      <c r="F48" s="365">
        <v>127.06</v>
      </c>
      <c r="G48" s="365">
        <v>150.17333333333335</v>
      </c>
      <c r="H48" s="365">
        <v>120.17333333333333</v>
      </c>
      <c r="I48" s="365">
        <v>194.92999999999998</v>
      </c>
      <c r="J48" s="365">
        <v>174.54333333333332</v>
      </c>
      <c r="K48" s="365">
        <v>174.73666666666668</v>
      </c>
      <c r="L48" s="365">
        <v>158.35333333333332</v>
      </c>
      <c r="M48" s="563">
        <v>271.79333333333335</v>
      </c>
      <c r="N48" s="366">
        <v>223.40666666666667</v>
      </c>
      <c r="O48" s="366">
        <v>220.07333333333335</v>
      </c>
      <c r="P48" s="366">
        <v>161.68666666666667</v>
      </c>
      <c r="Q48" s="366">
        <v>203.53333333333333</v>
      </c>
      <c r="R48" s="366">
        <v>205.27333333333334</v>
      </c>
      <c r="S48" s="366">
        <v>51.62</v>
      </c>
      <c r="T48" s="366">
        <v>196.16</v>
      </c>
      <c r="U48" s="366">
        <v>196.16</v>
      </c>
      <c r="V48" s="366">
        <v>275.89</v>
      </c>
      <c r="W48" s="366">
        <v>51.58</v>
      </c>
      <c r="X48" s="366">
        <v>196.74</v>
      </c>
      <c r="Y48" s="366">
        <v>226.74</v>
      </c>
      <c r="Z48" s="366">
        <v>391.9</v>
      </c>
      <c r="AA48" s="366">
        <v>51.58</v>
      </c>
      <c r="AB48" s="366">
        <v>216.74</v>
      </c>
      <c r="AC48" s="366">
        <v>176.95</v>
      </c>
      <c r="AD48" s="366">
        <v>216.91</v>
      </c>
      <c r="AE48" s="366">
        <v>221.96</v>
      </c>
      <c r="AF48" s="366">
        <f>+SUMIF('Monthly Detail'!$4:$4, $B$14,'Monthly Detail'!86:86)</f>
        <v>222</v>
      </c>
      <c r="AG48" s="366">
        <v>132.19066666666669</v>
      </c>
      <c r="AH48" s="366">
        <v>132.19066666666669</v>
      </c>
      <c r="AI48" s="366">
        <v>132.19066666666669</v>
      </c>
      <c r="AJ48" s="366">
        <v>132.19066666666669</v>
      </c>
      <c r="AK48" s="366">
        <v>132.19066666666669</v>
      </c>
      <c r="AL48" s="366">
        <v>132.19066666666669</v>
      </c>
      <c r="AM48" s="366">
        <v>132.19066666666669</v>
      </c>
      <c r="AN48" s="366">
        <v>132.19066666666669</v>
      </c>
      <c r="AO48" s="366">
        <v>132.19066666666669</v>
      </c>
      <c r="AP48" s="366">
        <v>132.19066666666669</v>
      </c>
      <c r="AQ48" s="366">
        <v>132.19066666666669</v>
      </c>
      <c r="AR48" s="366">
        <v>132.19066666666669</v>
      </c>
      <c r="AS48" s="369">
        <f t="shared" si="0"/>
        <v>16.726666666666659</v>
      </c>
      <c r="AT48" s="369">
        <f t="shared" si="1"/>
        <v>89.809333333333313</v>
      </c>
    </row>
    <row r="49" spans="2:46" x14ac:dyDescent="0.25">
      <c r="B49" s="651" t="s">
        <v>350</v>
      </c>
      <c r="C49" s="652"/>
      <c r="D49" s="365">
        <v>399.80333333333328</v>
      </c>
      <c r="E49" s="365">
        <v>10</v>
      </c>
      <c r="F49" s="365">
        <v>10</v>
      </c>
      <c r="G49" s="365">
        <v>10</v>
      </c>
      <c r="H49" s="365">
        <v>10</v>
      </c>
      <c r="I49" s="365">
        <v>10</v>
      </c>
      <c r="J49" s="365">
        <v>10</v>
      </c>
      <c r="K49" s="365">
        <v>10</v>
      </c>
      <c r="L49" s="365">
        <v>10</v>
      </c>
      <c r="M49" s="563">
        <v>10</v>
      </c>
      <c r="N49" s="366">
        <v>10</v>
      </c>
      <c r="O49" s="366">
        <v>10</v>
      </c>
      <c r="P49" s="366">
        <v>10</v>
      </c>
      <c r="Q49" s="366">
        <v>10</v>
      </c>
      <c r="R49" s="366">
        <v>10</v>
      </c>
      <c r="S49" s="366">
        <v>0</v>
      </c>
      <c r="T49" s="366">
        <v>0</v>
      </c>
      <c r="U49" s="366">
        <v>0</v>
      </c>
      <c r="V49" s="366">
        <v>0</v>
      </c>
      <c r="W49" s="366">
        <v>0</v>
      </c>
      <c r="X49" s="366">
        <v>0</v>
      </c>
      <c r="Y49" s="366">
        <v>0</v>
      </c>
      <c r="Z49" s="366">
        <v>0</v>
      </c>
      <c r="AA49" s="366">
        <v>0</v>
      </c>
      <c r="AB49" s="366">
        <v>0</v>
      </c>
      <c r="AC49" s="366">
        <v>0</v>
      </c>
      <c r="AD49" s="366">
        <v>0</v>
      </c>
      <c r="AE49" s="366">
        <v>0</v>
      </c>
      <c r="AF49" s="366">
        <f>+SUMIF('Monthly Detail'!$4:$4, $B$14,'Monthly Detail'!87:87)</f>
        <v>0</v>
      </c>
      <c r="AG49" s="366">
        <v>11</v>
      </c>
      <c r="AH49" s="366">
        <v>11</v>
      </c>
      <c r="AI49" s="366">
        <v>11</v>
      </c>
      <c r="AJ49" s="366">
        <v>11</v>
      </c>
      <c r="AK49" s="366">
        <v>11</v>
      </c>
      <c r="AL49" s="366">
        <v>11</v>
      </c>
      <c r="AM49" s="366">
        <v>11</v>
      </c>
      <c r="AN49" s="366">
        <v>11</v>
      </c>
      <c r="AO49" s="366">
        <v>11</v>
      </c>
      <c r="AP49" s="366">
        <v>11</v>
      </c>
      <c r="AQ49" s="366">
        <v>11</v>
      </c>
      <c r="AR49" s="366">
        <v>11</v>
      </c>
      <c r="AS49" s="369">
        <f t="shared" si="0"/>
        <v>-10</v>
      </c>
      <c r="AT49" s="369">
        <f t="shared" si="1"/>
        <v>-11</v>
      </c>
    </row>
    <row r="50" spans="2:46" ht="14.65" customHeight="1" x14ac:dyDescent="0.25">
      <c r="B50" s="651" t="s">
        <v>351</v>
      </c>
      <c r="C50" s="652"/>
      <c r="D50" s="365">
        <v>0</v>
      </c>
      <c r="E50" s="365">
        <v>0</v>
      </c>
      <c r="F50" s="365">
        <v>0</v>
      </c>
      <c r="G50" s="365">
        <v>0</v>
      </c>
      <c r="H50" s="365">
        <v>0</v>
      </c>
      <c r="I50" s="365">
        <v>0</v>
      </c>
      <c r="J50" s="365">
        <v>0</v>
      </c>
      <c r="K50" s="365">
        <v>0</v>
      </c>
      <c r="L50" s="365">
        <v>0</v>
      </c>
      <c r="M50" s="563">
        <v>0</v>
      </c>
      <c r="N50" s="366">
        <v>50</v>
      </c>
      <c r="O50" s="366">
        <v>0</v>
      </c>
      <c r="P50" s="366">
        <v>0</v>
      </c>
      <c r="Q50" s="366">
        <v>0</v>
      </c>
      <c r="R50" s="366">
        <v>105</v>
      </c>
      <c r="S50" s="366">
        <v>0</v>
      </c>
      <c r="T50" s="366">
        <v>0</v>
      </c>
      <c r="U50" s="366">
        <v>0</v>
      </c>
      <c r="V50" s="366">
        <v>0</v>
      </c>
      <c r="W50" s="366">
        <v>0</v>
      </c>
      <c r="X50" s="366">
        <v>0</v>
      </c>
      <c r="Y50" s="366">
        <v>0</v>
      </c>
      <c r="Z50" s="366">
        <v>0</v>
      </c>
      <c r="AA50" s="366">
        <v>0</v>
      </c>
      <c r="AB50" s="366">
        <v>0</v>
      </c>
      <c r="AC50" s="366">
        <v>0</v>
      </c>
      <c r="AD50" s="366">
        <v>62.81</v>
      </c>
      <c r="AE50" s="366">
        <v>0</v>
      </c>
      <c r="AF50" s="366">
        <f>+SUMIF('Monthly Detail'!$4:$4, $B$14,'Monthly Detail'!88:88)</f>
        <v>0</v>
      </c>
      <c r="AG50" s="366">
        <v>0</v>
      </c>
      <c r="AH50" s="366">
        <v>0</v>
      </c>
      <c r="AI50" s="366">
        <v>0</v>
      </c>
      <c r="AJ50" s="366">
        <v>0</v>
      </c>
      <c r="AK50" s="366">
        <v>0</v>
      </c>
      <c r="AL50" s="366">
        <v>50</v>
      </c>
      <c r="AM50" s="366">
        <v>0</v>
      </c>
      <c r="AN50" s="366">
        <v>0</v>
      </c>
      <c r="AO50" s="366">
        <v>0</v>
      </c>
      <c r="AP50" s="366">
        <v>105</v>
      </c>
      <c r="AQ50" s="366">
        <v>0</v>
      </c>
      <c r="AR50" s="366">
        <v>0</v>
      </c>
      <c r="AS50" s="369">
        <f t="shared" si="0"/>
        <v>-105</v>
      </c>
      <c r="AT50" s="369">
        <f t="shared" si="1"/>
        <v>-105</v>
      </c>
    </row>
    <row r="51" spans="2:46" ht="14.65" customHeight="1" x14ac:dyDescent="0.25">
      <c r="B51" s="653" t="s">
        <v>392</v>
      </c>
      <c r="C51" s="654"/>
      <c r="D51" s="365"/>
      <c r="E51" s="365"/>
      <c r="F51" s="365"/>
      <c r="G51" s="365"/>
      <c r="H51" s="365"/>
      <c r="I51" s="365"/>
      <c r="J51" s="365"/>
      <c r="K51" s="365"/>
      <c r="L51" s="365"/>
      <c r="M51" s="563"/>
      <c r="N51" s="366"/>
      <c r="O51" s="366"/>
      <c r="P51" s="366"/>
      <c r="Q51" s="366"/>
      <c r="R51" s="366">
        <v>0</v>
      </c>
      <c r="S51" s="366"/>
      <c r="T51" s="366"/>
      <c r="U51" s="366"/>
      <c r="V51" s="366"/>
      <c r="W51" s="366"/>
      <c r="X51" s="366"/>
      <c r="Y51" s="366"/>
      <c r="Z51" s="366"/>
      <c r="AA51" s="366"/>
      <c r="AB51" s="366"/>
      <c r="AC51" s="366"/>
      <c r="AD51" s="366"/>
      <c r="AE51" s="366"/>
      <c r="AF51" s="366">
        <f>+SUMIF('Monthly Detail'!$4:$4, $B$14,'Monthly Detail'!90:90)</f>
        <v>16.13</v>
      </c>
      <c r="AG51" s="366"/>
      <c r="AH51" s="366"/>
      <c r="AI51" s="366"/>
      <c r="AJ51" s="366"/>
      <c r="AK51" s="366"/>
      <c r="AL51" s="366"/>
      <c r="AM51" s="366"/>
      <c r="AN51" s="366"/>
      <c r="AO51" s="366"/>
      <c r="AP51" s="366">
        <v>0</v>
      </c>
      <c r="AQ51" s="366"/>
      <c r="AR51" s="366"/>
      <c r="AS51" s="369">
        <f t="shared" ref="AS51" si="2">+AF51-R51</f>
        <v>16.13</v>
      </c>
      <c r="AT51" s="369">
        <f t="shared" ref="AT51" si="3">+AF51-AP51</f>
        <v>16.13</v>
      </c>
    </row>
    <row r="52" spans="2:46" x14ac:dyDescent="0.25">
      <c r="B52" s="655" t="s">
        <v>5</v>
      </c>
      <c r="C52" s="656"/>
      <c r="D52" s="367">
        <v>1469.3799999999999</v>
      </c>
      <c r="E52" s="367">
        <f>+SUM(E43:E50)</f>
        <v>2470.9499999999998</v>
      </c>
      <c r="F52" s="367">
        <v>2375.2033333333334</v>
      </c>
      <c r="G52" s="367">
        <v>2594.5433333333331</v>
      </c>
      <c r="H52" s="367">
        <v>2425.8666666666663</v>
      </c>
      <c r="I52" s="367">
        <v>2465.1133333333332</v>
      </c>
      <c r="J52" s="367">
        <f>+SUM(J42:J50)</f>
        <v>6476.4353333333329</v>
      </c>
      <c r="K52" s="367">
        <v>4432.7966666666671</v>
      </c>
      <c r="L52" s="367">
        <v>4234.5616666666665</v>
      </c>
      <c r="M52" s="564">
        <v>5168.2116666666661</v>
      </c>
      <c r="N52" s="173">
        <v>5126.6322727272727</v>
      </c>
      <c r="O52" s="173">
        <v>4991.319523809525</v>
      </c>
      <c r="P52" s="173">
        <v>4903.3795238095245</v>
      </c>
      <c r="Q52" s="173">
        <v>5155.2383333333337</v>
      </c>
      <c r="R52" s="173">
        <v>5063.0139057239057</v>
      </c>
      <c r="S52" s="173">
        <v>2232.4700000000003</v>
      </c>
      <c r="T52" s="173">
        <v>2712.35</v>
      </c>
      <c r="U52" s="173">
        <v>2712.35</v>
      </c>
      <c r="V52" s="173">
        <v>2147.4699999999998</v>
      </c>
      <c r="W52" s="173">
        <v>2161.9</v>
      </c>
      <c r="X52" s="173">
        <v>2940.21</v>
      </c>
      <c r="Y52" s="173">
        <v>3992.9799999999996</v>
      </c>
      <c r="Z52" s="173">
        <v>5627.3499999999995</v>
      </c>
      <c r="AA52" s="173">
        <v>5143.37</v>
      </c>
      <c r="AB52" s="173">
        <v>3423.9399999999996</v>
      </c>
      <c r="AC52" s="173">
        <v>3680.41</v>
      </c>
      <c r="AD52" s="173">
        <v>3852.5499999999997</v>
      </c>
      <c r="AE52" s="173">
        <v>3153.87</v>
      </c>
      <c r="AF52" s="173">
        <f>+SUM(AF42:AF51)</f>
        <v>3847.74</v>
      </c>
      <c r="AG52" s="173">
        <v>2422.1893333333337</v>
      </c>
      <c r="AH52" s="173">
        <v>2559.4533333333338</v>
      </c>
      <c r="AI52" s="173">
        <v>2559.4533333333338</v>
      </c>
      <c r="AJ52" s="173">
        <v>2559.4533333333338</v>
      </c>
      <c r="AK52" s="173">
        <v>2559.4533333333338</v>
      </c>
      <c r="AL52" s="173">
        <v>2609.4533333333338</v>
      </c>
      <c r="AM52" s="173">
        <v>2559.4533333333338</v>
      </c>
      <c r="AN52" s="173">
        <v>2559.4533333333338</v>
      </c>
      <c r="AO52" s="173">
        <v>2559.4533333333338</v>
      </c>
      <c r="AP52" s="173">
        <v>2664.4533333333338</v>
      </c>
      <c r="AQ52" s="173">
        <v>2559.4533333333338</v>
      </c>
      <c r="AR52" s="173">
        <v>2559.4533333333338</v>
      </c>
      <c r="AS52" s="455">
        <f t="shared" si="0"/>
        <v>-1215.273905723906</v>
      </c>
      <c r="AT52" s="455">
        <f t="shared" si="1"/>
        <v>1183.286666666666</v>
      </c>
    </row>
    <row r="53" spans="2:46" x14ac:dyDescent="0.25">
      <c r="B53" s="655" t="s">
        <v>6</v>
      </c>
      <c r="C53" s="656"/>
      <c r="D53" s="368">
        <v>10757.844398589188</v>
      </c>
      <c r="E53" s="368">
        <f>+E38-E52</f>
        <v>2819.2979072419048</v>
      </c>
      <c r="F53" s="368">
        <v>2871.4748597993607</v>
      </c>
      <c r="G53" s="368">
        <v>3004.7906193818862</v>
      </c>
      <c r="H53" s="368">
        <v>2150.6010454540624</v>
      </c>
      <c r="I53" s="368">
        <v>4563.2241460310252</v>
      </c>
      <c r="J53" s="368">
        <f>+J38-J52</f>
        <v>222.86992056728104</v>
      </c>
      <c r="K53" s="368">
        <v>333.43531499671917</v>
      </c>
      <c r="L53" s="368">
        <v>-155.19680493145279</v>
      </c>
      <c r="M53" s="565">
        <v>-558.64805928654005</v>
      </c>
      <c r="N53" s="172">
        <v>-117.79854599017654</v>
      </c>
      <c r="O53" s="172">
        <v>495.44167916388687</v>
      </c>
      <c r="P53" s="172">
        <v>311.12260785893159</v>
      </c>
      <c r="Q53" s="172">
        <v>669.0355806276375</v>
      </c>
      <c r="R53" s="172">
        <v>1202.7080122460147</v>
      </c>
      <c r="S53" s="172">
        <v>1588.8599999999997</v>
      </c>
      <c r="T53" s="172">
        <v>1277.96</v>
      </c>
      <c r="U53" s="172">
        <v>1277.96</v>
      </c>
      <c r="V53" s="172">
        <v>2773.94</v>
      </c>
      <c r="W53" s="172">
        <v>4061.8700000000003</v>
      </c>
      <c r="X53" s="172">
        <v>2769.5300000000007</v>
      </c>
      <c r="Y53" s="172">
        <v>2090.83</v>
      </c>
      <c r="Z53" s="172">
        <v>1303.8300000000008</v>
      </c>
      <c r="AA53" s="172">
        <v>1110.7699999999995</v>
      </c>
      <c r="AB53" s="172">
        <v>2777.6800000000003</v>
      </c>
      <c r="AC53" s="172">
        <v>2933.4300000000003</v>
      </c>
      <c r="AD53" s="172">
        <v>2827.0900000000006</v>
      </c>
      <c r="AE53" s="172">
        <v>1871.0299999999997</v>
      </c>
      <c r="AF53" s="172">
        <f>+AF38-AF52</f>
        <v>2290</v>
      </c>
      <c r="AG53" s="172">
        <v>4368.4030112748142</v>
      </c>
      <c r="AH53" s="172">
        <v>1742.8646612802377</v>
      </c>
      <c r="AI53" s="172">
        <v>3023.2941898743766</v>
      </c>
      <c r="AJ53" s="172">
        <v>5286.2861653139853</v>
      </c>
      <c r="AK53" s="172">
        <v>6334.256179083538</v>
      </c>
      <c r="AL53" s="172">
        <v>6054.9234536434569</v>
      </c>
      <c r="AM53" s="172">
        <v>4769.6571099241446</v>
      </c>
      <c r="AN53" s="172">
        <v>4000.6762007309908</v>
      </c>
      <c r="AO53" s="172">
        <v>3614.3555153061106</v>
      </c>
      <c r="AP53" s="172">
        <v>4150.3630291679119</v>
      </c>
      <c r="AQ53" s="172">
        <v>3473.8253458511454</v>
      </c>
      <c r="AR53" s="172">
        <v>4788.8246936063815</v>
      </c>
      <c r="AS53" s="369">
        <f t="shared" si="0"/>
        <v>1087.2919877539853</v>
      </c>
      <c r="AT53" s="369">
        <f t="shared" si="1"/>
        <v>-1860.3630291679119</v>
      </c>
    </row>
    <row r="54" spans="2:46" x14ac:dyDescent="0.25">
      <c r="B54" s="661" t="s">
        <v>289</v>
      </c>
      <c r="C54" s="662"/>
      <c r="D54" s="370">
        <v>0.8425898482858486</v>
      </c>
      <c r="E54" s="370">
        <f>+E53/E16</f>
        <v>0.46118419026699853</v>
      </c>
      <c r="F54" s="370">
        <v>0.46861438990326149</v>
      </c>
      <c r="G54" s="370">
        <v>0.45737741979579793</v>
      </c>
      <c r="H54" s="370">
        <v>0.38914650939365208</v>
      </c>
      <c r="I54" s="370">
        <v>0.60302065410348027</v>
      </c>
      <c r="J54" s="370">
        <f>+J53/J16</f>
        <v>2.9521315205631539E-2</v>
      </c>
      <c r="K54" s="370">
        <v>5.1877764919120016E-2</v>
      </c>
      <c r="L54" s="370">
        <v>-3.0719256720163762E-2</v>
      </c>
      <c r="M54" s="567">
        <v>-0.10776340958377154</v>
      </c>
      <c r="N54" s="371">
        <v>-2.0827079835287171E-2</v>
      </c>
      <c r="O54" s="371">
        <v>6.7960107744984913E-2</v>
      </c>
      <c r="P54" s="371">
        <v>4.4799424654425331E-2</v>
      </c>
      <c r="Q54" s="371">
        <v>8.5071314274216922E-2</v>
      </c>
      <c r="R54" s="371">
        <v>0.13819490136879001</v>
      </c>
      <c r="S54" s="371">
        <v>0.3793839541547277</v>
      </c>
      <c r="T54" s="371">
        <v>0.25876183244748163</v>
      </c>
      <c r="U54" s="371">
        <v>0.25876183244748163</v>
      </c>
      <c r="V54" s="371">
        <v>0.45090052015604681</v>
      </c>
      <c r="W54" s="371">
        <v>0.60435051070889223</v>
      </c>
      <c r="X54" s="371">
        <v>0.42600682341866203</v>
      </c>
      <c r="Y54" s="371">
        <v>0.29413096996553423</v>
      </c>
      <c r="Z54" s="371">
        <v>0.16584475466658197</v>
      </c>
      <c r="AA54" s="371">
        <v>0.14100324717363868</v>
      </c>
      <c r="AB54" s="371">
        <v>0.40329584969763849</v>
      </c>
      <c r="AC54" s="371">
        <v>0.39541824210930709</v>
      </c>
      <c r="AD54" s="371">
        <v>0.36939248825677651</v>
      </c>
      <c r="AE54" s="371">
        <v>0.30322423810256949</v>
      </c>
      <c r="AF54" s="371">
        <f>+AF53/AF16</f>
        <v>0.32722466330868433</v>
      </c>
      <c r="AG54" s="371">
        <v>0.60256213119912172</v>
      </c>
      <c r="AH54" s="371">
        <v>0.354710330984157</v>
      </c>
      <c r="AI54" s="371">
        <v>0.462509709400302</v>
      </c>
      <c r="AJ54" s="371">
        <v>0.56353327022783017</v>
      </c>
      <c r="AK54" s="371">
        <v>0.58899114246383111</v>
      </c>
      <c r="AL54" s="371">
        <v>0.58805824000945262</v>
      </c>
      <c r="AM54" s="371">
        <v>0.57944530820484241</v>
      </c>
      <c r="AN54" s="371">
        <v>0.52778121281109103</v>
      </c>
      <c r="AO54" s="371">
        <v>0.52294714052748492</v>
      </c>
      <c r="AP54" s="371">
        <v>0.52724172124575774</v>
      </c>
      <c r="AQ54" s="371">
        <v>0.49500858468197689</v>
      </c>
      <c r="AR54" s="371">
        <v>0.55871324718620097</v>
      </c>
      <c r="AS54" s="457">
        <f t="shared" si="0"/>
        <v>0.18902976193989432</v>
      </c>
      <c r="AT54" s="457">
        <f t="shared" si="1"/>
        <v>-0.20001705793707342</v>
      </c>
    </row>
    <row r="55" spans="2:46" hidden="1" x14ac:dyDescent="0.25">
      <c r="B55" s="653" t="s">
        <v>8</v>
      </c>
      <c r="C55" s="654"/>
      <c r="D55" s="365">
        <v>0</v>
      </c>
      <c r="E55" s="365">
        <v>0</v>
      </c>
      <c r="F55" s="365">
        <v>0</v>
      </c>
      <c r="G55" s="365">
        <v>0</v>
      </c>
      <c r="H55" s="365">
        <v>0</v>
      </c>
      <c r="I55" s="365">
        <v>0</v>
      </c>
      <c r="J55" s="365">
        <v>0</v>
      </c>
      <c r="K55" s="365">
        <v>0</v>
      </c>
      <c r="L55" s="365">
        <v>0</v>
      </c>
      <c r="M55" s="563">
        <v>0</v>
      </c>
      <c r="N55" s="366">
        <v>0</v>
      </c>
      <c r="O55" s="366">
        <v>0</v>
      </c>
      <c r="P55" s="366">
        <v>0</v>
      </c>
      <c r="Q55" s="366">
        <v>0</v>
      </c>
      <c r="R55" s="366">
        <v>0</v>
      </c>
      <c r="S55" s="366">
        <v>0</v>
      </c>
      <c r="T55" s="366">
        <v>0</v>
      </c>
      <c r="U55" s="366">
        <v>0</v>
      </c>
      <c r="V55" s="366">
        <v>0</v>
      </c>
      <c r="W55" s="366">
        <v>0</v>
      </c>
      <c r="X55" s="366">
        <v>0</v>
      </c>
      <c r="Y55" s="366">
        <v>0</v>
      </c>
      <c r="Z55" s="366">
        <v>0</v>
      </c>
      <c r="AA55" s="366">
        <v>0</v>
      </c>
      <c r="AB55" s="366">
        <v>0</v>
      </c>
      <c r="AC55" s="366">
        <v>0</v>
      </c>
      <c r="AD55" s="366">
        <v>0</v>
      </c>
      <c r="AE55" s="366">
        <v>0</v>
      </c>
      <c r="AF55" s="366">
        <f>+SUMIF('Monthly Detail'!$4:$4,#REF!, 'Monthly Detail'!105:105)</f>
        <v>0</v>
      </c>
      <c r="AG55" s="366">
        <v>0</v>
      </c>
      <c r="AH55" s="366">
        <v>0</v>
      </c>
      <c r="AI55" s="366">
        <v>0</v>
      </c>
      <c r="AJ55" s="366">
        <v>0</v>
      </c>
      <c r="AK55" s="366">
        <v>0</v>
      </c>
      <c r="AL55" s="366">
        <v>0</v>
      </c>
      <c r="AM55" s="366">
        <v>0</v>
      </c>
      <c r="AN55" s="366">
        <v>0</v>
      </c>
      <c r="AO55" s="366">
        <v>0</v>
      </c>
      <c r="AP55" s="366">
        <v>0</v>
      </c>
      <c r="AQ55" s="366">
        <v>0</v>
      </c>
      <c r="AR55" s="366">
        <v>0</v>
      </c>
      <c r="AS55" s="369">
        <f t="shared" si="0"/>
        <v>0</v>
      </c>
      <c r="AT55" s="369">
        <f t="shared" si="1"/>
        <v>0</v>
      </c>
    </row>
    <row r="56" spans="2:46" x14ac:dyDescent="0.25">
      <c r="B56" s="655" t="s">
        <v>9</v>
      </c>
      <c r="C56" s="656"/>
      <c r="D56" s="367">
        <v>0</v>
      </c>
      <c r="E56" s="367">
        <v>0</v>
      </c>
      <c r="F56" s="367">
        <v>0</v>
      </c>
      <c r="G56" s="367">
        <v>0</v>
      </c>
      <c r="H56" s="367">
        <v>0</v>
      </c>
      <c r="I56" s="367">
        <v>0</v>
      </c>
      <c r="J56" s="367">
        <v>0</v>
      </c>
      <c r="K56" s="367">
        <v>0</v>
      </c>
      <c r="L56" s="367">
        <v>0</v>
      </c>
      <c r="M56" s="564">
        <v>0</v>
      </c>
      <c r="N56" s="173">
        <v>0</v>
      </c>
      <c r="O56" s="173">
        <v>0</v>
      </c>
      <c r="P56" s="173">
        <v>0</v>
      </c>
      <c r="Q56" s="173">
        <v>3.44</v>
      </c>
      <c r="R56" s="173">
        <v>2.61</v>
      </c>
      <c r="S56" s="173">
        <v>0</v>
      </c>
      <c r="T56" s="173">
        <v>0</v>
      </c>
      <c r="U56" s="173">
        <v>0</v>
      </c>
      <c r="V56" s="173">
        <v>0</v>
      </c>
      <c r="W56" s="173">
        <v>0</v>
      </c>
      <c r="X56" s="173">
        <v>0</v>
      </c>
      <c r="Y56" s="173">
        <v>0</v>
      </c>
      <c r="Z56" s="173">
        <v>0</v>
      </c>
      <c r="AA56" s="173">
        <v>0</v>
      </c>
      <c r="AB56" s="173">
        <v>0</v>
      </c>
      <c r="AC56" s="173">
        <v>0</v>
      </c>
      <c r="AD56" s="173">
        <v>3.44</v>
      </c>
      <c r="AE56" s="173">
        <v>2.61</v>
      </c>
      <c r="AF56" s="173">
        <f>+SUMIF('Monthly Detail'!$4:$4, $B$14,'Monthly Detail'!95:95)</f>
        <v>1.78</v>
      </c>
      <c r="AG56" s="173">
        <v>0</v>
      </c>
      <c r="AH56" s="173">
        <v>0</v>
      </c>
      <c r="AI56" s="173">
        <v>0</v>
      </c>
      <c r="AJ56" s="173">
        <v>0</v>
      </c>
      <c r="AK56" s="173">
        <v>0</v>
      </c>
      <c r="AL56" s="173">
        <v>0</v>
      </c>
      <c r="AM56" s="173">
        <v>0</v>
      </c>
      <c r="AN56" s="173">
        <v>0</v>
      </c>
      <c r="AO56" s="173">
        <v>0</v>
      </c>
      <c r="AP56" s="173">
        <v>0</v>
      </c>
      <c r="AQ56" s="173">
        <v>0</v>
      </c>
      <c r="AR56" s="173">
        <v>0</v>
      </c>
      <c r="AS56" s="455">
        <f t="shared" si="0"/>
        <v>-0.82999999999999985</v>
      </c>
      <c r="AT56" s="455">
        <f t="shared" si="1"/>
        <v>1.78</v>
      </c>
    </row>
    <row r="57" spans="2:46" hidden="1" x14ac:dyDescent="0.25">
      <c r="B57" s="655" t="s">
        <v>10</v>
      </c>
      <c r="C57" s="656"/>
      <c r="D57" s="372">
        <v>0</v>
      </c>
      <c r="E57" s="372">
        <v>0</v>
      </c>
      <c r="F57" s="372">
        <v>0</v>
      </c>
      <c r="G57" s="372">
        <v>0</v>
      </c>
      <c r="H57" s="372">
        <v>0</v>
      </c>
      <c r="I57" s="372">
        <v>0</v>
      </c>
      <c r="J57" s="372">
        <v>0</v>
      </c>
      <c r="K57" s="372">
        <v>0</v>
      </c>
      <c r="L57" s="372">
        <v>0</v>
      </c>
      <c r="M57" s="568">
        <v>0</v>
      </c>
      <c r="N57" s="373">
        <v>0</v>
      </c>
      <c r="O57" s="373">
        <v>0</v>
      </c>
      <c r="P57" s="373">
        <v>0</v>
      </c>
      <c r="Q57" s="373">
        <v>3.44</v>
      </c>
      <c r="R57" s="373">
        <v>2.61</v>
      </c>
      <c r="S57" s="373">
        <v>0</v>
      </c>
      <c r="T57" s="373">
        <v>0</v>
      </c>
      <c r="U57" s="373">
        <v>0</v>
      </c>
      <c r="V57" s="373">
        <v>0</v>
      </c>
      <c r="W57" s="373">
        <v>0</v>
      </c>
      <c r="X57" s="373">
        <v>0</v>
      </c>
      <c r="Y57" s="373">
        <v>0</v>
      </c>
      <c r="Z57" s="373">
        <v>0</v>
      </c>
      <c r="AA57" s="373">
        <v>0</v>
      </c>
      <c r="AB57" s="373">
        <v>0</v>
      </c>
      <c r="AC57" s="373">
        <v>0</v>
      </c>
      <c r="AD57" s="373">
        <v>3.44</v>
      </c>
      <c r="AE57" s="373">
        <v>2.61</v>
      </c>
      <c r="AF57" s="373">
        <f>+AF56</f>
        <v>1.78</v>
      </c>
      <c r="AG57" s="373">
        <v>0</v>
      </c>
      <c r="AH57" s="373">
        <v>0</v>
      </c>
      <c r="AI57" s="373">
        <v>0</v>
      </c>
      <c r="AJ57" s="373">
        <v>0</v>
      </c>
      <c r="AK57" s="373">
        <v>0</v>
      </c>
      <c r="AL57" s="373">
        <v>0</v>
      </c>
      <c r="AM57" s="373">
        <v>0</v>
      </c>
      <c r="AN57" s="373">
        <v>0</v>
      </c>
      <c r="AO57" s="373">
        <v>0</v>
      </c>
      <c r="AP57" s="373">
        <v>0</v>
      </c>
      <c r="AQ57" s="373">
        <v>0</v>
      </c>
      <c r="AR57" s="373">
        <v>0</v>
      </c>
      <c r="AS57" s="458">
        <f t="shared" si="0"/>
        <v>-0.82999999999999985</v>
      </c>
      <c r="AT57" s="458">
        <f t="shared" si="1"/>
        <v>1.78</v>
      </c>
    </row>
    <row r="58" spans="2:46" x14ac:dyDescent="0.25">
      <c r="B58" s="657" t="s">
        <v>293</v>
      </c>
      <c r="C58" s="658"/>
      <c r="D58" s="374">
        <v>-3048.1599999999967</v>
      </c>
      <c r="E58" s="374">
        <v>-3126.69</v>
      </c>
      <c r="F58" s="374">
        <v>-2700</v>
      </c>
      <c r="G58" s="374">
        <v>-3130</v>
      </c>
      <c r="H58" s="374">
        <v>-3130</v>
      </c>
      <c r="I58" s="374">
        <v>-2000</v>
      </c>
      <c r="J58" s="374">
        <v>-2000</v>
      </c>
      <c r="K58" s="374">
        <v>-150</v>
      </c>
      <c r="L58" s="374">
        <v>-150</v>
      </c>
      <c r="M58" s="569">
        <v>-150</v>
      </c>
      <c r="N58" s="375">
        <v>-150</v>
      </c>
      <c r="O58" s="375">
        <v>-150</v>
      </c>
      <c r="P58" s="375">
        <v>-150</v>
      </c>
      <c r="Q58" s="375">
        <v>-150</v>
      </c>
      <c r="R58" s="375">
        <v>-4027.9099999999962</v>
      </c>
      <c r="S58" s="375">
        <v>-2737.7699999999968</v>
      </c>
      <c r="T58" s="375">
        <v>-2394.3899999999994</v>
      </c>
      <c r="U58" s="375">
        <v>-2307.5599999999977</v>
      </c>
      <c r="V58" s="375">
        <v>-4112.4500000000044</v>
      </c>
      <c r="W58" s="375">
        <v>-3431.5800000000017</v>
      </c>
      <c r="X58" s="375">
        <v>-1624.4799999999959</v>
      </c>
      <c r="Y58" s="375">
        <v>-1148.7200000000012</v>
      </c>
      <c r="Z58" s="375">
        <v>-150</v>
      </c>
      <c r="AA58" s="375">
        <v>-150</v>
      </c>
      <c r="AB58" s="375">
        <v>-150</v>
      </c>
      <c r="AC58" s="375">
        <v>-2635.2200000000012</v>
      </c>
      <c r="AD58" s="375">
        <v>-2635.2200000000012</v>
      </c>
      <c r="AE58" s="375">
        <v>-4027.9099999999962</v>
      </c>
      <c r="AF58" s="375">
        <f>'Monthly Detail'!AV154</f>
        <v>-4027.9099999999962</v>
      </c>
      <c r="AG58" s="375">
        <v>-2307.5599999999977</v>
      </c>
      <c r="AH58" s="375">
        <v>-2307.5599999999977</v>
      </c>
      <c r="AI58" s="375">
        <v>-2307.5599999999977</v>
      </c>
      <c r="AJ58" s="375">
        <v>-2307.5599999999977</v>
      </c>
      <c r="AK58" s="375">
        <v>-2307.5599999999977</v>
      </c>
      <c r="AL58" s="375">
        <v>-2307.5599999999977</v>
      </c>
      <c r="AM58" s="375">
        <v>-2307.5599999999977</v>
      </c>
      <c r="AN58" s="375">
        <v>-2307.5599999999977</v>
      </c>
      <c r="AO58" s="375">
        <v>-2307.5599999999977</v>
      </c>
      <c r="AP58" s="375">
        <v>-2307.5599999999977</v>
      </c>
      <c r="AQ58" s="375">
        <v>-2307.5599999999977</v>
      </c>
      <c r="AR58" s="375">
        <v>-2307.5599999999977</v>
      </c>
      <c r="AS58" s="395">
        <f t="shared" si="0"/>
        <v>0</v>
      </c>
      <c r="AT58" s="395">
        <f t="shared" si="1"/>
        <v>-1720.3499999999985</v>
      </c>
    </row>
    <row r="59" spans="2:46" ht="15.75" thickBot="1" x14ac:dyDescent="0.3">
      <c r="B59" s="659" t="s">
        <v>11</v>
      </c>
      <c r="C59" s="660"/>
      <c r="D59" s="376">
        <v>10757.844398589188</v>
      </c>
      <c r="E59" s="376">
        <v>3219.2979072419048</v>
      </c>
      <c r="F59" s="376">
        <v>2871.4748597993607</v>
      </c>
      <c r="G59" s="376">
        <v>3004.7906193818862</v>
      </c>
      <c r="H59" s="376">
        <v>2150.6010454540624</v>
      </c>
      <c r="I59" s="376">
        <v>4563.2241460310252</v>
      </c>
      <c r="J59" s="376">
        <f>+J57+J53</f>
        <v>222.86992056728104</v>
      </c>
      <c r="K59" s="376">
        <v>333.43531499671917</v>
      </c>
      <c r="L59" s="376">
        <v>-155.19680493145279</v>
      </c>
      <c r="M59" s="570">
        <v>-558.64805928654005</v>
      </c>
      <c r="N59" s="572">
        <v>-117.79854599017654</v>
      </c>
      <c r="O59" s="572">
        <v>495.44167916388687</v>
      </c>
      <c r="P59" s="572">
        <v>311.12260785893159</v>
      </c>
      <c r="Q59" s="572">
        <v>672.47558062763756</v>
      </c>
      <c r="R59" s="382">
        <v>1205.3180122460146</v>
      </c>
      <c r="S59" s="382">
        <v>1588.8599999999997</v>
      </c>
      <c r="T59" s="382">
        <v>1277.96</v>
      </c>
      <c r="U59" s="382">
        <v>1277.96</v>
      </c>
      <c r="V59" s="382">
        <v>2773.94</v>
      </c>
      <c r="W59" s="382">
        <v>4061.8700000000003</v>
      </c>
      <c r="X59" s="382">
        <v>2769.5300000000007</v>
      </c>
      <c r="Y59" s="382">
        <v>2090.83</v>
      </c>
      <c r="Z59" s="382">
        <v>1303.8300000000008</v>
      </c>
      <c r="AA59" s="382">
        <v>1110.7699999999995</v>
      </c>
      <c r="AB59" s="382">
        <v>2777.6800000000003</v>
      </c>
      <c r="AC59" s="382">
        <v>2933.4300000000003</v>
      </c>
      <c r="AD59" s="382">
        <v>2830.5300000000007</v>
      </c>
      <c r="AE59" s="382">
        <v>1873.6399999999996</v>
      </c>
      <c r="AF59" s="382">
        <f>+AF57+AF53</f>
        <v>2291.7800000000002</v>
      </c>
      <c r="AG59" s="382">
        <v>4368.4030112748142</v>
      </c>
      <c r="AH59" s="382">
        <v>1742.8646612802377</v>
      </c>
      <c r="AI59" s="382">
        <v>3023.2941898743766</v>
      </c>
      <c r="AJ59" s="382">
        <v>5286.2861653139853</v>
      </c>
      <c r="AK59" s="382">
        <v>6334.256179083538</v>
      </c>
      <c r="AL59" s="382">
        <v>6054.9234536434569</v>
      </c>
      <c r="AM59" s="382">
        <v>4769.6571099241446</v>
      </c>
      <c r="AN59" s="382">
        <v>4000.6762007309908</v>
      </c>
      <c r="AO59" s="382">
        <v>3614.3555153061106</v>
      </c>
      <c r="AP59" s="382">
        <v>4150.3630291679119</v>
      </c>
      <c r="AQ59" s="382">
        <v>3473.8253458511454</v>
      </c>
      <c r="AR59" s="382">
        <v>4788.8246936063815</v>
      </c>
      <c r="AS59" s="459">
        <f t="shared" si="0"/>
        <v>1086.4619877539856</v>
      </c>
      <c r="AT59" s="459">
        <f t="shared" si="1"/>
        <v>-1858.5830291679117</v>
      </c>
    </row>
    <row r="60" spans="2:46" ht="15.75" thickTop="1" x14ac:dyDescent="0.25"/>
    <row r="61" spans="2:46" x14ac:dyDescent="0.25">
      <c r="B61" s="377"/>
      <c r="C61" s="377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378"/>
      <c r="AT61" s="378"/>
    </row>
  </sheetData>
  <mergeCells count="31">
    <mergeCell ref="B14:AT14"/>
    <mergeCell ref="B42:C42"/>
    <mergeCell ref="B16:C16"/>
    <mergeCell ref="B41:C41"/>
    <mergeCell ref="B39:C39"/>
    <mergeCell ref="B40:C40"/>
    <mergeCell ref="B37:C37"/>
    <mergeCell ref="B17:B28"/>
    <mergeCell ref="B36:C36"/>
    <mergeCell ref="B58:C58"/>
    <mergeCell ref="B59:C59"/>
    <mergeCell ref="B32:C32"/>
    <mergeCell ref="B33:C33"/>
    <mergeCell ref="B34:C34"/>
    <mergeCell ref="B35:C35"/>
    <mergeCell ref="B38:C38"/>
    <mergeCell ref="B52:C52"/>
    <mergeCell ref="B53:C53"/>
    <mergeCell ref="B54:C54"/>
    <mergeCell ref="B45:C45"/>
    <mergeCell ref="B46:C46"/>
    <mergeCell ref="B47:C47"/>
    <mergeCell ref="B48:C48"/>
    <mergeCell ref="B49:C49"/>
    <mergeCell ref="B50:C50"/>
    <mergeCell ref="B43:C43"/>
    <mergeCell ref="B44:C44"/>
    <mergeCell ref="B55:C55"/>
    <mergeCell ref="B56:C56"/>
    <mergeCell ref="B57:C57"/>
    <mergeCell ref="B51:C51"/>
  </mergeCells>
  <pageMargins left="0.7" right="0.7" top="0.75" bottom="0.75" header="0.3" footer="0.3"/>
  <pageSetup scale="5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20CB5-91A4-481E-BE9B-927BCB109E27}">
  <sheetPr>
    <tabColor theme="5" tint="-0.499984740745262"/>
  </sheetPr>
  <dimension ref="A1:FC18"/>
  <sheetViews>
    <sheetView topLeftCell="D1" workbookViewId="0">
      <selection activeCell="Y16" sqref="Y16"/>
    </sheetView>
  </sheetViews>
  <sheetFormatPr defaultColWidth="8.7109375" defaultRowHeight="15" outlineLevelCol="1" x14ac:dyDescent="0.25"/>
  <cols>
    <col min="2" max="2" width="13.42578125" bestFit="1" customWidth="1"/>
    <col min="3" max="3" width="14.42578125" bestFit="1" customWidth="1"/>
    <col min="4" max="4" width="11.28515625" bestFit="1" customWidth="1"/>
    <col min="5" max="5" width="17.42578125" bestFit="1" customWidth="1"/>
    <col min="7" max="7" width="10" hidden="1" customWidth="1" outlineLevel="1"/>
    <col min="8" max="11" width="10.140625" hidden="1" customWidth="1" outlineLevel="1"/>
    <col min="12" max="14" width="11.140625" hidden="1" customWidth="1" outlineLevel="1"/>
    <col min="15" max="15" width="10.140625" hidden="1" customWidth="1" outlineLevel="1"/>
    <col min="16" max="17" width="10.42578125" hidden="1" customWidth="1" outlineLevel="1"/>
    <col min="18" max="18" width="10.42578125" bestFit="1" customWidth="1" collapsed="1"/>
    <col min="19" max="23" width="10.42578125" bestFit="1" customWidth="1"/>
    <col min="24" max="26" width="11.28515625" bestFit="1" customWidth="1"/>
    <col min="27" max="35" width="10.42578125" bestFit="1" customWidth="1"/>
    <col min="36" max="38" width="11.28515625" bestFit="1" customWidth="1"/>
    <col min="39" max="47" width="10.42578125" bestFit="1" customWidth="1"/>
    <col min="48" max="50" width="11.28515625" bestFit="1" customWidth="1"/>
    <col min="51" max="59" width="10.42578125" bestFit="1" customWidth="1"/>
    <col min="60" max="62" width="11.28515625" bestFit="1" customWidth="1"/>
    <col min="63" max="71" width="10.42578125" bestFit="1" customWidth="1"/>
    <col min="72" max="74" width="11.28515625" bestFit="1" customWidth="1"/>
    <col min="75" max="158" width="11.42578125" bestFit="1" customWidth="1"/>
  </cols>
  <sheetData>
    <row r="1" spans="1:159" ht="15.75" thickBot="1" x14ac:dyDescent="0.3">
      <c r="A1" s="30"/>
      <c r="B1" s="30"/>
      <c r="C1" s="30"/>
      <c r="D1" s="30"/>
      <c r="E1" s="30"/>
      <c r="F1" s="30"/>
      <c r="G1" s="30"/>
      <c r="H1" s="31">
        <f t="shared" ref="H1:Z1" si="0">YEAR(H4)</f>
        <v>2024</v>
      </c>
      <c r="I1" s="31">
        <f t="shared" si="0"/>
        <v>2024</v>
      </c>
      <c r="J1" s="31">
        <f t="shared" si="0"/>
        <v>2024</v>
      </c>
      <c r="K1" s="31">
        <f t="shared" si="0"/>
        <v>2024</v>
      </c>
      <c r="L1" s="248">
        <f t="shared" si="0"/>
        <v>2024</v>
      </c>
      <c r="M1" s="31">
        <f t="shared" si="0"/>
        <v>2024</v>
      </c>
      <c r="N1" s="31">
        <f t="shared" si="0"/>
        <v>2024</v>
      </c>
      <c r="O1" s="31">
        <f t="shared" si="0"/>
        <v>2025</v>
      </c>
      <c r="P1" s="31">
        <f t="shared" si="0"/>
        <v>2025</v>
      </c>
      <c r="Q1" s="248">
        <f t="shared" si="0"/>
        <v>2025</v>
      </c>
      <c r="R1" s="31">
        <f t="shared" si="0"/>
        <v>2025</v>
      </c>
      <c r="S1" s="31">
        <f t="shared" si="0"/>
        <v>2025</v>
      </c>
      <c r="T1" s="31">
        <f t="shared" si="0"/>
        <v>2025</v>
      </c>
      <c r="U1" s="31">
        <f t="shared" si="0"/>
        <v>2025</v>
      </c>
      <c r="V1" s="31">
        <f t="shared" si="0"/>
        <v>2025</v>
      </c>
      <c r="W1" s="31">
        <f t="shared" si="0"/>
        <v>2025</v>
      </c>
      <c r="X1" s="31">
        <f t="shared" si="0"/>
        <v>2025</v>
      </c>
      <c r="Y1" s="31">
        <f t="shared" si="0"/>
        <v>2025</v>
      </c>
      <c r="Z1" s="31">
        <f t="shared" si="0"/>
        <v>2025</v>
      </c>
      <c r="AA1" s="31">
        <f t="shared" ref="AA1:BS1" si="1">YEAR(AA4)</f>
        <v>2026</v>
      </c>
      <c r="AB1" s="31">
        <f t="shared" si="1"/>
        <v>2026</v>
      </c>
      <c r="AC1" s="31">
        <f t="shared" si="1"/>
        <v>2026</v>
      </c>
      <c r="AD1" s="31">
        <f t="shared" si="1"/>
        <v>2026</v>
      </c>
      <c r="AE1" s="31">
        <f t="shared" si="1"/>
        <v>2026</v>
      </c>
      <c r="AF1" s="31">
        <f t="shared" si="1"/>
        <v>2026</v>
      </c>
      <c r="AG1" s="31">
        <f t="shared" si="1"/>
        <v>2026</v>
      </c>
      <c r="AH1" s="31">
        <f t="shared" si="1"/>
        <v>2026</v>
      </c>
      <c r="AI1" s="31">
        <f t="shared" si="1"/>
        <v>2026</v>
      </c>
      <c r="AJ1" s="248">
        <f t="shared" si="1"/>
        <v>2026</v>
      </c>
      <c r="AK1" s="31">
        <f t="shared" si="1"/>
        <v>2026</v>
      </c>
      <c r="AL1" s="31">
        <f t="shared" si="1"/>
        <v>2026</v>
      </c>
      <c r="AM1" s="444">
        <f t="shared" si="1"/>
        <v>2027</v>
      </c>
      <c r="AN1" s="31">
        <f t="shared" si="1"/>
        <v>2027</v>
      </c>
      <c r="AO1" s="31">
        <f t="shared" si="1"/>
        <v>2027</v>
      </c>
      <c r="AP1" s="31">
        <f t="shared" si="1"/>
        <v>2027</v>
      </c>
      <c r="AQ1" s="248">
        <f t="shared" si="1"/>
        <v>2027</v>
      </c>
      <c r="AR1" s="31">
        <f t="shared" si="1"/>
        <v>2027</v>
      </c>
      <c r="AS1" s="31">
        <f t="shared" si="1"/>
        <v>2027</v>
      </c>
      <c r="AT1" s="31">
        <f t="shared" si="1"/>
        <v>2027</v>
      </c>
      <c r="AU1" s="31">
        <f t="shared" si="1"/>
        <v>2027</v>
      </c>
      <c r="AV1" s="31">
        <f t="shared" si="1"/>
        <v>2027</v>
      </c>
      <c r="AW1" s="31">
        <f t="shared" si="1"/>
        <v>2027</v>
      </c>
      <c r="AX1" s="31">
        <f t="shared" si="1"/>
        <v>2027</v>
      </c>
      <c r="AY1" s="31">
        <f t="shared" si="1"/>
        <v>2028</v>
      </c>
      <c r="AZ1" s="31">
        <f t="shared" si="1"/>
        <v>2028</v>
      </c>
      <c r="BA1" s="31">
        <f t="shared" si="1"/>
        <v>2028</v>
      </c>
      <c r="BB1" s="31">
        <f t="shared" si="1"/>
        <v>2028</v>
      </c>
      <c r="BC1" s="248">
        <f t="shared" si="1"/>
        <v>2028</v>
      </c>
      <c r="BD1" s="31">
        <f t="shared" si="1"/>
        <v>2028</v>
      </c>
      <c r="BE1" s="31">
        <f t="shared" si="1"/>
        <v>2028</v>
      </c>
      <c r="BF1" s="31">
        <f t="shared" si="1"/>
        <v>2028</v>
      </c>
      <c r="BG1" s="31">
        <f t="shared" si="1"/>
        <v>2028</v>
      </c>
      <c r="BH1" s="31">
        <f t="shared" si="1"/>
        <v>2028</v>
      </c>
      <c r="BI1" s="31">
        <f t="shared" si="1"/>
        <v>2028</v>
      </c>
      <c r="BJ1" s="31">
        <f t="shared" si="1"/>
        <v>2028</v>
      </c>
      <c r="BK1" s="31">
        <f t="shared" si="1"/>
        <v>2029</v>
      </c>
      <c r="BL1" s="31">
        <f t="shared" si="1"/>
        <v>2029</v>
      </c>
      <c r="BM1" s="31">
        <f t="shared" si="1"/>
        <v>2029</v>
      </c>
      <c r="BN1" s="31">
        <f t="shared" si="1"/>
        <v>2029</v>
      </c>
      <c r="BO1" s="248">
        <f t="shared" si="1"/>
        <v>2029</v>
      </c>
      <c r="BP1" s="31">
        <f t="shared" si="1"/>
        <v>2029</v>
      </c>
      <c r="BQ1" s="31">
        <f t="shared" si="1"/>
        <v>2029</v>
      </c>
      <c r="BR1" s="31">
        <f t="shared" si="1"/>
        <v>2029</v>
      </c>
      <c r="BS1" s="31">
        <f t="shared" si="1"/>
        <v>2029</v>
      </c>
      <c r="BT1" s="31">
        <f t="shared" ref="BT1:DK1" si="2">YEAR(BT4)</f>
        <v>2029</v>
      </c>
      <c r="BU1" s="31">
        <f t="shared" si="2"/>
        <v>2029</v>
      </c>
      <c r="BV1" s="31">
        <f t="shared" si="2"/>
        <v>2029</v>
      </c>
      <c r="BW1" s="31">
        <f t="shared" si="2"/>
        <v>2030</v>
      </c>
      <c r="BX1" s="31">
        <f t="shared" si="2"/>
        <v>2030</v>
      </c>
      <c r="BY1" s="31">
        <f t="shared" si="2"/>
        <v>2030</v>
      </c>
      <c r="BZ1" s="31">
        <f t="shared" si="2"/>
        <v>2030</v>
      </c>
      <c r="CA1" s="248">
        <f t="shared" si="2"/>
        <v>2030</v>
      </c>
      <c r="CB1" s="31">
        <f t="shared" si="2"/>
        <v>2030</v>
      </c>
      <c r="CC1" s="31">
        <f t="shared" si="2"/>
        <v>2030</v>
      </c>
      <c r="CD1" s="31">
        <f t="shared" si="2"/>
        <v>2030</v>
      </c>
      <c r="CE1" s="31">
        <f t="shared" si="2"/>
        <v>2030</v>
      </c>
      <c r="CF1" s="31">
        <f t="shared" si="2"/>
        <v>2030</v>
      </c>
      <c r="CG1" s="31">
        <f t="shared" si="2"/>
        <v>2030</v>
      </c>
      <c r="CH1" s="31">
        <f t="shared" si="2"/>
        <v>2030</v>
      </c>
      <c r="CI1" s="31">
        <f t="shared" si="2"/>
        <v>2031</v>
      </c>
      <c r="CJ1" s="31">
        <f t="shared" si="2"/>
        <v>2031</v>
      </c>
      <c r="CK1" s="31">
        <f t="shared" si="2"/>
        <v>2031</v>
      </c>
      <c r="CL1" s="31">
        <f t="shared" si="2"/>
        <v>2031</v>
      </c>
      <c r="CM1" s="248">
        <f t="shared" si="2"/>
        <v>2031</v>
      </c>
      <c r="CN1" s="31">
        <f t="shared" si="2"/>
        <v>2031</v>
      </c>
      <c r="CO1" s="31">
        <f t="shared" si="2"/>
        <v>2031</v>
      </c>
      <c r="CP1" s="31">
        <f t="shared" si="2"/>
        <v>2031</v>
      </c>
      <c r="CQ1" s="31">
        <f t="shared" si="2"/>
        <v>2031</v>
      </c>
      <c r="CR1" s="31">
        <f t="shared" si="2"/>
        <v>2031</v>
      </c>
      <c r="CS1" s="31">
        <f t="shared" si="2"/>
        <v>2031</v>
      </c>
      <c r="CT1" s="31">
        <f t="shared" si="2"/>
        <v>2031</v>
      </c>
      <c r="CU1" s="31">
        <f t="shared" si="2"/>
        <v>2032</v>
      </c>
      <c r="CV1" s="31">
        <f t="shared" si="2"/>
        <v>2032</v>
      </c>
      <c r="CW1" s="31">
        <f t="shared" si="2"/>
        <v>2032</v>
      </c>
      <c r="CX1" s="31">
        <f t="shared" si="2"/>
        <v>2032</v>
      </c>
      <c r="CY1" s="248">
        <f t="shared" si="2"/>
        <v>2032</v>
      </c>
      <c r="CZ1" s="31">
        <f t="shared" si="2"/>
        <v>2032</v>
      </c>
      <c r="DA1" s="31">
        <f t="shared" si="2"/>
        <v>2032</v>
      </c>
      <c r="DB1" s="31">
        <f t="shared" si="2"/>
        <v>2032</v>
      </c>
      <c r="DC1" s="31">
        <f t="shared" si="2"/>
        <v>2032</v>
      </c>
      <c r="DD1" s="31">
        <f t="shared" si="2"/>
        <v>2032</v>
      </c>
      <c r="DE1" s="31">
        <f t="shared" si="2"/>
        <v>2032</v>
      </c>
      <c r="DF1" s="31">
        <f t="shared" si="2"/>
        <v>2032</v>
      </c>
      <c r="DG1" s="31">
        <f t="shared" si="2"/>
        <v>2033</v>
      </c>
      <c r="DH1" s="31">
        <f t="shared" si="2"/>
        <v>2033</v>
      </c>
      <c r="DI1" s="31">
        <f t="shared" si="2"/>
        <v>2033</v>
      </c>
      <c r="DJ1" s="31">
        <f t="shared" si="2"/>
        <v>2033</v>
      </c>
      <c r="DK1" s="31">
        <f t="shared" si="2"/>
        <v>2033</v>
      </c>
      <c r="DL1" s="31"/>
      <c r="DM1" s="31"/>
      <c r="DN1" s="53"/>
    </row>
    <row r="2" spans="1:159" x14ac:dyDescent="0.25">
      <c r="A2" s="30"/>
      <c r="B2" s="30"/>
      <c r="C2" s="30"/>
      <c r="D2" s="30"/>
      <c r="E2" s="30"/>
      <c r="F2" s="305"/>
      <c r="G2" s="305"/>
      <c r="H2" s="306" t="str">
        <f>+'Monthly Detail'!AG2</f>
        <v>Peak</v>
      </c>
      <c r="I2" s="306" t="str">
        <f>+'Monthly Detail'!AH2</f>
        <v>Shoulder</v>
      </c>
      <c r="J2" s="31" t="str">
        <f>+'Monthly Detail'!AI2</f>
        <v>Shoulder</v>
      </c>
      <c r="K2" s="306" t="str">
        <f>+'Monthly Detail'!AJ2</f>
        <v>Trough</v>
      </c>
      <c r="L2" s="307" t="str">
        <f>+'Monthly Detail'!AK2</f>
        <v>Shoulder</v>
      </c>
      <c r="M2" s="306" t="str">
        <f>+'Monthly Detail'!AL2</f>
        <v>Trough</v>
      </c>
      <c r="N2" s="248" t="str">
        <f>+'Monthly Detail'!AM2</f>
        <v>Shoulder</v>
      </c>
      <c r="O2" s="31" t="str">
        <f>+'Monthly Detail'!AN2</f>
        <v>Shoulder</v>
      </c>
      <c r="P2" s="31" t="str">
        <f>+'Monthly Detail'!AO2</f>
        <v>Shoulder</v>
      </c>
      <c r="Q2" s="248" t="str">
        <f>+'Monthly Detail'!AP2</f>
        <v>Shoulder</v>
      </c>
      <c r="R2" s="31" t="str">
        <f>+'Monthly Detail'!AQ2</f>
        <v>Peak</v>
      </c>
      <c r="S2" s="31" t="str">
        <f>+'Monthly Detail'!AR2</f>
        <v>Peak</v>
      </c>
      <c r="T2" s="31" t="str">
        <f>+'Monthly Detail'!AS2</f>
        <v>Shoulder</v>
      </c>
      <c r="U2" s="31" t="str">
        <f>+'Monthly Detail'!AT2</f>
        <v>Shoulder</v>
      </c>
      <c r="V2" s="31" t="str">
        <f>+'Monthly Detail'!AU2</f>
        <v>Shoulder</v>
      </c>
      <c r="W2" s="31" t="str">
        <f>+'Monthly Detail'!AV2</f>
        <v>Trough</v>
      </c>
      <c r="X2" s="31" t="str">
        <f>+'Monthly Detail'!AW2</f>
        <v>Shoulder</v>
      </c>
      <c r="Y2" s="31" t="str">
        <f>+'Monthly Detail'!AX2</f>
        <v>Trough</v>
      </c>
      <c r="Z2" s="248" t="str">
        <f>+'Monthly Detail'!AY2</f>
        <v>Shoulder</v>
      </c>
      <c r="AA2" s="31" t="str">
        <f>+'Monthly Detail'!AZ2</f>
        <v>Shoulder</v>
      </c>
      <c r="AB2" s="31" t="str">
        <f>+'Monthly Detail'!BA2</f>
        <v>Shoulder</v>
      </c>
      <c r="AC2" s="31" t="str">
        <f>+'Monthly Detail'!BB2</f>
        <v>Shoulder</v>
      </c>
      <c r="AD2" s="31" t="str">
        <f>+'Monthly Detail'!BC2</f>
        <v>Peak</v>
      </c>
      <c r="AE2" s="31" t="str">
        <f>+'Monthly Detail'!BD2</f>
        <v>Peak</v>
      </c>
      <c r="AF2" s="31" t="str">
        <f>+'Monthly Detail'!BE2</f>
        <v>Shoulder</v>
      </c>
      <c r="AG2" s="31" t="str">
        <f>+'Monthly Detail'!BF2</f>
        <v>Shoulder</v>
      </c>
      <c r="AH2" s="31" t="str">
        <f>+'Monthly Detail'!BG2</f>
        <v>Shoulder</v>
      </c>
      <c r="AI2" s="31" t="str">
        <f>+'Monthly Detail'!BH2</f>
        <v>Trough</v>
      </c>
      <c r="AJ2" s="31" t="str">
        <f>+'Monthly Detail'!BI2</f>
        <v>Shoulder</v>
      </c>
      <c r="AK2" s="31" t="str">
        <f>+'Monthly Detail'!BJ2</f>
        <v>Trough</v>
      </c>
      <c r="AL2" s="248" t="str">
        <f>+'Monthly Detail'!BK2</f>
        <v>Shoulder</v>
      </c>
      <c r="AM2" s="31" t="str">
        <f>+'Monthly Detail'!BL2</f>
        <v>Shoulder</v>
      </c>
      <c r="AN2" s="31" t="str">
        <f>+'Monthly Detail'!BM2</f>
        <v>Shoulder</v>
      </c>
      <c r="AO2" s="31" t="str">
        <f>+'Monthly Detail'!BN2</f>
        <v>Shoulder</v>
      </c>
      <c r="AP2" s="31" t="str">
        <f>+'Monthly Detail'!BO2</f>
        <v>Peak</v>
      </c>
      <c r="AQ2" s="31" t="str">
        <f>+'Monthly Detail'!BP2</f>
        <v>Peak</v>
      </c>
      <c r="AR2" s="31" t="str">
        <f>+'Monthly Detail'!BQ2</f>
        <v>Shoulder</v>
      </c>
      <c r="AS2" s="31" t="str">
        <f>+'Monthly Detail'!BR2</f>
        <v>Shoulder</v>
      </c>
      <c r="AT2" s="31" t="str">
        <f>+'Monthly Detail'!BS2</f>
        <v>Shoulder</v>
      </c>
      <c r="AU2" s="31" t="str">
        <f>+'Monthly Detail'!BT2</f>
        <v>Trough</v>
      </c>
      <c r="AV2" s="31" t="str">
        <f>+'Monthly Detail'!BU2</f>
        <v>Shoulder</v>
      </c>
      <c r="AW2" s="31" t="str">
        <f>+'Monthly Detail'!BV2</f>
        <v>Trough</v>
      </c>
      <c r="AX2" s="248" t="str">
        <f>+'Monthly Detail'!BW2</f>
        <v>Shoulder</v>
      </c>
      <c r="AY2" s="31" t="str">
        <f>+'Monthly Detail'!BX2</f>
        <v>Shoulder</v>
      </c>
      <c r="AZ2" s="31" t="str">
        <f>+'Monthly Detail'!BY2</f>
        <v>Shoulder</v>
      </c>
      <c r="BA2" s="31" t="str">
        <f>+'Monthly Detail'!BZ2</f>
        <v>Shoulder</v>
      </c>
      <c r="BB2" s="31" t="str">
        <f>+'Monthly Detail'!CA2</f>
        <v>Peak</v>
      </c>
      <c r="BC2" s="31" t="str">
        <f>+'Monthly Detail'!CB2</f>
        <v>Peak</v>
      </c>
      <c r="BD2" s="31" t="str">
        <f>+'Monthly Detail'!CC2</f>
        <v>Shoulder</v>
      </c>
      <c r="BE2" s="31" t="str">
        <f>+'Monthly Detail'!CD2</f>
        <v>Shoulder</v>
      </c>
      <c r="BF2" s="31" t="str">
        <f>+'Monthly Detail'!CE2</f>
        <v>Shoulder</v>
      </c>
      <c r="BG2" s="31" t="str">
        <f>+'Monthly Detail'!CF2</f>
        <v>Trough</v>
      </c>
      <c r="BH2" s="31" t="str">
        <f>+'Monthly Detail'!CG2</f>
        <v>Shoulder</v>
      </c>
      <c r="BI2" s="31" t="str">
        <f>+'Monthly Detail'!CH2</f>
        <v>Trough</v>
      </c>
      <c r="BJ2" s="248" t="str">
        <f>+'Monthly Detail'!CI2</f>
        <v>Shoulder</v>
      </c>
      <c r="BK2" s="31" t="str">
        <f>+'Monthly Detail'!CJ2</f>
        <v>Shoulder</v>
      </c>
      <c r="BL2" s="31" t="str">
        <f>+'Monthly Detail'!CK2</f>
        <v>Shoulder</v>
      </c>
      <c r="BM2" s="31" t="str">
        <f>+'Monthly Detail'!CL2</f>
        <v>Shoulder</v>
      </c>
      <c r="BN2" s="31" t="str">
        <f>+'Monthly Detail'!CM2</f>
        <v>Peak</v>
      </c>
      <c r="BO2" s="31" t="str">
        <f>+'Monthly Detail'!CN2</f>
        <v>Peak</v>
      </c>
      <c r="BP2" s="31" t="str">
        <f>+'Monthly Detail'!CO2</f>
        <v>Shoulder</v>
      </c>
      <c r="BQ2" s="31" t="str">
        <f>+'Monthly Detail'!CP2</f>
        <v>Shoulder</v>
      </c>
      <c r="BR2" s="31" t="str">
        <f>+'Monthly Detail'!CQ2</f>
        <v>Shoulder</v>
      </c>
      <c r="BS2" s="31" t="str">
        <f>+'Monthly Detail'!CR2</f>
        <v>Trough</v>
      </c>
      <c r="BT2" s="31" t="str">
        <f>+'Monthly Detail'!CS2</f>
        <v>Shoulder</v>
      </c>
      <c r="BU2" s="31" t="str">
        <f>+'Monthly Detail'!CT2</f>
        <v>Trough</v>
      </c>
      <c r="BV2" s="248" t="str">
        <f>+'Monthly Detail'!CU2</f>
        <v>Shoulder</v>
      </c>
      <c r="BW2" s="31" t="str">
        <f>+'Monthly Detail'!CV2</f>
        <v>Shoulder</v>
      </c>
      <c r="BX2" s="31" t="str">
        <f>+'Monthly Detail'!CW2</f>
        <v>Shoulder</v>
      </c>
      <c r="BY2" s="31" t="str">
        <f>+'Monthly Detail'!CX2</f>
        <v>Shoulder</v>
      </c>
      <c r="BZ2" s="31" t="str">
        <f>+'Monthly Detail'!CY2</f>
        <v>Peak</v>
      </c>
      <c r="CA2" s="31" t="str">
        <f>+'Monthly Detail'!CZ2</f>
        <v>Peak</v>
      </c>
      <c r="CB2" s="31" t="str">
        <f>+'Monthly Detail'!DA2</f>
        <v>Shoulder</v>
      </c>
      <c r="CC2" s="31" t="str">
        <f>+'Monthly Detail'!DB2</f>
        <v>Shoulder</v>
      </c>
      <c r="CD2" s="31" t="str">
        <f>+'Monthly Detail'!DC2</f>
        <v>Shoulder</v>
      </c>
      <c r="CE2" s="31" t="str">
        <f>+'Monthly Detail'!DD2</f>
        <v>Trough</v>
      </c>
      <c r="CF2" s="31" t="str">
        <f>+'Monthly Detail'!DE2</f>
        <v>Shoulder</v>
      </c>
      <c r="CG2" s="31" t="str">
        <f>+'Monthly Detail'!DF2</f>
        <v>Trough</v>
      </c>
      <c r="CH2" s="31" t="str">
        <f>+'Monthly Detail'!DG2</f>
        <v>Shoulder</v>
      </c>
      <c r="CI2" s="31">
        <f>+'Monthly Detail'!DH2</f>
        <v>0</v>
      </c>
      <c r="CJ2" s="31">
        <f>+'Monthly Detail'!DI2</f>
        <v>0</v>
      </c>
      <c r="CK2" s="31">
        <f>+'Monthly Detail'!DJ2</f>
        <v>0</v>
      </c>
      <c r="CL2" s="31">
        <f>+'Monthly Detail'!DK2</f>
        <v>0</v>
      </c>
      <c r="CM2" s="248">
        <f>+'Monthly Detail'!DL2</f>
        <v>0</v>
      </c>
      <c r="CN2" s="31">
        <f>+'Monthly Detail'!DM2</f>
        <v>0</v>
      </c>
      <c r="CO2" s="31">
        <f>+'Monthly Detail'!DN2</f>
        <v>0</v>
      </c>
      <c r="CP2" s="31">
        <f>+'Monthly Detail'!DO2</f>
        <v>0</v>
      </c>
      <c r="CQ2" s="31">
        <f>+'Monthly Detail'!DP2</f>
        <v>0</v>
      </c>
      <c r="CR2" s="31">
        <f>+'Monthly Detail'!DQ2</f>
        <v>0</v>
      </c>
      <c r="CS2" s="31">
        <f>+'Monthly Detail'!DR2</f>
        <v>0</v>
      </c>
      <c r="CT2" s="31">
        <f>+'Monthly Detail'!DS2</f>
        <v>0</v>
      </c>
      <c r="CU2" s="31">
        <f>+'Monthly Detail'!DT2</f>
        <v>0</v>
      </c>
      <c r="CV2" s="31">
        <f>+'Monthly Detail'!DU2</f>
        <v>0</v>
      </c>
      <c r="CW2" s="31">
        <f>+'Monthly Detail'!DV2</f>
        <v>0</v>
      </c>
      <c r="CX2" s="31">
        <f>+'Monthly Detail'!DW2</f>
        <v>0</v>
      </c>
      <c r="CY2" s="248">
        <f>+'Monthly Detail'!DX2</f>
        <v>0</v>
      </c>
      <c r="CZ2" s="31">
        <f>+'Monthly Detail'!DY2</f>
        <v>0</v>
      </c>
      <c r="DA2" s="31">
        <f>+'Monthly Detail'!DZ2</f>
        <v>0</v>
      </c>
      <c r="DB2" s="31">
        <f>+'Monthly Detail'!EA2</f>
        <v>0</v>
      </c>
      <c r="DC2" s="31">
        <f>+'Monthly Detail'!EB2</f>
        <v>0</v>
      </c>
      <c r="DD2" s="31">
        <f>+'Monthly Detail'!EC2</f>
        <v>0</v>
      </c>
      <c r="DE2" s="31">
        <f>+'Monthly Detail'!ED2</f>
        <v>0</v>
      </c>
      <c r="DF2" s="31">
        <f>+'Monthly Detail'!EE2</f>
        <v>0</v>
      </c>
      <c r="DG2" s="31">
        <f>+'Monthly Detail'!EF2</f>
        <v>0</v>
      </c>
      <c r="DH2" s="31">
        <f>+'Monthly Detail'!EG2</f>
        <v>0</v>
      </c>
      <c r="DI2" s="31">
        <f>+'Monthly Detail'!EH2</f>
        <v>0</v>
      </c>
      <c r="DJ2" s="31">
        <f>+'Monthly Detail'!EI2</f>
        <v>0</v>
      </c>
      <c r="DK2" s="31">
        <f>+'Monthly Detail'!EJ2</f>
        <v>0</v>
      </c>
      <c r="DL2" s="31"/>
      <c r="DM2" s="31"/>
      <c r="DN2" s="31"/>
    </row>
    <row r="3" spans="1:159" x14ac:dyDescent="0.25">
      <c r="A3" s="30"/>
      <c r="B3" s="30"/>
      <c r="C3" s="30"/>
      <c r="D3" s="30"/>
      <c r="E3" s="30"/>
      <c r="F3" s="30"/>
      <c r="G3" s="30"/>
      <c r="H3" s="167" t="str">
        <f>+"Q1 "&amp;H1</f>
        <v>Q1 2024</v>
      </c>
      <c r="I3" s="167" t="str">
        <f>+"Q1 "&amp;I1</f>
        <v>Q1 2024</v>
      </c>
      <c r="J3" s="167" t="str">
        <f>+"Q1 "&amp;J1</f>
        <v>Q1 2024</v>
      </c>
      <c r="K3" s="167" t="str">
        <f>+"Q2 "&amp;K1</f>
        <v>Q2 2024</v>
      </c>
      <c r="L3" s="249" t="str">
        <f>+"Q2 "&amp;L1</f>
        <v>Q2 2024</v>
      </c>
      <c r="M3" s="167" t="str">
        <f>+"Q2 "&amp;M1</f>
        <v>Q2 2024</v>
      </c>
      <c r="N3" s="167" t="str">
        <f>+"Q3 "&amp;N1</f>
        <v>Q3 2024</v>
      </c>
      <c r="O3" s="167" t="str">
        <f>+"Q3 "&amp;O1</f>
        <v>Q3 2025</v>
      </c>
      <c r="P3" s="167" t="str">
        <f>+"Q3 "&amp;P1</f>
        <v>Q3 2025</v>
      </c>
      <c r="Q3" s="249" t="str">
        <f>+"Q4 "&amp;Q1</f>
        <v>Q4 2025</v>
      </c>
      <c r="R3" s="167" t="str">
        <f>+"Q4 "&amp;R1</f>
        <v>Q4 2025</v>
      </c>
      <c r="S3" s="167" t="str">
        <f>+"Q4 "&amp;S1</f>
        <v>Q4 2025</v>
      </c>
      <c r="T3" s="167" t="str">
        <f>+"Q1 "&amp;T1</f>
        <v>Q1 2025</v>
      </c>
      <c r="U3" s="167" t="str">
        <f>+"Q1 "&amp;U1</f>
        <v>Q1 2025</v>
      </c>
      <c r="V3" s="167" t="str">
        <f>+"Q1 "&amp;V1</f>
        <v>Q1 2025</v>
      </c>
      <c r="W3" s="167" t="str">
        <f>+"Q2 "&amp;W1</f>
        <v>Q2 2025</v>
      </c>
      <c r="X3" s="167" t="str">
        <f>+"Q2 "&amp;X1</f>
        <v>Q2 2025</v>
      </c>
      <c r="Y3" s="167" t="str">
        <f>+"Q2 "&amp;Y1</f>
        <v>Q2 2025</v>
      </c>
      <c r="Z3" s="167" t="str">
        <f>+"Q3 "&amp;Z1</f>
        <v>Q3 2025</v>
      </c>
      <c r="AA3" s="167" t="str">
        <f>+"Q3 "&amp;AA1</f>
        <v>Q3 2026</v>
      </c>
      <c r="AB3" s="167" t="str">
        <f>+"Q3 "&amp;AB1</f>
        <v>Q3 2026</v>
      </c>
      <c r="AC3" s="167" t="str">
        <f>+"Q4 "&amp;AC1</f>
        <v>Q4 2026</v>
      </c>
      <c r="AD3" s="167" t="str">
        <f>+"Q4 "&amp;AD1</f>
        <v>Q4 2026</v>
      </c>
      <c r="AE3" s="167" t="str">
        <f>+"Q4 "&amp;AE1</f>
        <v>Q4 2026</v>
      </c>
      <c r="AF3" s="167" t="str">
        <f>+"Q1 "&amp;AF1</f>
        <v>Q1 2026</v>
      </c>
      <c r="AG3" s="167" t="str">
        <f>+"Q1 "&amp;AG1</f>
        <v>Q1 2026</v>
      </c>
      <c r="AH3" s="167" t="str">
        <f>+"Q1 "&amp;AH1</f>
        <v>Q1 2026</v>
      </c>
      <c r="AI3" s="167" t="str">
        <f>+"Q2 "&amp;AI1</f>
        <v>Q2 2026</v>
      </c>
      <c r="AJ3" s="167" t="str">
        <f>+"Q2 "&amp;AJ1</f>
        <v>Q2 2026</v>
      </c>
      <c r="AK3" s="167" t="str">
        <f>+"Q2 "&amp;AK1</f>
        <v>Q2 2026</v>
      </c>
      <c r="AL3" s="167" t="str">
        <f>+"Q3 "&amp;AL1</f>
        <v>Q3 2026</v>
      </c>
      <c r="AM3" s="445" t="str">
        <f>+"Q3 "&amp;AM1</f>
        <v>Q3 2027</v>
      </c>
      <c r="AN3" s="167" t="str">
        <f>+"Q3 "&amp;AN1</f>
        <v>Q3 2027</v>
      </c>
      <c r="AO3" s="167" t="str">
        <f>+"Q4 "&amp;AO1</f>
        <v>Q4 2027</v>
      </c>
      <c r="AP3" s="479" t="str">
        <f>+"Q4 "&amp;AP1</f>
        <v>Q4 2027</v>
      </c>
      <c r="AQ3" s="249" t="str">
        <f>+"Q4 "&amp;AQ1</f>
        <v>Q4 2027</v>
      </c>
      <c r="AR3" s="167" t="str">
        <f>+"Q1 "&amp;AR1</f>
        <v>Q1 2027</v>
      </c>
      <c r="AS3" s="167" t="str">
        <f>+"Q1 "&amp;AS1</f>
        <v>Q1 2027</v>
      </c>
      <c r="AT3" s="167" t="str">
        <f>+"Q1 "&amp;AT1</f>
        <v>Q1 2027</v>
      </c>
      <c r="AU3" s="167" t="str">
        <f>+"Q2 "&amp;AU1</f>
        <v>Q2 2027</v>
      </c>
      <c r="AV3" s="167" t="str">
        <f>+"Q2 "&amp;AV1</f>
        <v>Q2 2027</v>
      </c>
      <c r="AW3" s="167" t="str">
        <f>+"Q2 "&amp;AW1</f>
        <v>Q2 2027</v>
      </c>
      <c r="AX3" s="167" t="str">
        <f>+"Q3 "&amp;AX1</f>
        <v>Q3 2027</v>
      </c>
      <c r="AY3" s="167" t="str">
        <f>+"Q3 "&amp;AY1</f>
        <v>Q3 2028</v>
      </c>
      <c r="AZ3" s="167" t="str">
        <f>+"Q3 "&amp;AZ1</f>
        <v>Q3 2028</v>
      </c>
      <c r="BA3" s="167" t="str">
        <f>+"Q4 "&amp;BA1</f>
        <v>Q4 2028</v>
      </c>
      <c r="BB3" s="167" t="str">
        <f>+"Q4 "&amp;BB1</f>
        <v>Q4 2028</v>
      </c>
      <c r="BC3" s="249" t="str">
        <f>+"Q4 "&amp;BC1</f>
        <v>Q4 2028</v>
      </c>
      <c r="BD3" s="167" t="str">
        <f>+"Q1 "&amp;BD1</f>
        <v>Q1 2028</v>
      </c>
      <c r="BE3" s="167" t="str">
        <f>+"Q1 "&amp;BE1</f>
        <v>Q1 2028</v>
      </c>
      <c r="BF3" s="167" t="str">
        <f>+"Q1 "&amp;BF1</f>
        <v>Q1 2028</v>
      </c>
      <c r="BG3" s="167" t="str">
        <f>+"Q2 "&amp;BG1</f>
        <v>Q2 2028</v>
      </c>
      <c r="BH3" s="167" t="str">
        <f>+"Q2 "&amp;BH1</f>
        <v>Q2 2028</v>
      </c>
      <c r="BI3" s="167" t="str">
        <f>+"Q2 "&amp;BI1</f>
        <v>Q2 2028</v>
      </c>
      <c r="BJ3" s="167" t="str">
        <f>+"Q3 "&amp;BJ1</f>
        <v>Q3 2028</v>
      </c>
      <c r="BK3" s="167" t="str">
        <f>+"Q3 "&amp;BK1</f>
        <v>Q3 2029</v>
      </c>
      <c r="BL3" s="167" t="str">
        <f>+"Q3 "&amp;BL1</f>
        <v>Q3 2029</v>
      </c>
      <c r="BM3" s="167" t="str">
        <f>+"Q4 "&amp;BM1</f>
        <v>Q4 2029</v>
      </c>
      <c r="BN3" s="167" t="str">
        <f>+"Q4 "&amp;BN1</f>
        <v>Q4 2029</v>
      </c>
      <c r="BO3" s="249" t="str">
        <f>+"Q4 "&amp;BO1</f>
        <v>Q4 2029</v>
      </c>
      <c r="BP3" s="167" t="str">
        <f>+"Q1 "&amp;BP1</f>
        <v>Q1 2029</v>
      </c>
      <c r="BQ3" s="167" t="str">
        <f>+"Q1 "&amp;BQ1</f>
        <v>Q1 2029</v>
      </c>
      <c r="BR3" s="167" t="str">
        <f>+"Q1 "&amp;BR1</f>
        <v>Q1 2029</v>
      </c>
      <c r="BS3" s="167" t="str">
        <f>+"Q2 "&amp;BS1</f>
        <v>Q2 2029</v>
      </c>
      <c r="BT3" s="167" t="str">
        <f>+"Q2 "&amp;BT1</f>
        <v>Q2 2029</v>
      </c>
      <c r="BU3" s="167" t="str">
        <f>+"Q2 "&amp;BU1</f>
        <v>Q2 2029</v>
      </c>
      <c r="BV3" s="167" t="str">
        <f>+"Q3 "&amp;BV1</f>
        <v>Q3 2029</v>
      </c>
      <c r="BW3" s="167" t="str">
        <f>+"Q3 "&amp;BW1</f>
        <v>Q3 2030</v>
      </c>
      <c r="BX3" s="167" t="str">
        <f>+"Q3 "&amp;BX1</f>
        <v>Q3 2030</v>
      </c>
      <c r="BY3" s="167" t="str">
        <f>+"Q4 "&amp;BY1</f>
        <v>Q4 2030</v>
      </c>
      <c r="BZ3" s="167" t="str">
        <f>+"Q4 "&amp;BZ1</f>
        <v>Q4 2030</v>
      </c>
      <c r="CA3" s="249" t="str">
        <f>+"Q4 "&amp;CA1</f>
        <v>Q4 2030</v>
      </c>
      <c r="CB3" s="167" t="str">
        <f>+"Q1 "&amp;CB1</f>
        <v>Q1 2030</v>
      </c>
      <c r="CC3" s="167" t="str">
        <f>+"Q1 "&amp;CC1</f>
        <v>Q1 2030</v>
      </c>
      <c r="CD3" s="167" t="str">
        <f>+"Q1 "&amp;CD1</f>
        <v>Q1 2030</v>
      </c>
      <c r="CE3" s="167" t="str">
        <f>+"Q2 "&amp;CE1</f>
        <v>Q2 2030</v>
      </c>
      <c r="CF3" s="167" t="str">
        <f>+"Q2 "&amp;CF1</f>
        <v>Q2 2030</v>
      </c>
      <c r="CG3" s="167" t="str">
        <f>+"Q2 "&amp;CG1</f>
        <v>Q2 2030</v>
      </c>
      <c r="CH3" s="167" t="str">
        <f>+"Q3 "&amp;CH1</f>
        <v>Q3 2030</v>
      </c>
      <c r="CI3" s="167" t="str">
        <f>+"Q3 "&amp;CI1</f>
        <v>Q3 2031</v>
      </c>
      <c r="CJ3" s="167" t="str">
        <f>+"Q3 "&amp;CJ1</f>
        <v>Q3 2031</v>
      </c>
      <c r="CK3" s="167" t="str">
        <f>+"Q4 "&amp;CK1</f>
        <v>Q4 2031</v>
      </c>
      <c r="CL3" s="167" t="str">
        <f>+"Q4 "&amp;CL1</f>
        <v>Q4 2031</v>
      </c>
      <c r="CM3" s="249" t="str">
        <f>+"Q4 "&amp;CM1</f>
        <v>Q4 2031</v>
      </c>
      <c r="CN3" s="167" t="str">
        <f>+"Q1 "&amp;CN1</f>
        <v>Q1 2031</v>
      </c>
      <c r="CO3" s="167" t="str">
        <f>+"Q1 "&amp;CO1</f>
        <v>Q1 2031</v>
      </c>
      <c r="CP3" s="167" t="str">
        <f>+"Q1 "&amp;CP1</f>
        <v>Q1 2031</v>
      </c>
      <c r="CQ3" s="167" t="str">
        <f>+"Q2 "&amp;CQ1</f>
        <v>Q2 2031</v>
      </c>
      <c r="CR3" s="167" t="str">
        <f>+"Q2 "&amp;CR1</f>
        <v>Q2 2031</v>
      </c>
      <c r="CS3" s="167" t="str">
        <f>+"Q2 "&amp;CS1</f>
        <v>Q2 2031</v>
      </c>
      <c r="CT3" s="167" t="str">
        <f>+"Q3 "&amp;CT1</f>
        <v>Q3 2031</v>
      </c>
      <c r="CU3" s="167" t="str">
        <f>+"Q3 "&amp;CU1</f>
        <v>Q3 2032</v>
      </c>
      <c r="CV3" s="167" t="str">
        <f>+"Q3 "&amp;CV1</f>
        <v>Q3 2032</v>
      </c>
      <c r="CW3" s="167" t="str">
        <f>+"Q4 "&amp;CW1</f>
        <v>Q4 2032</v>
      </c>
      <c r="CX3" s="167" t="str">
        <f>+"Q4 "&amp;CX1</f>
        <v>Q4 2032</v>
      </c>
      <c r="CY3" s="249" t="str">
        <f>+"Q4 "&amp;CY1</f>
        <v>Q4 2032</v>
      </c>
      <c r="CZ3" s="167" t="str">
        <f>+"Q1 "&amp;CZ1</f>
        <v>Q1 2032</v>
      </c>
      <c r="DA3" s="167" t="str">
        <f>+"Q1 "&amp;DA1</f>
        <v>Q1 2032</v>
      </c>
      <c r="DB3" s="167" t="str">
        <f>+"Q1 "&amp;DB1</f>
        <v>Q1 2032</v>
      </c>
      <c r="DC3" s="167" t="str">
        <f>+"Q2 "&amp;DC1</f>
        <v>Q2 2032</v>
      </c>
      <c r="DD3" s="167" t="str">
        <f>+"Q2 "&amp;DD1</f>
        <v>Q2 2032</v>
      </c>
      <c r="DE3" s="167" t="str">
        <f>+"Q2 "&amp;DE1</f>
        <v>Q2 2032</v>
      </c>
      <c r="DF3" s="167" t="str">
        <f>+"Q3 "&amp;DF1</f>
        <v>Q3 2032</v>
      </c>
      <c r="DG3" s="167" t="str">
        <f>+"Q3 "&amp;DG1</f>
        <v>Q3 2033</v>
      </c>
      <c r="DH3" s="167" t="str">
        <f>+"Q3 "&amp;DH1</f>
        <v>Q3 2033</v>
      </c>
      <c r="DI3" s="167" t="str">
        <f>+"Q4 "&amp;DI1</f>
        <v>Q4 2033</v>
      </c>
      <c r="DJ3" s="167" t="str">
        <f>+"Q4 "&amp;DJ1</f>
        <v>Q4 2033</v>
      </c>
      <c r="DK3" s="167" t="str">
        <f>+"Q4 "&amp;DK1</f>
        <v>Q4 2033</v>
      </c>
      <c r="DL3" s="31"/>
      <c r="DM3" s="31"/>
      <c r="DN3" s="31"/>
    </row>
    <row r="4" spans="1:159" ht="15.75" thickBot="1" x14ac:dyDescent="0.3">
      <c r="A4" s="32"/>
      <c r="B4" s="33"/>
      <c r="C4" s="33"/>
      <c r="D4" s="33"/>
      <c r="E4" s="33"/>
      <c r="F4" s="33"/>
      <c r="G4" s="33"/>
      <c r="H4" s="480">
        <v>45473</v>
      </c>
      <c r="I4" s="480">
        <f>+EOMONTH(H4,1)</f>
        <v>45504</v>
      </c>
      <c r="J4" s="480">
        <f t="shared" ref="J4:BU4" si="3">+EOMONTH(I4,1)</f>
        <v>45535</v>
      </c>
      <c r="K4" s="34">
        <f t="shared" si="3"/>
        <v>45565</v>
      </c>
      <c r="L4" s="34">
        <f t="shared" si="3"/>
        <v>45596</v>
      </c>
      <c r="M4" s="34">
        <f t="shared" si="3"/>
        <v>45626</v>
      </c>
      <c r="N4" s="34">
        <f t="shared" si="3"/>
        <v>45657</v>
      </c>
      <c r="O4" s="34">
        <f t="shared" si="3"/>
        <v>45688</v>
      </c>
      <c r="P4" s="34">
        <f t="shared" si="3"/>
        <v>45716</v>
      </c>
      <c r="Q4" s="250">
        <f t="shared" si="3"/>
        <v>45747</v>
      </c>
      <c r="R4" s="34">
        <f t="shared" si="3"/>
        <v>45777</v>
      </c>
      <c r="S4" s="34">
        <f t="shared" si="3"/>
        <v>45808</v>
      </c>
      <c r="T4" s="165">
        <f t="shared" si="3"/>
        <v>45838</v>
      </c>
      <c r="U4" s="34">
        <f t="shared" si="3"/>
        <v>45869</v>
      </c>
      <c r="V4" s="34">
        <f t="shared" si="3"/>
        <v>45900</v>
      </c>
      <c r="W4" s="34">
        <f t="shared" si="3"/>
        <v>45930</v>
      </c>
      <c r="X4" s="34">
        <f t="shared" si="3"/>
        <v>45961</v>
      </c>
      <c r="Y4" s="34">
        <f t="shared" si="3"/>
        <v>45991</v>
      </c>
      <c r="Z4" s="34">
        <f t="shared" si="3"/>
        <v>46022</v>
      </c>
      <c r="AA4" s="34">
        <f>+EOMONTH(Z4,1)</f>
        <v>46053</v>
      </c>
      <c r="AB4" s="34">
        <f t="shared" si="3"/>
        <v>46081</v>
      </c>
      <c r="AC4" s="34">
        <f t="shared" si="3"/>
        <v>46112</v>
      </c>
      <c r="AD4" s="34">
        <f t="shared" si="3"/>
        <v>46142</v>
      </c>
      <c r="AE4" s="34">
        <f t="shared" si="3"/>
        <v>46173</v>
      </c>
      <c r="AF4" s="34">
        <f t="shared" si="3"/>
        <v>46203</v>
      </c>
      <c r="AG4" s="34">
        <f t="shared" si="3"/>
        <v>46234</v>
      </c>
      <c r="AH4" s="34">
        <f t="shared" si="3"/>
        <v>46265</v>
      </c>
      <c r="AI4" s="34">
        <f t="shared" si="3"/>
        <v>46295</v>
      </c>
      <c r="AJ4" s="250">
        <f t="shared" si="3"/>
        <v>46326</v>
      </c>
      <c r="AK4" s="34">
        <f t="shared" si="3"/>
        <v>46356</v>
      </c>
      <c r="AL4" s="34">
        <f t="shared" si="3"/>
        <v>46387</v>
      </c>
      <c r="AM4" s="446">
        <f t="shared" si="3"/>
        <v>46418</v>
      </c>
      <c r="AN4" s="34">
        <f t="shared" si="3"/>
        <v>46446</v>
      </c>
      <c r="AO4" s="34">
        <f t="shared" si="3"/>
        <v>46477</v>
      </c>
      <c r="AP4" s="54">
        <f t="shared" si="3"/>
        <v>46507</v>
      </c>
      <c r="AQ4" s="250">
        <f t="shared" si="3"/>
        <v>46538</v>
      </c>
      <c r="AR4" s="34">
        <f t="shared" si="3"/>
        <v>46568</v>
      </c>
      <c r="AS4" s="34">
        <f t="shared" si="3"/>
        <v>46599</v>
      </c>
      <c r="AT4" s="34">
        <f t="shared" si="3"/>
        <v>46630</v>
      </c>
      <c r="AU4" s="34">
        <f t="shared" si="3"/>
        <v>46660</v>
      </c>
      <c r="AV4" s="34">
        <f t="shared" si="3"/>
        <v>46691</v>
      </c>
      <c r="AW4" s="34">
        <f t="shared" si="3"/>
        <v>46721</v>
      </c>
      <c r="AX4" s="34">
        <f t="shared" si="3"/>
        <v>46752</v>
      </c>
      <c r="AY4" s="34">
        <f t="shared" si="3"/>
        <v>46783</v>
      </c>
      <c r="AZ4" s="34">
        <f t="shared" si="3"/>
        <v>46812</v>
      </c>
      <c r="BA4" s="34">
        <f t="shared" si="3"/>
        <v>46843</v>
      </c>
      <c r="BB4" s="34">
        <f t="shared" si="3"/>
        <v>46873</v>
      </c>
      <c r="BC4" s="250">
        <f t="shared" si="3"/>
        <v>46904</v>
      </c>
      <c r="BD4" s="34">
        <f t="shared" si="3"/>
        <v>46934</v>
      </c>
      <c r="BE4" s="34">
        <f t="shared" si="3"/>
        <v>46965</v>
      </c>
      <c r="BF4" s="34">
        <f t="shared" si="3"/>
        <v>46996</v>
      </c>
      <c r="BG4" s="34">
        <f t="shared" si="3"/>
        <v>47026</v>
      </c>
      <c r="BH4" s="34">
        <f t="shared" si="3"/>
        <v>47057</v>
      </c>
      <c r="BI4" s="34">
        <f t="shared" si="3"/>
        <v>47087</v>
      </c>
      <c r="BJ4" s="34">
        <f t="shared" si="3"/>
        <v>47118</v>
      </c>
      <c r="BK4" s="34">
        <f t="shared" si="3"/>
        <v>47149</v>
      </c>
      <c r="BL4" s="34">
        <f t="shared" si="3"/>
        <v>47177</v>
      </c>
      <c r="BM4" s="34">
        <f t="shared" si="3"/>
        <v>47208</v>
      </c>
      <c r="BN4" s="34">
        <f t="shared" si="3"/>
        <v>47238</v>
      </c>
      <c r="BO4" s="250">
        <f t="shared" si="3"/>
        <v>47269</v>
      </c>
      <c r="BP4" s="34">
        <f t="shared" si="3"/>
        <v>47299</v>
      </c>
      <c r="BQ4" s="34">
        <f t="shared" si="3"/>
        <v>47330</v>
      </c>
      <c r="BR4" s="34">
        <f t="shared" si="3"/>
        <v>47361</v>
      </c>
      <c r="BS4" s="34">
        <f t="shared" si="3"/>
        <v>47391</v>
      </c>
      <c r="BT4" s="34">
        <f t="shared" si="3"/>
        <v>47422</v>
      </c>
      <c r="BU4" s="34">
        <f t="shared" si="3"/>
        <v>47452</v>
      </c>
      <c r="BV4" s="34">
        <f t="shared" ref="BV4:DK4" si="4">+EOMONTH(BU4,1)</f>
        <v>47483</v>
      </c>
      <c r="BW4" s="34">
        <f t="shared" si="4"/>
        <v>47514</v>
      </c>
      <c r="BX4" s="34">
        <f t="shared" si="4"/>
        <v>47542</v>
      </c>
      <c r="BY4" s="34">
        <f t="shared" si="4"/>
        <v>47573</v>
      </c>
      <c r="BZ4" s="34">
        <f t="shared" si="4"/>
        <v>47603</v>
      </c>
      <c r="CA4" s="250">
        <f t="shared" si="4"/>
        <v>47634</v>
      </c>
      <c r="CB4" s="34">
        <f t="shared" si="4"/>
        <v>47664</v>
      </c>
      <c r="CC4" s="34">
        <f t="shared" si="4"/>
        <v>47695</v>
      </c>
      <c r="CD4" s="34">
        <f t="shared" si="4"/>
        <v>47726</v>
      </c>
      <c r="CE4" s="34">
        <f t="shared" si="4"/>
        <v>47756</v>
      </c>
      <c r="CF4" s="34">
        <f t="shared" si="4"/>
        <v>47787</v>
      </c>
      <c r="CG4" s="34">
        <f t="shared" si="4"/>
        <v>47817</v>
      </c>
      <c r="CH4" s="34">
        <f t="shared" si="4"/>
        <v>47848</v>
      </c>
      <c r="CI4" s="34">
        <f t="shared" si="4"/>
        <v>47879</v>
      </c>
      <c r="CJ4" s="34">
        <f t="shared" si="4"/>
        <v>47907</v>
      </c>
      <c r="CK4" s="34">
        <f t="shared" si="4"/>
        <v>47938</v>
      </c>
      <c r="CL4" s="34">
        <f t="shared" si="4"/>
        <v>47968</v>
      </c>
      <c r="CM4" s="250">
        <f t="shared" si="4"/>
        <v>47999</v>
      </c>
      <c r="CN4" s="34">
        <f t="shared" si="4"/>
        <v>48029</v>
      </c>
      <c r="CO4" s="34">
        <f t="shared" si="4"/>
        <v>48060</v>
      </c>
      <c r="CP4" s="34">
        <f t="shared" si="4"/>
        <v>48091</v>
      </c>
      <c r="CQ4" s="34">
        <f t="shared" si="4"/>
        <v>48121</v>
      </c>
      <c r="CR4" s="34">
        <f t="shared" si="4"/>
        <v>48152</v>
      </c>
      <c r="CS4" s="34">
        <f t="shared" si="4"/>
        <v>48182</v>
      </c>
      <c r="CT4" s="34">
        <f t="shared" si="4"/>
        <v>48213</v>
      </c>
      <c r="CU4" s="34">
        <f t="shared" si="4"/>
        <v>48244</v>
      </c>
      <c r="CV4" s="34">
        <f t="shared" si="4"/>
        <v>48273</v>
      </c>
      <c r="CW4" s="34">
        <f t="shared" si="4"/>
        <v>48304</v>
      </c>
      <c r="CX4" s="34">
        <f t="shared" si="4"/>
        <v>48334</v>
      </c>
      <c r="CY4" s="250">
        <f t="shared" si="4"/>
        <v>48365</v>
      </c>
      <c r="CZ4" s="34">
        <f t="shared" si="4"/>
        <v>48395</v>
      </c>
      <c r="DA4" s="34">
        <f t="shared" si="4"/>
        <v>48426</v>
      </c>
      <c r="DB4" s="34">
        <f t="shared" si="4"/>
        <v>48457</v>
      </c>
      <c r="DC4" s="34">
        <f t="shared" si="4"/>
        <v>48487</v>
      </c>
      <c r="DD4" s="34">
        <f t="shared" si="4"/>
        <v>48518</v>
      </c>
      <c r="DE4" s="34">
        <f t="shared" si="4"/>
        <v>48548</v>
      </c>
      <c r="DF4" s="34">
        <f t="shared" si="4"/>
        <v>48579</v>
      </c>
      <c r="DG4" s="34">
        <f t="shared" si="4"/>
        <v>48610</v>
      </c>
      <c r="DH4" s="34">
        <f t="shared" si="4"/>
        <v>48638</v>
      </c>
      <c r="DI4" s="34">
        <f t="shared" si="4"/>
        <v>48669</v>
      </c>
      <c r="DJ4" s="34">
        <f t="shared" si="4"/>
        <v>48699</v>
      </c>
      <c r="DK4" s="34">
        <f t="shared" si="4"/>
        <v>48730</v>
      </c>
      <c r="DL4" s="34"/>
      <c r="DM4" s="34"/>
      <c r="DN4" s="54"/>
    </row>
    <row r="6" spans="1:159" x14ac:dyDescent="0.25">
      <c r="G6" s="170">
        <v>45443</v>
      </c>
      <c r="H6" s="170">
        <v>45473</v>
      </c>
      <c r="I6" s="170">
        <f>+EOMONTH(H6,1)</f>
        <v>45504</v>
      </c>
      <c r="J6" s="170">
        <f t="shared" ref="J6:BU6" si="5">+EOMONTH(I6,1)</f>
        <v>45535</v>
      </c>
      <c r="K6" s="170">
        <f t="shared" si="5"/>
        <v>45565</v>
      </c>
      <c r="L6" s="170">
        <f t="shared" si="5"/>
        <v>45596</v>
      </c>
      <c r="M6" s="170">
        <f t="shared" si="5"/>
        <v>45626</v>
      </c>
      <c r="N6" s="170">
        <f t="shared" si="5"/>
        <v>45657</v>
      </c>
      <c r="O6" s="170">
        <f t="shared" si="5"/>
        <v>45688</v>
      </c>
      <c r="P6" s="170">
        <f t="shared" si="5"/>
        <v>45716</v>
      </c>
      <c r="Q6" s="170">
        <f t="shared" si="5"/>
        <v>45747</v>
      </c>
      <c r="R6" s="170">
        <f t="shared" si="5"/>
        <v>45777</v>
      </c>
      <c r="S6" s="170">
        <f t="shared" si="5"/>
        <v>45808</v>
      </c>
      <c r="T6" s="170">
        <f t="shared" si="5"/>
        <v>45838</v>
      </c>
      <c r="U6" s="170">
        <f t="shared" si="5"/>
        <v>45869</v>
      </c>
      <c r="V6" s="170">
        <f t="shared" si="5"/>
        <v>45900</v>
      </c>
      <c r="W6" s="170">
        <f t="shared" si="5"/>
        <v>45930</v>
      </c>
      <c r="X6" s="170">
        <f t="shared" si="5"/>
        <v>45961</v>
      </c>
      <c r="Y6" s="170">
        <f t="shared" si="5"/>
        <v>45991</v>
      </c>
      <c r="Z6" s="170">
        <f t="shared" si="5"/>
        <v>46022</v>
      </c>
      <c r="AA6" s="170">
        <f t="shared" si="5"/>
        <v>46053</v>
      </c>
      <c r="AB6" s="170">
        <f t="shared" si="5"/>
        <v>46081</v>
      </c>
      <c r="AC6" s="170">
        <f t="shared" si="5"/>
        <v>46112</v>
      </c>
      <c r="AD6" s="170">
        <f t="shared" si="5"/>
        <v>46142</v>
      </c>
      <c r="AE6" s="170">
        <f t="shared" si="5"/>
        <v>46173</v>
      </c>
      <c r="AF6" s="170">
        <f t="shared" si="5"/>
        <v>46203</v>
      </c>
      <c r="AG6" s="170">
        <f t="shared" si="5"/>
        <v>46234</v>
      </c>
      <c r="AH6" s="170">
        <f t="shared" si="5"/>
        <v>46265</v>
      </c>
      <c r="AI6" s="170">
        <f t="shared" si="5"/>
        <v>46295</v>
      </c>
      <c r="AJ6" s="170">
        <f t="shared" si="5"/>
        <v>46326</v>
      </c>
      <c r="AK6" s="170">
        <f t="shared" si="5"/>
        <v>46356</v>
      </c>
      <c r="AL6" s="170">
        <f t="shared" si="5"/>
        <v>46387</v>
      </c>
      <c r="AM6" s="170">
        <f t="shared" si="5"/>
        <v>46418</v>
      </c>
      <c r="AN6" s="170">
        <f t="shared" si="5"/>
        <v>46446</v>
      </c>
      <c r="AO6" s="170">
        <f t="shared" si="5"/>
        <v>46477</v>
      </c>
      <c r="AP6" s="170">
        <f t="shared" si="5"/>
        <v>46507</v>
      </c>
      <c r="AQ6" s="170">
        <f t="shared" si="5"/>
        <v>46538</v>
      </c>
      <c r="AR6" s="170">
        <f t="shared" si="5"/>
        <v>46568</v>
      </c>
      <c r="AS6" s="170">
        <f t="shared" si="5"/>
        <v>46599</v>
      </c>
      <c r="AT6" s="170">
        <f t="shared" si="5"/>
        <v>46630</v>
      </c>
      <c r="AU6" s="170">
        <f t="shared" si="5"/>
        <v>46660</v>
      </c>
      <c r="AV6" s="170">
        <f t="shared" si="5"/>
        <v>46691</v>
      </c>
      <c r="AW6" s="170">
        <f t="shared" si="5"/>
        <v>46721</v>
      </c>
      <c r="AX6" s="170">
        <f t="shared" si="5"/>
        <v>46752</v>
      </c>
      <c r="AY6" s="170">
        <f t="shared" si="5"/>
        <v>46783</v>
      </c>
      <c r="AZ6" s="170">
        <f t="shared" si="5"/>
        <v>46812</v>
      </c>
      <c r="BA6" s="170">
        <f t="shared" si="5"/>
        <v>46843</v>
      </c>
      <c r="BB6" s="170">
        <f t="shared" si="5"/>
        <v>46873</v>
      </c>
      <c r="BC6" s="170">
        <f t="shared" si="5"/>
        <v>46904</v>
      </c>
      <c r="BD6" s="170">
        <f t="shared" si="5"/>
        <v>46934</v>
      </c>
      <c r="BE6" s="170">
        <f t="shared" si="5"/>
        <v>46965</v>
      </c>
      <c r="BF6" s="170">
        <f t="shared" si="5"/>
        <v>46996</v>
      </c>
      <c r="BG6" s="170">
        <f t="shared" si="5"/>
        <v>47026</v>
      </c>
      <c r="BH6" s="170">
        <f t="shared" si="5"/>
        <v>47057</v>
      </c>
      <c r="BI6" s="170">
        <f t="shared" si="5"/>
        <v>47087</v>
      </c>
      <c r="BJ6" s="170">
        <f t="shared" si="5"/>
        <v>47118</v>
      </c>
      <c r="BK6" s="170">
        <f t="shared" si="5"/>
        <v>47149</v>
      </c>
      <c r="BL6" s="170">
        <f t="shared" si="5"/>
        <v>47177</v>
      </c>
      <c r="BM6" s="170">
        <f t="shared" si="5"/>
        <v>47208</v>
      </c>
      <c r="BN6" s="170">
        <f t="shared" si="5"/>
        <v>47238</v>
      </c>
      <c r="BO6" s="170">
        <f t="shared" si="5"/>
        <v>47269</v>
      </c>
      <c r="BP6" s="170">
        <f t="shared" si="5"/>
        <v>47299</v>
      </c>
      <c r="BQ6" s="170">
        <f t="shared" si="5"/>
        <v>47330</v>
      </c>
      <c r="BR6" s="170">
        <f t="shared" si="5"/>
        <v>47361</v>
      </c>
      <c r="BS6" s="170">
        <f t="shared" si="5"/>
        <v>47391</v>
      </c>
      <c r="BT6" s="170">
        <f t="shared" si="5"/>
        <v>47422</v>
      </c>
      <c r="BU6" s="170">
        <f t="shared" si="5"/>
        <v>47452</v>
      </c>
      <c r="BV6" s="170">
        <f t="shared" ref="BV6:EG6" si="6">+EOMONTH(BU6,1)</f>
        <v>47483</v>
      </c>
      <c r="BW6" s="170">
        <f t="shared" si="6"/>
        <v>47514</v>
      </c>
      <c r="BX6" s="170">
        <f t="shared" si="6"/>
        <v>47542</v>
      </c>
      <c r="BY6" s="170">
        <f t="shared" si="6"/>
        <v>47573</v>
      </c>
      <c r="BZ6" s="170">
        <f t="shared" si="6"/>
        <v>47603</v>
      </c>
      <c r="CA6" s="170">
        <f t="shared" si="6"/>
        <v>47634</v>
      </c>
      <c r="CB6" s="170">
        <f t="shared" si="6"/>
        <v>47664</v>
      </c>
      <c r="CC6" s="170">
        <f t="shared" si="6"/>
        <v>47695</v>
      </c>
      <c r="CD6" s="170">
        <f t="shared" si="6"/>
        <v>47726</v>
      </c>
      <c r="CE6" s="170">
        <f t="shared" si="6"/>
        <v>47756</v>
      </c>
      <c r="CF6" s="170">
        <f t="shared" si="6"/>
        <v>47787</v>
      </c>
      <c r="CG6" s="170">
        <f t="shared" si="6"/>
        <v>47817</v>
      </c>
      <c r="CH6" s="170">
        <f t="shared" si="6"/>
        <v>47848</v>
      </c>
      <c r="CI6" s="170">
        <f t="shared" si="6"/>
        <v>47879</v>
      </c>
      <c r="CJ6" s="170">
        <f t="shared" si="6"/>
        <v>47907</v>
      </c>
      <c r="CK6" s="170">
        <f t="shared" si="6"/>
        <v>47938</v>
      </c>
      <c r="CL6" s="170">
        <f t="shared" si="6"/>
        <v>47968</v>
      </c>
      <c r="CM6" s="170">
        <f t="shared" si="6"/>
        <v>47999</v>
      </c>
      <c r="CN6" s="170">
        <f t="shared" si="6"/>
        <v>48029</v>
      </c>
      <c r="CO6" s="170">
        <f t="shared" si="6"/>
        <v>48060</v>
      </c>
      <c r="CP6" s="170">
        <f t="shared" si="6"/>
        <v>48091</v>
      </c>
      <c r="CQ6" s="170">
        <f t="shared" si="6"/>
        <v>48121</v>
      </c>
      <c r="CR6" s="170">
        <f t="shared" si="6"/>
        <v>48152</v>
      </c>
      <c r="CS6" s="170">
        <f t="shared" si="6"/>
        <v>48182</v>
      </c>
      <c r="CT6" s="170">
        <f t="shared" si="6"/>
        <v>48213</v>
      </c>
      <c r="CU6" s="170">
        <f t="shared" si="6"/>
        <v>48244</v>
      </c>
      <c r="CV6" s="170">
        <f t="shared" si="6"/>
        <v>48273</v>
      </c>
      <c r="CW6" s="170">
        <f t="shared" si="6"/>
        <v>48304</v>
      </c>
      <c r="CX6" s="170">
        <f t="shared" si="6"/>
        <v>48334</v>
      </c>
      <c r="CY6" s="170">
        <f t="shared" si="6"/>
        <v>48365</v>
      </c>
      <c r="CZ6" s="170">
        <f t="shared" si="6"/>
        <v>48395</v>
      </c>
      <c r="DA6" s="170">
        <f t="shared" si="6"/>
        <v>48426</v>
      </c>
      <c r="DB6" s="170">
        <f t="shared" si="6"/>
        <v>48457</v>
      </c>
      <c r="DC6" s="170">
        <f t="shared" si="6"/>
        <v>48487</v>
      </c>
      <c r="DD6" s="170">
        <f t="shared" si="6"/>
        <v>48518</v>
      </c>
      <c r="DE6" s="170">
        <f t="shared" si="6"/>
        <v>48548</v>
      </c>
      <c r="DF6" s="170">
        <f t="shared" si="6"/>
        <v>48579</v>
      </c>
      <c r="DG6" s="170">
        <f t="shared" si="6"/>
        <v>48610</v>
      </c>
      <c r="DH6" s="170">
        <f t="shared" si="6"/>
        <v>48638</v>
      </c>
      <c r="DI6" s="170">
        <f t="shared" si="6"/>
        <v>48669</v>
      </c>
      <c r="DJ6" s="170">
        <f t="shared" si="6"/>
        <v>48699</v>
      </c>
      <c r="DK6" s="170">
        <f t="shared" si="6"/>
        <v>48730</v>
      </c>
      <c r="DL6" s="170">
        <f t="shared" si="6"/>
        <v>48760</v>
      </c>
      <c r="DM6" s="170">
        <f t="shared" si="6"/>
        <v>48791</v>
      </c>
      <c r="DN6" s="170">
        <f t="shared" si="6"/>
        <v>48822</v>
      </c>
      <c r="DO6" s="170">
        <f t="shared" si="6"/>
        <v>48852</v>
      </c>
      <c r="DP6" s="170">
        <f t="shared" si="6"/>
        <v>48883</v>
      </c>
      <c r="DQ6" s="170">
        <f t="shared" si="6"/>
        <v>48913</v>
      </c>
      <c r="DR6" s="170">
        <f t="shared" si="6"/>
        <v>48944</v>
      </c>
      <c r="DS6" s="170">
        <f t="shared" si="6"/>
        <v>48975</v>
      </c>
      <c r="DT6" s="170">
        <f t="shared" si="6"/>
        <v>49003</v>
      </c>
      <c r="DU6" s="170">
        <f t="shared" si="6"/>
        <v>49034</v>
      </c>
      <c r="DV6" s="170">
        <f t="shared" si="6"/>
        <v>49064</v>
      </c>
      <c r="DW6" s="170">
        <f t="shared" si="6"/>
        <v>49095</v>
      </c>
      <c r="DX6" s="170">
        <f t="shared" si="6"/>
        <v>49125</v>
      </c>
      <c r="DY6" s="170">
        <f t="shared" si="6"/>
        <v>49156</v>
      </c>
      <c r="DZ6" s="170">
        <f t="shared" si="6"/>
        <v>49187</v>
      </c>
      <c r="EA6" s="170">
        <f t="shared" si="6"/>
        <v>49217</v>
      </c>
      <c r="EB6" s="170">
        <f t="shared" si="6"/>
        <v>49248</v>
      </c>
      <c r="EC6" s="170">
        <f t="shared" si="6"/>
        <v>49278</v>
      </c>
      <c r="ED6" s="170">
        <f t="shared" si="6"/>
        <v>49309</v>
      </c>
      <c r="EE6" s="170">
        <f t="shared" si="6"/>
        <v>49340</v>
      </c>
      <c r="EF6" s="170">
        <f t="shared" si="6"/>
        <v>49368</v>
      </c>
      <c r="EG6" s="170">
        <f t="shared" si="6"/>
        <v>49399</v>
      </c>
      <c r="EH6" s="170">
        <f t="shared" ref="EH6:FB6" si="7">+EOMONTH(EG6,1)</f>
        <v>49429</v>
      </c>
      <c r="EI6" s="170">
        <f t="shared" si="7"/>
        <v>49460</v>
      </c>
      <c r="EJ6" s="170">
        <f t="shared" si="7"/>
        <v>49490</v>
      </c>
      <c r="EK6" s="170">
        <f t="shared" si="7"/>
        <v>49521</v>
      </c>
      <c r="EL6" s="170">
        <f t="shared" si="7"/>
        <v>49552</v>
      </c>
      <c r="EM6" s="170">
        <f t="shared" si="7"/>
        <v>49582</v>
      </c>
      <c r="EN6" s="170">
        <f t="shared" si="7"/>
        <v>49613</v>
      </c>
      <c r="EO6" s="170">
        <f t="shared" si="7"/>
        <v>49643</v>
      </c>
      <c r="EP6" s="170">
        <f t="shared" si="7"/>
        <v>49674</v>
      </c>
      <c r="EQ6" s="170">
        <f t="shared" si="7"/>
        <v>49705</v>
      </c>
      <c r="ER6" s="170">
        <f t="shared" si="7"/>
        <v>49734</v>
      </c>
      <c r="ES6" s="170">
        <f t="shared" si="7"/>
        <v>49765</v>
      </c>
      <c r="ET6" s="170">
        <f t="shared" si="7"/>
        <v>49795</v>
      </c>
      <c r="EU6" s="170">
        <f t="shared" si="7"/>
        <v>49826</v>
      </c>
      <c r="EV6" s="170">
        <f t="shared" si="7"/>
        <v>49856</v>
      </c>
      <c r="EW6" s="170">
        <f t="shared" si="7"/>
        <v>49887</v>
      </c>
      <c r="EX6" s="170">
        <f t="shared" si="7"/>
        <v>49918</v>
      </c>
      <c r="EY6" s="170">
        <f t="shared" si="7"/>
        <v>49948</v>
      </c>
      <c r="EZ6" s="170">
        <f t="shared" si="7"/>
        <v>49979</v>
      </c>
      <c r="FA6" s="170">
        <f t="shared" si="7"/>
        <v>50009</v>
      </c>
      <c r="FB6" s="170">
        <f t="shared" si="7"/>
        <v>50040</v>
      </c>
      <c r="FC6" s="170"/>
    </row>
    <row r="7" spans="1:159" x14ac:dyDescent="0.25">
      <c r="B7" t="s">
        <v>260</v>
      </c>
      <c r="C7" t="s">
        <v>261</v>
      </c>
      <c r="D7" t="s">
        <v>262</v>
      </c>
      <c r="E7" t="s">
        <v>342</v>
      </c>
    </row>
    <row r="8" spans="1:159" x14ac:dyDescent="0.25">
      <c r="B8" t="s">
        <v>331</v>
      </c>
      <c r="C8" t="s">
        <v>332</v>
      </c>
      <c r="D8">
        <v>10</v>
      </c>
      <c r="E8">
        <v>15</v>
      </c>
      <c r="G8" s="489">
        <v>0</v>
      </c>
      <c r="H8" s="489">
        <v>765</v>
      </c>
      <c r="I8" s="489">
        <v>394</v>
      </c>
      <c r="J8" s="495">
        <v>630</v>
      </c>
      <c r="K8" s="495">
        <v>210</v>
      </c>
      <c r="L8" s="495">
        <v>475</v>
      </c>
      <c r="M8" s="495">
        <v>432</v>
      </c>
      <c r="N8" s="495">
        <f>8*75</f>
        <v>600</v>
      </c>
      <c r="O8" s="495">
        <v>50</v>
      </c>
      <c r="P8" s="495">
        <v>45</v>
      </c>
      <c r="Q8" s="495">
        <v>0</v>
      </c>
      <c r="R8" s="495">
        <v>0</v>
      </c>
      <c r="S8" s="495">
        <v>0</v>
      </c>
      <c r="T8" s="495">
        <v>0</v>
      </c>
      <c r="U8" s="495">
        <v>0</v>
      </c>
      <c r="V8" s="495">
        <v>0</v>
      </c>
      <c r="W8" s="495">
        <v>30</v>
      </c>
      <c r="X8" s="495">
        <v>0</v>
      </c>
      <c r="Y8" s="287">
        <f t="shared" ref="Y8:BX8" si="8">+$D$8*((IF(Y2="Trough",0.5*$E$8,IF(Y2="Shoulder",0.9*$E$8,1.1*$E$8))))</f>
        <v>75</v>
      </c>
      <c r="Z8" s="287">
        <f t="shared" si="8"/>
        <v>135</v>
      </c>
      <c r="AA8" s="287">
        <f t="shared" si="8"/>
        <v>135</v>
      </c>
      <c r="AB8" s="287">
        <f t="shared" si="8"/>
        <v>135</v>
      </c>
      <c r="AC8" s="287">
        <f t="shared" si="8"/>
        <v>135</v>
      </c>
      <c r="AD8" s="287">
        <f t="shared" si="8"/>
        <v>165</v>
      </c>
      <c r="AE8" s="287">
        <f t="shared" si="8"/>
        <v>165</v>
      </c>
      <c r="AF8" s="287">
        <f t="shared" si="8"/>
        <v>135</v>
      </c>
      <c r="AG8" s="287">
        <f t="shared" si="8"/>
        <v>135</v>
      </c>
      <c r="AH8" s="287">
        <f t="shared" si="8"/>
        <v>135</v>
      </c>
      <c r="AI8" s="287">
        <f t="shared" si="8"/>
        <v>75</v>
      </c>
      <c r="AJ8" s="287">
        <f t="shared" si="8"/>
        <v>135</v>
      </c>
      <c r="AK8" s="287">
        <f t="shared" si="8"/>
        <v>75</v>
      </c>
      <c r="AL8" s="287">
        <f t="shared" si="8"/>
        <v>135</v>
      </c>
      <c r="AM8" s="287">
        <f t="shared" si="8"/>
        <v>135</v>
      </c>
      <c r="AN8" s="287">
        <f t="shared" si="8"/>
        <v>135</v>
      </c>
      <c r="AO8" s="287">
        <f t="shared" si="8"/>
        <v>135</v>
      </c>
      <c r="AP8" s="287">
        <f t="shared" si="8"/>
        <v>165</v>
      </c>
      <c r="AQ8" s="287">
        <f t="shared" si="8"/>
        <v>165</v>
      </c>
      <c r="AR8" s="287">
        <f t="shared" si="8"/>
        <v>135</v>
      </c>
      <c r="AS8" s="287">
        <f t="shared" si="8"/>
        <v>135</v>
      </c>
      <c r="AT8" s="287">
        <f t="shared" si="8"/>
        <v>135</v>
      </c>
      <c r="AU8" s="287">
        <f t="shared" si="8"/>
        <v>75</v>
      </c>
      <c r="AV8" s="287">
        <f t="shared" si="8"/>
        <v>135</v>
      </c>
      <c r="AW8" s="287">
        <f t="shared" si="8"/>
        <v>75</v>
      </c>
      <c r="AX8" s="287">
        <f t="shared" si="8"/>
        <v>135</v>
      </c>
      <c r="AY8" s="287">
        <f t="shared" si="8"/>
        <v>135</v>
      </c>
      <c r="AZ8" s="287">
        <f t="shared" si="8"/>
        <v>135</v>
      </c>
      <c r="BA8" s="287">
        <f t="shared" si="8"/>
        <v>135</v>
      </c>
      <c r="BB8" s="287">
        <f t="shared" si="8"/>
        <v>165</v>
      </c>
      <c r="BC8" s="287">
        <f t="shared" si="8"/>
        <v>165</v>
      </c>
      <c r="BD8" s="287">
        <f t="shared" si="8"/>
        <v>135</v>
      </c>
      <c r="BE8" s="287">
        <f t="shared" si="8"/>
        <v>135</v>
      </c>
      <c r="BF8" s="287">
        <f t="shared" si="8"/>
        <v>135</v>
      </c>
      <c r="BG8" s="287">
        <f t="shared" si="8"/>
        <v>75</v>
      </c>
      <c r="BH8" s="287">
        <f t="shared" si="8"/>
        <v>135</v>
      </c>
      <c r="BI8" s="287">
        <f t="shared" si="8"/>
        <v>75</v>
      </c>
      <c r="BJ8" s="287">
        <f t="shared" si="8"/>
        <v>135</v>
      </c>
      <c r="BK8" s="287">
        <f t="shared" si="8"/>
        <v>135</v>
      </c>
      <c r="BL8" s="287">
        <f t="shared" si="8"/>
        <v>135</v>
      </c>
      <c r="BM8" s="287">
        <f t="shared" si="8"/>
        <v>135</v>
      </c>
      <c r="BN8" s="287">
        <f t="shared" si="8"/>
        <v>165</v>
      </c>
      <c r="BO8" s="287">
        <f t="shared" si="8"/>
        <v>165</v>
      </c>
      <c r="BP8" s="287">
        <f t="shared" si="8"/>
        <v>135</v>
      </c>
      <c r="BQ8" s="287">
        <f t="shared" si="8"/>
        <v>135</v>
      </c>
      <c r="BR8" s="287">
        <f t="shared" si="8"/>
        <v>135</v>
      </c>
      <c r="BS8" s="287">
        <f t="shared" si="8"/>
        <v>75</v>
      </c>
      <c r="BT8" s="287">
        <f t="shared" si="8"/>
        <v>135</v>
      </c>
      <c r="BU8" s="287">
        <f t="shared" si="8"/>
        <v>75</v>
      </c>
      <c r="BV8" s="287">
        <f t="shared" si="8"/>
        <v>135</v>
      </c>
      <c r="BW8" s="287">
        <f t="shared" si="8"/>
        <v>135</v>
      </c>
      <c r="BX8" s="287">
        <f t="shared" si="8"/>
        <v>135</v>
      </c>
      <c r="BY8" s="287">
        <f t="shared" ref="BY8:EJ8" si="9">+$D$8*((IF(BY2="Trough",0.5*$E$8,IF(BY2="Shoulder",0.9*$E$8,1.1*$E$8))))</f>
        <v>135</v>
      </c>
      <c r="BZ8" s="287">
        <f t="shared" si="9"/>
        <v>165</v>
      </c>
      <c r="CA8" s="287">
        <f t="shared" si="9"/>
        <v>165</v>
      </c>
      <c r="CB8" s="287">
        <f t="shared" si="9"/>
        <v>135</v>
      </c>
      <c r="CC8" s="287">
        <f t="shared" si="9"/>
        <v>135</v>
      </c>
      <c r="CD8" s="287">
        <f t="shared" si="9"/>
        <v>135</v>
      </c>
      <c r="CE8" s="287">
        <f t="shared" si="9"/>
        <v>75</v>
      </c>
      <c r="CF8" s="287">
        <f t="shared" si="9"/>
        <v>135</v>
      </c>
      <c r="CG8" s="287">
        <f t="shared" si="9"/>
        <v>75</v>
      </c>
      <c r="CH8" s="287">
        <f t="shared" si="9"/>
        <v>135</v>
      </c>
      <c r="CI8" s="287">
        <f t="shared" si="9"/>
        <v>165</v>
      </c>
      <c r="CJ8" s="287">
        <f t="shared" si="9"/>
        <v>165</v>
      </c>
      <c r="CK8" s="287">
        <f t="shared" si="9"/>
        <v>165</v>
      </c>
      <c r="CL8" s="287">
        <f t="shared" si="9"/>
        <v>165</v>
      </c>
      <c r="CM8" s="287">
        <f t="shared" si="9"/>
        <v>165</v>
      </c>
      <c r="CN8" s="287">
        <f t="shared" si="9"/>
        <v>165</v>
      </c>
      <c r="CO8" s="287">
        <f t="shared" si="9"/>
        <v>165</v>
      </c>
      <c r="CP8" s="287">
        <f t="shared" si="9"/>
        <v>165</v>
      </c>
      <c r="CQ8" s="287">
        <f t="shared" si="9"/>
        <v>165</v>
      </c>
      <c r="CR8" s="287">
        <f t="shared" si="9"/>
        <v>165</v>
      </c>
      <c r="CS8" s="287">
        <f t="shared" si="9"/>
        <v>165</v>
      </c>
      <c r="CT8" s="287">
        <f t="shared" si="9"/>
        <v>165</v>
      </c>
      <c r="CU8" s="287">
        <f t="shared" si="9"/>
        <v>165</v>
      </c>
      <c r="CV8" s="287">
        <f t="shared" si="9"/>
        <v>165</v>
      </c>
      <c r="CW8" s="287">
        <f t="shared" si="9"/>
        <v>165</v>
      </c>
      <c r="CX8" s="287">
        <f t="shared" si="9"/>
        <v>165</v>
      </c>
      <c r="CY8" s="287">
        <f t="shared" si="9"/>
        <v>165</v>
      </c>
      <c r="CZ8" s="287">
        <f t="shared" si="9"/>
        <v>165</v>
      </c>
      <c r="DA8" s="287">
        <f t="shared" si="9"/>
        <v>165</v>
      </c>
      <c r="DB8" s="287">
        <f t="shared" si="9"/>
        <v>165</v>
      </c>
      <c r="DC8" s="287">
        <f t="shared" si="9"/>
        <v>165</v>
      </c>
      <c r="DD8" s="287">
        <f t="shared" si="9"/>
        <v>165</v>
      </c>
      <c r="DE8" s="287">
        <f t="shared" si="9"/>
        <v>165</v>
      </c>
      <c r="DF8" s="287">
        <f t="shared" si="9"/>
        <v>165</v>
      </c>
      <c r="DG8" s="287">
        <f t="shared" si="9"/>
        <v>165</v>
      </c>
      <c r="DH8" s="287">
        <f t="shared" si="9"/>
        <v>165</v>
      </c>
      <c r="DI8" s="287">
        <f t="shared" si="9"/>
        <v>165</v>
      </c>
      <c r="DJ8" s="287">
        <f t="shared" si="9"/>
        <v>165</v>
      </c>
      <c r="DK8" s="287">
        <f t="shared" si="9"/>
        <v>165</v>
      </c>
      <c r="DL8" s="287">
        <f t="shared" si="9"/>
        <v>165</v>
      </c>
      <c r="DM8" s="287">
        <f t="shared" si="9"/>
        <v>165</v>
      </c>
      <c r="DN8" s="287">
        <f t="shared" si="9"/>
        <v>165</v>
      </c>
      <c r="DO8" s="287">
        <f t="shared" si="9"/>
        <v>165</v>
      </c>
      <c r="DP8" s="287">
        <f t="shared" si="9"/>
        <v>165</v>
      </c>
      <c r="DQ8" s="287">
        <f t="shared" si="9"/>
        <v>165</v>
      </c>
      <c r="DR8" s="287">
        <f t="shared" si="9"/>
        <v>165</v>
      </c>
      <c r="DS8" s="287">
        <f t="shared" si="9"/>
        <v>165</v>
      </c>
      <c r="DT8" s="287">
        <f t="shared" si="9"/>
        <v>165</v>
      </c>
      <c r="DU8" s="287">
        <f t="shared" si="9"/>
        <v>165</v>
      </c>
      <c r="DV8" s="287">
        <f t="shared" si="9"/>
        <v>165</v>
      </c>
      <c r="DW8" s="287">
        <f t="shared" si="9"/>
        <v>165</v>
      </c>
      <c r="DX8" s="287">
        <f t="shared" si="9"/>
        <v>165</v>
      </c>
      <c r="DY8" s="287">
        <f t="shared" si="9"/>
        <v>165</v>
      </c>
      <c r="DZ8" s="287">
        <f t="shared" si="9"/>
        <v>165</v>
      </c>
      <c r="EA8" s="287">
        <f t="shared" si="9"/>
        <v>165</v>
      </c>
      <c r="EB8" s="287">
        <f t="shared" si="9"/>
        <v>165</v>
      </c>
      <c r="EC8" s="287">
        <f t="shared" si="9"/>
        <v>165</v>
      </c>
      <c r="ED8" s="287">
        <f t="shared" si="9"/>
        <v>165</v>
      </c>
      <c r="EE8" s="287">
        <f t="shared" si="9"/>
        <v>165</v>
      </c>
      <c r="EF8" s="287">
        <f t="shared" si="9"/>
        <v>165</v>
      </c>
      <c r="EG8" s="287">
        <f t="shared" si="9"/>
        <v>165</v>
      </c>
      <c r="EH8" s="287">
        <f t="shared" si="9"/>
        <v>165</v>
      </c>
      <c r="EI8" s="287">
        <f t="shared" si="9"/>
        <v>165</v>
      </c>
      <c r="EJ8" s="287">
        <f t="shared" si="9"/>
        <v>165</v>
      </c>
      <c r="EK8" s="287">
        <f t="shared" ref="EK8:FB8" si="10">+$D$8*((IF(EK2="Trough",0.5*$E$8,IF(EK2="Shoulder",0.9*$E$8,1.1*$E$8))))</f>
        <v>165</v>
      </c>
      <c r="EL8" s="287">
        <f t="shared" si="10"/>
        <v>165</v>
      </c>
      <c r="EM8" s="287">
        <f t="shared" si="10"/>
        <v>165</v>
      </c>
      <c r="EN8" s="287">
        <f t="shared" si="10"/>
        <v>165</v>
      </c>
      <c r="EO8" s="287">
        <f t="shared" si="10"/>
        <v>165</v>
      </c>
      <c r="EP8" s="287">
        <f t="shared" si="10"/>
        <v>165</v>
      </c>
      <c r="EQ8" s="287">
        <f t="shared" si="10"/>
        <v>165</v>
      </c>
      <c r="ER8" s="287">
        <f t="shared" si="10"/>
        <v>165</v>
      </c>
      <c r="ES8" s="287">
        <f t="shared" si="10"/>
        <v>165</v>
      </c>
      <c r="ET8" s="287">
        <f t="shared" si="10"/>
        <v>165</v>
      </c>
      <c r="EU8" s="287">
        <f t="shared" si="10"/>
        <v>165</v>
      </c>
      <c r="EV8" s="287">
        <f t="shared" si="10"/>
        <v>165</v>
      </c>
      <c r="EW8" s="287">
        <f t="shared" si="10"/>
        <v>165</v>
      </c>
      <c r="EX8" s="287">
        <f t="shared" si="10"/>
        <v>165</v>
      </c>
      <c r="EY8" s="287">
        <f t="shared" si="10"/>
        <v>165</v>
      </c>
      <c r="EZ8" s="287">
        <f t="shared" si="10"/>
        <v>165</v>
      </c>
      <c r="FA8" s="287">
        <f t="shared" si="10"/>
        <v>165</v>
      </c>
      <c r="FB8" s="287">
        <f t="shared" si="10"/>
        <v>165</v>
      </c>
    </row>
    <row r="9" spans="1:159" x14ac:dyDescent="0.25">
      <c r="B9" t="s">
        <v>353</v>
      </c>
      <c r="C9" t="s">
        <v>307</v>
      </c>
      <c r="D9">
        <v>15</v>
      </c>
      <c r="Y9" s="287">
        <f>+IF(('Monthly Detail'!AX30-'Monthly Detail'!$B$28)&gt;0,('Monthly Detail'!AX30-'Monthly Detail'!$B$28)*'People Plan'!$D$9, 0)</f>
        <v>201.37607523998236</v>
      </c>
      <c r="Z9" s="287">
        <f>+IF(('Monthly Detail'!AY30-'Monthly Detail'!$B$28)&gt;0,('Monthly Detail'!AY30-'Monthly Detail'!$B$28)*'People Plan'!$D$9, 0)</f>
        <v>844.69131587957099</v>
      </c>
      <c r="AA9" s="287">
        <f>+IF(('Monthly Detail'!AZ30-'Monthly Detail'!$B$28)&gt;0,('Monthly Detail'!AZ30-'Monthly Detail'!$B$28)*'People Plan'!$D$9, 0)</f>
        <v>624.53125133808294</v>
      </c>
      <c r="AB9" s="287">
        <f>+IF(('Monthly Detail'!BA30-'Monthly Detail'!$B$28)&gt;0,('Monthly Detail'!BA30-'Monthly Detail'!$B$28)*'People Plan'!$D$9, 0)</f>
        <v>965.31646480593372</v>
      </c>
      <c r="AC9" s="287">
        <f>+IF(('Monthly Detail'!BB30-'Monthly Detail'!$B$28)&gt;0,('Monthly Detail'!BB30-'Monthly Detail'!$B$28)*'People Plan'!$D$9, 0)</f>
        <v>1217.2666889978805</v>
      </c>
      <c r="AD9" s="287">
        <f>+IF(('Monthly Detail'!BC30-'Monthly Detail'!$B$28)&gt;0,('Monthly Detail'!BC30-'Monthly Detail'!$B$28)*'People Plan'!$D$9, 0)</f>
        <v>1738.6877774609197</v>
      </c>
      <c r="AE9" s="287">
        <f>+IF(('Monthly Detail'!BD30-'Monthly Detail'!$B$28)&gt;0,('Monthly Detail'!BD30-'Monthly Detail'!$B$28)*'People Plan'!$D$9, 0)</f>
        <v>1549.7509745352504</v>
      </c>
      <c r="AF9" s="287">
        <f>+IF(('Monthly Detail'!BE30-'Monthly Detail'!$B$28)&gt;0,('Monthly Detail'!BE30-'Monthly Detail'!$B$28)*'People Plan'!$D$9, 0)</f>
        <v>1594.1950157561523</v>
      </c>
      <c r="AG9" s="287">
        <f>+IF(('Monthly Detail'!BF30-'Monthly Detail'!$B$28)&gt;0,('Monthly Detail'!BF30-'Monthly Detail'!$B$28)*'People Plan'!$D$9, 0)</f>
        <v>1461.1380699032911</v>
      </c>
      <c r="AH9" s="287">
        <f>+IF(('Monthly Detail'!BG30-'Monthly Detail'!$B$28)&gt;0,('Monthly Detail'!BG30-'Monthly Detail'!$B$28)*'People Plan'!$D$9, 0)</f>
        <v>1645.3878642896339</v>
      </c>
      <c r="AI9" s="287">
        <f>+IF(('Monthly Detail'!BH30-'Monthly Detail'!$B$28)&gt;0,('Monthly Detail'!BH30-'Monthly Detail'!$B$28)*'People Plan'!$D$9, 0)</f>
        <v>734.43143974291502</v>
      </c>
      <c r="AJ9" s="287">
        <f>+IF(('Monthly Detail'!BI30-'Monthly Detail'!$B$28)&gt;0,('Monthly Detail'!BI30-'Monthly Detail'!$B$28)*'People Plan'!$D$9, 0)</f>
        <v>909.55903950162701</v>
      </c>
      <c r="AK9" s="287">
        <f>+IF(('Monthly Detail'!BJ30-'Monthly Detail'!$B$28)&gt;0,('Monthly Detail'!BJ30-'Monthly Detail'!$B$28)*'People Plan'!$D$9, 0)</f>
        <v>768.01343605458555</v>
      </c>
      <c r="AL9" s="287">
        <f>+IF(('Monthly Detail'!BK30-'Monthly Detail'!$B$28)&gt;0,('Monthly Detail'!BK30-'Monthly Detail'!$B$28)*'People Plan'!$D$9, 0)</f>
        <v>1354.173228494471</v>
      </c>
      <c r="AM9" s="287">
        <f>+IF(('Monthly Detail'!BL30-'Monthly Detail'!$B$28)&gt;0,('Monthly Detail'!BL30-'Monthly Detail'!$B$28)*'People Plan'!$D$9, 0)</f>
        <v>747.57755365753849</v>
      </c>
      <c r="AN9" s="287">
        <f>+IF(('Monthly Detail'!BM30-'Monthly Detail'!$B$28)&gt;0,('Monthly Detail'!BM30-'Monthly Detail'!$B$28)*'People Plan'!$D$9, 0)</f>
        <v>1172.6582377736293</v>
      </c>
      <c r="AO9" s="287">
        <f>+IF(('Monthly Detail'!BN30-'Monthly Detail'!$B$28)&gt;0,('Monthly Detail'!BN30-'Monthly Detail'!$B$28)*'People Plan'!$D$9, 0)</f>
        <v>1525.6721029359378</v>
      </c>
      <c r="AP9" s="287">
        <f>+IF(('Monthly Detail'!BO30-'Monthly Detail'!$B$28)&gt;0,('Monthly Detail'!BO30-'Monthly Detail'!$B$28)*'People Plan'!$D$9, 0)</f>
        <v>1879.082676436416</v>
      </c>
      <c r="AQ9" s="287">
        <f>+IF(('Monthly Detail'!BP30-'Monthly Detail'!$B$28)&gt;0,('Monthly Detail'!BP30-'Monthly Detail'!$B$28)*'People Plan'!$D$9, 0)</f>
        <v>1696.203043956222</v>
      </c>
      <c r="AR9" s="287">
        <f>+IF(('Monthly Detail'!BQ30-'Monthly Detail'!$B$28)&gt;0,('Monthly Detail'!BQ30-'Monthly Detail'!$B$28)*'People Plan'!$D$9, 0)</f>
        <v>1723.6101812838954</v>
      </c>
      <c r="AS9" s="287">
        <f>+IF(('Monthly Detail'!BR30-'Monthly Detail'!$B$28)&gt;0,('Monthly Detail'!BR30-'Monthly Detail'!$B$28)*'People Plan'!$D$9, 0)</f>
        <v>1431.6358712686242</v>
      </c>
      <c r="AT9" s="287">
        <f>+IF(('Monthly Detail'!BS30-'Monthly Detail'!$B$28)&gt;0,('Monthly Detail'!BS30-'Monthly Detail'!$B$28)*'People Plan'!$D$9, 0)</f>
        <v>1900.0977166952148</v>
      </c>
      <c r="AU9" s="287">
        <f>+IF(('Monthly Detail'!BT30-'Monthly Detail'!$B$28)&gt;0,('Monthly Detail'!BT30-'Monthly Detail'!$B$28)*'People Plan'!$D$9, 0)</f>
        <v>799.56992223488101</v>
      </c>
      <c r="AV9" s="287">
        <f>+IF(('Monthly Detail'!BU30-'Monthly Detail'!$B$28)&gt;0,('Monthly Detail'!BU30-'Monthly Detail'!$B$28)*'People Plan'!$D$9, 0)</f>
        <v>900.62797610438724</v>
      </c>
      <c r="AW9" s="287">
        <f>+IF(('Monthly Detail'!BV30-'Monthly Detail'!$B$28)&gt;0,('Monthly Detail'!BV30-'Monthly Detail'!$B$28)*'People Plan'!$D$9, 0)</f>
        <v>909.21433179155781</v>
      </c>
      <c r="AX9" s="287">
        <f>+IF(('Monthly Detail'!BW30-'Monthly Detail'!$B$28)&gt;0,('Monthly Detail'!BW30-'Monthly Detail'!$B$28)*'People Plan'!$D$9, 0)</f>
        <v>1440.0199976530255</v>
      </c>
      <c r="AY9" s="287">
        <f>+IF(('Monthly Detail'!BX30-'Monthly Detail'!$B$28)&gt;0,('Monthly Detail'!BX30-'Monthly Detail'!$B$28)*'People Plan'!$D$9, 0)</f>
        <v>808.37690303891623</v>
      </c>
      <c r="AZ9" s="287">
        <f>+IF(('Monthly Detail'!BY30-'Monthly Detail'!$B$28)&gt;0,('Monthly Detail'!BY30-'Monthly Detail'!$B$28)*'People Plan'!$D$9, 0)</f>
        <v>1371.3607702010042</v>
      </c>
      <c r="BA9" s="287">
        <f>+IF(('Monthly Detail'!BZ30-'Monthly Detail'!$B$28)&gt;0,('Monthly Detail'!BZ30-'Monthly Detail'!$B$28)*'People Plan'!$D$9, 0)</f>
        <v>1602.3566923475621</v>
      </c>
      <c r="BB9" s="287">
        <f>+IF(('Monthly Detail'!CA30-'Monthly Detail'!$B$28)&gt;0,('Monthly Detail'!CA30-'Monthly Detail'!$B$28)*'People Plan'!$D$9, 0)</f>
        <v>1681.2535006073076</v>
      </c>
      <c r="BC9" s="287">
        <f>+IF(('Monthly Detail'!CB30-'Monthly Detail'!$B$28)&gt;0,('Monthly Detail'!CB30-'Monthly Detail'!$B$28)*'People Plan'!$D$9, 0)</f>
        <v>2082.5575509048822</v>
      </c>
      <c r="BD9" s="287">
        <f>+IF(('Monthly Detail'!CC30-'Monthly Detail'!$B$28)&gt;0,('Monthly Detail'!CC30-'Monthly Detail'!$B$28)*'People Plan'!$D$9, 0)</f>
        <v>1788.317764047767</v>
      </c>
      <c r="BE9" s="287">
        <f>+IF(('Monthly Detail'!CD30-'Monthly Detail'!$B$28)&gt;0,('Monthly Detail'!CD30-'Monthly Detail'!$B$28)*'People Plan'!$D$9, 0)</f>
        <v>1364.2022743893854</v>
      </c>
      <c r="BF9" s="287">
        <f>+IF(('Monthly Detail'!CE30-'Monthly Detail'!$B$28)&gt;0,('Monthly Detail'!CE30-'Monthly Detail'!$B$28)*'People Plan'!$D$9, 0)</f>
        <v>2125.94045249483</v>
      </c>
      <c r="BG9" s="287">
        <f>+IF(('Monthly Detail'!CF30-'Monthly Detail'!$B$28)&gt;0,('Monthly Detail'!CF30-'Monthly Detail'!$B$28)*'People Plan'!$D$9, 0)</f>
        <v>732.9510196862791</v>
      </c>
      <c r="BH9" s="287">
        <f>+IF(('Monthly Detail'!CG30-'Monthly Detail'!$B$28)&gt;0,('Monthly Detail'!CG30-'Monthly Detail'!$B$28)*'People Plan'!$D$9, 0)</f>
        <v>1040.5479693278087</v>
      </c>
      <c r="BI9" s="287">
        <f>+IF(('Monthly Detail'!CH30-'Monthly Detail'!$B$28)&gt;0,('Monthly Detail'!CH30-'Monthly Detail'!$B$28)*'People Plan'!$D$9, 0)</f>
        <v>949.55744485926448</v>
      </c>
      <c r="BJ9" s="287">
        <f>+IF(('Monthly Detail'!CI30-'Monthly Detail'!$B$28)&gt;0,('Monthly Detail'!CI30-'Monthly Detail'!$B$28)*'People Plan'!$D$9, 0)</f>
        <v>1275.7913957844862</v>
      </c>
      <c r="BK9" s="287">
        <f>+IF(('Monthly Detail'!CJ30-'Monthly Detail'!$B$28)&gt;0,('Monthly Detail'!CJ30-'Monthly Detail'!$B$28)*'People Plan'!$D$9, 0)</f>
        <v>1080.5263716984177</v>
      </c>
      <c r="BL9" s="287">
        <f>+IF(('Monthly Detail'!CK30-'Monthly Detail'!$B$28)&gt;0,('Monthly Detail'!CK30-'Monthly Detail'!$B$28)*'People Plan'!$D$9, 0)</f>
        <v>1310.8860864187593</v>
      </c>
      <c r="BM9" s="287">
        <f>+IF(('Monthly Detail'!CL30-'Monthly Detail'!$B$28)&gt;0,('Monthly Detail'!CL30-'Monthly Detail'!$B$28)*'People Plan'!$D$9, 0)</f>
        <v>1547.3438347261795</v>
      </c>
      <c r="BN9" s="287">
        <f>+IF(('Monthly Detail'!CM30-'Monthly Detail'!$B$28)&gt;0,('Monthly Detail'!CM30-'Monthly Detail'!$B$28)*'People Plan'!$D$9, 0)</f>
        <v>1933.3261601314941</v>
      </c>
      <c r="BO9" s="287">
        <f>+IF(('Monthly Detail'!CN30-'Monthly Detail'!$B$28)&gt;0,('Monthly Detail'!CN30-'Monthly Detail'!$B$28)*'People Plan'!$D$9, 0)</f>
        <v>2210.8774593499252</v>
      </c>
      <c r="BP9" s="287">
        <f>+IF(('Monthly Detail'!CO30-'Monthly Detail'!$B$28)&gt;0,('Monthly Detail'!CO30-'Monthly Detail'!$B$28)*'People Plan'!$D$9, 0)</f>
        <v>1769.1996145948046</v>
      </c>
      <c r="BQ9" s="287">
        <f>+IF(('Monthly Detail'!CP30-'Monthly Detail'!$B$28)&gt;0,('Monthly Detail'!CP30-'Monthly Detail'!$B$28)*'People Plan'!$D$9, 0)</f>
        <v>1617.0782626865323</v>
      </c>
      <c r="BR9" s="287">
        <f>+IF(('Monthly Detail'!CQ30-'Monthly Detail'!$B$28)&gt;0,('Monthly Detail'!CQ30-'Monthly Detail'!$B$28)*'People Plan'!$D$9, 0)</f>
        <v>2243.106984601397</v>
      </c>
      <c r="BS9" s="287">
        <f>+IF(('Monthly Detail'!CR30-'Monthly Detail'!$B$28)&gt;0,('Monthly Detail'!CR30-'Monthly Detail'!$B$28)*'People Plan'!$D$9, 0)</f>
        <v>692.97967815711831</v>
      </c>
      <c r="BT9" s="287">
        <f>+IF(('Monthly Detail'!CS30-'Monthly Detail'!$B$28)&gt;0,('Monthly Detail'!CS30-'Monthly Detail'!$B$28)*'People Plan'!$D$9, 0)</f>
        <v>1251.9164697291462</v>
      </c>
      <c r="BU9" s="287">
        <f>+IF(('Monthly Detail'!CT30-'Monthly Detail'!$B$28)&gt;0,('Monthly Detail'!CT30-'Monthly Detail'!$B$28)*'People Plan'!$D$9, 0)</f>
        <v>1030.2436709946774</v>
      </c>
      <c r="BV9" s="287">
        <f>+IF(('Monthly Detail'!CU30-'Monthly Detail'!$B$28)&gt;0,('Monthly Detail'!CU30-'Monthly Detail'!$B$28)*'People Plan'!$D$9, 0)</f>
        <v>1354.173228494471</v>
      </c>
      <c r="BW9" s="287">
        <f>+IF(('Monthly Detail'!CV30-'Monthly Detail'!$B$28)&gt;0,('Monthly Detail'!CV30-'Monthly Detail'!$B$28)*'People Plan'!$D$9, 0)</f>
        <v>1180.4110171106813</v>
      </c>
      <c r="BX9" s="287">
        <f>+IF(('Monthly Detail'!CW30-'Monthly Detail'!$B$28)&gt;0,('Monthly Detail'!CW30-'Monthly Detail'!$B$28)*'People Plan'!$D$9, 0)</f>
        <v>1414.556972902607</v>
      </c>
      <c r="BY9" s="287">
        <f>+IF(('Monthly Detail'!CX30-'Monthly Detail'!$B$28)&gt;0,('Monthly Detail'!CX30-'Monthly Detail'!$B$28)*'People Plan'!$D$9, 0)</f>
        <v>1520.6709340612658</v>
      </c>
      <c r="BZ9" s="287">
        <f>+IF(('Monthly Detail'!CY30-'Monthly Detail'!$B$28)&gt;0,('Monthly Detail'!CY30-'Monthly Detail'!$B$28)*'People Plan'!$D$9, 0)</f>
        <v>2230.0699238751567</v>
      </c>
      <c r="CA9" s="287">
        <f>+IF(('Monthly Detail'!CZ30-'Monthly Detail'!$B$28)&gt;0,('Monthly Detail'!CZ30-'Monthly Detail'!$B$28)*'People Plan'!$D$9, 0)</f>
        <v>2339.1973677949677</v>
      </c>
      <c r="CB9" s="287">
        <f>+IF(('Monthly Detail'!DA30-'Monthly Detail'!$B$28)&gt;0,('Monthly Detail'!DA30-'Monthly Detail'!$B$28)*'People Plan'!$D$9, 0)</f>
        <v>1708.9039124739243</v>
      </c>
      <c r="CC9" s="287">
        <f>+IF(('Monthly Detail'!DB30-'Monthly Detail'!$B$28)&gt;0,('Monthly Detail'!DB30-'Monthly Detail'!$B$28)*'People Plan'!$D$9, 0)</f>
        <v>1816.5693201209488</v>
      </c>
      <c r="CD9" s="287">
        <f>+IF(('Monthly Detail'!DC30-'Monthly Detail'!$B$28)&gt;0,('Monthly Detail'!DC30-'Monthly Detail'!$B$28)*'People Plan'!$D$9, 0)</f>
        <v>2161.599831831611</v>
      </c>
      <c r="CE9" s="287">
        <f>+IF(('Monthly Detail'!DD30-'Monthly Detail'!$B$28)&gt;0,('Monthly Detail'!DD30-'Monthly Detail'!$B$28)*'People Plan'!$D$9, 0)</f>
        <v>826.21748325432225</v>
      </c>
      <c r="CF9" s="287">
        <f>+IF(('Monthly Detail'!DE30-'Monthly Detail'!$B$28)&gt;0,('Monthly Detail'!DE30-'Monthly Detail'!$B$28)*'People Plan'!$D$9, 0)</f>
        <v>1320.38795577465</v>
      </c>
      <c r="CG9" s="287">
        <f>+IF(('Monthly Detail'!DF30-'Monthly Detail'!$B$28)&gt;0,('Monthly Detail'!DF30-'Monthly Detail'!$B$28)*'People Plan'!$D$9, 0)</f>
        <v>960.56011205954803</v>
      </c>
      <c r="CH9" s="287">
        <f>+IF(('Monthly Detail'!DG30-'Monthly Detail'!$B$28)&gt;0,('Monthly Detail'!DG30-'Monthly Detail'!$B$28)*'People Plan'!$D$9, 0)</f>
        <v>1565.0576831665728</v>
      </c>
      <c r="CI9" s="287">
        <f>+IF(('Monthly Detail'!DH30-'Monthly Detail'!$B$28)&gt;0,('Monthly Detail'!DH30-'Monthly Detail'!$B$28)*'People Plan'!$D$9, 0)</f>
        <v>0</v>
      </c>
      <c r="CJ9" s="287">
        <f>+IF(('Monthly Detail'!DI30-'Monthly Detail'!$B$28)&gt;0,('Monthly Detail'!DI30-'Monthly Detail'!$B$28)*'People Plan'!$D$9, 0)</f>
        <v>0</v>
      </c>
      <c r="CK9" s="287">
        <f>+IF(('Monthly Detail'!DJ30-'Monthly Detail'!$B$28)&gt;0,('Monthly Detail'!DJ30-'Monthly Detail'!$B$28)*'People Plan'!$D$9, 0)</f>
        <v>0</v>
      </c>
      <c r="CL9" s="287">
        <f>+IF(('Monthly Detail'!DK30-'Monthly Detail'!$B$28)&gt;0,('Monthly Detail'!DK30-'Monthly Detail'!$B$28)*'People Plan'!$D$9, 0)</f>
        <v>0</v>
      </c>
      <c r="CM9" s="287">
        <f>+IF(('Monthly Detail'!DL30-'Monthly Detail'!$B$28)&gt;0,('Monthly Detail'!DL30-'Monthly Detail'!$B$28)*'People Plan'!$D$9, 0)</f>
        <v>0</v>
      </c>
      <c r="CN9" s="287">
        <f>+IF(('Monthly Detail'!DM30-'Monthly Detail'!$B$28)&gt;0,('Monthly Detail'!DM30-'Monthly Detail'!$B$28)*'People Plan'!$D$9, 0)</f>
        <v>0</v>
      </c>
      <c r="CO9" s="287">
        <f>+IF(('Monthly Detail'!DN30-'Monthly Detail'!$B$28)&gt;0,('Monthly Detail'!DN30-'Monthly Detail'!$B$28)*'People Plan'!$D$9, 0)</f>
        <v>0</v>
      </c>
      <c r="CP9" s="287">
        <f>+IF(('Monthly Detail'!DO30-'Monthly Detail'!$B$28)&gt;0,('Monthly Detail'!DO30-'Monthly Detail'!$B$28)*'People Plan'!$D$9, 0)</f>
        <v>0</v>
      </c>
      <c r="CQ9" s="287">
        <f>+IF(('Monthly Detail'!DP30-'Monthly Detail'!$B$28)&gt;0,('Monthly Detail'!DP30-'Monthly Detail'!$B$28)*'People Plan'!$D$9, 0)</f>
        <v>0</v>
      </c>
      <c r="CR9" s="287">
        <f>+IF(('Monthly Detail'!DQ30-'Monthly Detail'!$B$28)&gt;0,('Monthly Detail'!DQ30-'Monthly Detail'!$B$28)*'People Plan'!$D$9, 0)</f>
        <v>0</v>
      </c>
      <c r="CS9" s="287">
        <f>+IF(('Monthly Detail'!DR30-'Monthly Detail'!$B$28)&gt;0,('Monthly Detail'!DR30-'Monthly Detail'!$B$28)*'People Plan'!$D$9, 0)</f>
        <v>0</v>
      </c>
      <c r="CT9" s="287">
        <f>+IF(('Monthly Detail'!DS30-'Monthly Detail'!$B$28)&gt;0,('Monthly Detail'!DS30-'Monthly Detail'!$B$28)*'People Plan'!$D$9, 0)</f>
        <v>0</v>
      </c>
      <c r="CU9" s="287">
        <f>+IF(('Monthly Detail'!DT30-'Monthly Detail'!$B$28)&gt;0,('Monthly Detail'!DT30-'Monthly Detail'!$B$28)*'People Plan'!$D$9, 0)</f>
        <v>0</v>
      </c>
      <c r="CV9" s="287">
        <f>+IF(('Monthly Detail'!DU30-'Monthly Detail'!$B$28)&gt;0,('Monthly Detail'!DU30-'Monthly Detail'!$B$28)*'People Plan'!$D$9, 0)</f>
        <v>0</v>
      </c>
      <c r="CW9" s="287">
        <f>+IF(('Monthly Detail'!DV30-'Monthly Detail'!$B$28)&gt;0,('Monthly Detail'!DV30-'Monthly Detail'!$B$28)*'People Plan'!$D$9, 0)</f>
        <v>0</v>
      </c>
      <c r="CX9" s="287">
        <f>+IF(('Monthly Detail'!DW30-'Monthly Detail'!$B$28)&gt;0,('Monthly Detail'!DW30-'Monthly Detail'!$B$28)*'People Plan'!$D$9, 0)</f>
        <v>0</v>
      </c>
      <c r="CY9" s="287">
        <f>+IF(('Monthly Detail'!DX30-'Monthly Detail'!$B$28)&gt;0,('Monthly Detail'!DX30-'Monthly Detail'!$B$28)*'People Plan'!$D$9, 0)</f>
        <v>0</v>
      </c>
      <c r="CZ9" s="287">
        <f>+IF(('Monthly Detail'!DY30-'Monthly Detail'!$B$28)&gt;0,('Monthly Detail'!DY30-'Monthly Detail'!$B$28)*'People Plan'!$D$9, 0)</f>
        <v>0</v>
      </c>
      <c r="DA9" s="287">
        <f>+IF(('Monthly Detail'!DZ30-'Monthly Detail'!$B$28)&gt;0,('Monthly Detail'!DZ30-'Monthly Detail'!$B$28)*'People Plan'!$D$9, 0)</f>
        <v>0</v>
      </c>
      <c r="DB9" s="287">
        <f>+IF(('Monthly Detail'!EA30-'Monthly Detail'!$B$28)&gt;0,('Monthly Detail'!EA30-'Monthly Detail'!$B$28)*'People Plan'!$D$9, 0)</f>
        <v>0</v>
      </c>
      <c r="DC9" s="287">
        <f>+IF(('Monthly Detail'!EB30-'Monthly Detail'!$B$28)&gt;0,('Monthly Detail'!EB30-'Monthly Detail'!$B$28)*'People Plan'!$D$9, 0)</f>
        <v>0</v>
      </c>
      <c r="DD9" s="287">
        <f>+IF(('Monthly Detail'!EC30-'Monthly Detail'!$B$28)&gt;0,('Monthly Detail'!EC30-'Monthly Detail'!$B$28)*'People Plan'!$D$9, 0)</f>
        <v>0</v>
      </c>
      <c r="DE9" s="287">
        <f>+IF(('Monthly Detail'!ED30-'Monthly Detail'!$B$28)&gt;0,('Monthly Detail'!ED30-'Monthly Detail'!$B$28)*'People Plan'!$D$9, 0)</f>
        <v>0</v>
      </c>
      <c r="DF9" s="287">
        <f>+IF(('Monthly Detail'!EE30-'Monthly Detail'!$B$28)&gt;0,('Monthly Detail'!EE30-'Monthly Detail'!$B$28)*'People Plan'!$D$9, 0)</f>
        <v>0</v>
      </c>
      <c r="DG9" s="287">
        <f>+IF(('Monthly Detail'!EF30-'Monthly Detail'!$B$28)&gt;0,('Monthly Detail'!EF30-'Monthly Detail'!$B$28)*'People Plan'!$D$9, 0)</f>
        <v>0</v>
      </c>
      <c r="DH9" s="287">
        <f>+IF(('Monthly Detail'!EG30-'Monthly Detail'!$B$28)&gt;0,('Monthly Detail'!EG30-'Monthly Detail'!$B$28)*'People Plan'!$D$9, 0)</f>
        <v>0</v>
      </c>
      <c r="DI9" s="287">
        <f>+IF(('Monthly Detail'!EH30-'Monthly Detail'!$B$28)&gt;0,('Monthly Detail'!EH30-'Monthly Detail'!$B$28)*'People Plan'!$D$9, 0)</f>
        <v>0</v>
      </c>
      <c r="DJ9" s="287">
        <f>+IF(('Monthly Detail'!EI30-'Monthly Detail'!$B$28)&gt;0,('Monthly Detail'!EI30-'Monthly Detail'!$B$28)*'People Plan'!$D$9, 0)</f>
        <v>0</v>
      </c>
      <c r="DK9" s="287">
        <f>+IF(('Monthly Detail'!EJ30-'Monthly Detail'!$B$28)&gt;0,('Monthly Detail'!EJ30-'Monthly Detail'!$B$28)*'People Plan'!$D$9, 0)</f>
        <v>0</v>
      </c>
      <c r="DL9" s="287">
        <f>+IF(('Monthly Detail'!EK30-'Monthly Detail'!$B$28)&gt;0,('Monthly Detail'!EK30-'Monthly Detail'!$B$28)*'People Plan'!$D$9, 0)</f>
        <v>0</v>
      </c>
      <c r="DM9" s="287">
        <f>+IF(('Monthly Detail'!EL30-'Monthly Detail'!$B$28)&gt;0,('Monthly Detail'!EL30-'Monthly Detail'!$B$28)*'People Plan'!$D$9, 0)</f>
        <v>0</v>
      </c>
      <c r="DN9" s="287">
        <f>+IF(('Monthly Detail'!EM30-'Monthly Detail'!$B$28)&gt;0,('Monthly Detail'!EM30-'Monthly Detail'!$B$28)*'People Plan'!$D$9, 0)</f>
        <v>0</v>
      </c>
      <c r="DO9" s="287">
        <f>+IF(('Monthly Detail'!EN30-'Monthly Detail'!$B$28)&gt;0,('Monthly Detail'!EN30-'Monthly Detail'!$B$28)*'People Plan'!$D$9, 0)</f>
        <v>0</v>
      </c>
      <c r="DP9" s="287">
        <f>+IF(('Monthly Detail'!EO30-'Monthly Detail'!$B$28)&gt;0,('Monthly Detail'!EO30-'Monthly Detail'!$B$28)*'People Plan'!$D$9, 0)</f>
        <v>0</v>
      </c>
      <c r="DQ9" s="287">
        <f>+IF(('Monthly Detail'!EP30-'Monthly Detail'!$B$28)&gt;0,('Monthly Detail'!EP30-'Monthly Detail'!$B$28)*'People Plan'!$D$9, 0)</f>
        <v>0</v>
      </c>
      <c r="DR9" s="287">
        <f>+IF(('Monthly Detail'!EQ30-'Monthly Detail'!$B$28)&gt;0,('Monthly Detail'!EQ30-'Monthly Detail'!$B$28)*'People Plan'!$D$9, 0)</f>
        <v>0</v>
      </c>
      <c r="DS9" s="287">
        <f>+IF(('Monthly Detail'!ER30-'Monthly Detail'!$B$28)&gt;0,('Monthly Detail'!ER30-'Monthly Detail'!$B$28)*'People Plan'!$D$9, 0)</f>
        <v>0</v>
      </c>
      <c r="DT9" s="287">
        <f>+IF(('Monthly Detail'!ES30-'Monthly Detail'!$B$28)&gt;0,('Monthly Detail'!ES30-'Monthly Detail'!$B$28)*'People Plan'!$D$9, 0)</f>
        <v>0</v>
      </c>
      <c r="DU9" s="287">
        <f>+IF(('Monthly Detail'!ET30-'Monthly Detail'!$B$28)&gt;0,('Monthly Detail'!ET30-'Monthly Detail'!$B$28)*'People Plan'!$D$9, 0)</f>
        <v>0</v>
      </c>
      <c r="DV9" s="287">
        <f>+IF(('Monthly Detail'!EU30-'Monthly Detail'!$B$28)&gt;0,('Monthly Detail'!EU30-'Monthly Detail'!$B$28)*'People Plan'!$D$9, 0)</f>
        <v>0</v>
      </c>
      <c r="DW9" s="287">
        <f>+IF(('Monthly Detail'!EV30-'Monthly Detail'!$B$28)&gt;0,('Monthly Detail'!EV30-'Monthly Detail'!$B$28)*'People Plan'!$D$9, 0)</f>
        <v>0</v>
      </c>
      <c r="DX9" s="287">
        <f>+IF(('Monthly Detail'!EW30-'Monthly Detail'!$B$28)&gt;0,('Monthly Detail'!EW30-'Monthly Detail'!$B$28)*'People Plan'!$D$9, 0)</f>
        <v>0</v>
      </c>
      <c r="DY9" s="287">
        <f>+IF(('Monthly Detail'!EX30-'Monthly Detail'!$B$28)&gt;0,('Monthly Detail'!EX30-'Monthly Detail'!$B$28)*'People Plan'!$D$9, 0)</f>
        <v>0</v>
      </c>
      <c r="DZ9" s="287">
        <f>+IF(('Monthly Detail'!EY30-'Monthly Detail'!$B$28)&gt;0,('Monthly Detail'!EY30-'Monthly Detail'!$B$28)*'People Plan'!$D$9, 0)</f>
        <v>0</v>
      </c>
      <c r="EA9" s="287">
        <f>+IF(('Monthly Detail'!EZ30-'Monthly Detail'!$B$28)&gt;0,('Monthly Detail'!EZ30-'Monthly Detail'!$B$28)*'People Plan'!$D$9, 0)</f>
        <v>0</v>
      </c>
      <c r="EB9" s="287">
        <f>+IF(('Monthly Detail'!FA30-'Monthly Detail'!$B$28)&gt;0,('Monthly Detail'!FA30-'Monthly Detail'!$B$28)*'People Plan'!$D$9, 0)</f>
        <v>0</v>
      </c>
      <c r="EC9" s="287">
        <f>+IF(('Monthly Detail'!FB30-'Monthly Detail'!$B$28)&gt;0,('Monthly Detail'!FB30-'Monthly Detail'!$B$28)*'People Plan'!$D$9, 0)</f>
        <v>0</v>
      </c>
      <c r="ED9" s="287">
        <f>+IF(('Monthly Detail'!FC30-'Monthly Detail'!$B$28)&gt;0,('Monthly Detail'!FC30-'Monthly Detail'!$B$28)*'People Plan'!$D$9, 0)</f>
        <v>0</v>
      </c>
      <c r="EE9" s="287">
        <f>+IF(('Monthly Detail'!FD30-'Monthly Detail'!$B$28)&gt;0,('Monthly Detail'!FD30-'Monthly Detail'!$B$28)*'People Plan'!$D$9, 0)</f>
        <v>0</v>
      </c>
      <c r="EF9" s="287">
        <f>+IF(('Monthly Detail'!FE30-'Monthly Detail'!$B$28)&gt;0,('Monthly Detail'!FE30-'Monthly Detail'!$B$28)*'People Plan'!$D$9, 0)</f>
        <v>0</v>
      </c>
      <c r="EG9" s="287">
        <f>+IF(('Monthly Detail'!FF30-'Monthly Detail'!$B$28)&gt;0,('Monthly Detail'!FF30-'Monthly Detail'!$B$28)*'People Plan'!$D$9, 0)</f>
        <v>0</v>
      </c>
      <c r="EH9" s="287">
        <f>+IF(('Monthly Detail'!FG30-'Monthly Detail'!$B$28)&gt;0,('Monthly Detail'!FG30-'Monthly Detail'!$B$28)*'People Plan'!$D$9, 0)</f>
        <v>0</v>
      </c>
      <c r="EI9" s="287">
        <f>+IF(('Monthly Detail'!FH30-'Monthly Detail'!$B$28)&gt;0,('Monthly Detail'!FH30-'Monthly Detail'!$B$28)*'People Plan'!$D$9, 0)</f>
        <v>0</v>
      </c>
      <c r="EJ9" s="287">
        <f>+IF(('Monthly Detail'!FI30-'Monthly Detail'!$B$28)&gt;0,('Monthly Detail'!FI30-'Monthly Detail'!$B$28)*'People Plan'!$D$9, 0)</f>
        <v>0</v>
      </c>
      <c r="EK9" s="287">
        <f>+IF(('Monthly Detail'!FJ30-'Monthly Detail'!$B$28)&gt;0,('Monthly Detail'!FJ30-'Monthly Detail'!$B$28)*'People Plan'!$D$9, 0)</f>
        <v>0</v>
      </c>
      <c r="EL9" s="287">
        <f>+IF(('Monthly Detail'!FK30-'Monthly Detail'!$B$28)&gt;0,('Monthly Detail'!FK30-'Monthly Detail'!$B$28)*'People Plan'!$D$9, 0)</f>
        <v>0</v>
      </c>
      <c r="EM9" s="287">
        <f>+IF(('Monthly Detail'!FL30-'Monthly Detail'!$B$28)&gt;0,('Monthly Detail'!FL30-'Monthly Detail'!$B$28)*'People Plan'!$D$9, 0)</f>
        <v>0</v>
      </c>
      <c r="EN9" s="287">
        <f>+IF(('Monthly Detail'!FM30-'Monthly Detail'!$B$28)&gt;0,('Monthly Detail'!FM30-'Monthly Detail'!$B$28)*'People Plan'!$D$9, 0)</f>
        <v>0</v>
      </c>
      <c r="EO9" s="287">
        <f>+IF(('Monthly Detail'!FN30-'Monthly Detail'!$B$28)&gt;0,('Monthly Detail'!FN30-'Monthly Detail'!$B$28)*'People Plan'!$D$9, 0)</f>
        <v>0</v>
      </c>
      <c r="EP9" s="287">
        <f>+IF(('Monthly Detail'!FO30-'Monthly Detail'!$B$28)&gt;0,('Monthly Detail'!FO30-'Monthly Detail'!$B$28)*'People Plan'!$D$9, 0)</f>
        <v>0</v>
      </c>
      <c r="EQ9" s="287">
        <f>+IF(('Monthly Detail'!FP30-'Monthly Detail'!$B$28)&gt;0,('Monthly Detail'!FP30-'Monthly Detail'!$B$28)*'People Plan'!$D$9, 0)</f>
        <v>0</v>
      </c>
      <c r="ER9" s="287">
        <f>+IF(('Monthly Detail'!FQ30-'Monthly Detail'!$B$28)&gt;0,('Monthly Detail'!FQ30-'Monthly Detail'!$B$28)*'People Plan'!$D$9, 0)</f>
        <v>0</v>
      </c>
      <c r="ES9" s="287">
        <f>+IF(('Monthly Detail'!FR30-'Monthly Detail'!$B$28)&gt;0,('Monthly Detail'!FR30-'Monthly Detail'!$B$28)*'People Plan'!$D$9, 0)</f>
        <v>0</v>
      </c>
      <c r="ET9" s="287">
        <f>+IF(('Monthly Detail'!FS30-'Monthly Detail'!$B$28)&gt;0,('Monthly Detail'!FS30-'Monthly Detail'!$B$28)*'People Plan'!$D$9, 0)</f>
        <v>0</v>
      </c>
      <c r="EU9" s="287">
        <f>+IF(('Monthly Detail'!FT30-'Monthly Detail'!$B$28)&gt;0,('Monthly Detail'!FT30-'Monthly Detail'!$B$28)*'People Plan'!$D$9, 0)</f>
        <v>0</v>
      </c>
      <c r="EV9" s="287">
        <f>+IF(('Monthly Detail'!FU30-'Monthly Detail'!$B$28)&gt;0,('Monthly Detail'!FU30-'Monthly Detail'!$B$28)*'People Plan'!$D$9, 0)</f>
        <v>0</v>
      </c>
      <c r="EW9" s="287">
        <f>+IF(('Monthly Detail'!FV30-'Monthly Detail'!$B$28)&gt;0,('Monthly Detail'!FV30-'Monthly Detail'!$B$28)*'People Plan'!$D$9, 0)</f>
        <v>0</v>
      </c>
      <c r="EX9" s="287">
        <f>+IF(('Monthly Detail'!FW30-'Monthly Detail'!$B$28)&gt;0,('Monthly Detail'!FW30-'Monthly Detail'!$B$28)*'People Plan'!$D$9, 0)</f>
        <v>0</v>
      </c>
      <c r="EY9" s="287">
        <f>+IF(('Monthly Detail'!FX30-'Monthly Detail'!$B$28)&gt;0,('Monthly Detail'!FX30-'Monthly Detail'!$B$28)*'People Plan'!$D$9, 0)</f>
        <v>0</v>
      </c>
      <c r="EZ9" s="287">
        <f>+IF(('Monthly Detail'!FY30-'Monthly Detail'!$B$28)&gt;0,('Monthly Detail'!FY30-'Monthly Detail'!$B$28)*'People Plan'!$D$9, 0)</f>
        <v>0</v>
      </c>
      <c r="FA9" s="287">
        <f>+IF(('Monthly Detail'!FZ30-'Monthly Detail'!$B$28)&gt;0,('Monthly Detail'!FZ30-'Monthly Detail'!$B$28)*'People Plan'!$D$9, 0)</f>
        <v>0</v>
      </c>
      <c r="FB9" s="287">
        <f>+IF(('Monthly Detail'!GA30-'Monthly Detail'!$B$28)&gt;0,('Monthly Detail'!GA30-'Monthly Detail'!$B$28)*'People Plan'!$D$9, 0)</f>
        <v>0</v>
      </c>
    </row>
    <row r="13" spans="1:159" x14ac:dyDescent="0.25">
      <c r="E13" s="490" t="s">
        <v>343</v>
      </c>
      <c r="F13" s="5"/>
      <c r="G13" s="491">
        <f>SUM(G8:G12)</f>
        <v>0</v>
      </c>
      <c r="H13" s="491">
        <f t="shared" ref="H13:BS13" si="11">SUM(H8:H12)</f>
        <v>765</v>
      </c>
      <c r="I13" s="491">
        <f t="shared" si="11"/>
        <v>394</v>
      </c>
      <c r="J13" s="491">
        <f t="shared" si="11"/>
        <v>630</v>
      </c>
      <c r="K13" s="491">
        <f t="shared" si="11"/>
        <v>210</v>
      </c>
      <c r="L13" s="491">
        <f>SUM(L8:L12)</f>
        <v>475</v>
      </c>
      <c r="M13" s="491">
        <f t="shared" si="11"/>
        <v>432</v>
      </c>
      <c r="N13" s="491">
        <f t="shared" si="11"/>
        <v>600</v>
      </c>
      <c r="O13" s="491">
        <f t="shared" si="11"/>
        <v>50</v>
      </c>
      <c r="P13" s="491">
        <f t="shared" si="11"/>
        <v>45</v>
      </c>
      <c r="Q13" s="491">
        <f t="shared" si="11"/>
        <v>0</v>
      </c>
      <c r="R13" s="491">
        <f>SUM(R8:R12)</f>
        <v>0</v>
      </c>
      <c r="S13" s="491">
        <f t="shared" si="11"/>
        <v>0</v>
      </c>
      <c r="T13" s="491">
        <f t="shared" si="11"/>
        <v>0</v>
      </c>
      <c r="U13" s="491">
        <f t="shared" si="11"/>
        <v>0</v>
      </c>
      <c r="V13" s="491">
        <f t="shared" si="11"/>
        <v>0</v>
      </c>
      <c r="W13" s="491">
        <f t="shared" si="11"/>
        <v>30</v>
      </c>
      <c r="X13" s="491">
        <f t="shared" ref="X13" si="12">SUM(X8:X12)</f>
        <v>0</v>
      </c>
      <c r="Y13" s="491">
        <f t="shared" si="11"/>
        <v>276.37607523998236</v>
      </c>
      <c r="Z13" s="491">
        <f t="shared" si="11"/>
        <v>979.69131587957099</v>
      </c>
      <c r="AA13" s="491">
        <f t="shared" si="11"/>
        <v>759.53125133808294</v>
      </c>
      <c r="AB13" s="491">
        <f t="shared" si="11"/>
        <v>1100.3164648059337</v>
      </c>
      <c r="AC13" s="491">
        <f t="shared" si="11"/>
        <v>1352.2666889978805</v>
      </c>
      <c r="AD13" s="491">
        <f t="shared" si="11"/>
        <v>1903.6877774609197</v>
      </c>
      <c r="AE13" s="491">
        <f t="shared" si="11"/>
        <v>1714.7509745352504</v>
      </c>
      <c r="AF13" s="491">
        <f t="shared" si="11"/>
        <v>1729.1950157561523</v>
      </c>
      <c r="AG13" s="491">
        <f t="shared" si="11"/>
        <v>1596.1380699032911</v>
      </c>
      <c r="AH13" s="491">
        <f t="shared" si="11"/>
        <v>1780.3878642896339</v>
      </c>
      <c r="AI13" s="491">
        <f t="shared" si="11"/>
        <v>809.43143974291502</v>
      </c>
      <c r="AJ13" s="491">
        <f t="shared" si="11"/>
        <v>1044.559039501627</v>
      </c>
      <c r="AK13" s="491">
        <f t="shared" si="11"/>
        <v>843.01343605458555</v>
      </c>
      <c r="AL13" s="491">
        <f t="shared" si="11"/>
        <v>1489.173228494471</v>
      </c>
      <c r="AM13" s="491">
        <f t="shared" si="11"/>
        <v>882.57755365753849</v>
      </c>
      <c r="AN13" s="491">
        <f t="shared" si="11"/>
        <v>1307.6582377736293</v>
      </c>
      <c r="AO13" s="491">
        <f t="shared" si="11"/>
        <v>1660.6721029359378</v>
      </c>
      <c r="AP13" s="491">
        <f t="shared" si="11"/>
        <v>2044.082676436416</v>
      </c>
      <c r="AQ13" s="491">
        <f t="shared" si="11"/>
        <v>1861.203043956222</v>
      </c>
      <c r="AR13" s="491">
        <f t="shared" si="11"/>
        <v>1858.6101812838954</v>
      </c>
      <c r="AS13" s="491">
        <f t="shared" si="11"/>
        <v>1566.6358712686242</v>
      </c>
      <c r="AT13" s="491">
        <f t="shared" si="11"/>
        <v>2035.0977166952148</v>
      </c>
      <c r="AU13" s="491">
        <f t="shared" si="11"/>
        <v>874.56992223488101</v>
      </c>
      <c r="AV13" s="491">
        <f t="shared" si="11"/>
        <v>1035.6279761043872</v>
      </c>
      <c r="AW13" s="491">
        <f t="shared" si="11"/>
        <v>984.21433179155781</v>
      </c>
      <c r="AX13" s="491">
        <f t="shared" si="11"/>
        <v>1575.0199976530255</v>
      </c>
      <c r="AY13" s="491">
        <f t="shared" si="11"/>
        <v>943.37690303891623</v>
      </c>
      <c r="AZ13" s="491">
        <f t="shared" si="11"/>
        <v>1506.3607702010042</v>
      </c>
      <c r="BA13" s="491">
        <f t="shared" si="11"/>
        <v>1737.3566923475621</v>
      </c>
      <c r="BB13" s="491">
        <f t="shared" si="11"/>
        <v>1846.2535006073076</v>
      </c>
      <c r="BC13" s="491">
        <f t="shared" si="11"/>
        <v>2247.5575509048822</v>
      </c>
      <c r="BD13" s="491">
        <f t="shared" si="11"/>
        <v>1923.317764047767</v>
      </c>
      <c r="BE13" s="491">
        <f t="shared" si="11"/>
        <v>1499.2022743893854</v>
      </c>
      <c r="BF13" s="491">
        <f t="shared" si="11"/>
        <v>2260.94045249483</v>
      </c>
      <c r="BG13" s="491">
        <f t="shared" si="11"/>
        <v>807.9510196862791</v>
      </c>
      <c r="BH13" s="491">
        <f t="shared" si="11"/>
        <v>1175.5479693278087</v>
      </c>
      <c r="BI13" s="491">
        <f t="shared" si="11"/>
        <v>1024.5574448592645</v>
      </c>
      <c r="BJ13" s="491">
        <f t="shared" si="11"/>
        <v>1410.7913957844862</v>
      </c>
      <c r="BK13" s="491">
        <f t="shared" si="11"/>
        <v>1215.5263716984177</v>
      </c>
      <c r="BL13" s="491">
        <f t="shared" si="11"/>
        <v>1445.8860864187593</v>
      </c>
      <c r="BM13" s="491">
        <f t="shared" si="11"/>
        <v>1682.3438347261795</v>
      </c>
      <c r="BN13" s="491">
        <f t="shared" si="11"/>
        <v>2098.3261601314944</v>
      </c>
      <c r="BO13" s="491">
        <f t="shared" si="11"/>
        <v>2375.8774593499252</v>
      </c>
      <c r="BP13" s="491">
        <f t="shared" si="11"/>
        <v>1904.1996145948046</v>
      </c>
      <c r="BQ13" s="491">
        <f t="shared" si="11"/>
        <v>1752.0782626865323</v>
      </c>
      <c r="BR13" s="491">
        <f t="shared" si="11"/>
        <v>2378.106984601397</v>
      </c>
      <c r="BS13" s="491">
        <f t="shared" si="11"/>
        <v>767.97967815711831</v>
      </c>
      <c r="BT13" s="491">
        <f t="shared" ref="BT13:EE13" si="13">SUM(BT8:BT12)</f>
        <v>1386.9164697291462</v>
      </c>
      <c r="BU13" s="491">
        <f t="shared" si="13"/>
        <v>1105.2436709946774</v>
      </c>
      <c r="BV13" s="491">
        <f t="shared" si="13"/>
        <v>1489.173228494471</v>
      </c>
      <c r="BW13" s="491">
        <f t="shared" si="13"/>
        <v>1315.4110171106813</v>
      </c>
      <c r="BX13" s="491">
        <f t="shared" si="13"/>
        <v>1549.556972902607</v>
      </c>
      <c r="BY13" s="491">
        <f t="shared" si="13"/>
        <v>1655.6709340612658</v>
      </c>
      <c r="BZ13" s="491">
        <f t="shared" si="13"/>
        <v>2395.0699238751567</v>
      </c>
      <c r="CA13" s="491">
        <f t="shared" si="13"/>
        <v>2504.1973677949677</v>
      </c>
      <c r="CB13" s="491">
        <f t="shared" si="13"/>
        <v>1843.9039124739243</v>
      </c>
      <c r="CC13" s="491">
        <f t="shared" si="13"/>
        <v>1951.5693201209488</v>
      </c>
      <c r="CD13" s="491">
        <f t="shared" si="13"/>
        <v>2296.599831831611</v>
      </c>
      <c r="CE13" s="491">
        <f t="shared" si="13"/>
        <v>901.21748325432225</v>
      </c>
      <c r="CF13" s="491">
        <f t="shared" si="13"/>
        <v>1455.38795577465</v>
      </c>
      <c r="CG13" s="491">
        <f t="shared" si="13"/>
        <v>1035.5601120595479</v>
      </c>
      <c r="CH13" s="491">
        <f t="shared" si="13"/>
        <v>1700.0576831665728</v>
      </c>
      <c r="CI13" s="491">
        <f t="shared" si="13"/>
        <v>165</v>
      </c>
      <c r="CJ13" s="491">
        <f t="shared" si="13"/>
        <v>165</v>
      </c>
      <c r="CK13" s="491">
        <f t="shared" si="13"/>
        <v>165</v>
      </c>
      <c r="CL13" s="491">
        <f t="shared" si="13"/>
        <v>165</v>
      </c>
      <c r="CM13" s="491">
        <f t="shared" si="13"/>
        <v>165</v>
      </c>
      <c r="CN13" s="491">
        <f t="shared" si="13"/>
        <v>165</v>
      </c>
      <c r="CO13" s="491">
        <f t="shared" si="13"/>
        <v>165</v>
      </c>
      <c r="CP13" s="491">
        <f t="shared" si="13"/>
        <v>165</v>
      </c>
      <c r="CQ13" s="491">
        <f t="shared" si="13"/>
        <v>165</v>
      </c>
      <c r="CR13" s="491">
        <f t="shared" si="13"/>
        <v>165</v>
      </c>
      <c r="CS13" s="491">
        <f t="shared" si="13"/>
        <v>165</v>
      </c>
      <c r="CT13" s="491">
        <f t="shared" si="13"/>
        <v>165</v>
      </c>
      <c r="CU13" s="491">
        <f t="shared" si="13"/>
        <v>165</v>
      </c>
      <c r="CV13" s="491">
        <f t="shared" si="13"/>
        <v>165</v>
      </c>
      <c r="CW13" s="491">
        <f t="shared" si="13"/>
        <v>165</v>
      </c>
      <c r="CX13" s="491">
        <f t="shared" si="13"/>
        <v>165</v>
      </c>
      <c r="CY13" s="491">
        <f t="shared" si="13"/>
        <v>165</v>
      </c>
      <c r="CZ13" s="491">
        <f t="shared" si="13"/>
        <v>165</v>
      </c>
      <c r="DA13" s="491">
        <f t="shared" si="13"/>
        <v>165</v>
      </c>
      <c r="DB13" s="491">
        <f t="shared" si="13"/>
        <v>165</v>
      </c>
      <c r="DC13" s="491">
        <f t="shared" si="13"/>
        <v>165</v>
      </c>
      <c r="DD13" s="491">
        <f t="shared" si="13"/>
        <v>165</v>
      </c>
      <c r="DE13" s="491">
        <f t="shared" si="13"/>
        <v>165</v>
      </c>
      <c r="DF13" s="491">
        <f t="shared" si="13"/>
        <v>165</v>
      </c>
      <c r="DG13" s="491">
        <f t="shared" si="13"/>
        <v>165</v>
      </c>
      <c r="DH13" s="491">
        <f t="shared" si="13"/>
        <v>165</v>
      </c>
      <c r="DI13" s="491">
        <f t="shared" si="13"/>
        <v>165</v>
      </c>
      <c r="DJ13" s="491">
        <f t="shared" si="13"/>
        <v>165</v>
      </c>
      <c r="DK13" s="491">
        <f t="shared" si="13"/>
        <v>165</v>
      </c>
      <c r="DL13" s="491">
        <f t="shared" si="13"/>
        <v>165</v>
      </c>
      <c r="DM13" s="491">
        <f t="shared" si="13"/>
        <v>165</v>
      </c>
      <c r="DN13" s="491">
        <f t="shared" si="13"/>
        <v>165</v>
      </c>
      <c r="DO13" s="491">
        <f t="shared" si="13"/>
        <v>165</v>
      </c>
      <c r="DP13" s="491">
        <f t="shared" si="13"/>
        <v>165</v>
      </c>
      <c r="DQ13" s="491">
        <f t="shared" si="13"/>
        <v>165</v>
      </c>
      <c r="DR13" s="491">
        <f t="shared" si="13"/>
        <v>165</v>
      </c>
      <c r="DS13" s="491">
        <f t="shared" si="13"/>
        <v>165</v>
      </c>
      <c r="DT13" s="491">
        <f t="shared" si="13"/>
        <v>165</v>
      </c>
      <c r="DU13" s="491">
        <f t="shared" si="13"/>
        <v>165</v>
      </c>
      <c r="DV13" s="491">
        <f t="shared" si="13"/>
        <v>165</v>
      </c>
      <c r="DW13" s="491">
        <f t="shared" si="13"/>
        <v>165</v>
      </c>
      <c r="DX13" s="491">
        <f t="shared" si="13"/>
        <v>165</v>
      </c>
      <c r="DY13" s="491">
        <f t="shared" si="13"/>
        <v>165</v>
      </c>
      <c r="DZ13" s="491">
        <f t="shared" si="13"/>
        <v>165</v>
      </c>
      <c r="EA13" s="491">
        <f t="shared" si="13"/>
        <v>165</v>
      </c>
      <c r="EB13" s="491">
        <f t="shared" si="13"/>
        <v>165</v>
      </c>
      <c r="EC13" s="491">
        <f t="shared" si="13"/>
        <v>165</v>
      </c>
      <c r="ED13" s="491">
        <f t="shared" si="13"/>
        <v>165</v>
      </c>
      <c r="EE13" s="491">
        <f t="shared" si="13"/>
        <v>165</v>
      </c>
      <c r="EF13" s="491">
        <f t="shared" ref="EF13:FB13" si="14">SUM(EF8:EF12)</f>
        <v>165</v>
      </c>
      <c r="EG13" s="491">
        <f t="shared" si="14"/>
        <v>165</v>
      </c>
      <c r="EH13" s="491">
        <f t="shared" si="14"/>
        <v>165</v>
      </c>
      <c r="EI13" s="491">
        <f t="shared" si="14"/>
        <v>165</v>
      </c>
      <c r="EJ13" s="491">
        <f t="shared" si="14"/>
        <v>165</v>
      </c>
      <c r="EK13" s="491">
        <f t="shared" si="14"/>
        <v>165</v>
      </c>
      <c r="EL13" s="491">
        <f t="shared" si="14"/>
        <v>165</v>
      </c>
      <c r="EM13" s="491">
        <f t="shared" si="14"/>
        <v>165</v>
      </c>
      <c r="EN13" s="491">
        <f t="shared" si="14"/>
        <v>165</v>
      </c>
      <c r="EO13" s="491">
        <f t="shared" si="14"/>
        <v>165</v>
      </c>
      <c r="EP13" s="491">
        <f t="shared" si="14"/>
        <v>165</v>
      </c>
      <c r="EQ13" s="491">
        <f t="shared" si="14"/>
        <v>165</v>
      </c>
      <c r="ER13" s="491">
        <f t="shared" si="14"/>
        <v>165</v>
      </c>
      <c r="ES13" s="491">
        <f t="shared" si="14"/>
        <v>165</v>
      </c>
      <c r="ET13" s="491">
        <f t="shared" si="14"/>
        <v>165</v>
      </c>
      <c r="EU13" s="491">
        <f t="shared" si="14"/>
        <v>165</v>
      </c>
      <c r="EV13" s="491">
        <f t="shared" si="14"/>
        <v>165</v>
      </c>
      <c r="EW13" s="491">
        <f t="shared" si="14"/>
        <v>165</v>
      </c>
      <c r="EX13" s="491">
        <f t="shared" si="14"/>
        <v>165</v>
      </c>
      <c r="EY13" s="491">
        <f t="shared" si="14"/>
        <v>165</v>
      </c>
      <c r="EZ13" s="491">
        <f t="shared" si="14"/>
        <v>165</v>
      </c>
      <c r="FA13" s="491">
        <f t="shared" si="14"/>
        <v>165</v>
      </c>
      <c r="FB13" s="492">
        <f t="shared" si="14"/>
        <v>165</v>
      </c>
    </row>
    <row r="14" spans="1:159" x14ac:dyDescent="0.25">
      <c r="E14" t="s">
        <v>359</v>
      </c>
    </row>
    <row r="15" spans="1:159" x14ac:dyDescent="0.25">
      <c r="B15" t="s">
        <v>357</v>
      </c>
      <c r="C15" t="s">
        <v>358</v>
      </c>
      <c r="D15" s="528">
        <v>85</v>
      </c>
      <c r="E15">
        <v>20</v>
      </c>
      <c r="O15" s="495"/>
      <c r="P15" s="495">
        <v>1300</v>
      </c>
      <c r="Q15" s="495">
        <v>1430</v>
      </c>
      <c r="R15" s="495">
        <v>1950</v>
      </c>
      <c r="S15" s="495">
        <v>1365</v>
      </c>
      <c r="T15" s="495">
        <v>650</v>
      </c>
      <c r="U15" s="495">
        <v>650</v>
      </c>
      <c r="V15" s="495">
        <v>715</v>
      </c>
      <c r="W15" s="495">
        <v>438.75</v>
      </c>
      <c r="X15" s="495">
        <v>650</v>
      </c>
      <c r="Y15" s="344">
        <f>+IF(Y$1&lt;&gt;X$1,R15*1.05, R15)</f>
        <v>1950</v>
      </c>
      <c r="Z15" s="344">
        <f t="shared" ref="Z15:CB15" si="15">+IF(Z$1&lt;&gt;Y$1,Y15*1.05, Y15)</f>
        <v>1950</v>
      </c>
      <c r="AA15" s="344">
        <f t="shared" si="15"/>
        <v>2047.5</v>
      </c>
      <c r="AB15" s="344">
        <f t="shared" si="15"/>
        <v>2047.5</v>
      </c>
      <c r="AC15" s="344">
        <f t="shared" si="15"/>
        <v>2047.5</v>
      </c>
      <c r="AD15" s="344">
        <f t="shared" si="15"/>
        <v>2047.5</v>
      </c>
      <c r="AE15" s="344">
        <f t="shared" si="15"/>
        <v>2047.5</v>
      </c>
      <c r="AF15" s="344">
        <f t="shared" si="15"/>
        <v>2047.5</v>
      </c>
      <c r="AG15" s="344">
        <f t="shared" si="15"/>
        <v>2047.5</v>
      </c>
      <c r="AH15" s="344">
        <f t="shared" si="15"/>
        <v>2047.5</v>
      </c>
      <c r="AI15" s="344">
        <f t="shared" si="15"/>
        <v>2047.5</v>
      </c>
      <c r="AJ15" s="344">
        <f t="shared" si="15"/>
        <v>2047.5</v>
      </c>
      <c r="AK15" s="344">
        <f t="shared" si="15"/>
        <v>2047.5</v>
      </c>
      <c r="AL15" s="344">
        <f t="shared" si="15"/>
        <v>2047.5</v>
      </c>
      <c r="AM15" s="344">
        <f t="shared" si="15"/>
        <v>2149.875</v>
      </c>
      <c r="AN15" s="344">
        <f t="shared" si="15"/>
        <v>2149.875</v>
      </c>
      <c r="AO15" s="344">
        <f t="shared" si="15"/>
        <v>2149.875</v>
      </c>
      <c r="AP15" s="344">
        <f t="shared" si="15"/>
        <v>2149.875</v>
      </c>
      <c r="AQ15" s="344">
        <f t="shared" si="15"/>
        <v>2149.875</v>
      </c>
      <c r="AR15" s="344">
        <f t="shared" si="15"/>
        <v>2149.875</v>
      </c>
      <c r="AS15" s="344">
        <f t="shared" si="15"/>
        <v>2149.875</v>
      </c>
      <c r="AT15" s="344">
        <f t="shared" si="15"/>
        <v>2149.875</v>
      </c>
      <c r="AU15" s="344">
        <f t="shared" si="15"/>
        <v>2149.875</v>
      </c>
      <c r="AV15" s="344">
        <f t="shared" si="15"/>
        <v>2149.875</v>
      </c>
      <c r="AW15" s="344">
        <f t="shared" si="15"/>
        <v>2149.875</v>
      </c>
      <c r="AX15" s="344">
        <f t="shared" si="15"/>
        <v>2149.875</v>
      </c>
      <c r="AY15" s="344">
        <f t="shared" si="15"/>
        <v>2257.3687500000001</v>
      </c>
      <c r="AZ15" s="344">
        <f t="shared" si="15"/>
        <v>2257.3687500000001</v>
      </c>
      <c r="BA15" s="344">
        <f t="shared" si="15"/>
        <v>2257.3687500000001</v>
      </c>
      <c r="BB15" s="344">
        <f t="shared" si="15"/>
        <v>2257.3687500000001</v>
      </c>
      <c r="BC15" s="344">
        <f t="shared" si="15"/>
        <v>2257.3687500000001</v>
      </c>
      <c r="BD15" s="344">
        <f t="shared" si="15"/>
        <v>2257.3687500000001</v>
      </c>
      <c r="BE15" s="344">
        <f t="shared" si="15"/>
        <v>2257.3687500000001</v>
      </c>
      <c r="BF15" s="344">
        <f t="shared" si="15"/>
        <v>2257.3687500000001</v>
      </c>
      <c r="BG15" s="344">
        <f t="shared" si="15"/>
        <v>2257.3687500000001</v>
      </c>
      <c r="BH15" s="344">
        <f t="shared" si="15"/>
        <v>2257.3687500000001</v>
      </c>
      <c r="BI15" s="344">
        <f t="shared" si="15"/>
        <v>2257.3687500000001</v>
      </c>
      <c r="BJ15" s="344">
        <f t="shared" si="15"/>
        <v>2257.3687500000001</v>
      </c>
      <c r="BK15" s="344">
        <f t="shared" si="15"/>
        <v>2370.2371875000003</v>
      </c>
      <c r="BL15" s="344">
        <f t="shared" si="15"/>
        <v>2370.2371875000003</v>
      </c>
      <c r="BM15" s="344">
        <f t="shared" si="15"/>
        <v>2370.2371875000003</v>
      </c>
      <c r="BN15" s="344">
        <f t="shared" si="15"/>
        <v>2370.2371875000003</v>
      </c>
      <c r="BO15" s="344">
        <f t="shared" si="15"/>
        <v>2370.2371875000003</v>
      </c>
      <c r="BP15" s="344">
        <f t="shared" si="15"/>
        <v>2370.2371875000003</v>
      </c>
      <c r="BQ15" s="344">
        <f t="shared" si="15"/>
        <v>2370.2371875000003</v>
      </c>
      <c r="BR15" s="344">
        <f t="shared" si="15"/>
        <v>2370.2371875000003</v>
      </c>
      <c r="BS15" s="344">
        <f t="shared" si="15"/>
        <v>2370.2371875000003</v>
      </c>
      <c r="BT15" s="344">
        <f t="shared" si="15"/>
        <v>2370.2371875000003</v>
      </c>
      <c r="BU15" s="344">
        <f t="shared" si="15"/>
        <v>2370.2371875000003</v>
      </c>
      <c r="BV15" s="344">
        <f t="shared" si="15"/>
        <v>2370.2371875000003</v>
      </c>
      <c r="BW15" s="344">
        <f t="shared" si="15"/>
        <v>2488.7490468750007</v>
      </c>
      <c r="BX15" s="344">
        <f t="shared" si="15"/>
        <v>2488.7490468750007</v>
      </c>
      <c r="BY15" s="344">
        <f t="shared" si="15"/>
        <v>2488.7490468750007</v>
      </c>
      <c r="BZ15" s="344">
        <f t="shared" si="15"/>
        <v>2488.7490468750007</v>
      </c>
      <c r="CA15" s="344">
        <f t="shared" si="15"/>
        <v>2488.7490468750007</v>
      </c>
      <c r="CB15" s="344">
        <f t="shared" si="15"/>
        <v>2488.7490468750007</v>
      </c>
      <c r="CC15" s="344">
        <f t="shared" ref="CC15:EN15" si="16">+IF(CC$1&lt;&gt;CB$1,CB15*1.05, CB15)</f>
        <v>2488.7490468750007</v>
      </c>
      <c r="CD15" s="344">
        <f t="shared" si="16"/>
        <v>2488.7490468750007</v>
      </c>
      <c r="CE15" s="344">
        <f t="shared" si="16"/>
        <v>2488.7490468750007</v>
      </c>
      <c r="CF15" s="344">
        <f t="shared" si="16"/>
        <v>2488.7490468750007</v>
      </c>
      <c r="CG15" s="344">
        <f t="shared" si="16"/>
        <v>2488.7490468750007</v>
      </c>
      <c r="CH15" s="344">
        <f t="shared" si="16"/>
        <v>2488.7490468750007</v>
      </c>
      <c r="CI15" s="344">
        <f t="shared" si="16"/>
        <v>2613.1864992187507</v>
      </c>
      <c r="CJ15" s="344">
        <f t="shared" si="16"/>
        <v>2613.1864992187507</v>
      </c>
      <c r="CK15" s="344">
        <f t="shared" si="16"/>
        <v>2613.1864992187507</v>
      </c>
      <c r="CL15" s="344">
        <f t="shared" si="16"/>
        <v>2613.1864992187507</v>
      </c>
      <c r="CM15" s="344">
        <f t="shared" si="16"/>
        <v>2613.1864992187507</v>
      </c>
      <c r="CN15" s="344">
        <f t="shared" si="16"/>
        <v>2613.1864992187507</v>
      </c>
      <c r="CO15" s="344">
        <f t="shared" si="16"/>
        <v>2613.1864992187507</v>
      </c>
      <c r="CP15" s="344">
        <f t="shared" si="16"/>
        <v>2613.1864992187507</v>
      </c>
      <c r="CQ15" s="344">
        <f t="shared" si="16"/>
        <v>2613.1864992187507</v>
      </c>
      <c r="CR15" s="344">
        <f t="shared" si="16"/>
        <v>2613.1864992187507</v>
      </c>
      <c r="CS15" s="344">
        <f t="shared" si="16"/>
        <v>2613.1864992187507</v>
      </c>
      <c r="CT15" s="344">
        <f t="shared" si="16"/>
        <v>2613.1864992187507</v>
      </c>
      <c r="CU15" s="344">
        <f t="shared" si="16"/>
        <v>2743.8458241796884</v>
      </c>
      <c r="CV15" s="344">
        <f t="shared" si="16"/>
        <v>2743.8458241796884</v>
      </c>
      <c r="CW15" s="344">
        <f t="shared" si="16"/>
        <v>2743.8458241796884</v>
      </c>
      <c r="CX15" s="344">
        <f t="shared" si="16"/>
        <v>2743.8458241796884</v>
      </c>
      <c r="CY15" s="344">
        <f t="shared" si="16"/>
        <v>2743.8458241796884</v>
      </c>
      <c r="CZ15" s="344">
        <f t="shared" si="16"/>
        <v>2743.8458241796884</v>
      </c>
      <c r="DA15" s="344">
        <f t="shared" si="16"/>
        <v>2743.8458241796884</v>
      </c>
      <c r="DB15" s="344">
        <f t="shared" si="16"/>
        <v>2743.8458241796884</v>
      </c>
      <c r="DC15" s="344">
        <f t="shared" si="16"/>
        <v>2743.8458241796884</v>
      </c>
      <c r="DD15" s="344">
        <f t="shared" si="16"/>
        <v>2743.8458241796884</v>
      </c>
      <c r="DE15" s="344">
        <f t="shared" si="16"/>
        <v>2743.8458241796884</v>
      </c>
      <c r="DF15" s="344">
        <f t="shared" si="16"/>
        <v>2743.8458241796884</v>
      </c>
      <c r="DG15" s="344">
        <f t="shared" si="16"/>
        <v>2881.0381153886728</v>
      </c>
      <c r="DH15" s="344">
        <f t="shared" si="16"/>
        <v>2881.0381153886728</v>
      </c>
      <c r="DI15" s="344">
        <f t="shared" si="16"/>
        <v>2881.0381153886728</v>
      </c>
      <c r="DJ15" s="344">
        <f t="shared" si="16"/>
        <v>2881.0381153886728</v>
      </c>
      <c r="DK15" s="344">
        <f t="shared" si="16"/>
        <v>2881.0381153886728</v>
      </c>
      <c r="DL15" s="344">
        <f t="shared" si="16"/>
        <v>3025.0900211581065</v>
      </c>
      <c r="DM15" s="344">
        <f t="shared" si="16"/>
        <v>3025.0900211581065</v>
      </c>
      <c r="DN15" s="344">
        <f t="shared" si="16"/>
        <v>3025.0900211581065</v>
      </c>
      <c r="DO15" s="344">
        <f t="shared" si="16"/>
        <v>3025.0900211581065</v>
      </c>
      <c r="DP15" s="344">
        <f t="shared" si="16"/>
        <v>3025.0900211581065</v>
      </c>
      <c r="DQ15" s="344">
        <f t="shared" si="16"/>
        <v>3025.0900211581065</v>
      </c>
      <c r="DR15" s="344">
        <f t="shared" si="16"/>
        <v>3025.0900211581065</v>
      </c>
      <c r="DS15" s="344">
        <f t="shared" si="16"/>
        <v>3025.0900211581065</v>
      </c>
      <c r="DT15" s="344">
        <f t="shared" si="16"/>
        <v>3025.0900211581065</v>
      </c>
      <c r="DU15" s="344">
        <f t="shared" si="16"/>
        <v>3025.0900211581065</v>
      </c>
      <c r="DV15" s="344">
        <f t="shared" si="16"/>
        <v>3025.0900211581065</v>
      </c>
      <c r="DW15" s="344">
        <f t="shared" si="16"/>
        <v>3025.0900211581065</v>
      </c>
      <c r="DX15" s="344">
        <f t="shared" si="16"/>
        <v>3025.0900211581065</v>
      </c>
      <c r="DY15" s="344">
        <f t="shared" si="16"/>
        <v>3025.0900211581065</v>
      </c>
      <c r="DZ15" s="344">
        <f t="shared" si="16"/>
        <v>3025.0900211581065</v>
      </c>
      <c r="EA15" s="344">
        <f t="shared" si="16"/>
        <v>3025.0900211581065</v>
      </c>
      <c r="EB15" s="344">
        <f t="shared" si="16"/>
        <v>3025.0900211581065</v>
      </c>
      <c r="EC15" s="344">
        <f t="shared" si="16"/>
        <v>3025.0900211581065</v>
      </c>
      <c r="ED15" s="344">
        <f t="shared" si="16"/>
        <v>3025.0900211581065</v>
      </c>
      <c r="EE15" s="344">
        <f t="shared" si="16"/>
        <v>3025.0900211581065</v>
      </c>
      <c r="EF15" s="344">
        <f t="shared" si="16"/>
        <v>3025.0900211581065</v>
      </c>
      <c r="EG15" s="344">
        <f t="shared" si="16"/>
        <v>3025.0900211581065</v>
      </c>
      <c r="EH15" s="344">
        <f t="shared" si="16"/>
        <v>3025.0900211581065</v>
      </c>
      <c r="EI15" s="344">
        <f t="shared" si="16"/>
        <v>3025.0900211581065</v>
      </c>
      <c r="EJ15" s="344">
        <f t="shared" si="16"/>
        <v>3025.0900211581065</v>
      </c>
      <c r="EK15" s="344">
        <f t="shared" si="16"/>
        <v>3025.0900211581065</v>
      </c>
      <c r="EL15" s="344">
        <f t="shared" si="16"/>
        <v>3025.0900211581065</v>
      </c>
      <c r="EM15" s="344">
        <f t="shared" si="16"/>
        <v>3025.0900211581065</v>
      </c>
      <c r="EN15" s="344">
        <f t="shared" si="16"/>
        <v>3025.0900211581065</v>
      </c>
      <c r="EO15" s="344">
        <f t="shared" ref="EO15:FB15" si="17">+IF(EO$1&lt;&gt;EN$1,EN15*1.05, EN15)</f>
        <v>3025.0900211581065</v>
      </c>
      <c r="EP15" s="344">
        <f t="shared" si="17"/>
        <v>3025.0900211581065</v>
      </c>
      <c r="EQ15" s="344">
        <f t="shared" si="17"/>
        <v>3025.0900211581065</v>
      </c>
      <c r="ER15" s="344">
        <f t="shared" si="17"/>
        <v>3025.0900211581065</v>
      </c>
      <c r="ES15" s="344">
        <f t="shared" si="17"/>
        <v>3025.0900211581065</v>
      </c>
      <c r="ET15" s="344">
        <f t="shared" si="17"/>
        <v>3025.0900211581065</v>
      </c>
      <c r="EU15" s="344">
        <f t="shared" si="17"/>
        <v>3025.0900211581065</v>
      </c>
      <c r="EV15" s="344">
        <f t="shared" si="17"/>
        <v>3025.0900211581065</v>
      </c>
      <c r="EW15" s="344">
        <f t="shared" si="17"/>
        <v>3025.0900211581065</v>
      </c>
      <c r="EX15" s="344">
        <f t="shared" si="17"/>
        <v>3025.0900211581065</v>
      </c>
      <c r="EY15" s="344">
        <f t="shared" si="17"/>
        <v>3025.0900211581065</v>
      </c>
      <c r="EZ15" s="344">
        <f t="shared" si="17"/>
        <v>3025.0900211581065</v>
      </c>
      <c r="FA15" s="344">
        <f t="shared" si="17"/>
        <v>3025.0900211581065</v>
      </c>
      <c r="FB15" s="344">
        <f t="shared" si="17"/>
        <v>3025.0900211581065</v>
      </c>
    </row>
    <row r="18" spans="5:158" x14ac:dyDescent="0.25">
      <c r="E18" s="490" t="s">
        <v>356</v>
      </c>
      <c r="F18" s="5"/>
      <c r="G18" s="491">
        <f>SUM(G13:G17)</f>
        <v>0</v>
      </c>
      <c r="H18" s="491">
        <f>SUM(H14:H17)</f>
        <v>0</v>
      </c>
      <c r="I18" s="491">
        <f t="shared" ref="I18:BT18" si="18">SUM(I14:I17)</f>
        <v>0</v>
      </c>
      <c r="J18" s="491">
        <f t="shared" si="18"/>
        <v>0</v>
      </c>
      <c r="K18" s="491">
        <f t="shared" si="18"/>
        <v>0</v>
      </c>
      <c r="L18" s="491">
        <f t="shared" si="18"/>
        <v>0</v>
      </c>
      <c r="M18" s="492">
        <f t="shared" si="18"/>
        <v>0</v>
      </c>
      <c r="N18" s="491">
        <f t="shared" si="18"/>
        <v>0</v>
      </c>
      <c r="O18" s="491">
        <f t="shared" si="18"/>
        <v>0</v>
      </c>
      <c r="P18" s="491">
        <f t="shared" si="18"/>
        <v>1300</v>
      </c>
      <c r="Q18" s="491">
        <f t="shared" si="18"/>
        <v>1430</v>
      </c>
      <c r="R18" s="491">
        <f>SUM(R14:R17)</f>
        <v>1950</v>
      </c>
      <c r="S18" s="491">
        <f t="shared" si="18"/>
        <v>1365</v>
      </c>
      <c r="T18" s="491">
        <f t="shared" si="18"/>
        <v>650</v>
      </c>
      <c r="U18" s="491">
        <f t="shared" si="18"/>
        <v>650</v>
      </c>
      <c r="V18" s="491">
        <f t="shared" si="18"/>
        <v>715</v>
      </c>
      <c r="W18" s="491">
        <f t="shared" si="18"/>
        <v>438.75</v>
      </c>
      <c r="X18" s="491">
        <f t="shared" ref="X18" si="19">SUM(X14:X17)</f>
        <v>650</v>
      </c>
      <c r="Y18" s="491">
        <f t="shared" si="18"/>
        <v>1950</v>
      </c>
      <c r="Z18" s="491">
        <f t="shared" si="18"/>
        <v>1950</v>
      </c>
      <c r="AA18" s="491">
        <f t="shared" si="18"/>
        <v>2047.5</v>
      </c>
      <c r="AB18" s="491">
        <f t="shared" si="18"/>
        <v>2047.5</v>
      </c>
      <c r="AC18" s="491">
        <f t="shared" si="18"/>
        <v>2047.5</v>
      </c>
      <c r="AD18" s="491">
        <f t="shared" si="18"/>
        <v>2047.5</v>
      </c>
      <c r="AE18" s="491">
        <f t="shared" si="18"/>
        <v>2047.5</v>
      </c>
      <c r="AF18" s="491">
        <f t="shared" si="18"/>
        <v>2047.5</v>
      </c>
      <c r="AG18" s="491">
        <f t="shared" si="18"/>
        <v>2047.5</v>
      </c>
      <c r="AH18" s="491">
        <f t="shared" si="18"/>
        <v>2047.5</v>
      </c>
      <c r="AI18" s="491">
        <f t="shared" si="18"/>
        <v>2047.5</v>
      </c>
      <c r="AJ18" s="491">
        <f t="shared" si="18"/>
        <v>2047.5</v>
      </c>
      <c r="AK18" s="491">
        <f t="shared" si="18"/>
        <v>2047.5</v>
      </c>
      <c r="AL18" s="491">
        <f t="shared" si="18"/>
        <v>2047.5</v>
      </c>
      <c r="AM18" s="491">
        <f t="shared" si="18"/>
        <v>2149.875</v>
      </c>
      <c r="AN18" s="491">
        <f t="shared" si="18"/>
        <v>2149.875</v>
      </c>
      <c r="AO18" s="491">
        <f t="shared" si="18"/>
        <v>2149.875</v>
      </c>
      <c r="AP18" s="491">
        <f t="shared" si="18"/>
        <v>2149.875</v>
      </c>
      <c r="AQ18" s="491">
        <f t="shared" si="18"/>
        <v>2149.875</v>
      </c>
      <c r="AR18" s="491">
        <f t="shared" si="18"/>
        <v>2149.875</v>
      </c>
      <c r="AS18" s="491">
        <f t="shared" si="18"/>
        <v>2149.875</v>
      </c>
      <c r="AT18" s="491">
        <f t="shared" si="18"/>
        <v>2149.875</v>
      </c>
      <c r="AU18" s="491">
        <f t="shared" si="18"/>
        <v>2149.875</v>
      </c>
      <c r="AV18" s="491">
        <f t="shared" si="18"/>
        <v>2149.875</v>
      </c>
      <c r="AW18" s="491">
        <f t="shared" si="18"/>
        <v>2149.875</v>
      </c>
      <c r="AX18" s="491">
        <f t="shared" si="18"/>
        <v>2149.875</v>
      </c>
      <c r="AY18" s="491">
        <f t="shared" si="18"/>
        <v>2257.3687500000001</v>
      </c>
      <c r="AZ18" s="491">
        <f t="shared" si="18"/>
        <v>2257.3687500000001</v>
      </c>
      <c r="BA18" s="491">
        <f t="shared" si="18"/>
        <v>2257.3687500000001</v>
      </c>
      <c r="BB18" s="491">
        <f t="shared" si="18"/>
        <v>2257.3687500000001</v>
      </c>
      <c r="BC18" s="491">
        <f t="shared" si="18"/>
        <v>2257.3687500000001</v>
      </c>
      <c r="BD18" s="491">
        <f t="shared" si="18"/>
        <v>2257.3687500000001</v>
      </c>
      <c r="BE18" s="491">
        <f t="shared" si="18"/>
        <v>2257.3687500000001</v>
      </c>
      <c r="BF18" s="491">
        <f t="shared" si="18"/>
        <v>2257.3687500000001</v>
      </c>
      <c r="BG18" s="491">
        <f t="shared" si="18"/>
        <v>2257.3687500000001</v>
      </c>
      <c r="BH18" s="491">
        <f t="shared" si="18"/>
        <v>2257.3687500000001</v>
      </c>
      <c r="BI18" s="491">
        <f t="shared" si="18"/>
        <v>2257.3687500000001</v>
      </c>
      <c r="BJ18" s="491">
        <f t="shared" si="18"/>
        <v>2257.3687500000001</v>
      </c>
      <c r="BK18" s="491">
        <f t="shared" si="18"/>
        <v>2370.2371875000003</v>
      </c>
      <c r="BL18" s="491">
        <f t="shared" si="18"/>
        <v>2370.2371875000003</v>
      </c>
      <c r="BM18" s="491">
        <f t="shared" si="18"/>
        <v>2370.2371875000003</v>
      </c>
      <c r="BN18" s="491">
        <f t="shared" si="18"/>
        <v>2370.2371875000003</v>
      </c>
      <c r="BO18" s="491">
        <f t="shared" si="18"/>
        <v>2370.2371875000003</v>
      </c>
      <c r="BP18" s="491">
        <f t="shared" si="18"/>
        <v>2370.2371875000003</v>
      </c>
      <c r="BQ18" s="491">
        <f t="shared" si="18"/>
        <v>2370.2371875000003</v>
      </c>
      <c r="BR18" s="491">
        <f t="shared" si="18"/>
        <v>2370.2371875000003</v>
      </c>
      <c r="BS18" s="491">
        <f t="shared" si="18"/>
        <v>2370.2371875000003</v>
      </c>
      <c r="BT18" s="491">
        <f t="shared" si="18"/>
        <v>2370.2371875000003</v>
      </c>
      <c r="BU18" s="491">
        <f t="shared" ref="BU18:EF18" si="20">SUM(BU14:BU17)</f>
        <v>2370.2371875000003</v>
      </c>
      <c r="BV18" s="491">
        <f t="shared" si="20"/>
        <v>2370.2371875000003</v>
      </c>
      <c r="BW18" s="491">
        <f t="shared" si="20"/>
        <v>2488.7490468750007</v>
      </c>
      <c r="BX18" s="491">
        <f t="shared" si="20"/>
        <v>2488.7490468750007</v>
      </c>
      <c r="BY18" s="491">
        <f t="shared" si="20"/>
        <v>2488.7490468750007</v>
      </c>
      <c r="BZ18" s="491">
        <f t="shared" si="20"/>
        <v>2488.7490468750007</v>
      </c>
      <c r="CA18" s="491">
        <f t="shared" si="20"/>
        <v>2488.7490468750007</v>
      </c>
      <c r="CB18" s="491">
        <f t="shared" si="20"/>
        <v>2488.7490468750007</v>
      </c>
      <c r="CC18" s="491">
        <f t="shared" si="20"/>
        <v>2488.7490468750007</v>
      </c>
      <c r="CD18" s="491">
        <f t="shared" si="20"/>
        <v>2488.7490468750007</v>
      </c>
      <c r="CE18" s="491">
        <f t="shared" si="20"/>
        <v>2488.7490468750007</v>
      </c>
      <c r="CF18" s="491">
        <f t="shared" si="20"/>
        <v>2488.7490468750007</v>
      </c>
      <c r="CG18" s="491">
        <f t="shared" si="20"/>
        <v>2488.7490468750007</v>
      </c>
      <c r="CH18" s="491">
        <f t="shared" si="20"/>
        <v>2488.7490468750007</v>
      </c>
      <c r="CI18" s="491">
        <f t="shared" si="20"/>
        <v>2613.1864992187507</v>
      </c>
      <c r="CJ18" s="491">
        <f t="shared" si="20"/>
        <v>2613.1864992187507</v>
      </c>
      <c r="CK18" s="491">
        <f t="shared" si="20"/>
        <v>2613.1864992187507</v>
      </c>
      <c r="CL18" s="491">
        <f t="shared" si="20"/>
        <v>2613.1864992187507</v>
      </c>
      <c r="CM18" s="491">
        <f t="shared" si="20"/>
        <v>2613.1864992187507</v>
      </c>
      <c r="CN18" s="491">
        <f t="shared" si="20"/>
        <v>2613.1864992187507</v>
      </c>
      <c r="CO18" s="491">
        <f t="shared" si="20"/>
        <v>2613.1864992187507</v>
      </c>
      <c r="CP18" s="491">
        <f t="shared" si="20"/>
        <v>2613.1864992187507</v>
      </c>
      <c r="CQ18" s="491">
        <f t="shared" si="20"/>
        <v>2613.1864992187507</v>
      </c>
      <c r="CR18" s="491">
        <f t="shared" si="20"/>
        <v>2613.1864992187507</v>
      </c>
      <c r="CS18" s="491">
        <f t="shared" si="20"/>
        <v>2613.1864992187507</v>
      </c>
      <c r="CT18" s="491">
        <f t="shared" si="20"/>
        <v>2613.1864992187507</v>
      </c>
      <c r="CU18" s="491">
        <f t="shared" si="20"/>
        <v>2743.8458241796884</v>
      </c>
      <c r="CV18" s="491">
        <f t="shared" si="20"/>
        <v>2743.8458241796884</v>
      </c>
      <c r="CW18" s="491">
        <f t="shared" si="20"/>
        <v>2743.8458241796884</v>
      </c>
      <c r="CX18" s="491">
        <f t="shared" si="20"/>
        <v>2743.8458241796884</v>
      </c>
      <c r="CY18" s="491">
        <f t="shared" si="20"/>
        <v>2743.8458241796884</v>
      </c>
      <c r="CZ18" s="491">
        <f t="shared" si="20"/>
        <v>2743.8458241796884</v>
      </c>
      <c r="DA18" s="491">
        <f t="shared" si="20"/>
        <v>2743.8458241796884</v>
      </c>
      <c r="DB18" s="491">
        <f t="shared" si="20"/>
        <v>2743.8458241796884</v>
      </c>
      <c r="DC18" s="491">
        <f t="shared" si="20"/>
        <v>2743.8458241796884</v>
      </c>
      <c r="DD18" s="491">
        <f t="shared" si="20"/>
        <v>2743.8458241796884</v>
      </c>
      <c r="DE18" s="491">
        <f t="shared" si="20"/>
        <v>2743.8458241796884</v>
      </c>
      <c r="DF18" s="491">
        <f t="shared" si="20"/>
        <v>2743.8458241796884</v>
      </c>
      <c r="DG18" s="491">
        <f t="shared" si="20"/>
        <v>2881.0381153886728</v>
      </c>
      <c r="DH18" s="491">
        <f t="shared" si="20"/>
        <v>2881.0381153886728</v>
      </c>
      <c r="DI18" s="491">
        <f t="shared" si="20"/>
        <v>2881.0381153886728</v>
      </c>
      <c r="DJ18" s="491">
        <f t="shared" si="20"/>
        <v>2881.0381153886728</v>
      </c>
      <c r="DK18" s="491">
        <f t="shared" si="20"/>
        <v>2881.0381153886728</v>
      </c>
      <c r="DL18" s="491">
        <f t="shared" si="20"/>
        <v>3025.0900211581065</v>
      </c>
      <c r="DM18" s="491">
        <f t="shared" si="20"/>
        <v>3025.0900211581065</v>
      </c>
      <c r="DN18" s="491">
        <f t="shared" si="20"/>
        <v>3025.0900211581065</v>
      </c>
      <c r="DO18" s="491">
        <f t="shared" si="20"/>
        <v>3025.0900211581065</v>
      </c>
      <c r="DP18" s="491">
        <f t="shared" si="20"/>
        <v>3025.0900211581065</v>
      </c>
      <c r="DQ18" s="491">
        <f t="shared" si="20"/>
        <v>3025.0900211581065</v>
      </c>
      <c r="DR18" s="491">
        <f t="shared" si="20"/>
        <v>3025.0900211581065</v>
      </c>
      <c r="DS18" s="491">
        <f t="shared" si="20"/>
        <v>3025.0900211581065</v>
      </c>
      <c r="DT18" s="491">
        <f t="shared" si="20"/>
        <v>3025.0900211581065</v>
      </c>
      <c r="DU18" s="491">
        <f t="shared" si="20"/>
        <v>3025.0900211581065</v>
      </c>
      <c r="DV18" s="491">
        <f t="shared" si="20"/>
        <v>3025.0900211581065</v>
      </c>
      <c r="DW18" s="491">
        <f t="shared" si="20"/>
        <v>3025.0900211581065</v>
      </c>
      <c r="DX18" s="491">
        <f t="shared" si="20"/>
        <v>3025.0900211581065</v>
      </c>
      <c r="DY18" s="491">
        <f t="shared" si="20"/>
        <v>3025.0900211581065</v>
      </c>
      <c r="DZ18" s="491">
        <f t="shared" si="20"/>
        <v>3025.0900211581065</v>
      </c>
      <c r="EA18" s="491">
        <f t="shared" si="20"/>
        <v>3025.0900211581065</v>
      </c>
      <c r="EB18" s="491">
        <f t="shared" si="20"/>
        <v>3025.0900211581065</v>
      </c>
      <c r="EC18" s="491">
        <f t="shared" si="20"/>
        <v>3025.0900211581065</v>
      </c>
      <c r="ED18" s="491">
        <f t="shared" si="20"/>
        <v>3025.0900211581065</v>
      </c>
      <c r="EE18" s="491">
        <f t="shared" si="20"/>
        <v>3025.0900211581065</v>
      </c>
      <c r="EF18" s="491">
        <f t="shared" si="20"/>
        <v>3025.0900211581065</v>
      </c>
      <c r="EG18" s="491">
        <f t="shared" ref="EG18:FB18" si="21">SUM(EG14:EG17)</f>
        <v>3025.0900211581065</v>
      </c>
      <c r="EH18" s="491">
        <f t="shared" si="21"/>
        <v>3025.0900211581065</v>
      </c>
      <c r="EI18" s="491">
        <f t="shared" si="21"/>
        <v>3025.0900211581065</v>
      </c>
      <c r="EJ18" s="491">
        <f t="shared" si="21"/>
        <v>3025.0900211581065</v>
      </c>
      <c r="EK18" s="491">
        <f t="shared" si="21"/>
        <v>3025.0900211581065</v>
      </c>
      <c r="EL18" s="491">
        <f t="shared" si="21"/>
        <v>3025.0900211581065</v>
      </c>
      <c r="EM18" s="491">
        <f t="shared" si="21"/>
        <v>3025.0900211581065</v>
      </c>
      <c r="EN18" s="491">
        <f t="shared" si="21"/>
        <v>3025.0900211581065</v>
      </c>
      <c r="EO18" s="491">
        <f t="shared" si="21"/>
        <v>3025.0900211581065</v>
      </c>
      <c r="EP18" s="491">
        <f t="shared" si="21"/>
        <v>3025.0900211581065</v>
      </c>
      <c r="EQ18" s="491">
        <f t="shared" si="21"/>
        <v>3025.0900211581065</v>
      </c>
      <c r="ER18" s="491">
        <f t="shared" si="21"/>
        <v>3025.0900211581065</v>
      </c>
      <c r="ES18" s="491">
        <f t="shared" si="21"/>
        <v>3025.0900211581065</v>
      </c>
      <c r="ET18" s="491">
        <f t="shared" si="21"/>
        <v>3025.0900211581065</v>
      </c>
      <c r="EU18" s="491">
        <f t="shared" si="21"/>
        <v>3025.0900211581065</v>
      </c>
      <c r="EV18" s="491">
        <f t="shared" si="21"/>
        <v>3025.0900211581065</v>
      </c>
      <c r="EW18" s="491">
        <f t="shared" si="21"/>
        <v>3025.0900211581065</v>
      </c>
      <c r="EX18" s="491">
        <f t="shared" si="21"/>
        <v>3025.0900211581065</v>
      </c>
      <c r="EY18" s="491">
        <f t="shared" si="21"/>
        <v>3025.0900211581065</v>
      </c>
      <c r="EZ18" s="491">
        <f t="shared" si="21"/>
        <v>3025.0900211581065</v>
      </c>
      <c r="FA18" s="491">
        <f t="shared" si="21"/>
        <v>3025.0900211581065</v>
      </c>
      <c r="FB18" s="492">
        <f t="shared" si="21"/>
        <v>3025.0900211581065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E60E-B214-4ADE-BEB3-F68D07A7637B}">
  <sheetPr>
    <tabColor theme="0" tint="-0.249977111117893"/>
  </sheetPr>
  <dimension ref="B2:C93"/>
  <sheetViews>
    <sheetView topLeftCell="A64" workbookViewId="0">
      <selection activeCell="C77" sqref="C77"/>
    </sheetView>
  </sheetViews>
  <sheetFormatPr defaultColWidth="8.7109375" defaultRowHeight="15" x14ac:dyDescent="0.25"/>
  <cols>
    <col min="2" max="2" width="10.7109375" bestFit="1" customWidth="1"/>
    <col min="3" max="3" width="14.28515625" bestFit="1" customWidth="1"/>
  </cols>
  <sheetData>
    <row r="2" spans="2:3" x14ac:dyDescent="0.25">
      <c r="B2" s="12" t="s">
        <v>36</v>
      </c>
      <c r="C2" s="13"/>
    </row>
    <row r="3" spans="2:3" x14ac:dyDescent="0.25">
      <c r="B3" s="14">
        <v>43831</v>
      </c>
      <c r="C3" t="s">
        <v>37</v>
      </c>
    </row>
    <row r="4" spans="2:3" x14ac:dyDescent="0.25">
      <c r="B4" s="14">
        <v>43850</v>
      </c>
      <c r="C4" t="s">
        <v>38</v>
      </c>
    </row>
    <row r="5" spans="2:3" x14ac:dyDescent="0.25">
      <c r="B5" s="14">
        <v>43878</v>
      </c>
      <c r="C5" t="s">
        <v>39</v>
      </c>
    </row>
    <row r="6" spans="2:3" x14ac:dyDescent="0.25">
      <c r="B6" s="14">
        <v>43976</v>
      </c>
      <c r="C6" t="s">
        <v>40</v>
      </c>
    </row>
    <row r="7" spans="2:3" x14ac:dyDescent="0.25">
      <c r="B7" s="14">
        <v>44081</v>
      </c>
      <c r="C7" t="s">
        <v>41</v>
      </c>
    </row>
    <row r="8" spans="2:3" x14ac:dyDescent="0.25">
      <c r="B8" s="14">
        <v>44016</v>
      </c>
      <c r="C8" t="s">
        <v>42</v>
      </c>
    </row>
    <row r="9" spans="2:3" x14ac:dyDescent="0.25">
      <c r="B9" s="14">
        <v>44161</v>
      </c>
      <c r="C9" t="s">
        <v>43</v>
      </c>
    </row>
    <row r="10" spans="2:3" x14ac:dyDescent="0.25">
      <c r="B10" s="14">
        <f>+B9+1</f>
        <v>44162</v>
      </c>
      <c r="C10" t="s">
        <v>44</v>
      </c>
    </row>
    <row r="11" spans="2:3" x14ac:dyDescent="0.25">
      <c r="B11" s="14">
        <v>44189</v>
      </c>
      <c r="C11" t="s">
        <v>45</v>
      </c>
    </row>
    <row r="12" spans="2:3" x14ac:dyDescent="0.25">
      <c r="B12" s="14">
        <f>+B11+1</f>
        <v>44190</v>
      </c>
      <c r="C12" t="s">
        <v>46</v>
      </c>
    </row>
    <row r="13" spans="2:3" x14ac:dyDescent="0.25">
      <c r="B13" s="14">
        <f>+B3+366</f>
        <v>44197</v>
      </c>
      <c r="C13" t="s">
        <v>37</v>
      </c>
    </row>
    <row r="14" spans="2:3" x14ac:dyDescent="0.25">
      <c r="B14" s="14">
        <f t="shared" ref="B14:B22" si="0">+B4+366</f>
        <v>44216</v>
      </c>
      <c r="C14" t="s">
        <v>38</v>
      </c>
    </row>
    <row r="15" spans="2:3" x14ac:dyDescent="0.25">
      <c r="B15" s="14">
        <f t="shared" si="0"/>
        <v>44244</v>
      </c>
      <c r="C15" t="s">
        <v>39</v>
      </c>
    </row>
    <row r="16" spans="2:3" x14ac:dyDescent="0.25">
      <c r="B16" s="14">
        <f t="shared" si="0"/>
        <v>44342</v>
      </c>
      <c r="C16" t="s">
        <v>40</v>
      </c>
    </row>
    <row r="17" spans="2:3" x14ac:dyDescent="0.25">
      <c r="B17" s="14">
        <f t="shared" si="0"/>
        <v>44447</v>
      </c>
      <c r="C17" t="s">
        <v>41</v>
      </c>
    </row>
    <row r="18" spans="2:3" x14ac:dyDescent="0.25">
      <c r="B18" s="14">
        <f t="shared" si="0"/>
        <v>44382</v>
      </c>
      <c r="C18" t="s">
        <v>42</v>
      </c>
    </row>
    <row r="19" spans="2:3" x14ac:dyDescent="0.25">
      <c r="B19" s="14">
        <f t="shared" si="0"/>
        <v>44527</v>
      </c>
      <c r="C19" t="s">
        <v>43</v>
      </c>
    </row>
    <row r="20" spans="2:3" x14ac:dyDescent="0.25">
      <c r="B20" s="14">
        <f t="shared" si="0"/>
        <v>44528</v>
      </c>
      <c r="C20" t="s">
        <v>44</v>
      </c>
    </row>
    <row r="21" spans="2:3" x14ac:dyDescent="0.25">
      <c r="B21" s="14">
        <f t="shared" si="0"/>
        <v>44555</v>
      </c>
      <c r="C21" t="s">
        <v>45</v>
      </c>
    </row>
    <row r="22" spans="2:3" x14ac:dyDescent="0.25">
      <c r="B22" s="14">
        <f t="shared" si="0"/>
        <v>44556</v>
      </c>
      <c r="C22" t="s">
        <v>46</v>
      </c>
    </row>
    <row r="23" spans="2:3" x14ac:dyDescent="0.25">
      <c r="B23" s="14">
        <f>+B13+365</f>
        <v>44562</v>
      </c>
      <c r="C23" t="s">
        <v>37</v>
      </c>
    </row>
    <row r="24" spans="2:3" x14ac:dyDescent="0.25">
      <c r="B24" s="14">
        <f t="shared" ref="B24:B87" si="1">+B14+365</f>
        <v>44581</v>
      </c>
      <c r="C24" t="s">
        <v>38</v>
      </c>
    </row>
    <row r="25" spans="2:3" x14ac:dyDescent="0.25">
      <c r="B25" s="14">
        <f t="shared" si="1"/>
        <v>44609</v>
      </c>
      <c r="C25" t="s">
        <v>39</v>
      </c>
    </row>
    <row r="26" spans="2:3" x14ac:dyDescent="0.25">
      <c r="B26" s="14">
        <f t="shared" si="1"/>
        <v>44707</v>
      </c>
      <c r="C26" t="s">
        <v>40</v>
      </c>
    </row>
    <row r="27" spans="2:3" x14ac:dyDescent="0.25">
      <c r="B27" s="14">
        <f t="shared" si="1"/>
        <v>44812</v>
      </c>
      <c r="C27" t="s">
        <v>41</v>
      </c>
    </row>
    <row r="28" spans="2:3" x14ac:dyDescent="0.25">
      <c r="B28" s="14">
        <f t="shared" si="1"/>
        <v>44747</v>
      </c>
      <c r="C28" t="s">
        <v>42</v>
      </c>
    </row>
    <row r="29" spans="2:3" x14ac:dyDescent="0.25">
      <c r="B29" s="14">
        <f t="shared" si="1"/>
        <v>44892</v>
      </c>
      <c r="C29" t="s">
        <v>43</v>
      </c>
    </row>
    <row r="30" spans="2:3" x14ac:dyDescent="0.25">
      <c r="B30" s="14">
        <f t="shared" si="1"/>
        <v>44893</v>
      </c>
      <c r="C30" t="s">
        <v>44</v>
      </c>
    </row>
    <row r="31" spans="2:3" x14ac:dyDescent="0.25">
      <c r="B31" s="14">
        <f t="shared" si="1"/>
        <v>44920</v>
      </c>
      <c r="C31" t="s">
        <v>45</v>
      </c>
    </row>
    <row r="32" spans="2:3" x14ac:dyDescent="0.25">
      <c r="B32" s="14">
        <f t="shared" si="1"/>
        <v>44921</v>
      </c>
      <c r="C32" t="s">
        <v>46</v>
      </c>
    </row>
    <row r="33" spans="2:3" x14ac:dyDescent="0.25">
      <c r="B33" s="14">
        <f t="shared" si="1"/>
        <v>44927</v>
      </c>
      <c r="C33" t="s">
        <v>37</v>
      </c>
    </row>
    <row r="34" spans="2:3" x14ac:dyDescent="0.25">
      <c r="B34" s="14">
        <f t="shared" si="1"/>
        <v>44946</v>
      </c>
      <c r="C34" t="s">
        <v>38</v>
      </c>
    </row>
    <row r="35" spans="2:3" x14ac:dyDescent="0.25">
      <c r="B35" s="14">
        <f t="shared" si="1"/>
        <v>44974</v>
      </c>
      <c r="C35" t="s">
        <v>39</v>
      </c>
    </row>
    <row r="36" spans="2:3" x14ac:dyDescent="0.25">
      <c r="B36" s="14">
        <f t="shared" si="1"/>
        <v>45072</v>
      </c>
      <c r="C36" t="s">
        <v>40</v>
      </c>
    </row>
    <row r="37" spans="2:3" x14ac:dyDescent="0.25">
      <c r="B37" s="14">
        <f t="shared" si="1"/>
        <v>45177</v>
      </c>
      <c r="C37" t="s">
        <v>41</v>
      </c>
    </row>
    <row r="38" spans="2:3" x14ac:dyDescent="0.25">
      <c r="B38" s="14">
        <f t="shared" si="1"/>
        <v>45112</v>
      </c>
      <c r="C38" t="s">
        <v>42</v>
      </c>
    </row>
    <row r="39" spans="2:3" x14ac:dyDescent="0.25">
      <c r="B39" s="14">
        <f t="shared" si="1"/>
        <v>45257</v>
      </c>
      <c r="C39" t="s">
        <v>43</v>
      </c>
    </row>
    <row r="40" spans="2:3" x14ac:dyDescent="0.25">
      <c r="B40" s="14">
        <f t="shared" si="1"/>
        <v>45258</v>
      </c>
      <c r="C40" t="s">
        <v>44</v>
      </c>
    </row>
    <row r="41" spans="2:3" x14ac:dyDescent="0.25">
      <c r="B41" s="14">
        <f t="shared" si="1"/>
        <v>45285</v>
      </c>
      <c r="C41" t="s">
        <v>45</v>
      </c>
    </row>
    <row r="42" spans="2:3" x14ac:dyDescent="0.25">
      <c r="B42" s="14">
        <f t="shared" si="1"/>
        <v>45286</v>
      </c>
      <c r="C42" t="s">
        <v>46</v>
      </c>
    </row>
    <row r="43" spans="2:3" x14ac:dyDescent="0.25">
      <c r="B43" s="14">
        <f t="shared" si="1"/>
        <v>45292</v>
      </c>
      <c r="C43" t="s">
        <v>37</v>
      </c>
    </row>
    <row r="44" spans="2:3" x14ac:dyDescent="0.25">
      <c r="B44" s="14">
        <f t="shared" si="1"/>
        <v>45311</v>
      </c>
      <c r="C44" t="s">
        <v>38</v>
      </c>
    </row>
    <row r="45" spans="2:3" x14ac:dyDescent="0.25">
      <c r="B45" s="14">
        <f t="shared" si="1"/>
        <v>45339</v>
      </c>
      <c r="C45" t="s">
        <v>39</v>
      </c>
    </row>
    <row r="46" spans="2:3" x14ac:dyDescent="0.25">
      <c r="B46" s="14">
        <f t="shared" si="1"/>
        <v>45437</v>
      </c>
      <c r="C46" t="s">
        <v>40</v>
      </c>
    </row>
    <row r="47" spans="2:3" x14ac:dyDescent="0.25">
      <c r="B47" s="14">
        <f t="shared" si="1"/>
        <v>45542</v>
      </c>
      <c r="C47" t="s">
        <v>41</v>
      </c>
    </row>
    <row r="48" spans="2:3" x14ac:dyDescent="0.25">
      <c r="B48" s="14">
        <f t="shared" si="1"/>
        <v>45477</v>
      </c>
      <c r="C48" t="s">
        <v>42</v>
      </c>
    </row>
    <row r="49" spans="2:3" x14ac:dyDescent="0.25">
      <c r="B49" s="14">
        <f t="shared" si="1"/>
        <v>45622</v>
      </c>
      <c r="C49" t="s">
        <v>43</v>
      </c>
    </row>
    <row r="50" spans="2:3" x14ac:dyDescent="0.25">
      <c r="B50" s="14">
        <f t="shared" si="1"/>
        <v>45623</v>
      </c>
      <c r="C50" t="s">
        <v>44</v>
      </c>
    </row>
    <row r="51" spans="2:3" x14ac:dyDescent="0.25">
      <c r="B51" s="14">
        <f t="shared" si="1"/>
        <v>45650</v>
      </c>
      <c r="C51" t="s">
        <v>45</v>
      </c>
    </row>
    <row r="52" spans="2:3" x14ac:dyDescent="0.25">
      <c r="B52" s="14">
        <f t="shared" si="1"/>
        <v>45651</v>
      </c>
      <c r="C52" t="s">
        <v>46</v>
      </c>
    </row>
    <row r="53" spans="2:3" x14ac:dyDescent="0.25">
      <c r="B53" s="14">
        <f t="shared" si="1"/>
        <v>45657</v>
      </c>
      <c r="C53" t="s">
        <v>37</v>
      </c>
    </row>
    <row r="54" spans="2:3" x14ac:dyDescent="0.25">
      <c r="B54" s="14">
        <f t="shared" si="1"/>
        <v>45676</v>
      </c>
      <c r="C54" t="s">
        <v>38</v>
      </c>
    </row>
    <row r="55" spans="2:3" x14ac:dyDescent="0.25">
      <c r="B55" s="14">
        <f t="shared" si="1"/>
        <v>45704</v>
      </c>
      <c r="C55" t="s">
        <v>39</v>
      </c>
    </row>
    <row r="56" spans="2:3" x14ac:dyDescent="0.25">
      <c r="B56" s="14">
        <f t="shared" si="1"/>
        <v>45802</v>
      </c>
      <c r="C56" t="s">
        <v>40</v>
      </c>
    </row>
    <row r="57" spans="2:3" x14ac:dyDescent="0.25">
      <c r="B57" s="14">
        <f t="shared" si="1"/>
        <v>45907</v>
      </c>
      <c r="C57" t="s">
        <v>41</v>
      </c>
    </row>
    <row r="58" spans="2:3" x14ac:dyDescent="0.25">
      <c r="B58" s="14">
        <f t="shared" si="1"/>
        <v>45842</v>
      </c>
      <c r="C58" t="s">
        <v>42</v>
      </c>
    </row>
    <row r="59" spans="2:3" x14ac:dyDescent="0.25">
      <c r="B59" s="14">
        <f t="shared" si="1"/>
        <v>45987</v>
      </c>
      <c r="C59" t="s">
        <v>43</v>
      </c>
    </row>
    <row r="60" spans="2:3" x14ac:dyDescent="0.25">
      <c r="B60" s="14">
        <f t="shared" si="1"/>
        <v>45988</v>
      </c>
      <c r="C60" t="s">
        <v>44</v>
      </c>
    </row>
    <row r="61" spans="2:3" x14ac:dyDescent="0.25">
      <c r="B61" s="14">
        <f t="shared" si="1"/>
        <v>46015</v>
      </c>
      <c r="C61" t="s">
        <v>45</v>
      </c>
    </row>
    <row r="62" spans="2:3" x14ac:dyDescent="0.25">
      <c r="B62" s="14">
        <f t="shared" si="1"/>
        <v>46016</v>
      </c>
      <c r="C62" t="s">
        <v>46</v>
      </c>
    </row>
    <row r="63" spans="2:3" x14ac:dyDescent="0.25">
      <c r="B63" s="14">
        <f t="shared" si="1"/>
        <v>46022</v>
      </c>
      <c r="C63" t="s">
        <v>37</v>
      </c>
    </row>
    <row r="64" spans="2:3" x14ac:dyDescent="0.25">
      <c r="B64" s="14">
        <f t="shared" si="1"/>
        <v>46041</v>
      </c>
      <c r="C64" t="s">
        <v>38</v>
      </c>
    </row>
    <row r="65" spans="2:3" x14ac:dyDescent="0.25">
      <c r="B65" s="14">
        <f t="shared" si="1"/>
        <v>46069</v>
      </c>
      <c r="C65" t="s">
        <v>39</v>
      </c>
    </row>
    <row r="66" spans="2:3" x14ac:dyDescent="0.25">
      <c r="B66" s="14">
        <f t="shared" si="1"/>
        <v>46167</v>
      </c>
      <c r="C66" t="s">
        <v>40</v>
      </c>
    </row>
    <row r="67" spans="2:3" x14ac:dyDescent="0.25">
      <c r="B67" s="14">
        <f t="shared" si="1"/>
        <v>46272</v>
      </c>
      <c r="C67" t="s">
        <v>41</v>
      </c>
    </row>
    <row r="68" spans="2:3" x14ac:dyDescent="0.25">
      <c r="B68" s="14">
        <f t="shared" si="1"/>
        <v>46207</v>
      </c>
      <c r="C68" t="s">
        <v>308</v>
      </c>
    </row>
    <row r="69" spans="2:3" x14ac:dyDescent="0.25">
      <c r="B69" s="14">
        <f t="shared" si="1"/>
        <v>46352</v>
      </c>
      <c r="C69" t="s">
        <v>43</v>
      </c>
    </row>
    <row r="70" spans="2:3" x14ac:dyDescent="0.25">
      <c r="B70" s="14">
        <f t="shared" si="1"/>
        <v>46353</v>
      </c>
      <c r="C70" t="s">
        <v>44</v>
      </c>
    </row>
    <row r="71" spans="2:3" x14ac:dyDescent="0.25">
      <c r="B71" s="14">
        <f t="shared" si="1"/>
        <v>46380</v>
      </c>
      <c r="C71" t="s">
        <v>45</v>
      </c>
    </row>
    <row r="72" spans="2:3" x14ac:dyDescent="0.25">
      <c r="B72" s="14">
        <f t="shared" si="1"/>
        <v>46381</v>
      </c>
      <c r="C72" t="s">
        <v>46</v>
      </c>
    </row>
    <row r="73" spans="2:3" x14ac:dyDescent="0.25">
      <c r="B73" s="14">
        <f t="shared" si="1"/>
        <v>46387</v>
      </c>
      <c r="C73" t="s">
        <v>37</v>
      </c>
    </row>
    <row r="74" spans="2:3" x14ac:dyDescent="0.25">
      <c r="B74" s="14">
        <f t="shared" si="1"/>
        <v>46406</v>
      </c>
      <c r="C74" t="s">
        <v>38</v>
      </c>
    </row>
    <row r="75" spans="2:3" x14ac:dyDescent="0.25">
      <c r="B75" s="14">
        <f t="shared" si="1"/>
        <v>46434</v>
      </c>
      <c r="C75" t="s">
        <v>39</v>
      </c>
    </row>
    <row r="76" spans="2:3" x14ac:dyDescent="0.25">
      <c r="B76" s="14">
        <f t="shared" si="1"/>
        <v>46532</v>
      </c>
      <c r="C76" t="s">
        <v>40</v>
      </c>
    </row>
    <row r="77" spans="2:3" x14ac:dyDescent="0.25">
      <c r="B77" s="14">
        <f t="shared" si="1"/>
        <v>46637</v>
      </c>
      <c r="C77" t="s">
        <v>41</v>
      </c>
    </row>
    <row r="78" spans="2:3" x14ac:dyDescent="0.25">
      <c r="B78" s="14">
        <f t="shared" si="1"/>
        <v>46572</v>
      </c>
      <c r="C78" t="s">
        <v>309</v>
      </c>
    </row>
    <row r="79" spans="2:3" x14ac:dyDescent="0.25">
      <c r="B79" s="14">
        <f t="shared" si="1"/>
        <v>46717</v>
      </c>
      <c r="C79" t="s">
        <v>43</v>
      </c>
    </row>
    <row r="80" spans="2:3" x14ac:dyDescent="0.25">
      <c r="B80" s="14">
        <f t="shared" si="1"/>
        <v>46718</v>
      </c>
      <c r="C80" t="s">
        <v>44</v>
      </c>
    </row>
    <row r="81" spans="2:3" x14ac:dyDescent="0.25">
      <c r="B81" s="14">
        <f t="shared" si="1"/>
        <v>46745</v>
      </c>
      <c r="C81" t="s">
        <v>45</v>
      </c>
    </row>
    <row r="82" spans="2:3" x14ac:dyDescent="0.25">
      <c r="B82" s="14">
        <f t="shared" si="1"/>
        <v>46746</v>
      </c>
      <c r="C82" t="s">
        <v>46</v>
      </c>
    </row>
    <row r="83" spans="2:3" x14ac:dyDescent="0.25">
      <c r="B83" s="14">
        <f t="shared" si="1"/>
        <v>46752</v>
      </c>
      <c r="C83" t="s">
        <v>37</v>
      </c>
    </row>
    <row r="84" spans="2:3" x14ac:dyDescent="0.25">
      <c r="B84" s="14">
        <f t="shared" si="1"/>
        <v>46771</v>
      </c>
      <c r="C84" t="s">
        <v>38</v>
      </c>
    </row>
    <row r="85" spans="2:3" x14ac:dyDescent="0.25">
      <c r="B85" s="14">
        <f t="shared" si="1"/>
        <v>46799</v>
      </c>
      <c r="C85" t="s">
        <v>39</v>
      </c>
    </row>
    <row r="86" spans="2:3" x14ac:dyDescent="0.25">
      <c r="B86" s="14">
        <f t="shared" si="1"/>
        <v>46897</v>
      </c>
      <c r="C86" t="s">
        <v>40</v>
      </c>
    </row>
    <row r="87" spans="2:3" x14ac:dyDescent="0.25">
      <c r="B87" s="14">
        <f t="shared" si="1"/>
        <v>47002</v>
      </c>
      <c r="C87" t="s">
        <v>41</v>
      </c>
    </row>
    <row r="88" spans="2:3" x14ac:dyDescent="0.25">
      <c r="B88" s="14">
        <f t="shared" ref="B88:B93" si="2">+B78+365</f>
        <v>46937</v>
      </c>
      <c r="C88" t="s">
        <v>310</v>
      </c>
    </row>
    <row r="89" spans="2:3" x14ac:dyDescent="0.25">
      <c r="B89" s="14">
        <f t="shared" si="2"/>
        <v>47082</v>
      </c>
      <c r="C89" t="s">
        <v>43</v>
      </c>
    </row>
    <row r="90" spans="2:3" x14ac:dyDescent="0.25">
      <c r="B90" s="14">
        <f t="shared" si="2"/>
        <v>47083</v>
      </c>
      <c r="C90" t="s">
        <v>44</v>
      </c>
    </row>
    <row r="91" spans="2:3" x14ac:dyDescent="0.25">
      <c r="B91" s="14">
        <f t="shared" si="2"/>
        <v>47110</v>
      </c>
      <c r="C91" t="s">
        <v>45</v>
      </c>
    </row>
    <row r="92" spans="2:3" x14ac:dyDescent="0.25">
      <c r="B92" s="14">
        <f t="shared" si="2"/>
        <v>47111</v>
      </c>
      <c r="C92" t="s">
        <v>46</v>
      </c>
    </row>
    <row r="93" spans="2:3" x14ac:dyDescent="0.25">
      <c r="B93" s="14">
        <f t="shared" si="2"/>
        <v>47117</v>
      </c>
      <c r="C93" t="s">
        <v>37</v>
      </c>
    </row>
  </sheetData>
  <phoneticPr fontId="56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9B7E7-E1EF-4D02-8151-E1C7395CE6E2}">
  <dimension ref="A1:XFD18"/>
  <sheetViews>
    <sheetView workbookViewId="0">
      <selection activeCell="C2" sqref="C2:C16"/>
    </sheetView>
  </sheetViews>
  <sheetFormatPr defaultColWidth="8.7109375" defaultRowHeight="15" x14ac:dyDescent="0.25"/>
  <cols>
    <col min="1" max="1" width="8.7109375" style="136"/>
    <col min="2" max="2" width="12.28515625" style="136" bestFit="1" customWidth="1"/>
    <col min="3" max="9" width="8.7109375" style="136"/>
    <col min="10" max="10" width="15" style="136" bestFit="1" customWidth="1"/>
    <col min="11" max="16384" width="8.7109375" style="136"/>
  </cols>
  <sheetData>
    <row r="1" spans="1:11 16384:16384" x14ac:dyDescent="0.25">
      <c r="A1" s="136" t="s">
        <v>51</v>
      </c>
      <c r="B1" s="136" t="s">
        <v>52</v>
      </c>
      <c r="C1" s="136" t="s">
        <v>53</v>
      </c>
      <c r="D1" s="136" t="s">
        <v>54</v>
      </c>
      <c r="E1" s="136" t="s">
        <v>55</v>
      </c>
      <c r="F1" s="136" t="s">
        <v>56</v>
      </c>
      <c r="G1" s="136" t="s">
        <v>57</v>
      </c>
      <c r="H1" s="136" t="s">
        <v>58</v>
      </c>
      <c r="I1" s="136" t="s">
        <v>59</v>
      </c>
      <c r="J1" s="137" t="s">
        <v>60</v>
      </c>
      <c r="K1" s="136" t="s">
        <v>61</v>
      </c>
    </row>
    <row r="2" spans="1:11 16384:16384" x14ac:dyDescent="0.25">
      <c r="A2" s="138" t="s">
        <v>74</v>
      </c>
      <c r="B2" s="138" t="s">
        <v>192</v>
      </c>
      <c r="C2" s="138">
        <v>2</v>
      </c>
      <c r="D2" s="138">
        <v>50</v>
      </c>
      <c r="E2" s="138">
        <v>100</v>
      </c>
      <c r="F2" s="138" t="s">
        <v>63</v>
      </c>
      <c r="G2" s="138" t="s">
        <v>63</v>
      </c>
      <c r="H2" s="138" t="s">
        <v>193</v>
      </c>
      <c r="I2" s="138"/>
      <c r="J2" s="139" t="s">
        <v>194</v>
      </c>
      <c r="K2" s="138">
        <v>100</v>
      </c>
    </row>
    <row r="3" spans="1:11 16384:16384" x14ac:dyDescent="0.25">
      <c r="A3" s="138" t="s">
        <v>81</v>
      </c>
      <c r="B3" s="140">
        <v>44906</v>
      </c>
      <c r="C3" s="138">
        <v>1.25</v>
      </c>
      <c r="D3" s="139">
        <v>60</v>
      </c>
      <c r="E3" s="138">
        <v>75</v>
      </c>
      <c r="F3" s="138" t="s">
        <v>63</v>
      </c>
      <c r="G3" s="138" t="s">
        <v>63</v>
      </c>
      <c r="H3" s="138" t="s">
        <v>82</v>
      </c>
      <c r="I3" s="138" t="s">
        <v>65</v>
      </c>
      <c r="J3" s="138" t="s">
        <v>163</v>
      </c>
      <c r="K3" s="138">
        <v>75</v>
      </c>
    </row>
    <row r="4" spans="1:11 16384:16384" x14ac:dyDescent="0.25">
      <c r="A4" s="138" t="s">
        <v>195</v>
      </c>
      <c r="B4" s="140">
        <v>44907</v>
      </c>
      <c r="C4" s="138">
        <v>1</v>
      </c>
      <c r="D4" s="139">
        <v>60</v>
      </c>
      <c r="E4" s="138">
        <v>60</v>
      </c>
      <c r="F4" s="138" t="s">
        <v>63</v>
      </c>
      <c r="G4" s="138" t="s">
        <v>63</v>
      </c>
      <c r="H4" s="138" t="s">
        <v>196</v>
      </c>
      <c r="I4" s="138" t="s">
        <v>65</v>
      </c>
      <c r="J4" s="138" t="s">
        <v>163</v>
      </c>
      <c r="K4" s="138">
        <v>60</v>
      </c>
    </row>
    <row r="5" spans="1:11 16384:16384" x14ac:dyDescent="0.25">
      <c r="A5" s="138" t="s">
        <v>195</v>
      </c>
      <c r="B5" s="140">
        <v>44908</v>
      </c>
      <c r="C5" s="138">
        <v>1.5</v>
      </c>
      <c r="D5" s="139">
        <v>60</v>
      </c>
      <c r="E5" s="138">
        <v>90</v>
      </c>
      <c r="F5" s="138" t="s">
        <v>63</v>
      </c>
      <c r="G5" s="138" t="s">
        <v>63</v>
      </c>
      <c r="H5" s="138" t="s">
        <v>196</v>
      </c>
      <c r="I5" s="138" t="s">
        <v>65</v>
      </c>
      <c r="J5" s="138" t="s">
        <v>163</v>
      </c>
      <c r="K5" s="138">
        <v>90</v>
      </c>
    </row>
    <row r="6" spans="1:11 16384:16384" x14ac:dyDescent="0.25">
      <c r="A6" s="138" t="s">
        <v>195</v>
      </c>
      <c r="B6" s="140">
        <v>44910</v>
      </c>
      <c r="C6" s="138">
        <v>1.5</v>
      </c>
      <c r="D6" s="138">
        <v>60</v>
      </c>
      <c r="E6" s="138">
        <v>90</v>
      </c>
      <c r="F6" s="138" t="s">
        <v>63</v>
      </c>
      <c r="G6" s="138" t="s">
        <v>63</v>
      </c>
      <c r="H6" s="138" t="s">
        <v>196</v>
      </c>
      <c r="I6" s="138" t="s">
        <v>65</v>
      </c>
      <c r="J6" s="138" t="s">
        <v>163</v>
      </c>
      <c r="K6" s="138">
        <v>90</v>
      </c>
    </row>
    <row r="7" spans="1:11 16384:16384" x14ac:dyDescent="0.25">
      <c r="A7" s="138" t="s">
        <v>197</v>
      </c>
      <c r="B7" s="140">
        <v>44905</v>
      </c>
      <c r="C7" s="138">
        <v>1</v>
      </c>
      <c r="D7" s="139">
        <v>60</v>
      </c>
      <c r="E7" s="138">
        <v>60</v>
      </c>
      <c r="F7" s="138" t="s">
        <v>63</v>
      </c>
      <c r="G7" s="138" t="s">
        <v>63</v>
      </c>
      <c r="H7" s="138" t="s">
        <v>198</v>
      </c>
      <c r="I7" s="138" t="s">
        <v>65</v>
      </c>
      <c r="J7" s="138" t="s">
        <v>163</v>
      </c>
      <c r="K7" s="138">
        <v>60</v>
      </c>
    </row>
    <row r="8" spans="1:11 16384:16384" x14ac:dyDescent="0.25">
      <c r="A8" s="138" t="s">
        <v>103</v>
      </c>
      <c r="B8" s="140">
        <v>44898</v>
      </c>
      <c r="C8" s="138">
        <v>1.5</v>
      </c>
      <c r="D8" s="138">
        <v>50</v>
      </c>
      <c r="E8" s="138">
        <v>75</v>
      </c>
      <c r="F8" s="138" t="s">
        <v>63</v>
      </c>
      <c r="G8" s="138" t="s">
        <v>63</v>
      </c>
      <c r="H8" s="138" t="s">
        <v>104</v>
      </c>
      <c r="I8" s="138" t="s">
        <v>65</v>
      </c>
      <c r="J8" s="138" t="s">
        <v>163</v>
      </c>
      <c r="K8" s="138">
        <v>75</v>
      </c>
    </row>
    <row r="9" spans="1:11 16384:16384" x14ac:dyDescent="0.25">
      <c r="A9" s="138" t="s">
        <v>103</v>
      </c>
      <c r="B9" s="140">
        <v>44900</v>
      </c>
      <c r="C9" s="138">
        <v>1.5</v>
      </c>
      <c r="D9" s="138">
        <v>50</v>
      </c>
      <c r="E9" s="138">
        <v>75</v>
      </c>
      <c r="F9" s="138" t="s">
        <v>63</v>
      </c>
      <c r="G9" s="138" t="s">
        <v>63</v>
      </c>
      <c r="H9" s="138" t="s">
        <v>104</v>
      </c>
      <c r="I9" s="138" t="s">
        <v>65</v>
      </c>
      <c r="J9" s="138" t="s">
        <v>163</v>
      </c>
      <c r="K9" s="138">
        <v>75</v>
      </c>
    </row>
    <row r="10" spans="1:11 16384:16384" x14ac:dyDescent="0.25">
      <c r="A10" s="138" t="s">
        <v>103</v>
      </c>
      <c r="B10" s="140">
        <v>44903</v>
      </c>
      <c r="C10" s="138">
        <v>1</v>
      </c>
      <c r="D10" s="138">
        <v>50</v>
      </c>
      <c r="E10" s="138">
        <v>50</v>
      </c>
      <c r="F10" s="138" t="s">
        <v>63</v>
      </c>
      <c r="G10" s="138" t="s">
        <v>63</v>
      </c>
      <c r="H10" s="138" t="s">
        <v>104</v>
      </c>
      <c r="I10" s="138" t="s">
        <v>65</v>
      </c>
      <c r="J10" s="138" t="s">
        <v>163</v>
      </c>
      <c r="K10" s="138">
        <v>50</v>
      </c>
    </row>
    <row r="11" spans="1:11 16384:16384" x14ac:dyDescent="0.25">
      <c r="A11" s="138" t="s">
        <v>103</v>
      </c>
      <c r="B11" s="140">
        <v>44906</v>
      </c>
      <c r="C11" s="138">
        <v>2</v>
      </c>
      <c r="D11" s="138">
        <v>50</v>
      </c>
      <c r="E11" s="138">
        <v>100</v>
      </c>
      <c r="F11" s="138" t="s">
        <v>63</v>
      </c>
      <c r="G11" s="138" t="s">
        <v>63</v>
      </c>
      <c r="H11" s="138" t="s">
        <v>104</v>
      </c>
      <c r="I11" s="138" t="s">
        <v>65</v>
      </c>
      <c r="J11" s="138" t="s">
        <v>163</v>
      </c>
      <c r="K11" s="138">
        <v>100</v>
      </c>
    </row>
    <row r="12" spans="1:11 16384:16384" x14ac:dyDescent="0.25">
      <c r="A12" s="138" t="s">
        <v>103</v>
      </c>
      <c r="B12" s="140">
        <v>44907</v>
      </c>
      <c r="C12" s="138">
        <v>1.25</v>
      </c>
      <c r="D12" s="138">
        <v>50</v>
      </c>
      <c r="E12" s="138">
        <v>62.5</v>
      </c>
      <c r="F12" s="138" t="s">
        <v>63</v>
      </c>
      <c r="G12" s="138" t="s">
        <v>63</v>
      </c>
      <c r="H12" s="138" t="s">
        <v>104</v>
      </c>
      <c r="I12" s="138" t="s">
        <v>65</v>
      </c>
      <c r="J12" s="138" t="s">
        <v>163</v>
      </c>
      <c r="K12" s="138">
        <v>62.5</v>
      </c>
      <c r="XFD12" s="136" t="s">
        <v>63</v>
      </c>
    </row>
    <row r="13" spans="1:11 16384:16384" x14ac:dyDescent="0.25">
      <c r="A13" s="138" t="s">
        <v>103</v>
      </c>
      <c r="B13" s="140">
        <v>44908</v>
      </c>
      <c r="C13" s="138">
        <v>1.5</v>
      </c>
      <c r="D13" s="138">
        <v>50</v>
      </c>
      <c r="E13" s="138">
        <v>75</v>
      </c>
      <c r="F13" s="138" t="s">
        <v>63</v>
      </c>
      <c r="G13" s="138" t="s">
        <v>63</v>
      </c>
      <c r="H13" s="138" t="s">
        <v>104</v>
      </c>
      <c r="I13" s="138" t="s">
        <v>65</v>
      </c>
      <c r="J13" s="138" t="s">
        <v>163</v>
      </c>
      <c r="K13" s="138">
        <v>75</v>
      </c>
    </row>
    <row r="14" spans="1:11 16384:16384" x14ac:dyDescent="0.25">
      <c r="A14" s="138" t="s">
        <v>103</v>
      </c>
      <c r="B14" s="140">
        <v>44909</v>
      </c>
      <c r="C14" s="138">
        <v>0.5</v>
      </c>
      <c r="D14" s="138">
        <v>50</v>
      </c>
      <c r="E14" s="138">
        <v>25</v>
      </c>
      <c r="F14" s="138" t="s">
        <v>63</v>
      </c>
      <c r="G14" s="138" t="s">
        <v>63</v>
      </c>
      <c r="H14" s="138" t="s">
        <v>104</v>
      </c>
      <c r="I14" s="138" t="s">
        <v>65</v>
      </c>
      <c r="J14" s="138" t="s">
        <v>163</v>
      </c>
      <c r="K14" s="138">
        <v>25</v>
      </c>
    </row>
    <row r="15" spans="1:11 16384:16384" x14ac:dyDescent="0.25">
      <c r="A15" s="138" t="s">
        <v>108</v>
      </c>
      <c r="B15" s="140">
        <v>44904</v>
      </c>
      <c r="C15" s="138">
        <v>2</v>
      </c>
      <c r="D15" s="139">
        <v>60</v>
      </c>
      <c r="E15" s="138">
        <v>120</v>
      </c>
      <c r="F15" s="138" t="s">
        <v>199</v>
      </c>
      <c r="G15" s="138" t="s">
        <v>63</v>
      </c>
      <c r="H15" s="138" t="s">
        <v>200</v>
      </c>
      <c r="I15" s="138" t="s">
        <v>65</v>
      </c>
      <c r="J15" s="138" t="s">
        <v>163</v>
      </c>
      <c r="K15" s="138">
        <v>0</v>
      </c>
    </row>
    <row r="16" spans="1:11 16384:16384" x14ac:dyDescent="0.25">
      <c r="A16" s="138" t="s">
        <v>108</v>
      </c>
      <c r="B16" s="140">
        <v>44906</v>
      </c>
      <c r="C16" s="138">
        <v>1.25</v>
      </c>
      <c r="D16" s="139">
        <v>60</v>
      </c>
      <c r="E16" s="138">
        <v>75</v>
      </c>
      <c r="F16" s="138" t="s">
        <v>63</v>
      </c>
      <c r="G16" s="138" t="s">
        <v>63</v>
      </c>
      <c r="H16" s="138" t="s">
        <v>201</v>
      </c>
      <c r="I16" s="138" t="s">
        <v>65</v>
      </c>
      <c r="J16" s="138" t="s">
        <v>163</v>
      </c>
      <c r="K16" s="138">
        <v>195</v>
      </c>
    </row>
    <row r="17" spans="1:11" x14ac:dyDescent="0.25">
      <c r="A17" s="138"/>
      <c r="B17" s="140"/>
      <c r="C17" s="138"/>
      <c r="D17" s="138"/>
      <c r="E17" s="138"/>
      <c r="F17" s="138"/>
      <c r="G17" s="138"/>
      <c r="H17" s="138"/>
      <c r="I17" s="138"/>
      <c r="J17" s="138"/>
      <c r="K17" s="138"/>
    </row>
    <row r="18" spans="1:11" x14ac:dyDescent="0.25">
      <c r="A18" s="138"/>
      <c r="B18" s="138"/>
      <c r="C18" s="138"/>
      <c r="D18" s="138"/>
      <c r="E18" s="138"/>
      <c r="F18" s="138"/>
      <c r="G18" s="138"/>
      <c r="H18" s="138"/>
      <c r="I18" s="138"/>
      <c r="J18" s="138"/>
      <c r="K18" s="138">
        <f>SUM(K2:K16)</f>
        <v>1132.5</v>
      </c>
    </row>
  </sheetData>
  <autoFilter ref="A1:K16" xr:uid="{9A642484-9CB1-4531-9C0F-5A0BEE9907C7}">
    <sortState xmlns:xlrd2="http://schemas.microsoft.com/office/spreadsheetml/2017/richdata2" ref="A2:K16">
      <sortCondition ref="A1:A16"/>
    </sortState>
  </autoFilter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670E-C494-45F7-9C9C-19FB3B86410B}">
  <dimension ref="A1:T27"/>
  <sheetViews>
    <sheetView workbookViewId="0">
      <selection activeCell="R3" sqref="R3:R13"/>
    </sheetView>
  </sheetViews>
  <sheetFormatPr defaultColWidth="8.7109375" defaultRowHeight="15" x14ac:dyDescent="0.25"/>
  <cols>
    <col min="1" max="1" width="14.42578125" style="118" bestFit="1" customWidth="1"/>
    <col min="2" max="2" width="7.140625" style="118" bestFit="1" customWidth="1"/>
    <col min="3" max="3" width="8" style="118" bestFit="1" customWidth="1"/>
    <col min="4" max="4" width="12" style="118" bestFit="1" customWidth="1"/>
    <col min="5" max="5" width="6.7109375" style="118" bestFit="1" customWidth="1"/>
    <col min="6" max="6" width="8.42578125" style="118" bestFit="1" customWidth="1"/>
    <col min="7" max="7" width="19.140625" style="118" bestFit="1" customWidth="1"/>
    <col min="8" max="8" width="68.28515625" style="118" bestFit="1" customWidth="1"/>
    <col min="9" max="9" width="6.42578125" style="118" bestFit="1" customWidth="1"/>
    <col min="10" max="10" width="17.28515625" style="118" bestFit="1" customWidth="1"/>
    <col min="11" max="11" width="8.28515625" style="118" bestFit="1" customWidth="1"/>
    <col min="12" max="12" width="23.7109375" style="118" bestFit="1" customWidth="1"/>
    <col min="13" max="17" width="8.7109375" style="118"/>
    <col min="18" max="18" width="14.42578125" style="118" bestFit="1" customWidth="1"/>
    <col min="19" max="19" width="12.28515625" style="118" bestFit="1" customWidth="1"/>
    <col min="20" max="20" width="11.28515625" style="118" bestFit="1" customWidth="1"/>
    <col min="21" max="16384" width="8.7109375" style="118"/>
  </cols>
  <sheetData>
    <row r="1" spans="1:20" x14ac:dyDescent="0.25">
      <c r="A1" s="118" t="s">
        <v>51</v>
      </c>
      <c r="B1" s="118" t="s">
        <v>52</v>
      </c>
      <c r="C1" s="118" t="s">
        <v>53</v>
      </c>
      <c r="D1" s="118" t="s">
        <v>54</v>
      </c>
      <c r="E1" s="118" t="s">
        <v>55</v>
      </c>
      <c r="F1" s="118" t="s">
        <v>56</v>
      </c>
      <c r="G1" s="118" t="s">
        <v>57</v>
      </c>
      <c r="H1" s="118" t="s">
        <v>58</v>
      </c>
      <c r="I1" s="118" t="s">
        <v>59</v>
      </c>
      <c r="J1" s="119" t="s">
        <v>60</v>
      </c>
      <c r="K1" s="118" t="s">
        <v>61</v>
      </c>
    </row>
    <row r="2" spans="1:20" x14ac:dyDescent="0.25">
      <c r="A2" s="120" t="s">
        <v>62</v>
      </c>
      <c r="B2" s="120">
        <v>44868</v>
      </c>
      <c r="C2" s="121">
        <v>1</v>
      </c>
      <c r="D2" s="121">
        <v>50</v>
      </c>
      <c r="E2" s="121">
        <v>50</v>
      </c>
      <c r="F2" s="121" t="s">
        <v>63</v>
      </c>
      <c r="G2" s="121" t="s">
        <v>63</v>
      </c>
      <c r="H2" s="121" t="s">
        <v>160</v>
      </c>
      <c r="I2" s="121" t="s">
        <v>65</v>
      </c>
      <c r="J2" s="121" t="s">
        <v>63</v>
      </c>
      <c r="K2" s="121">
        <v>50</v>
      </c>
      <c r="R2" s="48" t="s">
        <v>132</v>
      </c>
      <c r="S2" t="s">
        <v>134</v>
      </c>
      <c r="T2" t="s">
        <v>135</v>
      </c>
    </row>
    <row r="3" spans="1:20" s="122" customFormat="1" x14ac:dyDescent="0.25">
      <c r="A3" s="122" t="s">
        <v>161</v>
      </c>
      <c r="B3" s="123">
        <v>44878</v>
      </c>
      <c r="C3" s="122">
        <v>1</v>
      </c>
      <c r="D3" s="122">
        <v>60</v>
      </c>
      <c r="E3" s="122">
        <v>60</v>
      </c>
      <c r="F3" s="122" t="s">
        <v>63</v>
      </c>
      <c r="G3" s="122" t="s">
        <v>63</v>
      </c>
      <c r="H3" s="122" t="s">
        <v>162</v>
      </c>
      <c r="I3" s="122" t="s">
        <v>65</v>
      </c>
      <c r="J3" s="122" t="s">
        <v>163</v>
      </c>
      <c r="K3" s="122">
        <v>60</v>
      </c>
      <c r="R3" s="49" t="s">
        <v>62</v>
      </c>
      <c r="S3">
        <v>1</v>
      </c>
      <c r="T3">
        <v>50</v>
      </c>
    </row>
    <row r="4" spans="1:20" s="122" customFormat="1" x14ac:dyDescent="0.25">
      <c r="A4" s="122" t="s">
        <v>161</v>
      </c>
      <c r="B4" s="123">
        <v>44880</v>
      </c>
      <c r="C4" s="122">
        <v>1.5</v>
      </c>
      <c r="D4" s="122">
        <v>60</v>
      </c>
      <c r="E4" s="122">
        <v>90</v>
      </c>
      <c r="F4" s="122" t="s">
        <v>63</v>
      </c>
      <c r="G4" s="122" t="s">
        <v>63</v>
      </c>
      <c r="H4" s="122" t="s">
        <v>162</v>
      </c>
      <c r="I4" s="122" t="s">
        <v>65</v>
      </c>
      <c r="J4" s="122" t="s">
        <v>163</v>
      </c>
      <c r="K4" s="122">
        <v>90</v>
      </c>
      <c r="R4" s="49" t="s">
        <v>161</v>
      </c>
      <c r="S4">
        <v>2.5</v>
      </c>
      <c r="T4">
        <v>150</v>
      </c>
    </row>
    <row r="5" spans="1:20" s="122" customFormat="1" x14ac:dyDescent="0.25">
      <c r="A5" s="122" t="s">
        <v>81</v>
      </c>
      <c r="B5" s="123">
        <v>44872</v>
      </c>
      <c r="C5" s="122">
        <v>1</v>
      </c>
      <c r="D5" s="122">
        <v>60</v>
      </c>
      <c r="E5" s="122">
        <v>60</v>
      </c>
      <c r="F5" s="122" t="s">
        <v>63</v>
      </c>
      <c r="G5" s="122" t="s">
        <v>63</v>
      </c>
      <c r="H5" s="122" t="s">
        <v>164</v>
      </c>
      <c r="I5" s="122" t="s">
        <v>65</v>
      </c>
      <c r="J5" s="122" t="s">
        <v>163</v>
      </c>
      <c r="K5" s="122">
        <v>60</v>
      </c>
      <c r="R5" s="49" t="s">
        <v>81</v>
      </c>
      <c r="S5">
        <v>2.5</v>
      </c>
      <c r="T5">
        <v>150</v>
      </c>
    </row>
    <row r="6" spans="1:20" s="124" customFormat="1" x14ac:dyDescent="0.25">
      <c r="A6" s="124" t="s">
        <v>81</v>
      </c>
      <c r="B6" s="125">
        <v>44892</v>
      </c>
      <c r="C6" s="124">
        <v>1.5</v>
      </c>
      <c r="D6" s="124">
        <v>60</v>
      </c>
      <c r="E6" s="124">
        <v>90</v>
      </c>
      <c r="F6" s="124" t="s">
        <v>63</v>
      </c>
      <c r="G6" s="124" t="s">
        <v>63</v>
      </c>
      <c r="H6" s="124" t="s">
        <v>165</v>
      </c>
      <c r="I6" s="124" t="s">
        <v>65</v>
      </c>
      <c r="J6" s="124" t="s">
        <v>163</v>
      </c>
      <c r="K6" s="124">
        <v>90</v>
      </c>
      <c r="R6" s="49" t="s">
        <v>166</v>
      </c>
      <c r="S6">
        <v>2.5</v>
      </c>
      <c r="T6">
        <v>150</v>
      </c>
    </row>
    <row r="7" spans="1:20" x14ac:dyDescent="0.25">
      <c r="A7" s="121" t="s">
        <v>166</v>
      </c>
      <c r="B7" s="120">
        <v>44878</v>
      </c>
      <c r="C7" s="121">
        <v>1</v>
      </c>
      <c r="D7" s="121">
        <v>60</v>
      </c>
      <c r="E7" s="121">
        <v>60</v>
      </c>
      <c r="F7" s="121" t="s">
        <v>63</v>
      </c>
      <c r="G7" s="121" t="s">
        <v>63</v>
      </c>
      <c r="H7" s="121" t="s">
        <v>167</v>
      </c>
      <c r="I7" s="121" t="s">
        <v>65</v>
      </c>
      <c r="J7" s="121" t="s">
        <v>163</v>
      </c>
      <c r="K7" s="121">
        <v>60</v>
      </c>
      <c r="R7" s="49" t="s">
        <v>86</v>
      </c>
      <c r="S7">
        <v>1.5</v>
      </c>
      <c r="T7">
        <v>75</v>
      </c>
    </row>
    <row r="8" spans="1:20" s="124" customFormat="1" x14ac:dyDescent="0.25">
      <c r="A8" s="124" t="s">
        <v>166</v>
      </c>
      <c r="B8" s="125">
        <v>44884</v>
      </c>
      <c r="C8" s="124">
        <v>1.5</v>
      </c>
      <c r="D8" s="124">
        <v>60</v>
      </c>
      <c r="E8" s="124">
        <v>90</v>
      </c>
      <c r="F8" s="124" t="s">
        <v>63</v>
      </c>
      <c r="G8" s="124" t="s">
        <v>63</v>
      </c>
      <c r="H8" s="124" t="s">
        <v>167</v>
      </c>
      <c r="I8" s="124" t="s">
        <v>65</v>
      </c>
      <c r="J8" s="124" t="s">
        <v>163</v>
      </c>
      <c r="K8" s="124">
        <v>90</v>
      </c>
      <c r="R8" s="49" t="s">
        <v>89</v>
      </c>
      <c r="S8">
        <v>1</v>
      </c>
      <c r="T8">
        <v>50</v>
      </c>
    </row>
    <row r="9" spans="1:20" x14ac:dyDescent="0.25">
      <c r="A9" s="121" t="s">
        <v>86</v>
      </c>
      <c r="B9" s="120">
        <v>44875</v>
      </c>
      <c r="C9" s="121">
        <v>1.5</v>
      </c>
      <c r="D9" s="121">
        <v>50</v>
      </c>
      <c r="E9" s="121">
        <v>75</v>
      </c>
      <c r="F9" s="121" t="s">
        <v>63</v>
      </c>
      <c r="G9" s="121" t="s">
        <v>63</v>
      </c>
      <c r="H9" s="121" t="s">
        <v>168</v>
      </c>
      <c r="I9" s="121" t="s">
        <v>65</v>
      </c>
      <c r="J9" s="121" t="s">
        <v>163</v>
      </c>
      <c r="K9" s="121">
        <v>75</v>
      </c>
      <c r="R9" s="49" t="s">
        <v>98</v>
      </c>
      <c r="S9">
        <v>0.5</v>
      </c>
      <c r="T9">
        <v>30</v>
      </c>
    </row>
    <row r="10" spans="1:20" s="124" customFormat="1" x14ac:dyDescent="0.25">
      <c r="A10" s="124" t="s">
        <v>89</v>
      </c>
      <c r="B10" s="125">
        <v>44886</v>
      </c>
      <c r="C10" s="124">
        <v>1</v>
      </c>
      <c r="D10" s="124">
        <v>50</v>
      </c>
      <c r="E10" s="124">
        <v>50</v>
      </c>
      <c r="F10" s="124" t="s">
        <v>63</v>
      </c>
      <c r="G10" s="124" t="s">
        <v>63</v>
      </c>
      <c r="H10" s="124" t="s">
        <v>169</v>
      </c>
      <c r="I10" s="124" t="s">
        <v>65</v>
      </c>
      <c r="J10" s="124" t="s">
        <v>163</v>
      </c>
      <c r="K10" s="124">
        <v>50</v>
      </c>
      <c r="R10" s="49" t="s">
        <v>100</v>
      </c>
      <c r="S10">
        <v>7.5</v>
      </c>
      <c r="T10">
        <v>375</v>
      </c>
    </row>
    <row r="11" spans="1:20" s="122" customFormat="1" x14ac:dyDescent="0.25">
      <c r="A11" s="123" t="s">
        <v>98</v>
      </c>
      <c r="B11" s="123">
        <v>44877</v>
      </c>
      <c r="C11" s="122">
        <v>0.5</v>
      </c>
      <c r="D11" s="122">
        <v>60</v>
      </c>
      <c r="E11" s="122">
        <v>30</v>
      </c>
      <c r="F11" s="122" t="s">
        <v>63</v>
      </c>
      <c r="G11" s="122" t="s">
        <v>63</v>
      </c>
      <c r="H11" s="122" t="s">
        <v>170</v>
      </c>
      <c r="I11" s="122" t="s">
        <v>65</v>
      </c>
      <c r="J11" s="122" t="s">
        <v>163</v>
      </c>
      <c r="K11" s="122">
        <v>30</v>
      </c>
      <c r="R11" s="49" t="s">
        <v>103</v>
      </c>
      <c r="S11">
        <v>9</v>
      </c>
      <c r="T11">
        <v>450</v>
      </c>
    </row>
    <row r="12" spans="1:20" x14ac:dyDescent="0.25">
      <c r="A12" s="121" t="s">
        <v>100</v>
      </c>
      <c r="B12" s="120">
        <v>44871</v>
      </c>
      <c r="C12" s="121">
        <v>2</v>
      </c>
      <c r="D12" s="121">
        <v>50</v>
      </c>
      <c r="E12" s="121">
        <v>100</v>
      </c>
      <c r="F12" s="121" t="s">
        <v>63</v>
      </c>
      <c r="G12" s="121" t="s">
        <v>63</v>
      </c>
      <c r="H12" s="121" t="s">
        <v>171</v>
      </c>
      <c r="I12" s="121" t="s">
        <v>65</v>
      </c>
      <c r="J12" s="121" t="s">
        <v>163</v>
      </c>
      <c r="K12" s="121">
        <v>100</v>
      </c>
      <c r="R12" s="49" t="s">
        <v>106</v>
      </c>
      <c r="S12">
        <v>2</v>
      </c>
      <c r="T12">
        <v>100</v>
      </c>
    </row>
    <row r="13" spans="1:20" x14ac:dyDescent="0.25">
      <c r="A13" s="121" t="s">
        <v>100</v>
      </c>
      <c r="B13" s="120">
        <v>44873</v>
      </c>
      <c r="C13" s="121">
        <v>1</v>
      </c>
      <c r="D13" s="121">
        <v>50</v>
      </c>
      <c r="E13" s="121">
        <v>50</v>
      </c>
      <c r="F13" s="121" t="s">
        <v>63</v>
      </c>
      <c r="G13" s="121" t="s">
        <v>63</v>
      </c>
      <c r="H13" s="121" t="s">
        <v>172</v>
      </c>
      <c r="I13" s="121" t="s">
        <v>65</v>
      </c>
      <c r="J13" s="121" t="s">
        <v>163</v>
      </c>
      <c r="K13" s="121">
        <v>50</v>
      </c>
      <c r="R13" s="49" t="s">
        <v>108</v>
      </c>
      <c r="S13">
        <v>1</v>
      </c>
      <c r="T13">
        <v>60</v>
      </c>
    </row>
    <row r="14" spans="1:20" s="124" customFormat="1" x14ac:dyDescent="0.25">
      <c r="A14" s="124" t="s">
        <v>100</v>
      </c>
      <c r="B14" s="125">
        <v>44884</v>
      </c>
      <c r="C14" s="124">
        <v>1.5</v>
      </c>
      <c r="D14" s="124">
        <v>50</v>
      </c>
      <c r="E14" s="124">
        <v>75</v>
      </c>
      <c r="F14" s="124" t="s">
        <v>63</v>
      </c>
      <c r="G14" s="124" t="s">
        <v>63</v>
      </c>
      <c r="H14" s="124" t="s">
        <v>173</v>
      </c>
      <c r="I14" s="124" t="s">
        <v>65</v>
      </c>
      <c r="J14" s="124" t="s">
        <v>163</v>
      </c>
      <c r="K14" s="124">
        <v>75</v>
      </c>
      <c r="R14" s="49" t="s">
        <v>133</v>
      </c>
      <c r="S14">
        <v>31</v>
      </c>
      <c r="T14">
        <v>1640</v>
      </c>
    </row>
    <row r="15" spans="1:20" s="124" customFormat="1" x14ac:dyDescent="0.25">
      <c r="A15" s="124" t="s">
        <v>100</v>
      </c>
      <c r="B15" s="125">
        <v>44891</v>
      </c>
      <c r="C15" s="124">
        <v>1.5</v>
      </c>
      <c r="D15" s="124">
        <v>50</v>
      </c>
      <c r="E15" s="124">
        <v>75</v>
      </c>
      <c r="F15" s="124" t="s">
        <v>63</v>
      </c>
      <c r="G15" s="124" t="s">
        <v>63</v>
      </c>
      <c r="H15" s="124" t="s">
        <v>174</v>
      </c>
      <c r="I15" s="124" t="s">
        <v>65</v>
      </c>
      <c r="J15" s="124" t="s">
        <v>163</v>
      </c>
      <c r="K15" s="124">
        <v>75</v>
      </c>
      <c r="L15" s="124" t="s">
        <v>175</v>
      </c>
      <c r="R15"/>
      <c r="S15"/>
      <c r="T15"/>
    </row>
    <row r="16" spans="1:20" s="124" customFormat="1" x14ac:dyDescent="0.25">
      <c r="A16" s="124" t="s">
        <v>100</v>
      </c>
      <c r="B16" s="125">
        <v>44892</v>
      </c>
      <c r="C16" s="124">
        <v>1.5</v>
      </c>
      <c r="D16" s="124">
        <v>50</v>
      </c>
      <c r="E16" s="124">
        <v>75</v>
      </c>
      <c r="F16" s="124" t="s">
        <v>63</v>
      </c>
      <c r="G16" s="124" t="s">
        <v>63</v>
      </c>
      <c r="H16" s="124" t="s">
        <v>176</v>
      </c>
      <c r="I16" s="124" t="s">
        <v>65</v>
      </c>
      <c r="J16" s="124" t="s">
        <v>163</v>
      </c>
      <c r="K16" s="124">
        <v>75</v>
      </c>
      <c r="R16"/>
      <c r="S16"/>
      <c r="T16"/>
    </row>
    <row r="17" spans="1:20" x14ac:dyDescent="0.25">
      <c r="A17" s="120" t="s">
        <v>103</v>
      </c>
      <c r="B17" s="120">
        <v>44868</v>
      </c>
      <c r="C17" s="121">
        <v>1.25</v>
      </c>
      <c r="D17" s="121">
        <v>50</v>
      </c>
      <c r="E17" s="121">
        <v>62.5</v>
      </c>
      <c r="F17" s="121" t="s">
        <v>63</v>
      </c>
      <c r="G17" s="121" t="s">
        <v>63</v>
      </c>
      <c r="H17" s="121" t="s">
        <v>177</v>
      </c>
      <c r="I17" s="121" t="s">
        <v>65</v>
      </c>
      <c r="J17" s="121" t="s">
        <v>63</v>
      </c>
      <c r="K17" s="121">
        <v>62.5</v>
      </c>
      <c r="R17"/>
      <c r="S17"/>
      <c r="T17"/>
    </row>
    <row r="18" spans="1:20" x14ac:dyDescent="0.25">
      <c r="A18" s="121" t="s">
        <v>103</v>
      </c>
      <c r="B18" s="120">
        <v>44873</v>
      </c>
      <c r="C18" s="121">
        <v>1</v>
      </c>
      <c r="D18" s="121">
        <v>50</v>
      </c>
      <c r="E18" s="121">
        <v>50</v>
      </c>
      <c r="F18" s="121" t="s">
        <v>63</v>
      </c>
      <c r="G18" s="121" t="s">
        <v>63</v>
      </c>
      <c r="H18" s="121" t="s">
        <v>178</v>
      </c>
      <c r="I18" s="121" t="s">
        <v>65</v>
      </c>
      <c r="J18" s="121" t="s">
        <v>163</v>
      </c>
      <c r="K18" s="121">
        <v>50</v>
      </c>
      <c r="R18"/>
      <c r="S18"/>
      <c r="T18"/>
    </row>
    <row r="19" spans="1:20" x14ac:dyDescent="0.25">
      <c r="A19" s="121" t="s">
        <v>103</v>
      </c>
      <c r="B19" s="120">
        <v>44875</v>
      </c>
      <c r="C19" s="121">
        <v>1.25</v>
      </c>
      <c r="D19" s="121">
        <v>50</v>
      </c>
      <c r="E19" s="121">
        <v>62.5</v>
      </c>
      <c r="F19" s="121" t="s">
        <v>63</v>
      </c>
      <c r="G19" s="121" t="s">
        <v>63</v>
      </c>
      <c r="H19" s="121" t="s">
        <v>179</v>
      </c>
      <c r="I19" s="121" t="s">
        <v>65</v>
      </c>
      <c r="J19" s="121" t="s">
        <v>163</v>
      </c>
      <c r="K19" s="121">
        <v>62.5</v>
      </c>
      <c r="R19"/>
      <c r="S19"/>
      <c r="T19"/>
    </row>
    <row r="20" spans="1:20" s="124" customFormat="1" x14ac:dyDescent="0.25">
      <c r="A20" s="124" t="s">
        <v>103</v>
      </c>
      <c r="B20" s="125">
        <v>44886</v>
      </c>
      <c r="C20" s="124">
        <v>1.5</v>
      </c>
      <c r="D20" s="124">
        <v>50</v>
      </c>
      <c r="E20" s="124">
        <v>75</v>
      </c>
      <c r="F20" s="124" t="s">
        <v>63</v>
      </c>
      <c r="G20" s="124" t="s">
        <v>63</v>
      </c>
      <c r="H20" s="124" t="s">
        <v>178</v>
      </c>
      <c r="I20" s="124" t="s">
        <v>65</v>
      </c>
      <c r="J20" s="124" t="s">
        <v>163</v>
      </c>
      <c r="K20" s="124">
        <v>75</v>
      </c>
    </row>
    <row r="21" spans="1:20" s="124" customFormat="1" x14ac:dyDescent="0.25">
      <c r="A21" s="124" t="s">
        <v>103</v>
      </c>
      <c r="B21" s="125">
        <v>44891</v>
      </c>
      <c r="C21" s="124">
        <v>1</v>
      </c>
      <c r="D21" s="124">
        <v>50</v>
      </c>
      <c r="E21" s="124">
        <v>50</v>
      </c>
      <c r="F21" s="124" t="s">
        <v>63</v>
      </c>
      <c r="G21" s="124" t="s">
        <v>63</v>
      </c>
      <c r="H21" s="124" t="s">
        <v>178</v>
      </c>
      <c r="I21" s="124" t="s">
        <v>65</v>
      </c>
      <c r="J21" s="124" t="s">
        <v>163</v>
      </c>
      <c r="K21" s="124">
        <v>50</v>
      </c>
      <c r="L21" s="124" t="s">
        <v>175</v>
      </c>
    </row>
    <row r="22" spans="1:20" s="124" customFormat="1" x14ac:dyDescent="0.25">
      <c r="A22" s="124" t="s">
        <v>103</v>
      </c>
      <c r="B22" s="125">
        <v>44892</v>
      </c>
      <c r="C22" s="124">
        <v>2</v>
      </c>
      <c r="D22" s="124">
        <v>50</v>
      </c>
      <c r="E22" s="124">
        <v>100</v>
      </c>
      <c r="F22" s="124" t="s">
        <v>63</v>
      </c>
      <c r="G22" s="124" t="s">
        <v>63</v>
      </c>
      <c r="H22" s="124" t="s">
        <v>178</v>
      </c>
      <c r="I22" s="124" t="s">
        <v>65</v>
      </c>
      <c r="J22" s="124" t="s">
        <v>163</v>
      </c>
      <c r="K22" s="124">
        <v>100</v>
      </c>
    </row>
    <row r="23" spans="1:20" s="124" customFormat="1" x14ac:dyDescent="0.25">
      <c r="A23" s="124" t="s">
        <v>103</v>
      </c>
      <c r="B23" s="125">
        <v>44893</v>
      </c>
      <c r="C23" s="124">
        <v>1</v>
      </c>
      <c r="D23" s="124">
        <v>50</v>
      </c>
      <c r="E23" s="124">
        <v>50</v>
      </c>
      <c r="F23" s="124" t="s">
        <v>63</v>
      </c>
      <c r="G23" s="124" t="s">
        <v>63</v>
      </c>
      <c r="H23" s="124" t="s">
        <v>178</v>
      </c>
      <c r="I23" s="124" t="s">
        <v>65</v>
      </c>
      <c r="J23" s="124" t="s">
        <v>163</v>
      </c>
      <c r="K23" s="124">
        <v>50</v>
      </c>
    </row>
    <row r="24" spans="1:20" x14ac:dyDescent="0.25">
      <c r="A24" s="121" t="s">
        <v>106</v>
      </c>
      <c r="B24" s="120">
        <v>44895</v>
      </c>
      <c r="C24" s="121">
        <v>2</v>
      </c>
      <c r="D24" s="121">
        <v>50</v>
      </c>
      <c r="E24" s="121">
        <v>100</v>
      </c>
      <c r="F24" s="121" t="s">
        <v>63</v>
      </c>
      <c r="G24" s="121" t="s">
        <v>63</v>
      </c>
      <c r="H24" s="121" t="s">
        <v>180</v>
      </c>
      <c r="I24" s="121" t="s">
        <v>65</v>
      </c>
      <c r="J24" s="121" t="s">
        <v>163</v>
      </c>
      <c r="K24" s="121">
        <v>100</v>
      </c>
    </row>
    <row r="25" spans="1:20" x14ac:dyDescent="0.25">
      <c r="A25" s="121" t="s">
        <v>108</v>
      </c>
      <c r="B25" s="120">
        <v>44886</v>
      </c>
      <c r="C25" s="121">
        <v>1</v>
      </c>
      <c r="D25" s="121">
        <v>60</v>
      </c>
      <c r="E25" s="121">
        <v>60</v>
      </c>
      <c r="F25" s="121" t="s">
        <v>63</v>
      </c>
      <c r="G25" s="121" t="s">
        <v>63</v>
      </c>
      <c r="H25" s="121" t="s">
        <v>181</v>
      </c>
      <c r="I25" s="121"/>
      <c r="J25" s="121" t="s">
        <v>163</v>
      </c>
      <c r="K25" s="121">
        <v>60</v>
      </c>
    </row>
    <row r="26" spans="1:20" x14ac:dyDescent="0.25">
      <c r="B26" s="126"/>
    </row>
    <row r="27" spans="1:20" x14ac:dyDescent="0.25">
      <c r="A27" s="118" t="s">
        <v>182</v>
      </c>
      <c r="K27" s="118">
        <f>SUM(K2:K25)</f>
        <v>1640</v>
      </c>
    </row>
  </sheetData>
  <autoFilter ref="A1:L25" xr:uid="{7372AF7F-FEA0-45B4-BBDB-057571914BC8}">
    <sortState xmlns:xlrd2="http://schemas.microsoft.com/office/spreadsheetml/2017/richdata2" ref="A2:L25">
      <sortCondition ref="A1:A25"/>
    </sortState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F0B01-C763-4E0F-88D9-17C2A57FF301}">
  <dimension ref="A1:I45"/>
  <sheetViews>
    <sheetView topLeftCell="A22" workbookViewId="0">
      <selection activeCell="R3" sqref="R3:R13"/>
    </sheetView>
  </sheetViews>
  <sheetFormatPr defaultColWidth="8.7109375" defaultRowHeight="15" x14ac:dyDescent="0.25"/>
  <cols>
    <col min="1" max="8" width="8.7109375" style="118"/>
    <col min="9" max="9" width="75.140625" style="118" bestFit="1" customWidth="1"/>
    <col min="10" max="16384" width="8.7109375" style="118"/>
  </cols>
  <sheetData>
    <row r="1" spans="1:9" x14ac:dyDescent="0.25">
      <c r="A1" s="119" t="s">
        <v>136</v>
      </c>
      <c r="B1" s="119" t="s">
        <v>137</v>
      </c>
      <c r="C1" s="119" t="s">
        <v>138</v>
      </c>
    </row>
    <row r="2" spans="1:9" x14ac:dyDescent="0.25">
      <c r="A2" s="126">
        <v>44825</v>
      </c>
      <c r="B2" s="118">
        <v>0.75</v>
      </c>
      <c r="C2" s="118">
        <f>B2*50</f>
        <v>37.5</v>
      </c>
      <c r="E2" s="118" t="s">
        <v>139</v>
      </c>
      <c r="I2" s="118" t="s">
        <v>140</v>
      </c>
    </row>
    <row r="3" spans="1:9" x14ac:dyDescent="0.25">
      <c r="A3" s="126">
        <v>44826</v>
      </c>
      <c r="B3" s="118">
        <v>1</v>
      </c>
      <c r="C3" s="118">
        <v>50</v>
      </c>
      <c r="E3" s="118">
        <f>C14+C15</f>
        <v>700</v>
      </c>
      <c r="I3" s="118" t="s">
        <v>141</v>
      </c>
    </row>
    <row r="4" spans="1:9" x14ac:dyDescent="0.25">
      <c r="A4" s="126">
        <v>44833</v>
      </c>
      <c r="B4" s="118">
        <v>2</v>
      </c>
      <c r="C4" s="118">
        <v>100</v>
      </c>
    </row>
    <row r="5" spans="1:9" x14ac:dyDescent="0.25">
      <c r="A5" s="126">
        <v>44836</v>
      </c>
      <c r="B5" s="118">
        <v>1.75</v>
      </c>
      <c r="C5" s="118">
        <v>87.5</v>
      </c>
    </row>
    <row r="6" spans="1:9" x14ac:dyDescent="0.25">
      <c r="A6" s="126">
        <v>44837</v>
      </c>
      <c r="B6" s="118">
        <v>0.75</v>
      </c>
      <c r="C6" s="118">
        <v>37.5</v>
      </c>
    </row>
    <row r="7" spans="1:9" x14ac:dyDescent="0.25">
      <c r="A7" s="126">
        <v>44838</v>
      </c>
      <c r="B7" s="118">
        <v>1.25</v>
      </c>
      <c r="C7" s="118">
        <v>62.5</v>
      </c>
    </row>
    <row r="8" spans="1:9" x14ac:dyDescent="0.25">
      <c r="A8" s="126">
        <v>44839</v>
      </c>
      <c r="B8" s="118">
        <v>1.5</v>
      </c>
      <c r="C8" s="118">
        <v>75</v>
      </c>
    </row>
    <row r="9" spans="1:9" x14ac:dyDescent="0.25">
      <c r="A9" s="126">
        <v>44846</v>
      </c>
      <c r="B9" s="118">
        <v>1.5</v>
      </c>
      <c r="C9" s="118">
        <v>75</v>
      </c>
    </row>
    <row r="10" spans="1:9" x14ac:dyDescent="0.25">
      <c r="A10" s="126">
        <v>44850</v>
      </c>
      <c r="B10" s="118">
        <v>1.5</v>
      </c>
      <c r="C10" s="118">
        <v>75</v>
      </c>
    </row>
    <row r="11" spans="1:9" x14ac:dyDescent="0.25">
      <c r="A11" s="126"/>
    </row>
    <row r="12" spans="1:9" x14ac:dyDescent="0.25">
      <c r="A12" s="127" t="s">
        <v>0</v>
      </c>
      <c r="B12" s="118">
        <f>SUM(B2:B10)</f>
        <v>12</v>
      </c>
      <c r="C12" s="118">
        <f>B12*50</f>
        <v>600</v>
      </c>
    </row>
    <row r="14" spans="1:9" x14ac:dyDescent="0.25">
      <c r="A14" s="118" t="s">
        <v>142</v>
      </c>
      <c r="B14" s="118">
        <v>12</v>
      </c>
      <c r="C14" s="118">
        <v>600</v>
      </c>
    </row>
    <row r="15" spans="1:9" x14ac:dyDescent="0.25">
      <c r="A15" s="118" t="s">
        <v>143</v>
      </c>
      <c r="C15" s="128">
        <v>100</v>
      </c>
    </row>
    <row r="16" spans="1:9" x14ac:dyDescent="0.25">
      <c r="A16" s="118" t="s">
        <v>144</v>
      </c>
      <c r="B16" s="118">
        <v>0</v>
      </c>
      <c r="C16" s="118">
        <v>0</v>
      </c>
    </row>
    <row r="17" spans="1:3" s="129" customFormat="1" x14ac:dyDescent="0.25"/>
    <row r="18" spans="1:3" x14ac:dyDescent="0.25">
      <c r="A18" s="119" t="s">
        <v>136</v>
      </c>
      <c r="B18" s="119" t="s">
        <v>137</v>
      </c>
      <c r="C18" s="119" t="s">
        <v>138</v>
      </c>
    </row>
    <row r="19" spans="1:3" x14ac:dyDescent="0.25">
      <c r="A19" s="126">
        <v>44852</v>
      </c>
      <c r="B19" s="118">
        <v>1</v>
      </c>
      <c r="C19" s="118">
        <v>50</v>
      </c>
    </row>
    <row r="20" spans="1:3" x14ac:dyDescent="0.25">
      <c r="A20" s="126">
        <v>44858</v>
      </c>
      <c r="B20" s="118">
        <v>1</v>
      </c>
      <c r="C20" s="118">
        <v>50</v>
      </c>
    </row>
    <row r="21" spans="1:3" x14ac:dyDescent="0.25">
      <c r="A21" s="126">
        <v>44859</v>
      </c>
      <c r="B21" s="118">
        <v>1</v>
      </c>
      <c r="C21" s="118">
        <v>50</v>
      </c>
    </row>
    <row r="22" spans="1:3" x14ac:dyDescent="0.25">
      <c r="A22" s="126">
        <v>44861</v>
      </c>
      <c r="B22" s="118">
        <v>2.5</v>
      </c>
      <c r="C22" s="118">
        <v>125</v>
      </c>
    </row>
    <row r="23" spans="1:3" ht="17.25" customHeight="1" x14ac:dyDescent="0.25">
      <c r="A23" s="126">
        <v>44862</v>
      </c>
      <c r="B23" s="118">
        <v>1</v>
      </c>
      <c r="C23" s="118">
        <v>50</v>
      </c>
    </row>
    <row r="24" spans="1:3" ht="17.25" customHeight="1" x14ac:dyDescent="0.25">
      <c r="A24" s="126">
        <v>44871</v>
      </c>
      <c r="B24" s="118">
        <v>1.5</v>
      </c>
      <c r="C24" s="118">
        <v>75</v>
      </c>
    </row>
    <row r="25" spans="1:3" ht="17.25" customHeight="1" x14ac:dyDescent="0.25">
      <c r="A25" s="126">
        <v>44872</v>
      </c>
      <c r="B25" s="118">
        <v>2</v>
      </c>
      <c r="C25" s="118">
        <v>100</v>
      </c>
    </row>
    <row r="26" spans="1:3" x14ac:dyDescent="0.25">
      <c r="A26" s="126">
        <v>44872</v>
      </c>
      <c r="B26" s="118">
        <v>1</v>
      </c>
      <c r="C26" s="118">
        <v>50</v>
      </c>
    </row>
    <row r="27" spans="1:3" x14ac:dyDescent="0.25">
      <c r="A27" s="126">
        <v>44872</v>
      </c>
      <c r="B27" s="118">
        <v>2</v>
      </c>
      <c r="C27" s="118">
        <v>100</v>
      </c>
    </row>
    <row r="28" spans="1:3" x14ac:dyDescent="0.25">
      <c r="A28" s="126">
        <v>44872</v>
      </c>
      <c r="B28" s="118">
        <v>1</v>
      </c>
      <c r="C28" s="118">
        <v>50</v>
      </c>
    </row>
    <row r="29" spans="1:3" x14ac:dyDescent="0.25">
      <c r="A29" s="126">
        <v>44873</v>
      </c>
      <c r="B29" s="118">
        <v>1.5</v>
      </c>
      <c r="C29" s="118">
        <v>75</v>
      </c>
    </row>
    <row r="30" spans="1:3" x14ac:dyDescent="0.25">
      <c r="A30" s="126">
        <v>44886</v>
      </c>
      <c r="B30" s="118">
        <v>1.5</v>
      </c>
      <c r="C30" s="118">
        <v>75</v>
      </c>
    </row>
    <row r="31" spans="1:3" x14ac:dyDescent="0.25">
      <c r="A31" s="126">
        <v>44891</v>
      </c>
      <c r="B31" s="118">
        <v>0.5</v>
      </c>
      <c r="C31" s="118">
        <v>25</v>
      </c>
    </row>
    <row r="32" spans="1:3" x14ac:dyDescent="0.25">
      <c r="A32" s="126">
        <v>44892</v>
      </c>
      <c r="B32" s="118">
        <v>1.5</v>
      </c>
      <c r="C32" s="118">
        <v>75</v>
      </c>
    </row>
    <row r="33" spans="1:5" x14ac:dyDescent="0.25">
      <c r="A33" s="126">
        <v>44893</v>
      </c>
      <c r="B33" s="118">
        <v>1</v>
      </c>
      <c r="C33" s="118">
        <v>50</v>
      </c>
    </row>
    <row r="34" spans="1:5" x14ac:dyDescent="0.25">
      <c r="A34" s="127" t="s">
        <v>0</v>
      </c>
      <c r="B34" s="118">
        <f>SUM(B19:B33)</f>
        <v>20</v>
      </c>
      <c r="C34" s="118">
        <f>B34*50</f>
        <v>1000</v>
      </c>
    </row>
    <row r="36" spans="1:5" x14ac:dyDescent="0.25">
      <c r="A36" s="118" t="s">
        <v>142</v>
      </c>
      <c r="B36" s="118">
        <v>14</v>
      </c>
      <c r="C36" s="118">
        <v>700</v>
      </c>
      <c r="E36" s="119"/>
    </row>
    <row r="37" spans="1:5" x14ac:dyDescent="0.25">
      <c r="A37" s="118" t="s">
        <v>143</v>
      </c>
      <c r="C37" s="128">
        <v>100</v>
      </c>
    </row>
    <row r="38" spans="1:5" x14ac:dyDescent="0.25">
      <c r="A38" s="118" t="s">
        <v>144</v>
      </c>
      <c r="C38" s="118">
        <v>300</v>
      </c>
    </row>
    <row r="39" spans="1:5" s="129" customFormat="1" x14ac:dyDescent="0.25"/>
    <row r="40" spans="1:5" x14ac:dyDescent="0.25">
      <c r="A40" s="119" t="s">
        <v>136</v>
      </c>
      <c r="B40" s="119" t="s">
        <v>137</v>
      </c>
      <c r="C40" s="119" t="s">
        <v>138</v>
      </c>
    </row>
    <row r="41" spans="1:5" x14ac:dyDescent="0.25">
      <c r="A41" s="118" t="s">
        <v>183</v>
      </c>
      <c r="C41" s="118">
        <v>300</v>
      </c>
    </row>
    <row r="42" spans="1:5" x14ac:dyDescent="0.25">
      <c r="A42" s="126">
        <v>44899</v>
      </c>
      <c r="B42" s="118">
        <v>1.5</v>
      </c>
      <c r="C42" s="118">
        <v>75</v>
      </c>
    </row>
    <row r="43" spans="1:5" x14ac:dyDescent="0.25">
      <c r="A43" s="126"/>
    </row>
    <row r="45" spans="1:5" x14ac:dyDescent="0.25">
      <c r="A45" s="127" t="s">
        <v>0</v>
      </c>
      <c r="C45" s="118">
        <f>SUM(C41:C42)</f>
        <v>375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</vt:i4>
      </vt:variant>
    </vt:vector>
  </HeadingPairs>
  <TitlesOfParts>
    <vt:vector size="23" baseType="lpstr">
      <vt:lpstr>1</vt:lpstr>
      <vt:lpstr>Annual Summary</vt:lpstr>
      <vt:lpstr>2023 Overview</vt:lpstr>
      <vt:lpstr>2025 Overview (Budget)</vt:lpstr>
      <vt:lpstr>2025 Overview</vt:lpstr>
      <vt:lpstr>2025 AOP</vt:lpstr>
      <vt:lpstr>2024 Overview</vt:lpstr>
      <vt:lpstr>2022 Overview</vt:lpstr>
      <vt:lpstr>Quarterly Overview</vt:lpstr>
      <vt:lpstr>2</vt:lpstr>
      <vt:lpstr>Monthly Detail</vt:lpstr>
      <vt:lpstr>3</vt:lpstr>
      <vt:lpstr>October</vt:lpstr>
      <vt:lpstr>September</vt:lpstr>
      <vt:lpstr>August</vt:lpstr>
      <vt:lpstr>Actual vs. Forecast</vt:lpstr>
      <vt:lpstr>People Plan</vt:lpstr>
      <vt:lpstr>Holidays</vt:lpstr>
      <vt:lpstr>December</vt:lpstr>
      <vt:lpstr>November</vt:lpstr>
      <vt:lpstr>River</vt:lpstr>
      <vt:lpstr>'2022 Overview'!Print_Area</vt:lpstr>
      <vt:lpstr>'Annual Summary'!Print_Area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jordan lee</cp:lastModifiedBy>
  <cp:lastPrinted>2025-11-10T19:56:58Z</cp:lastPrinted>
  <dcterms:created xsi:type="dcterms:W3CDTF">2022-12-01T00:32:54Z</dcterms:created>
  <dcterms:modified xsi:type="dcterms:W3CDTF">2025-12-09T04:01:26Z</dcterms:modified>
</cp:coreProperties>
</file>