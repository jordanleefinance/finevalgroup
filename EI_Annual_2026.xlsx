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\OneDrive\Documents\GitHub\finevalgroup\"/>
    </mc:Choice>
  </mc:AlternateContent>
  <xr:revisionPtr revIDLastSave="0" documentId="13_ncr:8001_{15C80CEE-04B8-4B26-BD99-81D72E166377}" xr6:coauthVersionLast="47" xr6:coauthVersionMax="47" xr10:uidLastSave="{00000000-0000-0000-0000-000000000000}"/>
  <bookViews>
    <workbookView xWindow="-108" yWindow="-108" windowWidth="23256" windowHeight="12456" tabRatio="758" firstSheet="5" activeTab="12" xr2:uid="{00000000-000D-0000-FFFF-FFFF00000000}"/>
  </bookViews>
  <sheets>
    <sheet name="1" sheetId="2" r:id="rId1"/>
    <sheet name="Annual Summary" sheetId="5" r:id="rId2"/>
    <sheet name="2025 AOP" sheetId="30" r:id="rId3"/>
    <sheet name="2023 Overview" sheetId="15" state="hidden" r:id="rId4"/>
    <sheet name="2026 AOP" sheetId="31" r:id="rId5"/>
    <sheet name="2025 Overview (Rolling)" sheetId="29" r:id="rId6"/>
    <sheet name="2025 Overview (Budget)" sheetId="27" r:id="rId7"/>
    <sheet name="2024 Overview (Rolling)" sheetId="25" state="hidden" r:id="rId8"/>
    <sheet name="2024 AOP" sheetId="26" state="hidden" r:id="rId9"/>
    <sheet name="Quarterly Overview" sheetId="20" r:id="rId10"/>
    <sheet name="2022 Overview" sheetId="6" state="hidden" r:id="rId11"/>
    <sheet name="2" sheetId="3" r:id="rId12"/>
    <sheet name="Monthly Detail" sheetId="1" r:id="rId13"/>
    <sheet name="3" sheetId="4" r:id="rId14"/>
    <sheet name="October" sheetId="11" state="hidden" r:id="rId15"/>
    <sheet name="September" sheetId="12" state="hidden" r:id="rId16"/>
    <sheet name="August" sheetId="13" state="hidden" r:id="rId17"/>
    <sheet name="People Plan" sheetId="24" r:id="rId18"/>
    <sheet name="Actual vs. Forecast" sheetId="28" r:id="rId19"/>
    <sheet name="Holidays" sheetId="9" state="hidden" r:id="rId20"/>
    <sheet name="December" sheetId="19" state="hidden" r:id="rId21"/>
    <sheet name="November" sheetId="16" state="hidden" r:id="rId22"/>
    <sheet name="River" sheetId="18" state="hidden" r:id="rId23"/>
  </sheets>
  <externalReferences>
    <externalReference r:id="rId24"/>
  </externalReferences>
  <definedNames>
    <definedName name="_xlnm._FilterDatabase" localSheetId="20" hidden="1">December!$A$1:$K$16</definedName>
    <definedName name="_xlnm._FilterDatabase" localSheetId="21" hidden="1">November!$A$1:$L$25</definedName>
    <definedName name="_xlnm._FilterDatabase" localSheetId="14" hidden="1">October!$A$1:$K$41</definedName>
    <definedName name="MLNK04527a7a692d4c5a962de6ed08306286" hidden="1">#REF!</definedName>
    <definedName name="_xlnm.Print_Area" localSheetId="10">'2022 Overview'!$B$2:$P$31</definedName>
    <definedName name="_xlnm.Print_Area" localSheetId="1">'Annual Summary'!$B$3:$AB$38</definedName>
  </definedNames>
  <calcPr calcId="191029"/>
  <pivotCaches>
    <pivotCache cacheId="0" r:id="rId25"/>
    <pivotCache cacheId="1" r:id="rId26"/>
    <pivotCache cacheId="2" r:id="rId27"/>
    <pivotCache cacheId="3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16" i="28" l="1"/>
  <c r="CC16" i="28"/>
  <c r="AL49" i="28"/>
  <c r="AK49" i="28"/>
  <c r="AJ49" i="28"/>
  <c r="AL46" i="28"/>
  <c r="AL47" i="28" s="1"/>
  <c r="AL48" i="28" s="1"/>
  <c r="AK46" i="28"/>
  <c r="AK47" i="28" s="1"/>
  <c r="AK48" i="28" s="1"/>
  <c r="AJ46" i="28"/>
  <c r="AJ47" i="28" s="1"/>
  <c r="AJ48" i="28" s="1"/>
  <c r="AI46" i="28"/>
  <c r="AI47" i="28" s="1"/>
  <c r="AI48" i="28" s="1"/>
  <c r="AH46" i="28"/>
  <c r="AH47" i="28" s="1"/>
  <c r="AH48" i="28" s="1"/>
  <c r="AG46" i="28"/>
  <c r="AG47" i="28" s="1"/>
  <c r="AG48" i="28" s="1"/>
  <c r="AF46" i="28"/>
  <c r="AF47" i="28" s="1"/>
  <c r="AF48" i="28" s="1"/>
  <c r="AE46" i="28"/>
  <c r="AE47" i="28" s="1"/>
  <c r="AE48" i="28" s="1"/>
  <c r="AD46" i="28"/>
  <c r="AD47" i="28" s="1"/>
  <c r="AD48" i="28" s="1"/>
  <c r="AL41" i="28"/>
  <c r="AK41" i="28"/>
  <c r="AJ41" i="28"/>
  <c r="AI41" i="28"/>
  <c r="AH41" i="28"/>
  <c r="AG41" i="28"/>
  <c r="AF41" i="28"/>
  <c r="AE41" i="28"/>
  <c r="AD41" i="28"/>
  <c r="AL40" i="28"/>
  <c r="AK40" i="28"/>
  <c r="AJ40" i="28"/>
  <c r="AI40" i="28"/>
  <c r="AH40" i="28"/>
  <c r="AG40" i="28"/>
  <c r="AF40" i="28"/>
  <c r="AE40" i="28"/>
  <c r="AD40" i="28"/>
  <c r="AL39" i="28"/>
  <c r="AK39" i="28"/>
  <c r="AJ39" i="28"/>
  <c r="AI39" i="28"/>
  <c r="AH39" i="28"/>
  <c r="AG39" i="28"/>
  <c r="AF39" i="28"/>
  <c r="AE39" i="28"/>
  <c r="AD39" i="28"/>
  <c r="AL38" i="28"/>
  <c r="AK38" i="28"/>
  <c r="AJ38" i="28"/>
  <c r="AI38" i="28"/>
  <c r="AH38" i="28"/>
  <c r="AG38" i="28"/>
  <c r="AF38" i="28"/>
  <c r="AE38" i="28"/>
  <c r="AD38" i="28"/>
  <c r="AL37" i="28"/>
  <c r="AK37" i="28"/>
  <c r="AJ37" i="28"/>
  <c r="AI37" i="28"/>
  <c r="AH37" i="28"/>
  <c r="AG37" i="28"/>
  <c r="AF37" i="28"/>
  <c r="AE37" i="28"/>
  <c r="AD37" i="28"/>
  <c r="AL36" i="28"/>
  <c r="AK36" i="28"/>
  <c r="AJ36" i="28"/>
  <c r="AI36" i="28"/>
  <c r="AH36" i="28"/>
  <c r="AG36" i="28"/>
  <c r="AF36" i="28"/>
  <c r="AE36" i="28"/>
  <c r="AD36" i="28"/>
  <c r="AL35" i="28"/>
  <c r="AK35" i="28"/>
  <c r="AJ35" i="28"/>
  <c r="AI35" i="28"/>
  <c r="AH35" i="28"/>
  <c r="AG35" i="28"/>
  <c r="AF35" i="28"/>
  <c r="AE35" i="28"/>
  <c r="AD35" i="28"/>
  <c r="AL34" i="28"/>
  <c r="AK34" i="28"/>
  <c r="AJ34" i="28"/>
  <c r="AI34" i="28"/>
  <c r="AH34" i="28"/>
  <c r="AG34" i="28"/>
  <c r="AF34" i="28"/>
  <c r="AE34" i="28"/>
  <c r="AD34" i="28"/>
  <c r="AL33" i="28"/>
  <c r="AK33" i="28"/>
  <c r="AJ33" i="28"/>
  <c r="AI33" i="28"/>
  <c r="AH33" i="28"/>
  <c r="AG33" i="28"/>
  <c r="AF33" i="28"/>
  <c r="AE33" i="28"/>
  <c r="AD33" i="28"/>
  <c r="AL30" i="28"/>
  <c r="AK30" i="28"/>
  <c r="AJ30" i="28"/>
  <c r="AL28" i="28"/>
  <c r="AK28" i="28"/>
  <c r="AJ28" i="28"/>
  <c r="AI28" i="28"/>
  <c r="AH28" i="28"/>
  <c r="AG28" i="28"/>
  <c r="AF28" i="28"/>
  <c r="AE28" i="28"/>
  <c r="AD28" i="28"/>
  <c r="AL25" i="28"/>
  <c r="AK25" i="28"/>
  <c r="AJ25" i="28"/>
  <c r="AI25" i="28"/>
  <c r="AH25" i="28"/>
  <c r="AG25" i="28"/>
  <c r="AF25" i="28"/>
  <c r="AE25" i="28"/>
  <c r="AD25" i="28"/>
  <c r="AL23" i="28"/>
  <c r="AK23" i="28"/>
  <c r="AJ23" i="28"/>
  <c r="AI23" i="28"/>
  <c r="AH23" i="28"/>
  <c r="AG23" i="28"/>
  <c r="AF23" i="28"/>
  <c r="AE23" i="28"/>
  <c r="AD23" i="28"/>
  <c r="AL22" i="28"/>
  <c r="AK22" i="28"/>
  <c r="AJ22" i="28"/>
  <c r="AI22" i="28"/>
  <c r="AH22" i="28"/>
  <c r="AG22" i="28"/>
  <c r="AF22" i="28"/>
  <c r="AE22" i="28"/>
  <c r="AD22" i="28"/>
  <c r="AL21" i="28"/>
  <c r="AK21" i="28"/>
  <c r="AJ21" i="28"/>
  <c r="AI21" i="28"/>
  <c r="AH21" i="28"/>
  <c r="AG21" i="28"/>
  <c r="AF21" i="28"/>
  <c r="AE21" i="28"/>
  <c r="AD21" i="28"/>
  <c r="AL20" i="28"/>
  <c r="AK20" i="28"/>
  <c r="AJ20" i="28"/>
  <c r="AI20" i="28"/>
  <c r="AH20" i="28"/>
  <c r="AG20" i="28"/>
  <c r="AF20" i="28"/>
  <c r="AE20" i="28"/>
  <c r="AD20" i="28"/>
  <c r="AL19" i="28"/>
  <c r="AK19" i="28"/>
  <c r="AJ19" i="28"/>
  <c r="AI19" i="28"/>
  <c r="AH19" i="28"/>
  <c r="AG19" i="28"/>
  <c r="AF19" i="28"/>
  <c r="AE19" i="28"/>
  <c r="AD19" i="28"/>
  <c r="AL18" i="28"/>
  <c r="AK18" i="28"/>
  <c r="AJ18" i="28"/>
  <c r="AI18" i="28"/>
  <c r="AH18" i="28"/>
  <c r="AG18" i="28"/>
  <c r="AF18" i="28"/>
  <c r="AE18" i="28"/>
  <c r="AD18" i="28"/>
  <c r="AL17" i="28"/>
  <c r="AK17" i="28"/>
  <c r="AJ17" i="28"/>
  <c r="AI17" i="28"/>
  <c r="AH17" i="28"/>
  <c r="AG17" i="28"/>
  <c r="AF17" i="28"/>
  <c r="AE17" i="28"/>
  <c r="AD17" i="28"/>
  <c r="AL16" i="28"/>
  <c r="AK16" i="28"/>
  <c r="AJ16" i="28"/>
  <c r="AI16" i="28"/>
  <c r="AH16" i="28"/>
  <c r="AG16" i="28"/>
  <c r="AF16" i="28"/>
  <c r="AE16" i="28"/>
  <c r="AD16" i="28"/>
  <c r="AK43" i="28" l="1"/>
  <c r="AL43" i="28"/>
  <c r="AL44" i="28" s="1"/>
  <c r="AL45" i="28" s="1"/>
  <c r="AE43" i="28"/>
  <c r="AE44" i="28" s="1"/>
  <c r="AE50" i="28" s="1"/>
  <c r="AG43" i="28"/>
  <c r="AG44" i="28" s="1"/>
  <c r="AG50" i="28" s="1"/>
  <c r="AD43" i="28"/>
  <c r="AD44" i="28" s="1"/>
  <c r="AD50" i="28" s="1"/>
  <c r="AI43" i="28"/>
  <c r="AI44" i="28" s="1"/>
  <c r="AI50" i="28" s="1"/>
  <c r="AH43" i="28"/>
  <c r="AH44" i="28" s="1"/>
  <c r="AH50" i="28" s="1"/>
  <c r="AF43" i="28"/>
  <c r="AF44" i="28" s="1"/>
  <c r="AF50" i="28" s="1"/>
  <c r="AJ43" i="28"/>
  <c r="AJ44" i="28" s="1"/>
  <c r="AJ45" i="28" s="1"/>
  <c r="AK44" i="28"/>
  <c r="AK45" i="28" s="1"/>
  <c r="AL50" i="28" l="1"/>
  <c r="AJ50" i="28"/>
  <c r="AK50" i="28"/>
  <c r="FB18" i="24" l="1"/>
  <c r="FA18" i="24"/>
  <c r="EZ18" i="24"/>
  <c r="EY18" i="24"/>
  <c r="EX18" i="24"/>
  <c r="EW18" i="24"/>
  <c r="EV18" i="24"/>
  <c r="EU18" i="24"/>
  <c r="ET18" i="24"/>
  <c r="ES18" i="24"/>
  <c r="ER18" i="24"/>
  <c r="EQ18" i="24"/>
  <c r="EP18" i="24"/>
  <c r="EO18" i="24"/>
  <c r="EN18" i="24"/>
  <c r="EM18" i="24"/>
  <c r="EL18" i="24"/>
  <c r="EK18" i="24"/>
  <c r="EJ18" i="24"/>
  <c r="EI18" i="24"/>
  <c r="EH18" i="24"/>
  <c r="EG18" i="24"/>
  <c r="EF18" i="24"/>
  <c r="EE18" i="24"/>
  <c r="ED18" i="24"/>
  <c r="EC18" i="24"/>
  <c r="EB18" i="24"/>
  <c r="EA18" i="24"/>
  <c r="DZ18" i="24"/>
  <c r="DY18" i="24"/>
  <c r="DX18" i="24"/>
  <c r="DW18" i="24"/>
  <c r="DV18" i="24"/>
  <c r="DU18" i="24"/>
  <c r="DT18" i="24"/>
  <c r="DS18" i="24"/>
  <c r="DR18" i="24"/>
  <c r="DQ18" i="24"/>
  <c r="DP18" i="24"/>
  <c r="DO18" i="24"/>
  <c r="DN18" i="24"/>
  <c r="DM18" i="24"/>
  <c r="DL18" i="24"/>
  <c r="DK18" i="24"/>
  <c r="DJ18" i="24"/>
  <c r="DI18" i="24"/>
  <c r="DH18" i="24"/>
  <c r="DG18" i="24"/>
  <c r="DF18" i="24"/>
  <c r="DE18" i="24"/>
  <c r="DD18" i="24"/>
  <c r="DC18" i="24"/>
  <c r="DB18" i="24"/>
  <c r="DA18" i="24"/>
  <c r="CZ18" i="24"/>
  <c r="CY18" i="24"/>
  <c r="CX18" i="24"/>
  <c r="CW18" i="24"/>
  <c r="CV18" i="24"/>
  <c r="CU18" i="24"/>
  <c r="CT18" i="24"/>
  <c r="CS18" i="24"/>
  <c r="CR18" i="24"/>
  <c r="CQ18" i="24"/>
  <c r="CP18" i="24"/>
  <c r="CO18" i="24"/>
  <c r="CN18" i="24"/>
  <c r="CM18" i="24"/>
  <c r="CL18" i="24"/>
  <c r="CK18" i="24"/>
  <c r="CJ18" i="24"/>
  <c r="CI18" i="24"/>
  <c r="AW34" i="1"/>
  <c r="FB15" i="24"/>
  <c r="FA15" i="24"/>
  <c r="EZ15" i="24"/>
  <c r="EY15" i="24"/>
  <c r="EX15" i="24"/>
  <c r="EW15" i="24"/>
  <c r="EV15" i="24"/>
  <c r="EU15" i="24"/>
  <c r="ET15" i="24"/>
  <c r="ES15" i="24"/>
  <c r="ER15" i="24"/>
  <c r="EQ15" i="24"/>
  <c r="EP15" i="24"/>
  <c r="EO15" i="24"/>
  <c r="EN15" i="24"/>
  <c r="EM15" i="24"/>
  <c r="EL15" i="24"/>
  <c r="EK15" i="24"/>
  <c r="EJ15" i="24"/>
  <c r="EI15" i="24"/>
  <c r="EH15" i="24"/>
  <c r="EG15" i="24"/>
  <c r="EF15" i="24"/>
  <c r="EE15" i="24"/>
  <c r="ED15" i="24"/>
  <c r="EC15" i="24"/>
  <c r="EB15" i="24"/>
  <c r="EA15" i="24"/>
  <c r="DZ15" i="24"/>
  <c r="DY15" i="24"/>
  <c r="DX15" i="24"/>
  <c r="DW15" i="24"/>
  <c r="DV15" i="24"/>
  <c r="DU15" i="24"/>
  <c r="DT15" i="24"/>
  <c r="DS15" i="24"/>
  <c r="DR15" i="24"/>
  <c r="DQ15" i="24"/>
  <c r="DP15" i="24"/>
  <c r="DO15" i="24"/>
  <c r="DN15" i="24"/>
  <c r="DM15" i="24"/>
  <c r="DL15" i="24"/>
  <c r="DK15" i="24"/>
  <c r="DJ15" i="24"/>
  <c r="DI15" i="24"/>
  <c r="DH15" i="24"/>
  <c r="DG15" i="24"/>
  <c r="DF15" i="24"/>
  <c r="DE15" i="24"/>
  <c r="DD15" i="24"/>
  <c r="DC15" i="24"/>
  <c r="DB15" i="24"/>
  <c r="DA15" i="24"/>
  <c r="CZ15" i="24"/>
  <c r="CY15" i="24"/>
  <c r="CX15" i="24"/>
  <c r="CW15" i="24"/>
  <c r="CV15" i="24"/>
  <c r="CU15" i="24"/>
  <c r="CT15" i="24"/>
  <c r="CS15" i="24"/>
  <c r="CR15" i="24"/>
  <c r="CQ15" i="24"/>
  <c r="CP15" i="24"/>
  <c r="CO15" i="24"/>
  <c r="CN15" i="24"/>
  <c r="CM15" i="24"/>
  <c r="CL15" i="24"/>
  <c r="CK15" i="24"/>
  <c r="CJ15" i="24"/>
  <c r="CI15" i="24"/>
  <c r="J33" i="31" l="1"/>
  <c r="I33" i="31"/>
  <c r="H33" i="31"/>
  <c r="G33" i="31"/>
  <c r="F33" i="31"/>
  <c r="E33" i="31"/>
  <c r="D33" i="31"/>
  <c r="C33" i="31"/>
  <c r="J32" i="31"/>
  <c r="I32" i="31"/>
  <c r="H32" i="31"/>
  <c r="G32" i="31"/>
  <c r="F32" i="31"/>
  <c r="E32" i="31"/>
  <c r="D32" i="31"/>
  <c r="C32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FB14" i="24"/>
  <c r="FA14" i="24"/>
  <c r="EZ14" i="24"/>
  <c r="EY14" i="24"/>
  <c r="EX14" i="24"/>
  <c r="EW14" i="24"/>
  <c r="EV14" i="24"/>
  <c r="EU14" i="24"/>
  <c r="ET14" i="24"/>
  <c r="ES14" i="24"/>
  <c r="ER14" i="24"/>
  <c r="EQ14" i="24"/>
  <c r="EP14" i="24"/>
  <c r="EO14" i="24"/>
  <c r="EN14" i="24"/>
  <c r="EM14" i="24"/>
  <c r="EL14" i="24"/>
  <c r="EK14" i="24"/>
  <c r="EJ14" i="24"/>
  <c r="EI14" i="24"/>
  <c r="EH14" i="24"/>
  <c r="EG14" i="24"/>
  <c r="EF14" i="24"/>
  <c r="EE14" i="24"/>
  <c r="ED14" i="24"/>
  <c r="EC14" i="24"/>
  <c r="EB14" i="24"/>
  <c r="EA14" i="24"/>
  <c r="DZ14" i="24"/>
  <c r="DY14" i="24"/>
  <c r="DX14" i="24"/>
  <c r="DW14" i="24"/>
  <c r="DV14" i="24"/>
  <c r="DU14" i="24"/>
  <c r="DT14" i="24"/>
  <c r="DS14" i="24"/>
  <c r="DR14" i="24"/>
  <c r="DQ14" i="24"/>
  <c r="DP14" i="24"/>
  <c r="DO14" i="24"/>
  <c r="DN14" i="24"/>
  <c r="DM14" i="24"/>
  <c r="DL14" i="24"/>
  <c r="DK14" i="24"/>
  <c r="DJ14" i="24"/>
  <c r="DI14" i="24"/>
  <c r="DH14" i="24"/>
  <c r="DG14" i="24"/>
  <c r="DF14" i="24"/>
  <c r="DE14" i="24"/>
  <c r="DD14" i="24"/>
  <c r="DC14" i="24"/>
  <c r="DB14" i="24"/>
  <c r="DA14" i="24"/>
  <c r="CZ14" i="24"/>
  <c r="CY14" i="24"/>
  <c r="CX14" i="24"/>
  <c r="CW14" i="24"/>
  <c r="CV14" i="24"/>
  <c r="CU14" i="24"/>
  <c r="CT14" i="24"/>
  <c r="CS14" i="24"/>
  <c r="CR14" i="24"/>
  <c r="CQ14" i="24"/>
  <c r="CP14" i="24"/>
  <c r="CO14" i="24"/>
  <c r="CN14" i="24"/>
  <c r="CM14" i="24"/>
  <c r="CL14" i="24"/>
  <c r="CK14" i="24"/>
  <c r="CJ14" i="24"/>
  <c r="CI14" i="24"/>
  <c r="W7" i="24"/>
  <c r="E6" i="24"/>
  <c r="CD26" i="28" l="1"/>
  <c r="CD24" i="28"/>
  <c r="X11" i="24"/>
  <c r="X20" i="24" s="1"/>
  <c r="X8" i="24"/>
  <c r="AW137" i="1"/>
  <c r="AW124" i="1"/>
  <c r="AW125" i="1" s="1"/>
  <c r="AW118" i="1"/>
  <c r="AW117" i="1"/>
  <c r="AW93" i="1"/>
  <c r="AX93" i="1" s="1"/>
  <c r="AW91" i="1"/>
  <c r="AW90" i="1"/>
  <c r="AW89" i="1"/>
  <c r="AX89" i="1" s="1"/>
  <c r="AW88" i="1"/>
  <c r="AW86" i="1"/>
  <c r="AW85" i="1"/>
  <c r="AW84" i="1"/>
  <c r="AW77" i="1"/>
  <c r="AW76" i="1"/>
  <c r="AW80" i="1" s="1"/>
  <c r="AW64" i="1"/>
  <c r="AW63" i="1"/>
  <c r="AW11" i="1"/>
  <c r="AW10" i="1"/>
  <c r="AW39" i="1" s="1"/>
  <c r="AW9" i="1"/>
  <c r="AW8" i="1"/>
  <c r="AW37" i="1" s="1"/>
  <c r="AW7" i="1"/>
  <c r="AW30" i="1"/>
  <c r="AW26" i="1" s="1"/>
  <c r="AW19" i="1"/>
  <c r="AW150" i="1"/>
  <c r="AW149" i="1"/>
  <c r="AW144" i="1"/>
  <c r="AW146" i="1" s="1"/>
  <c r="AW147" i="1" s="1"/>
  <c r="AW138" i="1"/>
  <c r="AW132" i="1"/>
  <c r="AW108" i="1"/>
  <c r="AW105" i="1"/>
  <c r="AW109" i="1" s="1"/>
  <c r="AW72" i="1"/>
  <c r="AW65" i="1"/>
  <c r="AW42" i="1"/>
  <c r="AW40" i="1"/>
  <c r="AX144" i="1"/>
  <c r="AX146" i="1" s="1"/>
  <c r="AX147" i="1" s="1"/>
  <c r="AX138" i="1"/>
  <c r="AX132" i="1"/>
  <c r="AX108" i="1"/>
  <c r="AX105" i="1"/>
  <c r="AX109" i="1" s="1"/>
  <c r="AX94" i="1"/>
  <c r="AX92" i="1"/>
  <c r="AX90" i="1"/>
  <c r="AX87" i="1"/>
  <c r="AX64" i="1"/>
  <c r="AX22" i="1"/>
  <c r="AW81" i="1" l="1"/>
  <c r="BI42" i="1"/>
  <c r="AW102" i="1"/>
  <c r="X21" i="24"/>
  <c r="AW95" i="1"/>
  <c r="AW38" i="1"/>
  <c r="AW43" i="1"/>
  <c r="AX21" i="1"/>
  <c r="AX164" i="1"/>
  <c r="AX150" i="1"/>
  <c r="AX149" i="1"/>
  <c r="M32" i="31" s="1"/>
  <c r="AW12" i="1"/>
  <c r="AW36" i="1"/>
  <c r="CC26" i="28"/>
  <c r="CC24" i="28"/>
  <c r="AW98" i="1" l="1"/>
  <c r="AW101" i="1"/>
  <c r="AW14" i="1"/>
  <c r="AW15" i="1"/>
  <c r="AW35" i="1" l="1"/>
  <c r="AW66" i="1"/>
  <c r="AW44" i="1"/>
  <c r="AV149" i="1"/>
  <c r="AV150" i="1"/>
  <c r="AV157" i="1" s="1"/>
  <c r="AV124" i="1"/>
  <c r="AV125" i="1" s="1"/>
  <c r="AV119" i="1"/>
  <c r="AW119" i="1" s="1"/>
  <c r="AW122" i="1" s="1"/>
  <c r="AW133" i="1" s="1"/>
  <c r="AW134" i="1" s="1"/>
  <c r="AV118" i="1"/>
  <c r="AV117" i="1"/>
  <c r="AV86" i="1"/>
  <c r="AV85" i="1"/>
  <c r="AV77" i="1"/>
  <c r="AV76" i="1"/>
  <c r="AV80" i="1" s="1"/>
  <c r="AV95" i="1" s="1"/>
  <c r="AV64" i="1"/>
  <c r="AV63" i="1"/>
  <c r="AV65" i="1" s="1"/>
  <c r="AV10" i="1"/>
  <c r="AV39" i="1" s="1"/>
  <c r="AV9" i="1"/>
  <c r="AV8" i="1"/>
  <c r="AV7" i="1"/>
  <c r="AV144" i="1"/>
  <c r="AV146" i="1" s="1"/>
  <c r="AV147" i="1" s="1"/>
  <c r="AV138" i="1"/>
  <c r="AV132" i="1"/>
  <c r="AV108" i="1"/>
  <c r="AV105" i="1"/>
  <c r="AV72" i="1"/>
  <c r="AV42" i="1"/>
  <c r="AV40" i="1"/>
  <c r="AV38" i="1"/>
  <c r="AV36" i="1"/>
  <c r="AV26" i="1"/>
  <c r="AV19" i="1"/>
  <c r="T19" i="24"/>
  <c r="U19" i="24"/>
  <c r="AQ105" i="1"/>
  <c r="U8" i="24"/>
  <c r="V8" i="24"/>
  <c r="U11" i="24"/>
  <c r="V11" i="24"/>
  <c r="V19" i="24"/>
  <c r="AV81" i="1" l="1"/>
  <c r="AW164" i="1"/>
  <c r="AV109" i="1"/>
  <c r="AW163" i="1"/>
  <c r="K33" i="31"/>
  <c r="L33" i="31"/>
  <c r="AW157" i="1"/>
  <c r="K32" i="31"/>
  <c r="L32" i="31"/>
  <c r="AW168" i="1"/>
  <c r="AW169" i="1" s="1"/>
  <c r="AV102" i="1"/>
  <c r="AW126" i="1"/>
  <c r="BH42" i="1"/>
  <c r="AV122" i="1"/>
  <c r="AV12" i="1"/>
  <c r="AV101" i="1" s="1"/>
  <c r="AV168" i="1"/>
  <c r="AV169" i="1" s="1"/>
  <c r="U20" i="24"/>
  <c r="U21" i="24" s="1"/>
  <c r="AW67" i="1"/>
  <c r="AW46" i="1"/>
  <c r="AW99" i="1"/>
  <c r="AW45" i="1"/>
  <c r="AV43" i="1"/>
  <c r="AV133" i="1"/>
  <c r="AV134" i="1" s="1"/>
  <c r="AV15" i="1"/>
  <c r="AV37" i="1"/>
  <c r="AV98" i="1"/>
  <c r="V20" i="24"/>
  <c r="V21" i="24" s="1"/>
  <c r="AU168" i="1"/>
  <c r="AU169" i="1" s="1"/>
  <c r="AU157" i="1"/>
  <c r="AU144" i="1"/>
  <c r="AU146" i="1" s="1"/>
  <c r="AU147" i="1" s="1"/>
  <c r="AU138" i="1"/>
  <c r="AU132" i="1"/>
  <c r="AU125" i="1"/>
  <c r="AV163" i="1" s="1"/>
  <c r="AU122" i="1"/>
  <c r="AU108" i="1"/>
  <c r="AU105" i="1"/>
  <c r="AU81" i="1"/>
  <c r="AU80" i="1"/>
  <c r="AU95" i="1" s="1"/>
  <c r="AU72" i="1"/>
  <c r="AU65" i="1"/>
  <c r="AU102" i="1" s="1"/>
  <c r="AW48" i="1" s="1"/>
  <c r="AW50" i="1" s="1"/>
  <c r="AU42" i="1"/>
  <c r="AU40" i="1"/>
  <c r="AU39" i="1"/>
  <c r="AU38" i="1"/>
  <c r="AU37" i="1"/>
  <c r="AU36" i="1"/>
  <c r="AU26" i="1"/>
  <c r="AU19" i="1"/>
  <c r="AU12" i="1"/>
  <c r="AU15" i="1" s="1"/>
  <c r="AT144" i="1"/>
  <c r="AT146" i="1" s="1"/>
  <c r="AT132" i="1"/>
  <c r="AT65" i="1"/>
  <c r="AT102" i="1" s="1"/>
  <c r="AT168" i="1"/>
  <c r="AT169" i="1" s="1"/>
  <c r="AT157" i="1"/>
  <c r="AT138" i="1"/>
  <c r="AT125" i="1"/>
  <c r="AT122" i="1"/>
  <c r="AT108" i="1"/>
  <c r="AT105" i="1"/>
  <c r="AT81" i="1"/>
  <c r="AT80" i="1"/>
  <c r="AT95" i="1" s="1"/>
  <c r="AT72" i="1"/>
  <c r="AT42" i="1"/>
  <c r="AT40" i="1"/>
  <c r="AT39" i="1"/>
  <c r="AT38" i="1"/>
  <c r="AT37" i="1"/>
  <c r="AT36" i="1"/>
  <c r="AT26" i="1"/>
  <c r="AT19" i="1"/>
  <c r="AT12" i="1"/>
  <c r="AT15" i="1" s="1"/>
  <c r="AV164" i="1" l="1"/>
  <c r="AV14" i="1"/>
  <c r="AV44" i="1" s="1"/>
  <c r="AV45" i="1" s="1"/>
  <c r="AV48" i="1"/>
  <c r="AT43" i="1"/>
  <c r="BF42" i="1"/>
  <c r="AT109" i="1"/>
  <c r="AU43" i="1"/>
  <c r="BG42" i="1"/>
  <c r="AW110" i="1"/>
  <c r="AW100" i="1"/>
  <c r="AV35" i="1"/>
  <c r="AV66" i="1"/>
  <c r="AV46" i="1" s="1"/>
  <c r="AV126" i="1"/>
  <c r="AT147" i="1"/>
  <c r="AT164" i="1" s="1"/>
  <c r="AU163" i="1"/>
  <c r="AU133" i="1"/>
  <c r="AU134" i="1" s="1"/>
  <c r="AU109" i="1"/>
  <c r="AU101" i="1"/>
  <c r="AX101" i="1" s="1"/>
  <c r="AU98" i="1"/>
  <c r="AU14" i="1"/>
  <c r="AU44" i="1" s="1"/>
  <c r="AT133" i="1"/>
  <c r="AT134" i="1" s="1"/>
  <c r="AT101" i="1"/>
  <c r="AT98" i="1"/>
  <c r="AT14" i="1"/>
  <c r="AT44" i="1" s="1"/>
  <c r="AR36" i="1"/>
  <c r="AQ36" i="1"/>
  <c r="AP36" i="1"/>
  <c r="AO36" i="1"/>
  <c r="AN36" i="1"/>
  <c r="AS36" i="1"/>
  <c r="S19" i="24"/>
  <c r="AS12" i="1"/>
  <c r="AS101" i="1" s="1"/>
  <c r="AS19" i="1"/>
  <c r="AS26" i="1"/>
  <c r="AS37" i="1"/>
  <c r="AS38" i="1"/>
  <c r="AS39" i="1"/>
  <c r="AS40" i="1"/>
  <c r="AS42" i="1"/>
  <c r="AS65" i="1"/>
  <c r="AS102" i="1" s="1"/>
  <c r="AS72" i="1"/>
  <c r="AS80" i="1"/>
  <c r="AS81" i="1"/>
  <c r="AS95" i="1"/>
  <c r="AS98" i="1" s="1"/>
  <c r="AS105" i="1"/>
  <c r="AS108" i="1"/>
  <c r="AS122" i="1"/>
  <c r="AS125" i="1"/>
  <c r="AT163" i="1" s="1"/>
  <c r="AS132" i="1"/>
  <c r="AS138" i="1"/>
  <c r="AS144" i="1"/>
  <c r="AS146" i="1" s="1"/>
  <c r="AS147" i="1" s="1"/>
  <c r="AS157" i="1"/>
  <c r="AU164" i="1" l="1"/>
  <c r="BE42" i="1"/>
  <c r="AW162" i="1"/>
  <c r="AW165" i="1" s="1"/>
  <c r="AW171" i="1" s="1"/>
  <c r="AV99" i="1"/>
  <c r="AV67" i="1"/>
  <c r="AS109" i="1"/>
  <c r="AU35" i="1"/>
  <c r="AU126" i="1"/>
  <c r="AU66" i="1"/>
  <c r="AU46" i="1" s="1"/>
  <c r="AT66" i="1"/>
  <c r="AT46" i="1" s="1"/>
  <c r="AT35" i="1"/>
  <c r="AT126" i="1"/>
  <c r="AS43" i="1"/>
  <c r="AS15" i="1"/>
  <c r="AS14" i="1"/>
  <c r="AS133" i="1"/>
  <c r="AS134" i="1" s="1"/>
  <c r="AU48" i="1"/>
  <c r="AS126" i="1" l="1"/>
  <c r="AS44" i="1"/>
  <c r="AS45" i="1" s="1"/>
  <c r="AS66" i="1"/>
  <c r="AS67" i="1" s="1"/>
  <c r="AV100" i="1"/>
  <c r="AV110" i="1"/>
  <c r="AU45" i="1"/>
  <c r="AU99" i="1"/>
  <c r="AU67" i="1"/>
  <c r="AS35" i="1"/>
  <c r="AT45" i="1"/>
  <c r="AT99" i="1"/>
  <c r="AT67" i="1"/>
  <c r="AV47" i="1" l="1"/>
  <c r="AV49" i="1" s="1"/>
  <c r="AW47" i="1"/>
  <c r="AW49" i="1" s="1"/>
  <c r="AS99" i="1"/>
  <c r="AS46" i="1"/>
  <c r="AV162" i="1"/>
  <c r="AV165" i="1" s="1"/>
  <c r="AV171" i="1" s="1"/>
  <c r="AV50" i="1"/>
  <c r="AU100" i="1"/>
  <c r="AU110" i="1"/>
  <c r="AT100" i="1"/>
  <c r="AT110" i="1"/>
  <c r="AP157" i="1"/>
  <c r="AO157" i="1"/>
  <c r="AN157" i="1"/>
  <c r="AR157" i="1"/>
  <c r="AY157" i="1"/>
  <c r="AZ157" i="1" s="1"/>
  <c r="BA157" i="1" s="1"/>
  <c r="BB157" i="1" s="1"/>
  <c r="BC157" i="1" s="1"/>
  <c r="BD157" i="1" s="1"/>
  <c r="BE157" i="1" s="1"/>
  <c r="BF157" i="1" s="1"/>
  <c r="BG157" i="1" s="1"/>
  <c r="BH157" i="1" s="1"/>
  <c r="BI157" i="1" s="1"/>
  <c r="BJ157" i="1" s="1"/>
  <c r="BK157" i="1" s="1"/>
  <c r="BL157" i="1" s="1"/>
  <c r="BM157" i="1" s="1"/>
  <c r="BN157" i="1" s="1"/>
  <c r="BO157" i="1" s="1"/>
  <c r="BP157" i="1" s="1"/>
  <c r="BQ157" i="1" s="1"/>
  <c r="BR157" i="1" s="1"/>
  <c r="BS157" i="1" s="1"/>
  <c r="BT157" i="1" s="1"/>
  <c r="BU157" i="1" s="1"/>
  <c r="BV157" i="1" s="1"/>
  <c r="BW157" i="1" s="1"/>
  <c r="BX157" i="1" s="1"/>
  <c r="BY157" i="1" s="1"/>
  <c r="BZ157" i="1" s="1"/>
  <c r="CA157" i="1" s="1"/>
  <c r="CB157" i="1" s="1"/>
  <c r="CC157" i="1" s="1"/>
  <c r="CD157" i="1" s="1"/>
  <c r="CE157" i="1" s="1"/>
  <c r="CF157" i="1" s="1"/>
  <c r="CG157" i="1" s="1"/>
  <c r="CH157" i="1" s="1"/>
  <c r="CI157" i="1" s="1"/>
  <c r="CJ157" i="1" s="1"/>
  <c r="CK157" i="1" s="1"/>
  <c r="CL157" i="1" s="1"/>
  <c r="CM157" i="1" s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DC157" i="1" s="1"/>
  <c r="DD157" i="1" s="1"/>
  <c r="DE157" i="1" s="1"/>
  <c r="DF157" i="1" s="1"/>
  <c r="DG157" i="1" s="1"/>
  <c r="AQ157" i="1"/>
  <c r="S20" i="24"/>
  <c r="S8" i="24"/>
  <c r="T8" i="24"/>
  <c r="AR19" i="1"/>
  <c r="AR168" i="1"/>
  <c r="AR169" i="1" s="1"/>
  <c r="AR144" i="1"/>
  <c r="AR146" i="1" s="1"/>
  <c r="AR147" i="1" s="1"/>
  <c r="AR138" i="1"/>
  <c r="AR132" i="1"/>
  <c r="AR125" i="1"/>
  <c r="AR122" i="1"/>
  <c r="AR108" i="1"/>
  <c r="AR105" i="1"/>
  <c r="AR81" i="1"/>
  <c r="AR80" i="1"/>
  <c r="AR95" i="1" s="1"/>
  <c r="AR72" i="1"/>
  <c r="AR65" i="1"/>
  <c r="AR42" i="1"/>
  <c r="AR40" i="1"/>
  <c r="AR39" i="1"/>
  <c r="AR38" i="1"/>
  <c r="AR37" i="1"/>
  <c r="AR26" i="1"/>
  <c r="AR12" i="1"/>
  <c r="AR14" i="1" s="1"/>
  <c r="AR44" i="1" s="1"/>
  <c r="AX153" i="1"/>
  <c r="F33" i="29"/>
  <c r="E33" i="29"/>
  <c r="C33" i="29"/>
  <c r="D33" i="29"/>
  <c r="F32" i="29"/>
  <c r="E32" i="29"/>
  <c r="C32" i="29"/>
  <c r="D32" i="29"/>
  <c r="AQ168" i="1"/>
  <c r="AQ169" i="1" s="1"/>
  <c r="AN31" i="1"/>
  <c r="AN26" i="1" s="1"/>
  <c r="AO26" i="1"/>
  <c r="AP26" i="1"/>
  <c r="AQ26" i="1"/>
  <c r="AM26" i="1"/>
  <c r="AL26" i="1"/>
  <c r="AK26" i="1"/>
  <c r="Q19" i="24"/>
  <c r="R19" i="24"/>
  <c r="R8" i="24"/>
  <c r="Q8" i="24"/>
  <c r="I2" i="24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AQ19" i="1"/>
  <c r="AQ144" i="1"/>
  <c r="AQ146" i="1" s="1"/>
  <c r="AQ147" i="1" s="1"/>
  <c r="AQ138" i="1"/>
  <c r="AQ132" i="1"/>
  <c r="AQ125" i="1"/>
  <c r="AQ122" i="1"/>
  <c r="AQ108" i="1"/>
  <c r="AQ109" i="1"/>
  <c r="AQ81" i="1"/>
  <c r="AQ80" i="1"/>
  <c r="AQ72" i="1"/>
  <c r="AQ65" i="1"/>
  <c r="AQ42" i="1"/>
  <c r="AQ40" i="1"/>
  <c r="AQ39" i="1"/>
  <c r="AQ38" i="1"/>
  <c r="AQ37" i="1"/>
  <c r="AQ12" i="1"/>
  <c r="AQ15" i="1" s="1"/>
  <c r="H32" i="29"/>
  <c r="H40" i="20"/>
  <c r="F40" i="20"/>
  <c r="D40" i="20"/>
  <c r="C40" i="20"/>
  <c r="H39" i="20"/>
  <c r="F39" i="20"/>
  <c r="D39" i="20"/>
  <c r="C39" i="20"/>
  <c r="H38" i="20"/>
  <c r="F38" i="20"/>
  <c r="D38" i="20"/>
  <c r="C38" i="20"/>
  <c r="AR102" i="1" l="1"/>
  <c r="AT48" i="1" s="1"/>
  <c r="AT50" i="1" s="1"/>
  <c r="AQ43" i="1"/>
  <c r="BC42" i="1"/>
  <c r="AQ102" i="1"/>
  <c r="AS48" i="1" s="1"/>
  <c r="AS50" i="1" s="1"/>
  <c r="AR43" i="1"/>
  <c r="AR45" i="1" s="1"/>
  <c r="BD42" i="1"/>
  <c r="AS100" i="1"/>
  <c r="AS110" i="1"/>
  <c r="AU162" i="1"/>
  <c r="AU165" i="1" s="1"/>
  <c r="AU171" i="1" s="1"/>
  <c r="AU47" i="1"/>
  <c r="AU49" i="1" s="1"/>
  <c r="AU50" i="1"/>
  <c r="AT162" i="1"/>
  <c r="AT165" i="1" s="1"/>
  <c r="AT171" i="1" s="1"/>
  <c r="S21" i="24"/>
  <c r="AR163" i="1"/>
  <c r="AR101" i="1"/>
  <c r="AR15" i="1"/>
  <c r="AX15" i="1" s="1"/>
  <c r="AR164" i="1"/>
  <c r="AR133" i="1"/>
  <c r="AR134" i="1" s="1"/>
  <c r="AR109" i="1"/>
  <c r="AR126" i="1"/>
  <c r="AR66" i="1"/>
  <c r="AR46" i="1" s="1"/>
  <c r="AR35" i="1"/>
  <c r="AR98" i="1"/>
  <c r="AS164" i="1"/>
  <c r="AY153" i="1"/>
  <c r="AZ153" i="1" s="1"/>
  <c r="BA153" i="1" s="1"/>
  <c r="BB153" i="1" s="1"/>
  <c r="BC153" i="1" s="1"/>
  <c r="BD153" i="1" s="1"/>
  <c r="BE153" i="1" s="1"/>
  <c r="BF153" i="1" s="1"/>
  <c r="BG153" i="1" s="1"/>
  <c r="BH153" i="1" s="1"/>
  <c r="BI153" i="1" s="1"/>
  <c r="BJ153" i="1" s="1"/>
  <c r="BK153" i="1" s="1"/>
  <c r="BL153" i="1" s="1"/>
  <c r="BM153" i="1" s="1"/>
  <c r="BN153" i="1" s="1"/>
  <c r="BO153" i="1" s="1"/>
  <c r="BP153" i="1" s="1"/>
  <c r="BQ153" i="1" s="1"/>
  <c r="BR153" i="1" s="1"/>
  <c r="BS153" i="1" s="1"/>
  <c r="BT153" i="1" s="1"/>
  <c r="BU153" i="1" s="1"/>
  <c r="BV153" i="1" s="1"/>
  <c r="BW153" i="1" s="1"/>
  <c r="BX153" i="1" s="1"/>
  <c r="BY153" i="1" s="1"/>
  <c r="BZ153" i="1" s="1"/>
  <c r="CA153" i="1" s="1"/>
  <c r="CB153" i="1" s="1"/>
  <c r="CC153" i="1" s="1"/>
  <c r="CD153" i="1" s="1"/>
  <c r="CE153" i="1" s="1"/>
  <c r="CF153" i="1" s="1"/>
  <c r="CG153" i="1" s="1"/>
  <c r="CH153" i="1" s="1"/>
  <c r="CI153" i="1" s="1"/>
  <c r="CJ153" i="1" s="1"/>
  <c r="CK153" i="1" s="1"/>
  <c r="CL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DC153" i="1" s="1"/>
  <c r="DD153" i="1" s="1"/>
  <c r="DE153" i="1" s="1"/>
  <c r="DF153" i="1" s="1"/>
  <c r="DG153" i="1" s="1"/>
  <c r="G32" i="29"/>
  <c r="G33" i="29"/>
  <c r="U2" i="24"/>
  <c r="V2" i="24" s="1"/>
  <c r="W2" i="24" s="1"/>
  <c r="AQ133" i="1"/>
  <c r="AQ134" i="1" s="1"/>
  <c r="AQ95" i="1"/>
  <c r="AQ98" i="1" s="1"/>
  <c r="AQ101" i="1"/>
  <c r="AQ14" i="1"/>
  <c r="BN44" i="28"/>
  <c r="BN50" i="28" s="1"/>
  <c r="CB43" i="28"/>
  <c r="CB44" i="28" s="1"/>
  <c r="CA43" i="28"/>
  <c r="CA44" i="28" s="1"/>
  <c r="BZ43" i="28"/>
  <c r="BZ44" i="28" s="1"/>
  <c r="BY43" i="28"/>
  <c r="BY44" i="28" s="1"/>
  <c r="BX43" i="28"/>
  <c r="BX44" i="28" s="1"/>
  <c r="BX45" i="28" s="1"/>
  <c r="BW43" i="28"/>
  <c r="BW44" i="28" s="1"/>
  <c r="BW45" i="28" s="1"/>
  <c r="BV43" i="28"/>
  <c r="BV44" i="28" s="1"/>
  <c r="BU43" i="28"/>
  <c r="BU44" i="28" s="1"/>
  <c r="BT43" i="28"/>
  <c r="BT44" i="28" s="1"/>
  <c r="BT50" i="28" s="1"/>
  <c r="BS43" i="28"/>
  <c r="BS44" i="28" s="1"/>
  <c r="BR43" i="28"/>
  <c r="BR44" i="28" s="1"/>
  <c r="BQ43" i="28"/>
  <c r="BQ44" i="28" s="1"/>
  <c r="X2" i="24" l="1"/>
  <c r="Y2" i="24" s="1"/>
  <c r="Z2" i="24" s="1"/>
  <c r="AA2" i="24" s="1"/>
  <c r="AB2" i="24" s="1"/>
  <c r="AC2" i="24" s="1"/>
  <c r="AD2" i="24" s="1"/>
  <c r="AE2" i="24" s="1"/>
  <c r="AF2" i="24" s="1"/>
  <c r="AG2" i="24" s="1"/>
  <c r="AH2" i="24" s="1"/>
  <c r="AI2" i="24" s="1"/>
  <c r="AJ2" i="24" s="1"/>
  <c r="AK2" i="24" s="1"/>
  <c r="AL2" i="24" s="1"/>
  <c r="AM2" i="24" s="1"/>
  <c r="AN2" i="24" s="1"/>
  <c r="AO2" i="24" s="1"/>
  <c r="AP2" i="24" s="1"/>
  <c r="AQ2" i="24" s="1"/>
  <c r="AR2" i="24" s="1"/>
  <c r="AS2" i="24" s="1"/>
  <c r="AT2" i="24" s="1"/>
  <c r="AU2" i="24" s="1"/>
  <c r="AV2" i="24" s="1"/>
  <c r="AW2" i="24" s="1"/>
  <c r="AX2" i="24" s="1"/>
  <c r="AY2" i="24" s="1"/>
  <c r="AZ2" i="24" s="1"/>
  <c r="BA2" i="24" s="1"/>
  <c r="BB2" i="24" s="1"/>
  <c r="BC2" i="24" s="1"/>
  <c r="BD2" i="24" s="1"/>
  <c r="BE2" i="24" s="1"/>
  <c r="BF2" i="24" s="1"/>
  <c r="BG2" i="24" s="1"/>
  <c r="BH2" i="24" s="1"/>
  <c r="BI2" i="24" s="1"/>
  <c r="BJ2" i="24" s="1"/>
  <c r="BK2" i="24" s="1"/>
  <c r="BL2" i="24" s="1"/>
  <c r="BM2" i="24" s="1"/>
  <c r="BN2" i="24" s="1"/>
  <c r="BO2" i="24" s="1"/>
  <c r="BP2" i="24" s="1"/>
  <c r="BQ2" i="24" s="1"/>
  <c r="BR2" i="24" s="1"/>
  <c r="BS2" i="24" s="1"/>
  <c r="BT2" i="24" s="1"/>
  <c r="BU2" i="24" s="1"/>
  <c r="BV2" i="24" s="1"/>
  <c r="BW2" i="24" s="1"/>
  <c r="BX2" i="24" s="1"/>
  <c r="BY2" i="24" s="1"/>
  <c r="BZ2" i="24" s="1"/>
  <c r="CA2" i="24" s="1"/>
  <c r="CB2" i="24" s="1"/>
  <c r="CC2" i="24" s="1"/>
  <c r="CD2" i="24" s="1"/>
  <c r="CE2" i="24" s="1"/>
  <c r="CF2" i="24" s="1"/>
  <c r="CG2" i="24" s="1"/>
  <c r="CH2" i="24" s="1"/>
  <c r="CI2" i="24" s="1"/>
  <c r="CJ2" i="24" s="1"/>
  <c r="CK2" i="24" s="1"/>
  <c r="CL2" i="24" s="1"/>
  <c r="CM2" i="24" s="1"/>
  <c r="CN2" i="24" s="1"/>
  <c r="CO2" i="24" s="1"/>
  <c r="CP2" i="24" s="1"/>
  <c r="CQ2" i="24" s="1"/>
  <c r="CR2" i="24" s="1"/>
  <c r="CS2" i="24" s="1"/>
  <c r="CT2" i="24" s="1"/>
  <c r="CU2" i="24" s="1"/>
  <c r="CV2" i="24" s="1"/>
  <c r="CW2" i="24" s="1"/>
  <c r="CX2" i="24" s="1"/>
  <c r="CY2" i="24" s="1"/>
  <c r="CZ2" i="24" s="1"/>
  <c r="DA2" i="24" s="1"/>
  <c r="DB2" i="24" s="1"/>
  <c r="DC2" i="24" s="1"/>
  <c r="DD2" i="24" s="1"/>
  <c r="DE2" i="24" s="1"/>
  <c r="DF2" i="24" s="1"/>
  <c r="DG2" i="24" s="1"/>
  <c r="DH2" i="24" s="1"/>
  <c r="DI2" i="24" s="1"/>
  <c r="DJ2" i="24" s="1"/>
  <c r="DK2" i="24" s="1"/>
  <c r="DL2" i="24" s="1"/>
  <c r="DM2" i="24" s="1"/>
  <c r="DN2" i="24" s="1"/>
  <c r="DO2" i="24" s="1"/>
  <c r="DP2" i="24" s="1"/>
  <c r="DQ2" i="24" s="1"/>
  <c r="DR2" i="24" s="1"/>
  <c r="DS2" i="24" s="1"/>
  <c r="DT2" i="24" s="1"/>
  <c r="DU2" i="24" s="1"/>
  <c r="DV2" i="24" s="1"/>
  <c r="DW2" i="24" s="1"/>
  <c r="DX2" i="24" s="1"/>
  <c r="DY2" i="24" s="1"/>
  <c r="DZ2" i="24" s="1"/>
  <c r="EA2" i="24" s="1"/>
  <c r="EB2" i="24" s="1"/>
  <c r="EC2" i="24" s="1"/>
  <c r="ED2" i="24" s="1"/>
  <c r="EE2" i="24" s="1"/>
  <c r="EF2" i="24" s="1"/>
  <c r="EG2" i="24" s="1"/>
  <c r="EH2" i="24" s="1"/>
  <c r="EI2" i="24" s="1"/>
  <c r="EJ2" i="24" s="1"/>
  <c r="EK2" i="24" s="1"/>
  <c r="EL2" i="24" s="1"/>
  <c r="EM2" i="24" s="1"/>
  <c r="EN2" i="24" s="1"/>
  <c r="EO2" i="24" s="1"/>
  <c r="EP2" i="24" s="1"/>
  <c r="EQ2" i="24" s="1"/>
  <c r="ER2" i="24" s="1"/>
  <c r="ES2" i="24" s="1"/>
  <c r="ET2" i="24" s="1"/>
  <c r="EU2" i="24" s="1"/>
  <c r="EV2" i="24" s="1"/>
  <c r="EW2" i="24" s="1"/>
  <c r="EX2" i="24" s="1"/>
  <c r="EY2" i="24" s="1"/>
  <c r="EZ2" i="24" s="1"/>
  <c r="FA2" i="24" s="1"/>
  <c r="FB2" i="24" s="1"/>
  <c r="AQ44" i="1"/>
  <c r="AQ45" i="1" s="1"/>
  <c r="AR99" i="1"/>
  <c r="AR67" i="1"/>
  <c r="AQ66" i="1"/>
  <c r="AQ46" i="1" s="1"/>
  <c r="AQ35" i="1"/>
  <c r="AQ126" i="1"/>
  <c r="CB50" i="28"/>
  <c r="CB45" i="28"/>
  <c r="CA50" i="28"/>
  <c r="CA45" i="28"/>
  <c r="BU45" i="28"/>
  <c r="BU50" i="28"/>
  <c r="BV45" i="28"/>
  <c r="BV50" i="28"/>
  <c r="BQ50" i="28"/>
  <c r="BQ45" i="28"/>
  <c r="BY45" i="28"/>
  <c r="BY50" i="28"/>
  <c r="BS50" i="28"/>
  <c r="BS45" i="28"/>
  <c r="BR50" i="28"/>
  <c r="BR45" i="28"/>
  <c r="BZ45" i="28"/>
  <c r="BZ50" i="28"/>
  <c r="BX50" i="28"/>
  <c r="BW50" i="28"/>
  <c r="BT45" i="28"/>
  <c r="AR100" i="1" l="1"/>
  <c r="AT47" i="1"/>
  <c r="AT49" i="1" s="1"/>
  <c r="AR110" i="1"/>
  <c r="AQ99" i="1"/>
  <c r="AQ67" i="1"/>
  <c r="AP92" i="1"/>
  <c r="AP89" i="1"/>
  <c r="AP168" i="1"/>
  <c r="AP169" i="1" s="1"/>
  <c r="AP144" i="1"/>
  <c r="AP146" i="1" s="1"/>
  <c r="AP147" i="1" s="1"/>
  <c r="AP138" i="1"/>
  <c r="AP132" i="1"/>
  <c r="AP125" i="1"/>
  <c r="AQ163" i="1" s="1"/>
  <c r="AP122" i="1"/>
  <c r="AP108" i="1"/>
  <c r="AP105" i="1"/>
  <c r="AP81" i="1"/>
  <c r="AP80" i="1"/>
  <c r="AP72" i="1"/>
  <c r="AP65" i="1"/>
  <c r="AP42" i="1"/>
  <c r="AP40" i="1"/>
  <c r="AP39" i="1"/>
  <c r="AP38" i="1"/>
  <c r="AP37" i="1"/>
  <c r="AP19" i="1"/>
  <c r="AP12" i="1"/>
  <c r="AP14" i="1" s="1"/>
  <c r="AP44" i="1" s="1"/>
  <c r="P19" i="24"/>
  <c r="O19" i="24"/>
  <c r="AM132" i="1"/>
  <c r="AO132" i="1"/>
  <c r="AN132" i="1"/>
  <c r="AL132" i="1"/>
  <c r="AK132" i="1"/>
  <c r="AJ132" i="1"/>
  <c r="AI132" i="1"/>
  <c r="AH132" i="1"/>
  <c r="AG132" i="1"/>
  <c r="AF132" i="1"/>
  <c r="AE132" i="1"/>
  <c r="AD132" i="1"/>
  <c r="AC132" i="1"/>
  <c r="AB132" i="1"/>
  <c r="AP43" i="1" l="1"/>
  <c r="BB42" i="1"/>
  <c r="AX152" i="1"/>
  <c r="AX168" i="1"/>
  <c r="AX169" i="1" s="1"/>
  <c r="AP24" i="1"/>
  <c r="AP25" i="1" s="1"/>
  <c r="AP51" i="1" s="1"/>
  <c r="AR162" i="1"/>
  <c r="AR165" i="1" s="1"/>
  <c r="AR171" i="1" s="1"/>
  <c r="AP109" i="1"/>
  <c r="AP133" i="1"/>
  <c r="AP134" i="1" s="1"/>
  <c r="AP102" i="1"/>
  <c r="AR48" i="1" s="1"/>
  <c r="AR50" i="1" s="1"/>
  <c r="AQ164" i="1"/>
  <c r="AQ100" i="1"/>
  <c r="AQ110" i="1"/>
  <c r="AS47" i="1"/>
  <c r="AS49" i="1" s="1"/>
  <c r="AP15" i="1"/>
  <c r="AP95" i="1"/>
  <c r="AP101" i="1"/>
  <c r="AP35" i="1"/>
  <c r="AP66" i="1"/>
  <c r="AP46" i="1" s="1"/>
  <c r="AP45" i="1"/>
  <c r="AP126" i="1"/>
  <c r="P20" i="24"/>
  <c r="P8" i="24"/>
  <c r="AO168" i="1"/>
  <c r="AO169" i="1" s="1"/>
  <c r="AO144" i="1"/>
  <c r="AO146" i="1" s="1"/>
  <c r="AO147" i="1" s="1"/>
  <c r="AP164" i="1" s="1"/>
  <c r="AO138" i="1"/>
  <c r="AO125" i="1"/>
  <c r="AP163" i="1" s="1"/>
  <c r="AO122" i="1"/>
  <c r="AO108" i="1"/>
  <c r="AO105" i="1"/>
  <c r="AO81" i="1"/>
  <c r="AO80" i="1"/>
  <c r="AO95" i="1" s="1"/>
  <c r="AO72" i="1"/>
  <c r="AO65" i="1"/>
  <c r="AO102" i="1" s="1"/>
  <c r="AO42" i="1"/>
  <c r="AO40" i="1"/>
  <c r="AO39" i="1"/>
  <c r="AO38" i="1"/>
  <c r="AO37" i="1"/>
  <c r="AO24" i="1"/>
  <c r="AO25" i="1" s="1"/>
  <c r="AO51" i="1" s="1"/>
  <c r="AO19" i="1"/>
  <c r="AO12" i="1"/>
  <c r="AO15" i="1" s="1"/>
  <c r="AF39" i="1"/>
  <c r="F31" i="5"/>
  <c r="AH151" i="1"/>
  <c r="AI151" i="1" s="1"/>
  <c r="AJ151" i="1" s="1"/>
  <c r="AK151" i="1" s="1"/>
  <c r="AL151" i="1" s="1"/>
  <c r="AY142" i="1"/>
  <c r="AZ142" i="1" s="1"/>
  <c r="BA142" i="1" s="1"/>
  <c r="BB142" i="1" s="1"/>
  <c r="BC142" i="1" s="1"/>
  <c r="BD142" i="1" s="1"/>
  <c r="BE142" i="1" s="1"/>
  <c r="BF142" i="1" s="1"/>
  <c r="BG142" i="1" s="1"/>
  <c r="BH142" i="1" s="1"/>
  <c r="BI142" i="1" s="1"/>
  <c r="BJ142" i="1" s="1"/>
  <c r="BK142" i="1" s="1"/>
  <c r="BL142" i="1" s="1"/>
  <c r="BM142" i="1" s="1"/>
  <c r="BN142" i="1" s="1"/>
  <c r="BO142" i="1" s="1"/>
  <c r="BP142" i="1" s="1"/>
  <c r="BQ142" i="1" s="1"/>
  <c r="BR142" i="1" s="1"/>
  <c r="BS142" i="1" s="1"/>
  <c r="BT142" i="1" s="1"/>
  <c r="BU142" i="1" s="1"/>
  <c r="BV142" i="1" s="1"/>
  <c r="BW142" i="1" s="1"/>
  <c r="BX142" i="1" s="1"/>
  <c r="BY142" i="1" s="1"/>
  <c r="BZ142" i="1" s="1"/>
  <c r="CA142" i="1" s="1"/>
  <c r="CB142" i="1" s="1"/>
  <c r="CC142" i="1" s="1"/>
  <c r="CD142" i="1" s="1"/>
  <c r="CE142" i="1" s="1"/>
  <c r="CF142" i="1" s="1"/>
  <c r="CG142" i="1" s="1"/>
  <c r="CH142" i="1" s="1"/>
  <c r="CI142" i="1" s="1"/>
  <c r="CJ142" i="1" s="1"/>
  <c r="CK142" i="1" s="1"/>
  <c r="CL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DC142" i="1" s="1"/>
  <c r="DD142" i="1" s="1"/>
  <c r="DE142" i="1" s="1"/>
  <c r="DF142" i="1" s="1"/>
  <c r="DG142" i="1" s="1"/>
  <c r="AY143" i="1"/>
  <c r="AZ143" i="1" s="1"/>
  <c r="BA143" i="1" s="1"/>
  <c r="BB143" i="1" s="1"/>
  <c r="BC143" i="1" s="1"/>
  <c r="BD143" i="1" s="1"/>
  <c r="BE143" i="1" s="1"/>
  <c r="BF143" i="1" s="1"/>
  <c r="BG143" i="1" s="1"/>
  <c r="BH143" i="1" s="1"/>
  <c r="BI143" i="1" s="1"/>
  <c r="BJ143" i="1" s="1"/>
  <c r="BK143" i="1" s="1"/>
  <c r="BL143" i="1" s="1"/>
  <c r="BM143" i="1" s="1"/>
  <c r="BN143" i="1" s="1"/>
  <c r="BO143" i="1" s="1"/>
  <c r="BP143" i="1" s="1"/>
  <c r="BQ143" i="1" s="1"/>
  <c r="BR143" i="1" s="1"/>
  <c r="BS143" i="1" s="1"/>
  <c r="BT143" i="1" s="1"/>
  <c r="BU143" i="1" s="1"/>
  <c r="BV143" i="1" s="1"/>
  <c r="BW143" i="1" s="1"/>
  <c r="BX143" i="1" s="1"/>
  <c r="BY143" i="1" s="1"/>
  <c r="BZ143" i="1" s="1"/>
  <c r="CA143" i="1" s="1"/>
  <c r="CB143" i="1" s="1"/>
  <c r="CC143" i="1" s="1"/>
  <c r="CD143" i="1" s="1"/>
  <c r="CE143" i="1" s="1"/>
  <c r="CF143" i="1" s="1"/>
  <c r="CG143" i="1" s="1"/>
  <c r="CH143" i="1" s="1"/>
  <c r="CI143" i="1" s="1"/>
  <c r="CJ143" i="1" s="1"/>
  <c r="CK143" i="1" s="1"/>
  <c r="CL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DC143" i="1" s="1"/>
  <c r="DD143" i="1" s="1"/>
  <c r="DE143" i="1" s="1"/>
  <c r="DF143" i="1" s="1"/>
  <c r="DG143" i="1" s="1"/>
  <c r="AM144" i="1"/>
  <c r="AM146" i="1" s="1"/>
  <c r="AM147" i="1" s="1"/>
  <c r="AL144" i="1"/>
  <c r="AL146" i="1" s="1"/>
  <c r="AL147" i="1" s="1"/>
  <c r="AK144" i="1"/>
  <c r="AK146" i="1" s="1"/>
  <c r="AK147" i="1" s="1"/>
  <c r="AJ144" i="1"/>
  <c r="AJ146" i="1" s="1"/>
  <c r="AJ147" i="1" s="1"/>
  <c r="AI144" i="1"/>
  <c r="AI146" i="1" s="1"/>
  <c r="AI147" i="1" s="1"/>
  <c r="AH144" i="1"/>
  <c r="AH146" i="1" s="1"/>
  <c r="AH147" i="1" s="1"/>
  <c r="AN144" i="1"/>
  <c r="AN146" i="1" s="1"/>
  <c r="AN147" i="1" s="1"/>
  <c r="AN138" i="1"/>
  <c r="AM138" i="1"/>
  <c r="AL138" i="1"/>
  <c r="AK138" i="1"/>
  <c r="AJ138" i="1"/>
  <c r="AI138" i="1"/>
  <c r="AH138" i="1"/>
  <c r="AN80" i="1"/>
  <c r="AN95" i="1" s="1"/>
  <c r="AY79" i="1"/>
  <c r="AZ79" i="1" s="1"/>
  <c r="BA79" i="1" s="1"/>
  <c r="BB79" i="1" s="1"/>
  <c r="BC79" i="1" s="1"/>
  <c r="BD79" i="1" s="1"/>
  <c r="BE79" i="1" s="1"/>
  <c r="BF79" i="1" s="1"/>
  <c r="BG79" i="1" s="1"/>
  <c r="BH79" i="1" s="1"/>
  <c r="BI79" i="1" s="1"/>
  <c r="BJ79" i="1" s="1"/>
  <c r="BK79" i="1" s="1"/>
  <c r="BL79" i="1" s="1"/>
  <c r="BM79" i="1" s="1"/>
  <c r="BN79" i="1" s="1"/>
  <c r="BO79" i="1" s="1"/>
  <c r="BP79" i="1" s="1"/>
  <c r="BQ79" i="1" s="1"/>
  <c r="BR79" i="1" s="1"/>
  <c r="BS79" i="1" s="1"/>
  <c r="BT79" i="1" s="1"/>
  <c r="BU79" i="1" s="1"/>
  <c r="BV79" i="1" s="1"/>
  <c r="BW79" i="1" s="1"/>
  <c r="BX79" i="1" s="1"/>
  <c r="BY79" i="1" s="1"/>
  <c r="BZ79" i="1" s="1"/>
  <c r="CA79" i="1" s="1"/>
  <c r="CB79" i="1" s="1"/>
  <c r="CC79" i="1" s="1"/>
  <c r="CD79" i="1" s="1"/>
  <c r="CE79" i="1" s="1"/>
  <c r="CF79" i="1" s="1"/>
  <c r="CG79" i="1" s="1"/>
  <c r="CH79" i="1" s="1"/>
  <c r="CI79" i="1" s="1"/>
  <c r="CJ79" i="1" s="1"/>
  <c r="CK79" i="1" s="1"/>
  <c r="CL79" i="1" s="1"/>
  <c r="CM79" i="1" s="1"/>
  <c r="CN79" i="1" s="1"/>
  <c r="CO79" i="1" s="1"/>
  <c r="CP79" i="1" s="1"/>
  <c r="CQ79" i="1" s="1"/>
  <c r="CR79" i="1" s="1"/>
  <c r="CS79" i="1" s="1"/>
  <c r="CT79" i="1" s="1"/>
  <c r="CU79" i="1" s="1"/>
  <c r="CV79" i="1" s="1"/>
  <c r="CW79" i="1" s="1"/>
  <c r="CX79" i="1" s="1"/>
  <c r="CY79" i="1" s="1"/>
  <c r="CZ79" i="1" s="1"/>
  <c r="DA79" i="1" s="1"/>
  <c r="DB79" i="1" s="1"/>
  <c r="DC79" i="1" s="1"/>
  <c r="DD79" i="1" s="1"/>
  <c r="DE79" i="1" s="1"/>
  <c r="DF79" i="1" s="1"/>
  <c r="DG79" i="1" s="1"/>
  <c r="AM80" i="1"/>
  <c r="AL80" i="1"/>
  <c r="AK80" i="1"/>
  <c r="AJ80" i="1"/>
  <c r="AI80" i="1"/>
  <c r="AH80" i="1"/>
  <c r="FB19" i="24"/>
  <c r="FA19" i="24"/>
  <c r="EZ19" i="24"/>
  <c r="EY19" i="24"/>
  <c r="EX19" i="24"/>
  <c r="EW19" i="24"/>
  <c r="EV19" i="24"/>
  <c r="EU19" i="24"/>
  <c r="ET19" i="24"/>
  <c r="ES19" i="24"/>
  <c r="ER19" i="24"/>
  <c r="EQ19" i="24"/>
  <c r="EP19" i="24"/>
  <c r="EO19" i="24"/>
  <c r="EN19" i="24"/>
  <c r="EM19" i="24"/>
  <c r="EL19" i="24"/>
  <c r="EK19" i="24"/>
  <c r="EJ19" i="24"/>
  <c r="EI19" i="24"/>
  <c r="EH19" i="24"/>
  <c r="EG19" i="24"/>
  <c r="EF19" i="24"/>
  <c r="EE19" i="24"/>
  <c r="ED19" i="24"/>
  <c r="EC19" i="24"/>
  <c r="EB19" i="24"/>
  <c r="EA19" i="24"/>
  <c r="DZ19" i="24"/>
  <c r="DY19" i="24"/>
  <c r="DX19" i="24"/>
  <c r="DW19" i="24"/>
  <c r="DV19" i="24"/>
  <c r="DU19" i="24"/>
  <c r="DT19" i="24"/>
  <c r="DS19" i="24"/>
  <c r="DR19" i="24"/>
  <c r="DQ19" i="24"/>
  <c r="DP19" i="24"/>
  <c r="DO19" i="24"/>
  <c r="DN19" i="24"/>
  <c r="DM19" i="24"/>
  <c r="DL19" i="24"/>
  <c r="DK19" i="24"/>
  <c r="DJ19" i="24"/>
  <c r="DI19" i="24"/>
  <c r="DH19" i="24"/>
  <c r="DG19" i="24"/>
  <c r="DF19" i="24"/>
  <c r="DE19" i="24"/>
  <c r="DD19" i="24"/>
  <c r="DC19" i="24"/>
  <c r="DB19" i="24"/>
  <c r="DA19" i="24"/>
  <c r="CZ19" i="24"/>
  <c r="CY19" i="24"/>
  <c r="CX19" i="24"/>
  <c r="CW19" i="24"/>
  <c r="CV19" i="24"/>
  <c r="CU19" i="24"/>
  <c r="CT19" i="24"/>
  <c r="CS19" i="24"/>
  <c r="CR19" i="24"/>
  <c r="CQ19" i="24"/>
  <c r="CP19" i="24"/>
  <c r="CO19" i="24"/>
  <c r="CN19" i="24"/>
  <c r="CM19" i="24"/>
  <c r="CL19" i="24"/>
  <c r="CK19" i="24"/>
  <c r="CJ19" i="24"/>
  <c r="CI19" i="24"/>
  <c r="DG76" i="1" s="1"/>
  <c r="X19" i="24"/>
  <c r="W19" i="24"/>
  <c r="CK82" i="1"/>
  <c r="CL82" i="1" s="1"/>
  <c r="CM82" i="1" s="1"/>
  <c r="BY82" i="1"/>
  <c r="BZ82" i="1" s="1"/>
  <c r="CA82" i="1" s="1"/>
  <c r="CB82" i="1" s="1"/>
  <c r="AN81" i="1"/>
  <c r="AY84" i="1"/>
  <c r="AZ84" i="1" s="1"/>
  <c r="BA84" i="1" s="1"/>
  <c r="BB84" i="1" s="1"/>
  <c r="BC84" i="1" s="1"/>
  <c r="BD84" i="1" s="1"/>
  <c r="BE84" i="1" s="1"/>
  <c r="BF84" i="1" s="1"/>
  <c r="BG84" i="1" s="1"/>
  <c r="BH84" i="1" s="1"/>
  <c r="BI84" i="1" s="1"/>
  <c r="BJ84" i="1" s="1"/>
  <c r="BK84" i="1" s="1"/>
  <c r="BL84" i="1" s="1"/>
  <c r="BM84" i="1" s="1"/>
  <c r="BN84" i="1" s="1"/>
  <c r="BO84" i="1" s="1"/>
  <c r="BP84" i="1" s="1"/>
  <c r="BQ84" i="1" s="1"/>
  <c r="BR84" i="1" s="1"/>
  <c r="BS84" i="1" s="1"/>
  <c r="BT84" i="1" s="1"/>
  <c r="BU84" i="1" s="1"/>
  <c r="BV84" i="1" s="1"/>
  <c r="BW84" i="1" s="1"/>
  <c r="BX84" i="1" s="1"/>
  <c r="BY84" i="1" s="1"/>
  <c r="BZ84" i="1" s="1"/>
  <c r="CA84" i="1" s="1"/>
  <c r="CB84" i="1" s="1"/>
  <c r="CC84" i="1" s="1"/>
  <c r="CD84" i="1" s="1"/>
  <c r="CE84" i="1" s="1"/>
  <c r="CF84" i="1" s="1"/>
  <c r="CG84" i="1" s="1"/>
  <c r="CH84" i="1" s="1"/>
  <c r="CI84" i="1" s="1"/>
  <c r="CJ84" i="1" s="1"/>
  <c r="CK84" i="1" s="1"/>
  <c r="CL84" i="1" s="1"/>
  <c r="CM84" i="1" s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CZ84" i="1" s="1"/>
  <c r="DA84" i="1" s="1"/>
  <c r="DB84" i="1" s="1"/>
  <c r="DC84" i="1" s="1"/>
  <c r="DD84" i="1" s="1"/>
  <c r="DE84" i="1" s="1"/>
  <c r="DF84" i="1" s="1"/>
  <c r="DG84" i="1" s="1"/>
  <c r="D85" i="1"/>
  <c r="E85" i="1"/>
  <c r="F85" i="1"/>
  <c r="G85" i="1"/>
  <c r="H85" i="1"/>
  <c r="I85" i="1"/>
  <c r="AO43" i="1" l="1"/>
  <c r="BA42" i="1"/>
  <c r="AQ24" i="1"/>
  <c r="AQ25" i="1" s="1"/>
  <c r="AQ51" i="1" s="1"/>
  <c r="AY152" i="1"/>
  <c r="AZ152" i="1" s="1"/>
  <c r="BA152" i="1" s="1"/>
  <c r="BB152" i="1" s="1"/>
  <c r="BC152" i="1" s="1"/>
  <c r="BD152" i="1" s="1"/>
  <c r="BE152" i="1" s="1"/>
  <c r="BF152" i="1" s="1"/>
  <c r="BG152" i="1" s="1"/>
  <c r="BH152" i="1" s="1"/>
  <c r="BI152" i="1" s="1"/>
  <c r="BJ152" i="1" s="1"/>
  <c r="BK152" i="1" s="1"/>
  <c r="BL152" i="1" s="1"/>
  <c r="BM152" i="1" s="1"/>
  <c r="BN152" i="1" s="1"/>
  <c r="BO152" i="1" s="1"/>
  <c r="BP152" i="1" s="1"/>
  <c r="BQ152" i="1" s="1"/>
  <c r="BR152" i="1" s="1"/>
  <c r="BS152" i="1" s="1"/>
  <c r="BT152" i="1" s="1"/>
  <c r="BU152" i="1" s="1"/>
  <c r="BV152" i="1" s="1"/>
  <c r="BW152" i="1" s="1"/>
  <c r="BX152" i="1" s="1"/>
  <c r="BY152" i="1" s="1"/>
  <c r="BZ152" i="1" s="1"/>
  <c r="CA152" i="1" s="1"/>
  <c r="CB152" i="1" s="1"/>
  <c r="CC152" i="1" s="1"/>
  <c r="CD152" i="1" s="1"/>
  <c r="CE152" i="1" s="1"/>
  <c r="CF152" i="1" s="1"/>
  <c r="CG152" i="1" s="1"/>
  <c r="CH152" i="1" s="1"/>
  <c r="CI152" i="1" s="1"/>
  <c r="CJ152" i="1" s="1"/>
  <c r="CK152" i="1" s="1"/>
  <c r="CL152" i="1" s="1"/>
  <c r="CM152" i="1" s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DC152" i="1" s="1"/>
  <c r="DD152" i="1" s="1"/>
  <c r="DE152" i="1" s="1"/>
  <c r="DF152" i="1" s="1"/>
  <c r="DG152" i="1" s="1"/>
  <c r="M33" i="31"/>
  <c r="AP1" i="1"/>
  <c r="AP3" i="1" s="1"/>
  <c r="P21" i="24"/>
  <c r="AQ48" i="1"/>
  <c r="AQ50" i="1" s="1"/>
  <c r="AQ162" i="1"/>
  <c r="AQ165" i="1" s="1"/>
  <c r="AQ171" i="1" s="1"/>
  <c r="AP98" i="1"/>
  <c r="AP99" i="1" s="1"/>
  <c r="AP67" i="1"/>
  <c r="AO101" i="1"/>
  <c r="AO133" i="1"/>
  <c r="AO134" i="1" s="1"/>
  <c r="AO109" i="1"/>
  <c r="AO98" i="1"/>
  <c r="CC82" i="1"/>
  <c r="CD82" i="1" s="1"/>
  <c r="CE82" i="1" s="1"/>
  <c r="CN82" i="1"/>
  <c r="AY85" i="1"/>
  <c r="AQ1" i="1" l="1"/>
  <c r="AQ3" i="1" s="1"/>
  <c r="AP100" i="1"/>
  <c r="AR47" i="1"/>
  <c r="AR49" i="1" s="1"/>
  <c r="AP110" i="1"/>
  <c r="CO82" i="1"/>
  <c r="CF82" i="1"/>
  <c r="AZ85" i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AR24" i="1" l="1"/>
  <c r="AR25" i="1" s="1"/>
  <c r="AR51" i="1" s="1"/>
  <c r="AR1" i="1"/>
  <c r="AR3" i="1" s="1"/>
  <c r="AS24" i="1"/>
  <c r="AS25" i="1" s="1"/>
  <c r="AS51" i="1" s="1"/>
  <c r="AS1" i="1"/>
  <c r="AS3" i="1" s="1"/>
  <c r="AP162" i="1"/>
  <c r="AP165" i="1" s="1"/>
  <c r="AP171" i="1" s="1"/>
  <c r="CG82" i="1"/>
  <c r="CP82" i="1"/>
  <c r="BL85" i="1"/>
  <c r="BM85" i="1" s="1"/>
  <c r="BN85" i="1" s="1"/>
  <c r="BO85" i="1" s="1"/>
  <c r="BP85" i="1" s="1"/>
  <c r="BQ85" i="1" s="1"/>
  <c r="BR85" i="1" s="1"/>
  <c r="AT1" i="1" l="1"/>
  <c r="AT3" i="1" s="1"/>
  <c r="AT24" i="1"/>
  <c r="AT25" i="1" s="1"/>
  <c r="AT51" i="1" s="1"/>
  <c r="CQ82" i="1"/>
  <c r="AY82" i="1"/>
  <c r="CH82" i="1"/>
  <c r="BS85" i="1"/>
  <c r="BT85" i="1" s="1"/>
  <c r="BU85" i="1" s="1"/>
  <c r="BV85" i="1" s="1"/>
  <c r="BW85" i="1" s="1"/>
  <c r="AU24" i="1" l="1"/>
  <c r="AU25" i="1" s="1"/>
  <c r="AU51" i="1" s="1"/>
  <c r="AU1" i="1"/>
  <c r="AU3" i="1" s="1"/>
  <c r="AY83" i="1"/>
  <c r="CI82" i="1"/>
  <c r="AZ82" i="1"/>
  <c r="AY81" i="1"/>
  <c r="CR82" i="1"/>
  <c r="BX85" i="1"/>
  <c r="BY85" i="1" s="1"/>
  <c r="BZ85" i="1" s="1"/>
  <c r="CA85" i="1" s="1"/>
  <c r="CB85" i="1" s="1"/>
  <c r="CC85" i="1" s="1"/>
  <c r="CD85" i="1" s="1"/>
  <c r="AV24" i="1" l="1"/>
  <c r="AV25" i="1" s="1"/>
  <c r="AV51" i="1" s="1"/>
  <c r="AV1" i="1"/>
  <c r="AV3" i="1" s="1"/>
  <c r="AZ83" i="1"/>
  <c r="AZ81" i="1"/>
  <c r="CS82" i="1"/>
  <c r="BA82" i="1"/>
  <c r="CE85" i="1"/>
  <c r="CF85" i="1" s="1"/>
  <c r="CG85" i="1" s="1"/>
  <c r="CH85" i="1" s="1"/>
  <c r="CI85" i="1" s="1"/>
  <c r="AW24" i="1" l="1"/>
  <c r="AW25" i="1" s="1"/>
  <c r="AW51" i="1" s="1"/>
  <c r="AW1" i="1"/>
  <c r="AW3" i="1" s="1"/>
  <c r="BA83" i="1"/>
  <c r="BB82" i="1"/>
  <c r="CT82" i="1"/>
  <c r="BA81" i="1"/>
  <c r="CJ85" i="1"/>
  <c r="CK85" i="1" s="1"/>
  <c r="CL85" i="1" s="1"/>
  <c r="CM85" i="1" s="1"/>
  <c r="CN85" i="1" s="1"/>
  <c r="CO85" i="1" s="1"/>
  <c r="CP85" i="1" s="1"/>
  <c r="AX1" i="1" l="1"/>
  <c r="AX3" i="1" s="1"/>
  <c r="AX24" i="1"/>
  <c r="AY141" i="1"/>
  <c r="BB83" i="1"/>
  <c r="BB81" i="1"/>
  <c r="CU82" i="1"/>
  <c r="BC82" i="1"/>
  <c r="CQ85" i="1"/>
  <c r="CR85" i="1" s="1"/>
  <c r="CS85" i="1" s="1"/>
  <c r="CT85" i="1" s="1"/>
  <c r="CU85" i="1" s="1"/>
  <c r="AX71" i="1" l="1"/>
  <c r="AX72" i="1" s="1"/>
  <c r="AX88" i="1"/>
  <c r="AY144" i="1"/>
  <c r="AY146" i="1" s="1"/>
  <c r="AZ141" i="1"/>
  <c r="BC83" i="1"/>
  <c r="BD82" i="1"/>
  <c r="CV82" i="1"/>
  <c r="BC81" i="1"/>
  <c r="CV85" i="1"/>
  <c r="CW85" i="1" s="1"/>
  <c r="CX85" i="1" s="1"/>
  <c r="CY85" i="1" s="1"/>
  <c r="CZ85" i="1" s="1"/>
  <c r="DA85" i="1" s="1"/>
  <c r="DB85" i="1" s="1"/>
  <c r="DC85" i="1" s="1"/>
  <c r="DD85" i="1" s="1"/>
  <c r="DE85" i="1" s="1"/>
  <c r="DF85" i="1" s="1"/>
  <c r="DG85" i="1" s="1"/>
  <c r="AZ144" i="1" l="1"/>
  <c r="AZ146" i="1" s="1"/>
  <c r="BA141" i="1"/>
  <c r="BD83" i="1"/>
  <c r="BD81" i="1"/>
  <c r="CW82" i="1"/>
  <c r="BE82" i="1"/>
  <c r="BB141" i="1" l="1"/>
  <c r="BA144" i="1"/>
  <c r="BA146" i="1" s="1"/>
  <c r="BE83" i="1"/>
  <c r="BF82" i="1"/>
  <c r="CX82" i="1"/>
  <c r="BE81" i="1"/>
  <c r="BC141" i="1" l="1"/>
  <c r="BB144" i="1"/>
  <c r="BB146" i="1" s="1"/>
  <c r="BF83" i="1"/>
  <c r="BF81" i="1"/>
  <c r="CY82" i="1"/>
  <c r="BG82" i="1"/>
  <c r="BC144" i="1" l="1"/>
  <c r="BC146" i="1" s="1"/>
  <c r="BD141" i="1"/>
  <c r="BG83" i="1"/>
  <c r="BH82" i="1"/>
  <c r="CZ82" i="1"/>
  <c r="BG81" i="1"/>
  <c r="BE141" i="1" l="1"/>
  <c r="BD144" i="1"/>
  <c r="BD146" i="1" s="1"/>
  <c r="BH83" i="1"/>
  <c r="BH81" i="1"/>
  <c r="DA82" i="1"/>
  <c r="BI82" i="1"/>
  <c r="BE144" i="1" l="1"/>
  <c r="BE146" i="1" s="1"/>
  <c r="BF141" i="1"/>
  <c r="BI83" i="1"/>
  <c r="BJ82" i="1"/>
  <c r="DB82" i="1"/>
  <c r="BI81" i="1"/>
  <c r="BG141" i="1" l="1"/>
  <c r="BF144" i="1"/>
  <c r="BF146" i="1" s="1"/>
  <c r="BJ83" i="1"/>
  <c r="BJ81" i="1"/>
  <c r="DC82" i="1"/>
  <c r="BK82" i="1"/>
  <c r="BG144" i="1" l="1"/>
  <c r="BG146" i="1" s="1"/>
  <c r="BH141" i="1"/>
  <c r="BK83" i="1"/>
  <c r="BL83" i="1" s="1"/>
  <c r="DD82" i="1"/>
  <c r="BL82" i="1"/>
  <c r="BK81" i="1"/>
  <c r="BI141" i="1" l="1"/>
  <c r="BH144" i="1"/>
  <c r="BH146" i="1" s="1"/>
  <c r="BM83" i="1"/>
  <c r="BL81" i="1"/>
  <c r="BM82" i="1"/>
  <c r="DE82" i="1"/>
  <c r="BJ141" i="1" l="1"/>
  <c r="BI144" i="1"/>
  <c r="BI146" i="1" s="1"/>
  <c r="BN83" i="1"/>
  <c r="DF82" i="1"/>
  <c r="BM81" i="1"/>
  <c r="BN82" i="1"/>
  <c r="BK141" i="1" l="1"/>
  <c r="BJ144" i="1"/>
  <c r="BJ146" i="1" s="1"/>
  <c r="BO83" i="1"/>
  <c r="BO82" i="1"/>
  <c r="BN81" i="1"/>
  <c r="DG82" i="1"/>
  <c r="DG78" i="1" s="1"/>
  <c r="BL141" i="1" l="1"/>
  <c r="BK144" i="1"/>
  <c r="BK146" i="1" s="1"/>
  <c r="BP83" i="1"/>
  <c r="BO81" i="1"/>
  <c r="BP82" i="1"/>
  <c r="BM141" i="1" l="1"/>
  <c r="BL144" i="1"/>
  <c r="BL146" i="1" s="1"/>
  <c r="BQ83" i="1"/>
  <c r="BQ82" i="1"/>
  <c r="BP81" i="1"/>
  <c r="BM144" i="1" l="1"/>
  <c r="BM146" i="1" s="1"/>
  <c r="BN141" i="1"/>
  <c r="BR83" i="1"/>
  <c r="BQ81" i="1"/>
  <c r="BR82" i="1"/>
  <c r="BO141" i="1" l="1"/>
  <c r="BN144" i="1"/>
  <c r="BN146" i="1" s="1"/>
  <c r="BS83" i="1"/>
  <c r="BS82" i="1"/>
  <c r="BR81" i="1"/>
  <c r="BO144" i="1" l="1"/>
  <c r="BO146" i="1" s="1"/>
  <c r="BP141" i="1"/>
  <c r="BT83" i="1"/>
  <c r="BS81" i="1"/>
  <c r="BT82" i="1"/>
  <c r="BP144" i="1" l="1"/>
  <c r="BP146" i="1" s="1"/>
  <c r="BQ141" i="1"/>
  <c r="BU83" i="1"/>
  <c r="BU82" i="1"/>
  <c r="BT81" i="1"/>
  <c r="BR141" i="1" l="1"/>
  <c r="BQ144" i="1"/>
  <c r="BQ146" i="1" s="1"/>
  <c r="BV83" i="1"/>
  <c r="BU81" i="1"/>
  <c r="BV82" i="1"/>
  <c r="BS141" i="1" l="1"/>
  <c r="BR144" i="1"/>
  <c r="BR146" i="1" s="1"/>
  <c r="BW83" i="1"/>
  <c r="BX83" i="1" s="1"/>
  <c r="BW82" i="1"/>
  <c r="BV81" i="1"/>
  <c r="BS144" i="1" l="1"/>
  <c r="BS146" i="1" s="1"/>
  <c r="BT141" i="1"/>
  <c r="BY83" i="1"/>
  <c r="BW81" i="1"/>
  <c r="BU141" i="1" l="1"/>
  <c r="BT144" i="1"/>
  <c r="BT146" i="1" s="1"/>
  <c r="BZ83" i="1"/>
  <c r="BX81" i="1"/>
  <c r="BU144" i="1" l="1"/>
  <c r="BU146" i="1" s="1"/>
  <c r="BV141" i="1"/>
  <c r="CA83" i="1"/>
  <c r="BY81" i="1"/>
  <c r="BV144" i="1" l="1"/>
  <c r="BV146" i="1" s="1"/>
  <c r="BW141" i="1"/>
  <c r="CB83" i="1"/>
  <c r="BZ81" i="1"/>
  <c r="BW144" i="1" l="1"/>
  <c r="BW146" i="1" s="1"/>
  <c r="BX141" i="1"/>
  <c r="CC83" i="1"/>
  <c r="CA81" i="1"/>
  <c r="BY141" i="1" l="1"/>
  <c r="BX144" i="1"/>
  <c r="BX146" i="1" s="1"/>
  <c r="CD83" i="1"/>
  <c r="CB81" i="1"/>
  <c r="BZ141" i="1" l="1"/>
  <c r="BY144" i="1"/>
  <c r="BY146" i="1" s="1"/>
  <c r="CE83" i="1"/>
  <c r="CC81" i="1"/>
  <c r="BD17" i="28" l="1"/>
  <c r="BD46" i="28"/>
  <c r="BD33" i="28"/>
  <c r="D29" i="29"/>
  <c r="BD18" i="28"/>
  <c r="BD37" i="28"/>
  <c r="BD40" i="28"/>
  <c r="BD41" i="28"/>
  <c r="E18" i="29"/>
  <c r="E17" i="27" s="1"/>
  <c r="BD30" i="28"/>
  <c r="BD34" i="28"/>
  <c r="BD35" i="28"/>
  <c r="BD49" i="28"/>
  <c r="BD19" i="28"/>
  <c r="C15" i="29"/>
  <c r="BD36" i="28"/>
  <c r="D18" i="29"/>
  <c r="BZ144" i="1"/>
  <c r="BZ146" i="1" s="1"/>
  <c r="CA141" i="1"/>
  <c r="CF83" i="1"/>
  <c r="CD81" i="1"/>
  <c r="BD38" i="28" l="1"/>
  <c r="CD38" i="28" s="1"/>
  <c r="C16" i="29"/>
  <c r="BD31" i="28"/>
  <c r="CD31" i="28" s="1"/>
  <c r="BD32" i="28"/>
  <c r="CD32" i="28" s="1"/>
  <c r="BD22" i="28"/>
  <c r="CD22" i="28" s="1"/>
  <c r="F36" i="5"/>
  <c r="CD37" i="28"/>
  <c r="CC37" i="28"/>
  <c r="CD34" i="28"/>
  <c r="CC34" i="28"/>
  <c r="CD18" i="28"/>
  <c r="CC18" i="28"/>
  <c r="CD49" i="28"/>
  <c r="CC49" i="28"/>
  <c r="CD36" i="28"/>
  <c r="CC36" i="28"/>
  <c r="CD30" i="28"/>
  <c r="CC30" i="28"/>
  <c r="CD33" i="28"/>
  <c r="CC33" i="28"/>
  <c r="CD35" i="28"/>
  <c r="CC35" i="28"/>
  <c r="CD17" i="28"/>
  <c r="CC17" i="28"/>
  <c r="CD19" i="28"/>
  <c r="CC19" i="28"/>
  <c r="CD41" i="28"/>
  <c r="CC41" i="28"/>
  <c r="CD46" i="28"/>
  <c r="CC46" i="28"/>
  <c r="CD40" i="28"/>
  <c r="CC40" i="28"/>
  <c r="BD47" i="28"/>
  <c r="BD42" i="28"/>
  <c r="CB141" i="1"/>
  <c r="CA144" i="1"/>
  <c r="CA146" i="1" s="1"/>
  <c r="CG83" i="1"/>
  <c r="CE81" i="1"/>
  <c r="CC38" i="28" l="1"/>
  <c r="CC22" i="28"/>
  <c r="CC32" i="28"/>
  <c r="CC31" i="28"/>
  <c r="CD42" i="28"/>
  <c r="CC42" i="28"/>
  <c r="CD47" i="28"/>
  <c r="CC47" i="28"/>
  <c r="BD48" i="28"/>
  <c r="CC141" i="1"/>
  <c r="CB144" i="1"/>
  <c r="CB146" i="1" s="1"/>
  <c r="CH83" i="1"/>
  <c r="CF81" i="1"/>
  <c r="CD48" i="28" l="1"/>
  <c r="CC48" i="28"/>
  <c r="CC144" i="1"/>
  <c r="CC146" i="1" s="1"/>
  <c r="CD141" i="1"/>
  <c r="CI83" i="1"/>
  <c r="CJ83" i="1" s="1"/>
  <c r="CG81" i="1"/>
  <c r="CE141" i="1" l="1"/>
  <c r="CD144" i="1"/>
  <c r="CD146" i="1" s="1"/>
  <c r="CK83" i="1"/>
  <c r="CH81" i="1"/>
  <c r="CE144" i="1" l="1"/>
  <c r="CE146" i="1" s="1"/>
  <c r="CF141" i="1"/>
  <c r="CL83" i="1"/>
  <c r="CI81" i="1"/>
  <c r="CF144" i="1" l="1"/>
  <c r="CF146" i="1" s="1"/>
  <c r="CG141" i="1"/>
  <c r="CM83" i="1"/>
  <c r="CJ81" i="1"/>
  <c r="CH141" i="1" l="1"/>
  <c r="CG144" i="1"/>
  <c r="CG146" i="1" s="1"/>
  <c r="CN83" i="1"/>
  <c r="CK81" i="1"/>
  <c r="CI141" i="1" l="1"/>
  <c r="CH144" i="1"/>
  <c r="CH146" i="1" s="1"/>
  <c r="CO83" i="1"/>
  <c r="CL81" i="1"/>
  <c r="CI144" i="1" l="1"/>
  <c r="CI146" i="1" s="1"/>
  <c r="CJ141" i="1"/>
  <c r="CP83" i="1"/>
  <c r="CM81" i="1"/>
  <c r="CK141" i="1" l="1"/>
  <c r="CJ144" i="1"/>
  <c r="CJ146" i="1" s="1"/>
  <c r="CQ83" i="1"/>
  <c r="CN81" i="1"/>
  <c r="CK144" i="1" l="1"/>
  <c r="CK146" i="1" s="1"/>
  <c r="CL141" i="1"/>
  <c r="CR83" i="1"/>
  <c r="CO81" i="1"/>
  <c r="CL144" i="1" l="1"/>
  <c r="CL146" i="1" s="1"/>
  <c r="CM141" i="1"/>
  <c r="CS83" i="1"/>
  <c r="CP81" i="1"/>
  <c r="CM144" i="1" l="1"/>
  <c r="CM146" i="1" s="1"/>
  <c r="CN141" i="1"/>
  <c r="CT83" i="1"/>
  <c r="CQ81" i="1"/>
  <c r="CO141" i="1" l="1"/>
  <c r="CN144" i="1"/>
  <c r="CN146" i="1" s="1"/>
  <c r="CU83" i="1"/>
  <c r="CV83" i="1" s="1"/>
  <c r="CR81" i="1"/>
  <c r="CP141" i="1" l="1"/>
  <c r="CO144" i="1"/>
  <c r="CO146" i="1" s="1"/>
  <c r="CW83" i="1"/>
  <c r="CS81" i="1"/>
  <c r="CQ141" i="1" l="1"/>
  <c r="CP144" i="1"/>
  <c r="CP146" i="1" s="1"/>
  <c r="CX83" i="1"/>
  <c r="CT81" i="1"/>
  <c r="CR141" i="1" l="1"/>
  <c r="CQ144" i="1"/>
  <c r="CQ146" i="1" s="1"/>
  <c r="CY83" i="1"/>
  <c r="CU81" i="1"/>
  <c r="CS141" i="1" l="1"/>
  <c r="CR144" i="1"/>
  <c r="CR146" i="1" s="1"/>
  <c r="CZ83" i="1"/>
  <c r="CV81" i="1"/>
  <c r="CS144" i="1" l="1"/>
  <c r="CS146" i="1" s="1"/>
  <c r="CT141" i="1"/>
  <c r="DA83" i="1"/>
  <c r="CW81" i="1"/>
  <c r="CU141" i="1" l="1"/>
  <c r="CT144" i="1"/>
  <c r="CT146" i="1" s="1"/>
  <c r="DB83" i="1"/>
  <c r="CX81" i="1"/>
  <c r="CV141" i="1" l="1"/>
  <c r="CU144" i="1"/>
  <c r="CU146" i="1" s="1"/>
  <c r="DC83" i="1"/>
  <c r="CY81" i="1"/>
  <c r="CW141" i="1" l="1"/>
  <c r="CV144" i="1"/>
  <c r="CV146" i="1" s="1"/>
  <c r="DD83" i="1"/>
  <c r="CZ81" i="1"/>
  <c r="CX141" i="1" l="1"/>
  <c r="CW144" i="1"/>
  <c r="CW146" i="1" s="1"/>
  <c r="DE83" i="1"/>
  <c r="DA81" i="1"/>
  <c r="CX144" i="1" l="1"/>
  <c r="CX146" i="1" s="1"/>
  <c r="CY141" i="1"/>
  <c r="DF83" i="1"/>
  <c r="DB81" i="1"/>
  <c r="CY144" i="1" l="1"/>
  <c r="CY146" i="1" s="1"/>
  <c r="CZ141" i="1"/>
  <c r="DG83" i="1"/>
  <c r="DC81" i="1"/>
  <c r="DA141" i="1" l="1"/>
  <c r="CZ144" i="1"/>
  <c r="CZ146" i="1" s="1"/>
  <c r="DD81" i="1"/>
  <c r="DA144" i="1" l="1"/>
  <c r="DA146" i="1" s="1"/>
  <c r="DB141" i="1"/>
  <c r="DE81" i="1"/>
  <c r="DC141" i="1" l="1"/>
  <c r="DB144" i="1"/>
  <c r="DB146" i="1" s="1"/>
  <c r="DF81" i="1"/>
  <c r="DC144" i="1" l="1"/>
  <c r="DC146" i="1" s="1"/>
  <c r="DD141" i="1"/>
  <c r="DG81" i="1"/>
  <c r="DG77" i="1" s="1"/>
  <c r="DG80" i="1" s="1"/>
  <c r="DE141" i="1" l="1"/>
  <c r="DD144" i="1"/>
  <c r="DD146" i="1" s="1"/>
  <c r="DF141" i="1" l="1"/>
  <c r="DE144" i="1"/>
  <c r="DE146" i="1" s="1"/>
  <c r="DG141" i="1" l="1"/>
  <c r="DG144" i="1" s="1"/>
  <c r="DG146" i="1" s="1"/>
  <c r="DF144" i="1"/>
  <c r="DF146" i="1" s="1"/>
  <c r="AO164" i="1" l="1"/>
  <c r="AN125" i="1"/>
  <c r="AO163" i="1" s="1"/>
  <c r="AN122" i="1"/>
  <c r="AN108" i="1"/>
  <c r="AN105" i="1"/>
  <c r="AN72" i="1"/>
  <c r="BA92" i="1"/>
  <c r="BM92" i="1" s="1"/>
  <c r="BY92" i="1" s="1"/>
  <c r="CK92" i="1" s="1"/>
  <c r="CW92" i="1" s="1"/>
  <c r="AN42" i="1"/>
  <c r="AN37" i="1"/>
  <c r="AN38" i="1"/>
  <c r="AN39" i="1"/>
  <c r="AN40" i="1"/>
  <c r="D16" i="29"/>
  <c r="N28" i="27"/>
  <c r="M28" i="27"/>
  <c r="N22" i="27"/>
  <c r="M22" i="27"/>
  <c r="N21" i="27"/>
  <c r="M21" i="27"/>
  <c r="N17" i="27"/>
  <c r="M17" i="27"/>
  <c r="N15" i="27"/>
  <c r="M15" i="27"/>
  <c r="N13" i="27"/>
  <c r="M13" i="27"/>
  <c r="N12" i="27"/>
  <c r="M12" i="27"/>
  <c r="M33" i="27"/>
  <c r="M32" i="27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AG105" i="1"/>
  <c r="AM157" i="1"/>
  <c r="AL122" i="1"/>
  <c r="AB1" i="1"/>
  <c r="AM12" i="1"/>
  <c r="AM15" i="1" s="1"/>
  <c r="AM19" i="1"/>
  <c r="AM36" i="1"/>
  <c r="AM37" i="1"/>
  <c r="AM38" i="1"/>
  <c r="AM39" i="1"/>
  <c r="AM40" i="1"/>
  <c r="AM42" i="1"/>
  <c r="AM168" i="1"/>
  <c r="AM169" i="1" s="1"/>
  <c r="AM105" i="1"/>
  <c r="AM108" i="1"/>
  <c r="AM122" i="1"/>
  <c r="AM125" i="1"/>
  <c r="AZ92" i="1"/>
  <c r="BL92" i="1" s="1"/>
  <c r="BX92" i="1" s="1"/>
  <c r="CJ92" i="1" s="1"/>
  <c r="CV92" i="1" s="1"/>
  <c r="AN168" i="1"/>
  <c r="AN169" i="1" s="1"/>
  <c r="AM72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BN45" i="28"/>
  <c r="FB12" i="24"/>
  <c r="FA12" i="24"/>
  <c r="EZ12" i="24"/>
  <c r="EY12" i="24"/>
  <c r="EX12" i="24"/>
  <c r="EW12" i="24"/>
  <c r="EV12" i="24"/>
  <c r="EU12" i="24"/>
  <c r="ET12" i="24"/>
  <c r="ES12" i="24"/>
  <c r="ER12" i="24"/>
  <c r="EQ12" i="24"/>
  <c r="EP12" i="24"/>
  <c r="EO12" i="24"/>
  <c r="EN12" i="24"/>
  <c r="EM12" i="24"/>
  <c r="EL12" i="24"/>
  <c r="EK12" i="24"/>
  <c r="EJ12" i="24"/>
  <c r="EI12" i="24"/>
  <c r="EH12" i="24"/>
  <c r="EG12" i="24"/>
  <c r="EF12" i="24"/>
  <c r="EE12" i="24"/>
  <c r="ED12" i="24"/>
  <c r="EC12" i="24"/>
  <c r="EB12" i="24"/>
  <c r="EA12" i="24"/>
  <c r="DZ12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L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X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J12" i="24"/>
  <c r="CI12" i="24"/>
  <c r="N12" i="24"/>
  <c r="FB11" i="24"/>
  <c r="FA11" i="24"/>
  <c r="EZ11" i="24"/>
  <c r="EY11" i="24"/>
  <c r="EX11" i="24"/>
  <c r="EW11" i="24"/>
  <c r="EV11" i="24"/>
  <c r="EU11" i="24"/>
  <c r="ET11" i="24"/>
  <c r="ES11" i="24"/>
  <c r="ER11" i="24"/>
  <c r="EQ11" i="24"/>
  <c r="EP11" i="24"/>
  <c r="EO11" i="24"/>
  <c r="EN11" i="24"/>
  <c r="EM11" i="24"/>
  <c r="EL11" i="24"/>
  <c r="EK11" i="24"/>
  <c r="EJ11" i="24"/>
  <c r="EI11" i="24"/>
  <c r="EH11" i="24"/>
  <c r="EG11" i="24"/>
  <c r="EF11" i="24"/>
  <c r="EE11" i="24"/>
  <c r="ED11" i="24"/>
  <c r="EC11" i="24"/>
  <c r="EB11" i="24"/>
  <c r="EA11" i="24"/>
  <c r="DZ11" i="24"/>
  <c r="DY11" i="24"/>
  <c r="DX11" i="24"/>
  <c r="DW11" i="24"/>
  <c r="DV11" i="24"/>
  <c r="DU11" i="24"/>
  <c r="DT11" i="24"/>
  <c r="DS11" i="24"/>
  <c r="DR11" i="24"/>
  <c r="DQ11" i="24"/>
  <c r="DP11" i="24"/>
  <c r="DO11" i="24"/>
  <c r="DN11" i="24"/>
  <c r="DM11" i="24"/>
  <c r="DL11" i="24"/>
  <c r="DK11" i="24"/>
  <c r="DJ11" i="24"/>
  <c r="DI11" i="24"/>
  <c r="DH11" i="24"/>
  <c r="DG11" i="24"/>
  <c r="DF11" i="24"/>
  <c r="DE11" i="24"/>
  <c r="DD11" i="24"/>
  <c r="DC11" i="24"/>
  <c r="DB11" i="24"/>
  <c r="DA11" i="24"/>
  <c r="CZ11" i="24"/>
  <c r="CY11" i="24"/>
  <c r="CX11" i="24"/>
  <c r="CW11" i="24"/>
  <c r="CV11" i="24"/>
  <c r="CU11" i="24"/>
  <c r="CT11" i="24"/>
  <c r="CS11" i="24"/>
  <c r="CR11" i="24"/>
  <c r="CQ11" i="24"/>
  <c r="CP11" i="24"/>
  <c r="CO11" i="24"/>
  <c r="CN11" i="24"/>
  <c r="CM11" i="24"/>
  <c r="CL11" i="24"/>
  <c r="CK11" i="24"/>
  <c r="CJ11" i="24"/>
  <c r="CI11" i="24"/>
  <c r="FB13" i="24"/>
  <c r="FA13" i="24"/>
  <c r="EZ13" i="24"/>
  <c r="EY13" i="24"/>
  <c r="EX13" i="24"/>
  <c r="EW13" i="24"/>
  <c r="EV13" i="24"/>
  <c r="EU13" i="24"/>
  <c r="ET13" i="24"/>
  <c r="ES13" i="24"/>
  <c r="ER13" i="24"/>
  <c r="EQ13" i="24"/>
  <c r="EP13" i="24"/>
  <c r="EO13" i="24"/>
  <c r="EN13" i="24"/>
  <c r="EM13" i="24"/>
  <c r="EL13" i="24"/>
  <c r="EK13" i="24"/>
  <c r="EJ13" i="24"/>
  <c r="EI13" i="24"/>
  <c r="EH13" i="24"/>
  <c r="EG13" i="24"/>
  <c r="EF13" i="24"/>
  <c r="EE13" i="24"/>
  <c r="ED13" i="24"/>
  <c r="EC13" i="24"/>
  <c r="EB13" i="24"/>
  <c r="EA13" i="24"/>
  <c r="DZ13" i="24"/>
  <c r="DY13" i="24"/>
  <c r="DX13" i="24"/>
  <c r="DW13" i="24"/>
  <c r="DV13" i="24"/>
  <c r="DU13" i="24"/>
  <c r="DT13" i="24"/>
  <c r="DS13" i="24"/>
  <c r="DR13" i="24"/>
  <c r="DQ13" i="24"/>
  <c r="DP13" i="24"/>
  <c r="DO13" i="24"/>
  <c r="DN13" i="24"/>
  <c r="DM13" i="24"/>
  <c r="DL13" i="24"/>
  <c r="DK13" i="24"/>
  <c r="DJ13" i="24"/>
  <c r="DI13" i="24"/>
  <c r="DH13" i="24"/>
  <c r="DG13" i="24"/>
  <c r="DF13" i="24"/>
  <c r="DE13" i="24"/>
  <c r="DD13" i="24"/>
  <c r="DC13" i="24"/>
  <c r="DB13" i="24"/>
  <c r="DA13" i="24"/>
  <c r="CZ13" i="24"/>
  <c r="CY13" i="24"/>
  <c r="CX13" i="24"/>
  <c r="CW13" i="24"/>
  <c r="CV13" i="24"/>
  <c r="CU13" i="24"/>
  <c r="CT13" i="24"/>
  <c r="CS13" i="24"/>
  <c r="CR13" i="24"/>
  <c r="CQ13" i="24"/>
  <c r="CP13" i="24"/>
  <c r="CO13" i="24"/>
  <c r="CN13" i="24"/>
  <c r="CM13" i="24"/>
  <c r="CL13" i="24"/>
  <c r="CK13" i="24"/>
  <c r="CJ13" i="24"/>
  <c r="CI13" i="24"/>
  <c r="AY92" i="1"/>
  <c r="BK92" i="1" s="1"/>
  <c r="BW92" i="1" s="1"/>
  <c r="CI92" i="1" s="1"/>
  <c r="CU92" i="1" s="1"/>
  <c r="DG92" i="1" s="1"/>
  <c r="BJ92" i="1"/>
  <c r="BV92" i="1" s="1"/>
  <c r="CH92" i="1" s="1"/>
  <c r="CT92" i="1" s="1"/>
  <c r="DF92" i="1" s="1"/>
  <c r="BI92" i="1"/>
  <c r="BU92" i="1" s="1"/>
  <c r="CG92" i="1" s="1"/>
  <c r="CS92" i="1" s="1"/>
  <c r="DE92" i="1" s="1"/>
  <c r="BH92" i="1"/>
  <c r="BT92" i="1" s="1"/>
  <c r="CF92" i="1" s="1"/>
  <c r="CR92" i="1" s="1"/>
  <c r="DD92" i="1" s="1"/>
  <c r="BG92" i="1"/>
  <c r="BS92" i="1" s="1"/>
  <c r="CE92" i="1" s="1"/>
  <c r="CQ92" i="1" s="1"/>
  <c r="DC92" i="1" s="1"/>
  <c r="BF92" i="1"/>
  <c r="BR92" i="1" s="1"/>
  <c r="CD92" i="1" s="1"/>
  <c r="CP92" i="1" s="1"/>
  <c r="DB92" i="1" s="1"/>
  <c r="BE92" i="1"/>
  <c r="BQ92" i="1" s="1"/>
  <c r="CC92" i="1" s="1"/>
  <c r="CO92" i="1" s="1"/>
  <c r="DA92" i="1" s="1"/>
  <c r="BD92" i="1"/>
  <c r="BP92" i="1" s="1"/>
  <c r="CB92" i="1" s="1"/>
  <c r="CN92" i="1" s="1"/>
  <c r="CZ92" i="1" s="1"/>
  <c r="BC92" i="1"/>
  <c r="BO92" i="1" s="1"/>
  <c r="CA92" i="1" s="1"/>
  <c r="CM92" i="1" s="1"/>
  <c r="CY92" i="1" s="1"/>
  <c r="BB92" i="1"/>
  <c r="BN92" i="1" s="1"/>
  <c r="BZ92" i="1" s="1"/>
  <c r="CL92" i="1" s="1"/>
  <c r="CX92" i="1" s="1"/>
  <c r="N10" i="29"/>
  <c r="M10" i="29"/>
  <c r="L10" i="29"/>
  <c r="K10" i="29"/>
  <c r="J10" i="29"/>
  <c r="I10" i="29"/>
  <c r="H10" i="29"/>
  <c r="G10" i="29"/>
  <c r="F10" i="29"/>
  <c r="E10" i="29"/>
  <c r="D10" i="29"/>
  <c r="C10" i="29"/>
  <c r="AL19" i="1"/>
  <c r="AL157" i="1"/>
  <c r="AM151" i="1"/>
  <c r="AL72" i="1"/>
  <c r="AL42" i="1"/>
  <c r="AL36" i="1"/>
  <c r="AL37" i="1"/>
  <c r="AL38" i="1"/>
  <c r="AL39" i="1"/>
  <c r="AL40" i="1"/>
  <c r="AL12" i="1"/>
  <c r="AL101" i="1" s="1"/>
  <c r="AK157" i="1"/>
  <c r="AJ157" i="1"/>
  <c r="AI157" i="1"/>
  <c r="AH157" i="1"/>
  <c r="AG157" i="1"/>
  <c r="AF157" i="1"/>
  <c r="AE157" i="1"/>
  <c r="AD157" i="1"/>
  <c r="AC157" i="1"/>
  <c r="AB157" i="1"/>
  <c r="AN43" i="1" l="1"/>
  <c r="AZ42" i="1"/>
  <c r="AL43" i="1"/>
  <c r="AX42" i="1"/>
  <c r="N23" i="27"/>
  <c r="AN109" i="1"/>
  <c r="AM109" i="1"/>
  <c r="AN98" i="1"/>
  <c r="M23" i="27"/>
  <c r="M14" i="27"/>
  <c r="M18" i="27" s="1"/>
  <c r="M19" i="27" s="1"/>
  <c r="AN133" i="1"/>
  <c r="AN134" i="1" s="1"/>
  <c r="AM14" i="1"/>
  <c r="AM101" i="1"/>
  <c r="AM43" i="1"/>
  <c r="AN164" i="1"/>
  <c r="AM133" i="1"/>
  <c r="AM134" i="1" s="1"/>
  <c r="AM98" i="1"/>
  <c r="AL98" i="1"/>
  <c r="AX43" i="1" l="1"/>
  <c r="BJ42" i="1"/>
  <c r="AM126" i="1"/>
  <c r="AM44" i="1"/>
  <c r="AM45" i="1" s="1"/>
  <c r="M25" i="27"/>
  <c r="M26" i="27" s="1"/>
  <c r="AM35" i="1"/>
  <c r="M29" i="27" l="1"/>
  <c r="M30" i="27" s="1"/>
  <c r="K8" i="24"/>
  <c r="L8" i="24"/>
  <c r="AK37" i="1"/>
  <c r="AI37" i="1"/>
  <c r="AK12" i="1"/>
  <c r="AK105" i="1"/>
  <c r="AK108" i="1"/>
  <c r="AK122" i="1"/>
  <c r="AK125" i="1"/>
  <c r="AL105" i="1"/>
  <c r="AL108" i="1"/>
  <c r="AK19" i="1"/>
  <c r="AK36" i="1"/>
  <c r="AK38" i="1"/>
  <c r="AK39" i="1"/>
  <c r="AK40" i="1"/>
  <c r="AK42" i="1"/>
  <c r="AK65" i="1"/>
  <c r="BP16" i="28"/>
  <c r="BP28" i="28" s="1"/>
  <c r="BO16" i="28"/>
  <c r="BM16" i="28"/>
  <c r="BL16" i="28"/>
  <c r="BK16" i="28"/>
  <c r="BK28" i="28" s="1"/>
  <c r="BK44" i="28" s="1"/>
  <c r="BK50" i="28" s="1"/>
  <c r="BJ16" i="28"/>
  <c r="BJ28" i="28" s="1"/>
  <c r="BJ29" i="28" s="1"/>
  <c r="BI16" i="28"/>
  <c r="BI44" i="28" s="1"/>
  <c r="BI45" i="28" s="1"/>
  <c r="BH16" i="28"/>
  <c r="BH44" i="28" s="1"/>
  <c r="BH45" i="28" s="1"/>
  <c r="BG16" i="28"/>
  <c r="BG44" i="28" s="1"/>
  <c r="BG45" i="28" s="1"/>
  <c r="BF16" i="28"/>
  <c r="BF44" i="28" s="1"/>
  <c r="BF45" i="28" s="1"/>
  <c r="BE16" i="28"/>
  <c r="BE44" i="28" s="1"/>
  <c r="BE45" i="28" s="1"/>
  <c r="E47" i="28"/>
  <c r="E48" i="28" s="1"/>
  <c r="D47" i="28"/>
  <c r="D48" i="28" s="1"/>
  <c r="J45" i="28"/>
  <c r="L43" i="28"/>
  <c r="E43" i="28"/>
  <c r="E44" i="28" s="1"/>
  <c r="D43" i="28"/>
  <c r="D44" i="28" s="1"/>
  <c r="J29" i="28"/>
  <c r="BO28" i="28"/>
  <c r="BO44" i="28" s="1"/>
  <c r="BO50" i="28" s="1"/>
  <c r="BM28" i="28"/>
  <c r="BM44" i="28" s="1"/>
  <c r="BM50" i="28" s="1"/>
  <c r="BI28" i="28"/>
  <c r="BH28" i="28"/>
  <c r="BG28" i="28"/>
  <c r="BF28" i="28"/>
  <c r="BE28" i="28"/>
  <c r="O28" i="28"/>
  <c r="O29" i="28" s="1"/>
  <c r="E28" i="28"/>
  <c r="D28" i="28"/>
  <c r="AJ105" i="1"/>
  <c r="AJ108" i="1"/>
  <c r="AJ122" i="1"/>
  <c r="AJ125" i="1"/>
  <c r="AJ12" i="1"/>
  <c r="AJ19" i="1"/>
  <c r="AJ26" i="1"/>
  <c r="AJ36" i="1"/>
  <c r="AJ37" i="1"/>
  <c r="AJ38" i="1"/>
  <c r="AJ39" i="1"/>
  <c r="AJ40" i="1"/>
  <c r="AJ42" i="1"/>
  <c r="AJ65" i="1"/>
  <c r="AI39" i="1"/>
  <c r="AI36" i="1"/>
  <c r="AK43" i="1" l="1"/>
  <c r="AJ43" i="1"/>
  <c r="BM45" i="28"/>
  <c r="BO45" i="28"/>
  <c r="BP44" i="28"/>
  <c r="BP50" i="28" s="1"/>
  <c r="AM164" i="1"/>
  <c r="BE29" i="28"/>
  <c r="BG29" i="28"/>
  <c r="BM29" i="28"/>
  <c r="BF29" i="28"/>
  <c r="BO29" i="28"/>
  <c r="E50" i="28"/>
  <c r="D50" i="28"/>
  <c r="O44" i="28"/>
  <c r="O45" i="28" s="1"/>
  <c r="AJ102" i="1"/>
  <c r="AK102" i="1"/>
  <c r="AJ14" i="1"/>
  <c r="AK109" i="1"/>
  <c r="L29" i="25" s="1"/>
  <c r="AK14" i="1"/>
  <c r="AK101" i="1"/>
  <c r="AK133" i="1"/>
  <c r="AK134" i="1" s="1"/>
  <c r="AL109" i="1"/>
  <c r="AK15" i="1"/>
  <c r="BJ44" i="28"/>
  <c r="BJ45" i="28" s="1"/>
  <c r="BI29" i="28"/>
  <c r="BK45" i="28"/>
  <c r="BK29" i="28"/>
  <c r="BH29" i="28"/>
  <c r="BP29" i="28"/>
  <c r="BL28" i="28"/>
  <c r="AJ133" i="1"/>
  <c r="AJ134" i="1" s="1"/>
  <c r="AJ109" i="1"/>
  <c r="AJ101" i="1"/>
  <c r="AJ15" i="1"/>
  <c r="K16" i="25"/>
  <c r="J16" i="25"/>
  <c r="I16" i="25"/>
  <c r="H16" i="25"/>
  <c r="G16" i="25"/>
  <c r="F16" i="25"/>
  <c r="E16" i="25"/>
  <c r="D16" i="25"/>
  <c r="C16" i="25"/>
  <c r="AI19" i="1"/>
  <c r="J10" i="27"/>
  <c r="M109" i="1"/>
  <c r="P95" i="1"/>
  <c r="Q95" i="1"/>
  <c r="R95" i="1"/>
  <c r="S95" i="1"/>
  <c r="T95" i="1"/>
  <c r="U95" i="1"/>
  <c r="V95" i="1"/>
  <c r="W95" i="1"/>
  <c r="X95" i="1"/>
  <c r="AI108" i="1"/>
  <c r="AH108" i="1"/>
  <c r="AG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AY107" i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DC107" i="1" s="1"/>
  <c r="DD107" i="1" s="1"/>
  <c r="DE107" i="1" s="1"/>
  <c r="DF107" i="1" s="1"/>
  <c r="DG107" i="1" s="1"/>
  <c r="DG108" i="1" s="1"/>
  <c r="AF108" i="1"/>
  <c r="J107" i="1"/>
  <c r="J108" i="1" s="1"/>
  <c r="I107" i="1"/>
  <c r="I108" i="1" s="1"/>
  <c r="H107" i="1"/>
  <c r="H108" i="1" s="1"/>
  <c r="G107" i="1"/>
  <c r="G108" i="1" s="1"/>
  <c r="F107" i="1"/>
  <c r="F108" i="1" s="1"/>
  <c r="E107" i="1"/>
  <c r="E108" i="1" s="1"/>
  <c r="D107" i="1"/>
  <c r="D108" i="1" s="1"/>
  <c r="AI1" i="1"/>
  <c r="AI3" i="1" s="1"/>
  <c r="AI2" i="1"/>
  <c r="AU2" i="1" s="1"/>
  <c r="AI12" i="1"/>
  <c r="AI26" i="1"/>
  <c r="AI38" i="1"/>
  <c r="AI40" i="1"/>
  <c r="AI42" i="1"/>
  <c r="AI65" i="1"/>
  <c r="AI72" i="1"/>
  <c r="AI105" i="1"/>
  <c r="AI122" i="1"/>
  <c r="AI125" i="1"/>
  <c r="AI168" i="1"/>
  <c r="AI169" i="1" s="1"/>
  <c r="AJ1" i="1"/>
  <c r="AJ3" i="1" s="1"/>
  <c r="AJ2" i="1"/>
  <c r="AV2" i="1" s="1"/>
  <c r="AJ72" i="1"/>
  <c r="J8" i="24"/>
  <c r="AH36" i="1"/>
  <c r="O8" i="24"/>
  <c r="M8" i="24"/>
  <c r="E5" i="24"/>
  <c r="I8" i="24"/>
  <c r="AH12" i="1"/>
  <c r="AH19" i="1"/>
  <c r="AH26" i="1"/>
  <c r="AH37" i="1"/>
  <c r="AH38" i="1"/>
  <c r="AH39" i="1"/>
  <c r="AH40" i="1"/>
  <c r="AH42" i="1"/>
  <c r="AH65" i="1"/>
  <c r="AH72" i="1"/>
  <c r="AH105" i="1"/>
  <c r="AH122" i="1"/>
  <c r="AH125" i="1"/>
  <c r="AH168" i="1"/>
  <c r="AH169" i="1" s="1"/>
  <c r="O67" i="1"/>
  <c r="N67" i="1"/>
  <c r="M67" i="1"/>
  <c r="L67" i="1"/>
  <c r="K67" i="1"/>
  <c r="J67" i="1"/>
  <c r="I67" i="1"/>
  <c r="H67" i="1"/>
  <c r="G67" i="1"/>
  <c r="F67" i="1"/>
  <c r="E67" i="1"/>
  <c r="H8" i="24"/>
  <c r="FB8" i="24"/>
  <c r="FA8" i="24"/>
  <c r="EZ8" i="24"/>
  <c r="EY8" i="24"/>
  <c r="EX8" i="24"/>
  <c r="EW8" i="24"/>
  <c r="EV8" i="24"/>
  <c r="EU8" i="24"/>
  <c r="ET8" i="24"/>
  <c r="ES8" i="24"/>
  <c r="ER8" i="24"/>
  <c r="EQ8" i="24"/>
  <c r="EP8" i="24"/>
  <c r="EO8" i="24"/>
  <c r="EN8" i="24"/>
  <c r="EM8" i="24"/>
  <c r="EL8" i="24"/>
  <c r="EK8" i="24"/>
  <c r="EJ8" i="24"/>
  <c r="EI8" i="24"/>
  <c r="EH8" i="24"/>
  <c r="EG8" i="24"/>
  <c r="EF8" i="24"/>
  <c r="EE8" i="24"/>
  <c r="ED8" i="24"/>
  <c r="EC8" i="24"/>
  <c r="EB8" i="24"/>
  <c r="EA8" i="24"/>
  <c r="DZ8" i="24"/>
  <c r="DY8" i="24"/>
  <c r="DX8" i="24"/>
  <c r="DW8" i="24"/>
  <c r="DV8" i="24"/>
  <c r="DU8" i="24"/>
  <c r="DT8" i="24"/>
  <c r="DS8" i="24"/>
  <c r="DR8" i="24"/>
  <c r="DQ8" i="24"/>
  <c r="DP8" i="24"/>
  <c r="DO8" i="24"/>
  <c r="DN8" i="24"/>
  <c r="DM8" i="24"/>
  <c r="DL8" i="24"/>
  <c r="DK8" i="24"/>
  <c r="DJ8" i="24"/>
  <c r="DI8" i="24"/>
  <c r="DH8" i="24"/>
  <c r="DG8" i="24"/>
  <c r="DF8" i="24"/>
  <c r="DE8" i="24"/>
  <c r="DD8" i="24"/>
  <c r="DC8" i="24"/>
  <c r="DB8" i="24"/>
  <c r="DA8" i="24"/>
  <c r="CZ8" i="24"/>
  <c r="CY8" i="24"/>
  <c r="CX8" i="24"/>
  <c r="CW8" i="24"/>
  <c r="CV8" i="24"/>
  <c r="CU8" i="24"/>
  <c r="CT8" i="24"/>
  <c r="CS8" i="24"/>
  <c r="CR8" i="24"/>
  <c r="CQ8" i="24"/>
  <c r="CP8" i="24"/>
  <c r="CO8" i="24"/>
  <c r="CN8" i="24"/>
  <c r="CM8" i="24"/>
  <c r="CL8" i="24"/>
  <c r="CK8" i="24"/>
  <c r="CJ8" i="24"/>
  <c r="CI8" i="24"/>
  <c r="CH8" i="24"/>
  <c r="CG8" i="24"/>
  <c r="CF8" i="24"/>
  <c r="CE8" i="24"/>
  <c r="CD8" i="24"/>
  <c r="CC8" i="24"/>
  <c r="CB8" i="24"/>
  <c r="CA8" i="24"/>
  <c r="BZ8" i="24"/>
  <c r="BY8" i="24"/>
  <c r="BX8" i="24"/>
  <c r="BW8" i="24"/>
  <c r="BV8" i="24"/>
  <c r="BU8" i="24"/>
  <c r="BT8" i="24"/>
  <c r="BS8" i="24"/>
  <c r="BR8" i="24"/>
  <c r="BQ8" i="24"/>
  <c r="BP8" i="24"/>
  <c r="BO8" i="24"/>
  <c r="BN8" i="24"/>
  <c r="BM8" i="24"/>
  <c r="BL8" i="24"/>
  <c r="BK8" i="24"/>
  <c r="BJ8" i="24"/>
  <c r="BI8" i="24"/>
  <c r="BH8" i="24"/>
  <c r="BG8" i="24"/>
  <c r="BF8" i="24"/>
  <c r="BE8" i="24"/>
  <c r="BD8" i="24"/>
  <c r="BC8" i="24"/>
  <c r="BB8" i="24"/>
  <c r="BA8" i="24"/>
  <c r="AZ8" i="24"/>
  <c r="AY8" i="24"/>
  <c r="AX8" i="24"/>
  <c r="AW8" i="24"/>
  <c r="AV8" i="24"/>
  <c r="AU8" i="24"/>
  <c r="AT8" i="24"/>
  <c r="AS8" i="24"/>
  <c r="AR8" i="24"/>
  <c r="AQ8" i="24"/>
  <c r="AP8" i="24"/>
  <c r="AO8" i="24"/>
  <c r="AN8" i="24"/>
  <c r="AM8" i="24"/>
  <c r="AL8" i="24"/>
  <c r="AK8" i="24"/>
  <c r="AJ8" i="24"/>
  <c r="AI8" i="24"/>
  <c r="AH8" i="24"/>
  <c r="AG8" i="24"/>
  <c r="AF8" i="24"/>
  <c r="AE8" i="24"/>
  <c r="AD8" i="24"/>
  <c r="AC8" i="24"/>
  <c r="AB8" i="24"/>
  <c r="AA8" i="24"/>
  <c r="Z8" i="24"/>
  <c r="Y8" i="24"/>
  <c r="W8" i="24"/>
  <c r="N8" i="24"/>
  <c r="AG65" i="1"/>
  <c r="AF65" i="1"/>
  <c r="AE65" i="1"/>
  <c r="AD65" i="1"/>
  <c r="AC65" i="1"/>
  <c r="AB65" i="1"/>
  <c r="E4" i="24"/>
  <c r="AI43" i="1" l="1"/>
  <c r="AH43" i="1"/>
  <c r="AJ126" i="1"/>
  <c r="AJ44" i="1"/>
  <c r="AJ45" i="1" s="1"/>
  <c r="AK126" i="1"/>
  <c r="AK44" i="1"/>
  <c r="AK45" i="1" s="1"/>
  <c r="BL29" i="28"/>
  <c r="BL44" i="28"/>
  <c r="BP45" i="28"/>
  <c r="AH109" i="1"/>
  <c r="AI102" i="1"/>
  <c r="F18" i="25"/>
  <c r="G18" i="25"/>
  <c r="D17" i="27"/>
  <c r="AH102" i="1"/>
  <c r="AH14" i="1"/>
  <c r="AI14" i="1"/>
  <c r="AJ35" i="1"/>
  <c r="AJ66" i="1"/>
  <c r="AJ67" i="1" s="1"/>
  <c r="AJ98" i="1"/>
  <c r="AD108" i="1"/>
  <c r="K29" i="25"/>
  <c r="AE108" i="1"/>
  <c r="AK66" i="1"/>
  <c r="AK67" i="1" s="1"/>
  <c r="AK35" i="1"/>
  <c r="AI109" i="1"/>
  <c r="AI164" i="1"/>
  <c r="BB108" i="1"/>
  <c r="BR108" i="1"/>
  <c r="CH108" i="1"/>
  <c r="CX108" i="1"/>
  <c r="BL108" i="1"/>
  <c r="CB108" i="1"/>
  <c r="CR108" i="1"/>
  <c r="CZ108" i="1"/>
  <c r="BE108" i="1"/>
  <c r="BM108" i="1"/>
  <c r="BU108" i="1"/>
  <c r="CC108" i="1"/>
  <c r="CK108" i="1"/>
  <c r="CS108" i="1"/>
  <c r="DA108" i="1"/>
  <c r="BN108" i="1"/>
  <c r="CD108" i="1"/>
  <c r="CT108" i="1"/>
  <c r="AY108" i="1"/>
  <c r="BG108" i="1"/>
  <c r="BO108" i="1"/>
  <c r="BW108" i="1"/>
  <c r="CE108" i="1"/>
  <c r="CM108" i="1"/>
  <c r="CU108" i="1"/>
  <c r="DC108" i="1"/>
  <c r="BJ108" i="1"/>
  <c r="BZ108" i="1"/>
  <c r="CP108" i="1"/>
  <c r="DF108" i="1"/>
  <c r="BC108" i="1"/>
  <c r="BS108" i="1"/>
  <c r="CI108" i="1"/>
  <c r="BD108" i="1"/>
  <c r="BT108" i="1"/>
  <c r="CJ108" i="1"/>
  <c r="BF108" i="1"/>
  <c r="BV108" i="1"/>
  <c r="CL108" i="1"/>
  <c r="DB108" i="1"/>
  <c r="AZ108" i="1"/>
  <c r="BH108" i="1"/>
  <c r="BP108" i="1"/>
  <c r="BX108" i="1"/>
  <c r="CF108" i="1"/>
  <c r="CN108" i="1"/>
  <c r="CV108" i="1"/>
  <c r="DD108" i="1"/>
  <c r="BK108" i="1"/>
  <c r="CA108" i="1"/>
  <c r="CQ108" i="1"/>
  <c r="CY108" i="1"/>
  <c r="AC108" i="1"/>
  <c r="BA108" i="1"/>
  <c r="BI108" i="1"/>
  <c r="BQ108" i="1"/>
  <c r="BY108" i="1"/>
  <c r="CG108" i="1"/>
  <c r="CO108" i="1"/>
  <c r="CW108" i="1"/>
  <c r="DE108" i="1"/>
  <c r="AI101" i="1"/>
  <c r="AI163" i="1"/>
  <c r="AI15" i="1"/>
  <c r="AG102" i="1"/>
  <c r="AH101" i="1"/>
  <c r="AC102" i="1"/>
  <c r="AI133" i="1"/>
  <c r="AI134" i="1" s="1"/>
  <c r="AE102" i="1"/>
  <c r="AB102" i="1"/>
  <c r="AD102" i="1"/>
  <c r="AF102" i="1"/>
  <c r="AJ164" i="1"/>
  <c r="AI98" i="1"/>
  <c r="AH133" i="1"/>
  <c r="AH134" i="1" s="1"/>
  <c r="AH98" i="1"/>
  <c r="D18" i="25"/>
  <c r="E18" i="25"/>
  <c r="AH15" i="1"/>
  <c r="AH66" i="1" l="1"/>
  <c r="AH67" i="1" s="1"/>
  <c r="AH44" i="1"/>
  <c r="AH45" i="1" s="1"/>
  <c r="AI35" i="1"/>
  <c r="AI44" i="1"/>
  <c r="AI45" i="1" s="1"/>
  <c r="BL50" i="28"/>
  <c r="BL45" i="28"/>
  <c r="I29" i="25"/>
  <c r="AI126" i="1"/>
  <c r="AI66" i="1"/>
  <c r="AI67" i="1" s="1"/>
  <c r="J29" i="25"/>
  <c r="AH48" i="1"/>
  <c r="AI48" i="1"/>
  <c r="AH126" i="1"/>
  <c r="AH35" i="1"/>
  <c r="AJ99" i="1"/>
  <c r="AJ110" i="1" s="1"/>
  <c r="AH99" i="1" l="1"/>
  <c r="AH100" i="1" s="1"/>
  <c r="AY90" i="1"/>
  <c r="AI99" i="1"/>
  <c r="AI110" i="1" s="1"/>
  <c r="AJ100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AG37" i="1"/>
  <c r="AG39" i="1"/>
  <c r="D16" i="5"/>
  <c r="I56" i="1"/>
  <c r="I57" i="1"/>
  <c r="I55" i="1"/>
  <c r="J55" i="1" s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G40" i="1"/>
  <c r="AG36" i="1"/>
  <c r="AH46" i="1" l="1"/>
  <c r="J57" i="1"/>
  <c r="K57" i="1" s="1"/>
  <c r="L57" i="1" s="1"/>
  <c r="M57" i="1" s="1"/>
  <c r="N57" i="1" s="1"/>
  <c r="J56" i="1"/>
  <c r="K56" i="1" s="1"/>
  <c r="L56" i="1" s="1"/>
  <c r="M56" i="1" s="1"/>
  <c r="N56" i="1" s="1"/>
  <c r="AZ90" i="1"/>
  <c r="AI100" i="1"/>
  <c r="AI46" i="1"/>
  <c r="AI50" i="1" s="1"/>
  <c r="S48" i="1"/>
  <c r="AA48" i="1"/>
  <c r="AI162" i="1"/>
  <c r="AI165" i="1" s="1"/>
  <c r="AI171" i="1" s="1"/>
  <c r="AH50" i="1"/>
  <c r="AY38" i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CV38" i="1" s="1"/>
  <c r="CW38" i="1" s="1"/>
  <c r="CX38" i="1" s="1"/>
  <c r="CY38" i="1" s="1"/>
  <c r="CZ38" i="1" s="1"/>
  <c r="DA38" i="1" s="1"/>
  <c r="DB38" i="1" s="1"/>
  <c r="DC38" i="1" s="1"/>
  <c r="DD38" i="1" s="1"/>
  <c r="DE38" i="1" s="1"/>
  <c r="DF38" i="1" s="1"/>
  <c r="DG38" i="1" s="1"/>
  <c r="V48" i="1"/>
  <c r="AD48" i="1"/>
  <c r="O48" i="1"/>
  <c r="W48" i="1"/>
  <c r="AE48" i="1"/>
  <c r="AB48" i="1"/>
  <c r="AC48" i="1"/>
  <c r="T48" i="1"/>
  <c r="U48" i="1"/>
  <c r="R48" i="1"/>
  <c r="Z48" i="1"/>
  <c r="P48" i="1"/>
  <c r="X48" i="1"/>
  <c r="AF48" i="1"/>
  <c r="N48" i="1"/>
  <c r="Y48" i="1"/>
  <c r="Q48" i="1"/>
  <c r="AG48" i="1"/>
  <c r="M48" i="1"/>
  <c r="L48" i="1"/>
  <c r="AG1" i="1"/>
  <c r="AG3" i="1" s="1"/>
  <c r="AG2" i="1"/>
  <c r="AS2" i="1" s="1"/>
  <c r="AG12" i="1"/>
  <c r="AG19" i="1"/>
  <c r="AG26" i="1"/>
  <c r="AG72" i="1"/>
  <c r="AG122" i="1"/>
  <c r="AG125" i="1"/>
  <c r="AH163" i="1" s="1"/>
  <c r="AG147" i="1"/>
  <c r="AG168" i="1"/>
  <c r="AH1" i="1"/>
  <c r="AH3" i="1" s="1"/>
  <c r="AH2" i="1"/>
  <c r="AT2" i="1" s="1"/>
  <c r="AF12" i="1"/>
  <c r="AF19" i="1"/>
  <c r="AF26" i="1"/>
  <c r="AF36" i="1"/>
  <c r="AF37" i="1"/>
  <c r="AF40" i="1"/>
  <c r="AF72" i="1"/>
  <c r="AF122" i="1"/>
  <c r="AF125" i="1"/>
  <c r="AF147" i="1"/>
  <c r="AE39" i="1"/>
  <c r="AE26" i="1"/>
  <c r="AE12" i="1"/>
  <c r="AE19" i="1"/>
  <c r="AE36" i="1"/>
  <c r="AE37" i="1"/>
  <c r="AE40" i="1"/>
  <c r="AE122" i="1"/>
  <c r="AE125" i="1"/>
  <c r="AE147" i="1"/>
  <c r="AE72" i="1"/>
  <c r="AF1" i="1"/>
  <c r="AF3" i="1" s="1"/>
  <c r="AF2" i="1"/>
  <c r="AR2" i="1" s="1"/>
  <c r="AE1" i="1"/>
  <c r="AE3" i="1" s="1"/>
  <c r="AE2" i="1"/>
  <c r="AQ2" i="1" s="1"/>
  <c r="AE168" i="1"/>
  <c r="AE169" i="1" s="1"/>
  <c r="AA39" i="1"/>
  <c r="BA90" i="1" l="1"/>
  <c r="AF15" i="1"/>
  <c r="AE15" i="1"/>
  <c r="AH164" i="1"/>
  <c r="AH110" i="1"/>
  <c r="AH162" i="1" s="1"/>
  <c r="AG101" i="1"/>
  <c r="AG15" i="1"/>
  <c r="AF14" i="1"/>
  <c r="AF44" i="1" s="1"/>
  <c r="AF101" i="1"/>
  <c r="AE14" i="1"/>
  <c r="AE44" i="1" s="1"/>
  <c r="AE101" i="1"/>
  <c r="K55" i="1"/>
  <c r="AG14" i="1"/>
  <c r="AG133" i="1"/>
  <c r="AG134" i="1" s="1"/>
  <c r="AG169" i="1"/>
  <c r="AG164" i="1"/>
  <c r="AG163" i="1"/>
  <c r="AF133" i="1"/>
  <c r="AF134" i="1" s="1"/>
  <c r="AE133" i="1"/>
  <c r="AE134" i="1" s="1"/>
  <c r="AF164" i="1"/>
  <c r="AF168" i="1"/>
  <c r="AD36" i="1"/>
  <c r="AD39" i="1"/>
  <c r="AC39" i="1"/>
  <c r="AB39" i="1"/>
  <c r="Z39" i="1"/>
  <c r="Y39" i="1"/>
  <c r="X39" i="1"/>
  <c r="W39" i="1"/>
  <c r="V39" i="1"/>
  <c r="U39" i="1"/>
  <c r="T39" i="1"/>
  <c r="S39" i="1"/>
  <c r="R39" i="1"/>
  <c r="Q39" i="1"/>
  <c r="P39" i="1"/>
  <c r="P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AC36" i="1"/>
  <c r="AB36" i="1"/>
  <c r="AA36" i="1"/>
  <c r="Z36" i="1"/>
  <c r="Y36" i="1"/>
  <c r="X36" i="1"/>
  <c r="W36" i="1"/>
  <c r="V36" i="1"/>
  <c r="U36" i="1"/>
  <c r="T36" i="1"/>
  <c r="S36" i="1"/>
  <c r="R36" i="1"/>
  <c r="P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36" i="1"/>
  <c r="AA26" i="1"/>
  <c r="Z26" i="1"/>
  <c r="Y26" i="1"/>
  <c r="X26" i="1"/>
  <c r="W26" i="1"/>
  <c r="V26" i="1"/>
  <c r="U26" i="1"/>
  <c r="T26" i="1"/>
  <c r="S26" i="1"/>
  <c r="R26" i="1"/>
  <c r="Q28" i="1"/>
  <c r="Q26" i="1" s="1"/>
  <c r="P26" i="1"/>
  <c r="AC26" i="1"/>
  <c r="AB26" i="1"/>
  <c r="P13" i="26"/>
  <c r="Z122" i="1"/>
  <c r="AA122" i="1"/>
  <c r="AB122" i="1"/>
  <c r="AC122" i="1"/>
  <c r="AD122" i="1"/>
  <c r="Y122" i="1"/>
  <c r="AD26" i="1"/>
  <c r="AD125" i="1"/>
  <c r="AD147" i="1"/>
  <c r="F32" i="25"/>
  <c r="AD12" i="1"/>
  <c r="AD19" i="1"/>
  <c r="C33" i="25"/>
  <c r="C32" i="25"/>
  <c r="D33" i="25"/>
  <c r="E32" i="25"/>
  <c r="D32" i="25"/>
  <c r="AG66" i="1" l="1"/>
  <c r="AG67" i="1" s="1"/>
  <c r="AG44" i="1"/>
  <c r="BB90" i="1"/>
  <c r="AD15" i="1"/>
  <c r="AH165" i="1"/>
  <c r="AH171" i="1" s="1"/>
  <c r="AE66" i="1"/>
  <c r="AE67" i="1" s="1"/>
  <c r="AF66" i="1"/>
  <c r="AF67" i="1" s="1"/>
  <c r="AG35" i="1"/>
  <c r="AE35" i="1"/>
  <c r="AE126" i="1"/>
  <c r="AF35" i="1"/>
  <c r="AF126" i="1"/>
  <c r="AD14" i="1"/>
  <c r="AD44" i="1" s="1"/>
  <c r="AD101" i="1"/>
  <c r="L55" i="1"/>
  <c r="AG126" i="1"/>
  <c r="Q36" i="1"/>
  <c r="AF169" i="1"/>
  <c r="AB12" i="1"/>
  <c r="AB15" i="1" s="1"/>
  <c r="AC12" i="1"/>
  <c r="AC19" i="1"/>
  <c r="AD72" i="1"/>
  <c r="AC72" i="1"/>
  <c r="AC147" i="1"/>
  <c r="BC90" i="1" l="1"/>
  <c r="AC105" i="1"/>
  <c r="AC109" i="1" s="1"/>
  <c r="D28" i="27" s="1"/>
  <c r="AD66" i="1"/>
  <c r="AD67" i="1" s="1"/>
  <c r="AD35" i="1"/>
  <c r="AD126" i="1"/>
  <c r="AC101" i="1"/>
  <c r="AC15" i="1"/>
  <c r="AB101" i="1"/>
  <c r="M55" i="1"/>
  <c r="AC14" i="1"/>
  <c r="AC44" i="1" s="1"/>
  <c r="E33" i="25"/>
  <c r="AC125" i="1"/>
  <c r="BD90" i="1" l="1"/>
  <c r="D29" i="25"/>
  <c r="AC66" i="1"/>
  <c r="AC67" i="1" s="1"/>
  <c r="N55" i="1"/>
  <c r="F33" i="25"/>
  <c r="AC35" i="1"/>
  <c r="AC126" i="1"/>
  <c r="AE164" i="1"/>
  <c r="AD105" i="1"/>
  <c r="AD109" i="1" s="1"/>
  <c r="AC98" i="1"/>
  <c r="BE90" i="1" l="1"/>
  <c r="BF90" i="1" s="1"/>
  <c r="BG90" i="1" s="1"/>
  <c r="BH90" i="1" s="1"/>
  <c r="BI90" i="1" s="1"/>
  <c r="BJ90" i="1" s="1"/>
  <c r="BK90" i="1" s="1"/>
  <c r="BL90" i="1" s="1"/>
  <c r="BM90" i="1" s="1"/>
  <c r="BN90" i="1" s="1"/>
  <c r="BO90" i="1" s="1"/>
  <c r="BP90" i="1" s="1"/>
  <c r="BQ90" i="1" s="1"/>
  <c r="BR90" i="1" s="1"/>
  <c r="BS90" i="1" s="1"/>
  <c r="BT90" i="1" s="1"/>
  <c r="BU90" i="1" s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CP90" i="1" s="1"/>
  <c r="CQ90" i="1" s="1"/>
  <c r="CR90" i="1" s="1"/>
  <c r="CS90" i="1" s="1"/>
  <c r="CT90" i="1" s="1"/>
  <c r="CU90" i="1" s="1"/>
  <c r="CV90" i="1" s="1"/>
  <c r="CW90" i="1" s="1"/>
  <c r="CX90" i="1" s="1"/>
  <c r="CY90" i="1" s="1"/>
  <c r="CZ90" i="1" s="1"/>
  <c r="DA90" i="1" s="1"/>
  <c r="DB90" i="1" s="1"/>
  <c r="DC90" i="1" s="1"/>
  <c r="DD90" i="1" s="1"/>
  <c r="DE90" i="1" s="1"/>
  <c r="DF90" i="1" s="1"/>
  <c r="DG90" i="1" s="1"/>
  <c r="E29" i="25"/>
  <c r="AE105" i="1"/>
  <c r="AE109" i="1" s="1"/>
  <c r="AC99" i="1"/>
  <c r="AC46" i="1" s="1"/>
  <c r="AD98" i="1"/>
  <c r="C15" i="25"/>
  <c r="C22" i="29"/>
  <c r="C21" i="27" s="1"/>
  <c r="N22" i="25"/>
  <c r="M22" i="25"/>
  <c r="AK72" i="1"/>
  <c r="K22" i="25"/>
  <c r="J22" i="25"/>
  <c r="I22" i="25"/>
  <c r="H22" i="25"/>
  <c r="F22" i="25"/>
  <c r="E22" i="25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N33" i="27"/>
  <c r="N32" i="27"/>
  <c r="F29" i="25" l="1"/>
  <c r="L22" i="25"/>
  <c r="AK98" i="1"/>
  <c r="AK99" i="1" s="1"/>
  <c r="AG109" i="1"/>
  <c r="AE98" i="1"/>
  <c r="AF105" i="1"/>
  <c r="AF109" i="1" s="1"/>
  <c r="AD99" i="1"/>
  <c r="AD110" i="1" s="1"/>
  <c r="AC100" i="1"/>
  <c r="AC110" i="1"/>
  <c r="C22" i="25"/>
  <c r="D22" i="25"/>
  <c r="G22" i="25"/>
  <c r="N10" i="27"/>
  <c r="M10" i="27"/>
  <c r="L10" i="27"/>
  <c r="K10" i="27"/>
  <c r="I10" i="27"/>
  <c r="H10" i="27"/>
  <c r="G10" i="27"/>
  <c r="F10" i="27"/>
  <c r="E10" i="27"/>
  <c r="D10" i="27"/>
  <c r="C10" i="27"/>
  <c r="H29" i="25" l="1"/>
  <c r="G29" i="25"/>
  <c r="AK100" i="1"/>
  <c r="AK110" i="1"/>
  <c r="AE99" i="1"/>
  <c r="AE110" i="1" s="1"/>
  <c r="AG98" i="1"/>
  <c r="AF98" i="1"/>
  <c r="AF99" i="1" s="1"/>
  <c r="AD46" i="1"/>
  <c r="AD100" i="1"/>
  <c r="P22" i="25"/>
  <c r="N14" i="27"/>
  <c r="AA12" i="1"/>
  <c r="AA15" i="1" s="1"/>
  <c r="AB125" i="1"/>
  <c r="AB147" i="1"/>
  <c r="AB168" i="1"/>
  <c r="AB169" i="1" s="1"/>
  <c r="AB105" i="1"/>
  <c r="AB109" i="1" s="1"/>
  <c r="AB19" i="1"/>
  <c r="N10" i="25"/>
  <c r="M10" i="25"/>
  <c r="L10" i="25"/>
  <c r="K10" i="25"/>
  <c r="J10" i="25"/>
  <c r="I10" i="25"/>
  <c r="H10" i="25"/>
  <c r="G10" i="25"/>
  <c r="F10" i="25"/>
  <c r="E10" i="25"/>
  <c r="D10" i="25"/>
  <c r="C10" i="25"/>
  <c r="CI20" i="24"/>
  <c r="CI21" i="24" s="1"/>
  <c r="CJ20" i="24"/>
  <c r="CJ21" i="24" s="1"/>
  <c r="CK20" i="24"/>
  <c r="CK21" i="24" s="1"/>
  <c r="CL20" i="24"/>
  <c r="CL21" i="24" s="1"/>
  <c r="CM20" i="24"/>
  <c r="CM21" i="24" s="1"/>
  <c r="CN20" i="24"/>
  <c r="CN21" i="24" s="1"/>
  <c r="CO20" i="24"/>
  <c r="CO21" i="24" s="1"/>
  <c r="CP20" i="24"/>
  <c r="CP21" i="24" s="1"/>
  <c r="CQ20" i="24"/>
  <c r="CQ21" i="24" s="1"/>
  <c r="CR20" i="24"/>
  <c r="CR21" i="24" s="1"/>
  <c r="CS20" i="24"/>
  <c r="CS21" i="24" s="1"/>
  <c r="CT20" i="24"/>
  <c r="CT21" i="24" s="1"/>
  <c r="CU20" i="24"/>
  <c r="CU21" i="24" s="1"/>
  <c r="CV20" i="24"/>
  <c r="CV21" i="24" s="1"/>
  <c r="CW20" i="24"/>
  <c r="CW21" i="24" s="1"/>
  <c r="CX20" i="24"/>
  <c r="CX21" i="24" s="1"/>
  <c r="CY20" i="24"/>
  <c r="CY21" i="24" s="1"/>
  <c r="CZ20" i="24"/>
  <c r="CZ21" i="24" s="1"/>
  <c r="DA20" i="24"/>
  <c r="DA21" i="24" s="1"/>
  <c r="DB20" i="24"/>
  <c r="DB21" i="24" s="1"/>
  <c r="DC20" i="24"/>
  <c r="DC21" i="24" s="1"/>
  <c r="DD20" i="24"/>
  <c r="DD21" i="24" s="1"/>
  <c r="DE20" i="24"/>
  <c r="DE21" i="24" s="1"/>
  <c r="DF20" i="24"/>
  <c r="DF21" i="24" s="1"/>
  <c r="DG20" i="24"/>
  <c r="DG21" i="24" s="1"/>
  <c r="DH20" i="24"/>
  <c r="DH21" i="24" s="1"/>
  <c r="DI20" i="24"/>
  <c r="DI21" i="24" s="1"/>
  <c r="DJ20" i="24"/>
  <c r="DJ21" i="24" s="1"/>
  <c r="DK20" i="24"/>
  <c r="DK21" i="24" s="1"/>
  <c r="DL20" i="24"/>
  <c r="DL21" i="24" s="1"/>
  <c r="DM20" i="24"/>
  <c r="DM21" i="24" s="1"/>
  <c r="DN20" i="24"/>
  <c r="DN21" i="24" s="1"/>
  <c r="DO20" i="24"/>
  <c r="DO21" i="24" s="1"/>
  <c r="DP20" i="24"/>
  <c r="DP21" i="24" s="1"/>
  <c r="DQ20" i="24"/>
  <c r="DQ21" i="24" s="1"/>
  <c r="DR20" i="24"/>
  <c r="DR21" i="24" s="1"/>
  <c r="DS20" i="24"/>
  <c r="DS21" i="24" s="1"/>
  <c r="DT20" i="24"/>
  <c r="DT21" i="24" s="1"/>
  <c r="DU20" i="24"/>
  <c r="DU21" i="24" s="1"/>
  <c r="DV20" i="24"/>
  <c r="DV21" i="24" s="1"/>
  <c r="DW20" i="24"/>
  <c r="DW21" i="24" s="1"/>
  <c r="DX20" i="24"/>
  <c r="DX21" i="24" s="1"/>
  <c r="DY20" i="24"/>
  <c r="DY21" i="24" s="1"/>
  <c r="DZ20" i="24"/>
  <c r="DZ21" i="24" s="1"/>
  <c r="EA20" i="24"/>
  <c r="EA21" i="24" s="1"/>
  <c r="EB20" i="24"/>
  <c r="EB21" i="24" s="1"/>
  <c r="EC20" i="24"/>
  <c r="EC21" i="24" s="1"/>
  <c r="ED20" i="24"/>
  <c r="ED21" i="24" s="1"/>
  <c r="EE20" i="24"/>
  <c r="EE21" i="24" s="1"/>
  <c r="EF20" i="24"/>
  <c r="EF21" i="24" s="1"/>
  <c r="EG20" i="24"/>
  <c r="EG21" i="24" s="1"/>
  <c r="EH20" i="24"/>
  <c r="EH21" i="24" s="1"/>
  <c r="EI20" i="24"/>
  <c r="EI21" i="24" s="1"/>
  <c r="EJ20" i="24"/>
  <c r="EJ21" i="24" s="1"/>
  <c r="EK20" i="24"/>
  <c r="EK21" i="24" s="1"/>
  <c r="EL20" i="24"/>
  <c r="EL21" i="24" s="1"/>
  <c r="EM20" i="24"/>
  <c r="EM21" i="24" s="1"/>
  <c r="EN20" i="24"/>
  <c r="EN21" i="24" s="1"/>
  <c r="EO20" i="24"/>
  <c r="EO21" i="24" s="1"/>
  <c r="EP20" i="24"/>
  <c r="EP21" i="24" s="1"/>
  <c r="EQ20" i="24"/>
  <c r="EQ21" i="24" s="1"/>
  <c r="ER20" i="24"/>
  <c r="ER21" i="24" s="1"/>
  <c r="ES20" i="24"/>
  <c r="ES21" i="24" s="1"/>
  <c r="ET20" i="24"/>
  <c r="ET21" i="24" s="1"/>
  <c r="EU20" i="24"/>
  <c r="EU21" i="24" s="1"/>
  <c r="EV20" i="24"/>
  <c r="EV21" i="24" s="1"/>
  <c r="EW20" i="24"/>
  <c r="EW21" i="24" s="1"/>
  <c r="EX20" i="24"/>
  <c r="EX21" i="24" s="1"/>
  <c r="EY20" i="24"/>
  <c r="EY21" i="24" s="1"/>
  <c r="EZ20" i="24"/>
  <c r="EZ21" i="24" s="1"/>
  <c r="FA20" i="24"/>
  <c r="FA21" i="24" s="1"/>
  <c r="FB20" i="24"/>
  <c r="FB21" i="24" s="1"/>
  <c r="C29" i="25" l="1"/>
  <c r="N18" i="27"/>
  <c r="AE46" i="1"/>
  <c r="AE50" i="1" s="1"/>
  <c r="AE100" i="1"/>
  <c r="AG99" i="1"/>
  <c r="AF110" i="1"/>
  <c r="AF100" i="1"/>
  <c r="AF46" i="1"/>
  <c r="AC168" i="1"/>
  <c r="AC164" i="1"/>
  <c r="G56" i="1"/>
  <c r="O100" i="1"/>
  <c r="N100" i="1"/>
  <c r="M100" i="1"/>
  <c r="L100" i="1"/>
  <c r="K100" i="1"/>
  <c r="J100" i="1"/>
  <c r="AA98" i="1"/>
  <c r="AA105" i="1"/>
  <c r="AA109" i="1" s="1"/>
  <c r="AA125" i="1"/>
  <c r="AB163" i="1" s="1"/>
  <c r="AA132" i="1"/>
  <c r="AA147" i="1"/>
  <c r="AA168" i="1"/>
  <c r="AA169" i="1" s="1"/>
  <c r="AB96" i="1"/>
  <c r="AC96" i="1" s="1"/>
  <c r="AA19" i="1"/>
  <c r="C13" i="25"/>
  <c r="Z12" i="1"/>
  <c r="Z15" i="1" s="1"/>
  <c r="Z19" i="1"/>
  <c r="W12" i="1"/>
  <c r="W15" i="1" s="1"/>
  <c r="X12" i="1"/>
  <c r="X15" i="1" s="1"/>
  <c r="Y12" i="1"/>
  <c r="AC2" i="1"/>
  <c r="AO2" i="1" s="1"/>
  <c r="AD2" i="1"/>
  <c r="AP2" i="1" s="1"/>
  <c r="AK2" i="1"/>
  <c r="AW2" i="1" s="1"/>
  <c r="AL2" i="1"/>
  <c r="AX2" i="1" s="1"/>
  <c r="AX20" i="1" s="1"/>
  <c r="AX19" i="1" s="1"/>
  <c r="AX17" i="1" s="1"/>
  <c r="AM2" i="1"/>
  <c r="AB2" i="1"/>
  <c r="AN2" i="1" s="1"/>
  <c r="Y19" i="1"/>
  <c r="Y105" i="1"/>
  <c r="Y109" i="1" s="1"/>
  <c r="Y125" i="1"/>
  <c r="Y132" i="1"/>
  <c r="Y147" i="1"/>
  <c r="Z105" i="1"/>
  <c r="Z109" i="1" s="1"/>
  <c r="Z132" i="1"/>
  <c r="Z147" i="1"/>
  <c r="C11" i="20"/>
  <c r="N19" i="27" l="1"/>
  <c r="N25" i="27"/>
  <c r="N26" i="27" s="1"/>
  <c r="Y14" i="1"/>
  <c r="Y44" i="1" s="1"/>
  <c r="Y15" i="1"/>
  <c r="AE42" i="1"/>
  <c r="AF42" i="1"/>
  <c r="AG42" i="1"/>
  <c r="AF50" i="1"/>
  <c r="AG100" i="1"/>
  <c r="AG46" i="1"/>
  <c r="AG110" i="1"/>
  <c r="AZ2" i="1"/>
  <c r="AZ20" i="1" s="1"/>
  <c r="AY2" i="1"/>
  <c r="AY20" i="1" s="1"/>
  <c r="BB2" i="1"/>
  <c r="BB20" i="1" s="1"/>
  <c r="BA2" i="1"/>
  <c r="BA20" i="1" s="1"/>
  <c r="BD2" i="1"/>
  <c r="BD20" i="1" s="1"/>
  <c r="AC169" i="1"/>
  <c r="AD96" i="1"/>
  <c r="AE96" i="1" s="1"/>
  <c r="AC97" i="1"/>
  <c r="Y97" i="1"/>
  <c r="Y98" i="1"/>
  <c r="Z97" i="1"/>
  <c r="Z98" i="1"/>
  <c r="AB164" i="1"/>
  <c r="AA97" i="1"/>
  <c r="AA14" i="1"/>
  <c r="AA44" i="1" s="1"/>
  <c r="AA164" i="1"/>
  <c r="Y133" i="1"/>
  <c r="Y134" i="1" s="1"/>
  <c r="T98" i="1"/>
  <c r="W98" i="1"/>
  <c r="X98" i="1"/>
  <c r="X105" i="1"/>
  <c r="X109" i="1" s="1"/>
  <c r="X122" i="1"/>
  <c r="X125" i="1"/>
  <c r="X132" i="1"/>
  <c r="X147" i="1"/>
  <c r="AY93" i="1"/>
  <c r="X14" i="1"/>
  <c r="X44" i="1" s="1"/>
  <c r="X19" i="1"/>
  <c r="AD42" i="1"/>
  <c r="AY94" i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CF94" i="1" s="1"/>
  <c r="CG94" i="1" s="1"/>
  <c r="CH94" i="1" s="1"/>
  <c r="CI94" i="1" s="1"/>
  <c r="CJ94" i="1" s="1"/>
  <c r="CK94" i="1" s="1"/>
  <c r="CL94" i="1" s="1"/>
  <c r="CM94" i="1" s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DC94" i="1" s="1"/>
  <c r="DD94" i="1" s="1"/>
  <c r="DE94" i="1" s="1"/>
  <c r="DF94" i="1" s="1"/>
  <c r="DG94" i="1" s="1"/>
  <c r="R98" i="1"/>
  <c r="P98" i="1"/>
  <c r="W14" i="1"/>
  <c r="W44" i="1" s="1"/>
  <c r="W19" i="1"/>
  <c r="W105" i="1"/>
  <c r="W109" i="1" s="1"/>
  <c r="W122" i="1"/>
  <c r="W125" i="1"/>
  <c r="W132" i="1"/>
  <c r="W168" i="1"/>
  <c r="W169" i="1" s="1"/>
  <c r="F19" i="1"/>
  <c r="AB42" i="1"/>
  <c r="P21" i="1"/>
  <c r="O21" i="1"/>
  <c r="N21" i="1"/>
  <c r="M21" i="1"/>
  <c r="L21" i="1"/>
  <c r="K21" i="1"/>
  <c r="J21" i="1"/>
  <c r="I21" i="1"/>
  <c r="H21" i="1"/>
  <c r="G21" i="1"/>
  <c r="P20" i="1"/>
  <c r="O20" i="1"/>
  <c r="N20" i="1"/>
  <c r="M20" i="1"/>
  <c r="L20" i="1"/>
  <c r="K20" i="1"/>
  <c r="J20" i="1"/>
  <c r="I20" i="1"/>
  <c r="H20" i="1"/>
  <c r="G20" i="1"/>
  <c r="F21" i="1"/>
  <c r="F20" i="1"/>
  <c r="D11" i="20"/>
  <c r="F11" i="20"/>
  <c r="H11" i="20"/>
  <c r="I25" i="15"/>
  <c r="H25" i="15"/>
  <c r="G25" i="15"/>
  <c r="F25" i="15"/>
  <c r="E25" i="15"/>
  <c r="D25" i="15"/>
  <c r="C25" i="15"/>
  <c r="V132" i="1"/>
  <c r="U132" i="1"/>
  <c r="T132" i="1"/>
  <c r="S132" i="1"/>
  <c r="R132" i="1"/>
  <c r="Q132" i="1"/>
  <c r="P132" i="1"/>
  <c r="V12" i="1"/>
  <c r="U12" i="1"/>
  <c r="S12" i="1"/>
  <c r="S15" i="1" s="1"/>
  <c r="S122" i="1"/>
  <c r="T122" i="1"/>
  <c r="U122" i="1"/>
  <c r="V122" i="1"/>
  <c r="S125" i="1"/>
  <c r="T125" i="1"/>
  <c r="U125" i="1"/>
  <c r="V125" i="1"/>
  <c r="S147" i="1"/>
  <c r="T147" i="1"/>
  <c r="U147" i="1"/>
  <c r="V147" i="1"/>
  <c r="T105" i="1"/>
  <c r="T109" i="1" s="1"/>
  <c r="U105" i="1"/>
  <c r="U109" i="1" s="1"/>
  <c r="V105" i="1"/>
  <c r="V109" i="1" s="1"/>
  <c r="S105" i="1"/>
  <c r="S109" i="1" s="1"/>
  <c r="V19" i="1"/>
  <c r="U19" i="1"/>
  <c r="T12" i="1"/>
  <c r="T19" i="1"/>
  <c r="S19" i="1"/>
  <c r="BO42" i="1" l="1"/>
  <c r="AZ93" i="1"/>
  <c r="N11" i="24"/>
  <c r="W35" i="1"/>
  <c r="AA35" i="1"/>
  <c r="Y35" i="1"/>
  <c r="Y126" i="1"/>
  <c r="Y66" i="1"/>
  <c r="Y67" i="1" s="1"/>
  <c r="U14" i="1"/>
  <c r="U15" i="1"/>
  <c r="V14" i="1"/>
  <c r="V15" i="1"/>
  <c r="T14" i="1"/>
  <c r="T15" i="1"/>
  <c r="AG50" i="1"/>
  <c r="AE43" i="1"/>
  <c r="AE45" i="1" s="1"/>
  <c r="AF43" i="1"/>
  <c r="AF45" i="1" s="1"/>
  <c r="BP42" i="1"/>
  <c r="Y42" i="1"/>
  <c r="BU42" i="1" s="1"/>
  <c r="AA42" i="1"/>
  <c r="Z42" i="1"/>
  <c r="V42" i="1"/>
  <c r="BR42" i="1" s="1"/>
  <c r="N42" i="1"/>
  <c r="N43" i="1" s="1"/>
  <c r="O42" i="1"/>
  <c r="O43" i="1" s="1"/>
  <c r="W42" i="1"/>
  <c r="X42" i="1"/>
  <c r="Q42" i="1"/>
  <c r="Q43" i="1" s="1"/>
  <c r="R42" i="1"/>
  <c r="R43" i="1" s="1"/>
  <c r="L42" i="1"/>
  <c r="L43" i="1" s="1"/>
  <c r="T42" i="1"/>
  <c r="T43" i="1" s="1"/>
  <c r="AC42" i="1"/>
  <c r="AG43" i="1"/>
  <c r="AG45" i="1" s="1"/>
  <c r="AI47" i="1" s="1"/>
  <c r="AI49" i="1" s="1"/>
  <c r="P42" i="1"/>
  <c r="P43" i="1" s="1"/>
  <c r="S42" i="1"/>
  <c r="S43" i="1" s="1"/>
  <c r="M42" i="1"/>
  <c r="M43" i="1" s="1"/>
  <c r="U42" i="1"/>
  <c r="U43" i="1" s="1"/>
  <c r="AG162" i="1"/>
  <c r="AG165" i="1" s="1"/>
  <c r="AG171" i="1" s="1"/>
  <c r="AF96" i="1"/>
  <c r="AG96" i="1" s="1"/>
  <c r="AH96" i="1" s="1"/>
  <c r="AI96" i="1" s="1"/>
  <c r="AJ96" i="1" s="1"/>
  <c r="AE97" i="1"/>
  <c r="BM2" i="1"/>
  <c r="BM20" i="1" s="1"/>
  <c r="BH2" i="1"/>
  <c r="BH20" i="1" s="1"/>
  <c r="BJ2" i="1"/>
  <c r="BJ20" i="1" s="1"/>
  <c r="BL2" i="1"/>
  <c r="BL20" i="1" s="1"/>
  <c r="BF2" i="1"/>
  <c r="BF20" i="1" s="1"/>
  <c r="BK2" i="1"/>
  <c r="BK20" i="1" s="1"/>
  <c r="BG2" i="1"/>
  <c r="BG20" i="1" s="1"/>
  <c r="BI2" i="1"/>
  <c r="BI20" i="1" s="1"/>
  <c r="BN2" i="1"/>
  <c r="BN20" i="1" s="1"/>
  <c r="BE2" i="1"/>
  <c r="BE20" i="1" s="1"/>
  <c r="BC2" i="1"/>
  <c r="BC20" i="1" s="1"/>
  <c r="BP2" i="1"/>
  <c r="BP20" i="1" s="1"/>
  <c r="X35" i="1"/>
  <c r="AA66" i="1"/>
  <c r="AD43" i="1"/>
  <c r="AD45" i="1" s="1"/>
  <c r="AD97" i="1"/>
  <c r="G33" i="25"/>
  <c r="C23" i="25"/>
  <c r="C24" i="25" s="1"/>
  <c r="AB98" i="1"/>
  <c r="U97" i="1"/>
  <c r="U98" i="1"/>
  <c r="S97" i="1"/>
  <c r="S98" i="1"/>
  <c r="V97" i="1"/>
  <c r="V98" i="1"/>
  <c r="AB43" i="1"/>
  <c r="AB97" i="1"/>
  <c r="AA126" i="1"/>
  <c r="X97" i="1"/>
  <c r="X133" i="1"/>
  <c r="X134" i="1" s="1"/>
  <c r="W97" i="1"/>
  <c r="X66" i="1"/>
  <c r="X126" i="1"/>
  <c r="W147" i="1"/>
  <c r="W164" i="1" s="1"/>
  <c r="W133" i="1"/>
  <c r="W134" i="1" s="1"/>
  <c r="T97" i="1"/>
  <c r="W126" i="1"/>
  <c r="T164" i="1"/>
  <c r="S14" i="1"/>
  <c r="V164" i="1"/>
  <c r="J25" i="15"/>
  <c r="U164" i="1"/>
  <c r="S133" i="1"/>
  <c r="S134" i="1" s="1"/>
  <c r="U133" i="1"/>
  <c r="U134" i="1" s="1"/>
  <c r="V133" i="1"/>
  <c r="V134" i="1" s="1"/>
  <c r="T133" i="1"/>
  <c r="T134" i="1" s="1"/>
  <c r="L168" i="1"/>
  <c r="M168" i="1"/>
  <c r="N168" i="1"/>
  <c r="O168" i="1"/>
  <c r="P168" i="1"/>
  <c r="P169" i="1" s="1"/>
  <c r="Q168" i="1"/>
  <c r="R168" i="1"/>
  <c r="S168" i="1"/>
  <c r="T168" i="1"/>
  <c r="U168" i="1"/>
  <c r="V168" i="1"/>
  <c r="K168" i="1"/>
  <c r="R97" i="1"/>
  <c r="R105" i="1"/>
  <c r="R109" i="1" s="1"/>
  <c r="R122" i="1"/>
  <c r="R125" i="1"/>
  <c r="R147" i="1"/>
  <c r="S164" i="1" s="1"/>
  <c r="R12" i="1"/>
  <c r="R15" i="1" s="1"/>
  <c r="R19" i="1"/>
  <c r="Q12" i="1"/>
  <c r="Q15" i="1" s="1"/>
  <c r="Q19" i="1"/>
  <c r="Q105" i="1"/>
  <c r="Q109" i="1" s="1"/>
  <c r="Q122" i="1"/>
  <c r="Q125" i="1"/>
  <c r="Q147" i="1"/>
  <c r="P122" i="1"/>
  <c r="P147" i="1"/>
  <c r="P105" i="1"/>
  <c r="P109" i="1" s="1"/>
  <c r="P97" i="1"/>
  <c r="P12" i="1"/>
  <c r="P15" i="1" s="1"/>
  <c r="P19" i="1"/>
  <c r="M125" i="1"/>
  <c r="L125" i="1"/>
  <c r="K125" i="1"/>
  <c r="CG42" i="1" l="1"/>
  <c r="CB42" i="1"/>
  <c r="CD42" i="1"/>
  <c r="CA42" i="1"/>
  <c r="BA93" i="1"/>
  <c r="S35" i="1"/>
  <c r="S44" i="1"/>
  <c r="S45" i="1" s="1"/>
  <c r="T35" i="1"/>
  <c r="T44" i="1"/>
  <c r="T45" i="1" s="1"/>
  <c r="V35" i="1"/>
  <c r="V44" i="1"/>
  <c r="U35" i="1"/>
  <c r="U44" i="1"/>
  <c r="U45" i="1" s="1"/>
  <c r="BQ42" i="1"/>
  <c r="BN42" i="1"/>
  <c r="Y99" i="1"/>
  <c r="Y100" i="1" s="1"/>
  <c r="BL42" i="1"/>
  <c r="AK96" i="1"/>
  <c r="AL96" i="1" s="1"/>
  <c r="AJ97" i="1"/>
  <c r="V66" i="1"/>
  <c r="V67" i="1" s="1"/>
  <c r="AI97" i="1"/>
  <c r="U126" i="1"/>
  <c r="V126" i="1"/>
  <c r="AH47" i="1"/>
  <c r="AH49" i="1" s="1"/>
  <c r="X99" i="1"/>
  <c r="X67" i="1"/>
  <c r="AA99" i="1"/>
  <c r="AA110" i="1" s="1"/>
  <c r="AA162" i="1" s="1"/>
  <c r="AA67" i="1"/>
  <c r="AH97" i="1"/>
  <c r="U66" i="1"/>
  <c r="U67" i="1" s="1"/>
  <c r="T126" i="1"/>
  <c r="T66" i="1"/>
  <c r="AG47" i="1"/>
  <c r="AG49" i="1" s="1"/>
  <c r="V43" i="1"/>
  <c r="Y43" i="1"/>
  <c r="Y45" i="1" s="1"/>
  <c r="AC43" i="1"/>
  <c r="AC45" i="1" s="1"/>
  <c r="AE47" i="1" s="1"/>
  <c r="AE49" i="1" s="1"/>
  <c r="BM42" i="1"/>
  <c r="X43" i="1"/>
  <c r="X45" i="1" s="1"/>
  <c r="BT42" i="1"/>
  <c r="W43" i="1"/>
  <c r="W45" i="1" s="1"/>
  <c r="BS42" i="1"/>
  <c r="AG97" i="1"/>
  <c r="AF97" i="1"/>
  <c r="AF47" i="1"/>
  <c r="AF49" i="1" s="1"/>
  <c r="BS2" i="1"/>
  <c r="BS20" i="1" s="1"/>
  <c r="BZ2" i="1"/>
  <c r="BZ20" i="1" s="1"/>
  <c r="BR2" i="1"/>
  <c r="BR20" i="1" s="1"/>
  <c r="BU2" i="1"/>
  <c r="BU20" i="1" s="1"/>
  <c r="BV2" i="1"/>
  <c r="BV20" i="1" s="1"/>
  <c r="BQ2" i="1"/>
  <c r="BQ20" i="1" s="1"/>
  <c r="BW2" i="1"/>
  <c r="BW20" i="1" s="1"/>
  <c r="BT2" i="1"/>
  <c r="BT20" i="1" s="1"/>
  <c r="BX2" i="1"/>
  <c r="BX20" i="1" s="1"/>
  <c r="BY2" i="1"/>
  <c r="BY20" i="1" s="1"/>
  <c r="AD50" i="1"/>
  <c r="AC50" i="1"/>
  <c r="BO2" i="1"/>
  <c r="BO20" i="1" s="1"/>
  <c r="CB2" i="1"/>
  <c r="CB20" i="1" s="1"/>
  <c r="H33" i="25"/>
  <c r="Q98" i="1"/>
  <c r="AA43" i="1"/>
  <c r="AA45" i="1" s="1"/>
  <c r="Z43" i="1"/>
  <c r="Q97" i="1"/>
  <c r="S126" i="1"/>
  <c r="S66" i="1"/>
  <c r="S67" i="1" s="1"/>
  <c r="Q14" i="1"/>
  <c r="Q44" i="1" s="1"/>
  <c r="K25" i="15"/>
  <c r="P14" i="1"/>
  <c r="Q164" i="1"/>
  <c r="R14" i="1"/>
  <c r="R164" i="1"/>
  <c r="X164" i="1"/>
  <c r="Q133" i="1"/>
  <c r="Q134" i="1" s="1"/>
  <c r="R133" i="1"/>
  <c r="R134" i="1" s="1"/>
  <c r="C30" i="6"/>
  <c r="C19" i="15"/>
  <c r="C31" i="6"/>
  <c r="AY27" i="1"/>
  <c r="L26" i="1"/>
  <c r="O19" i="1"/>
  <c r="N19" i="1"/>
  <c r="M19" i="1"/>
  <c r="L19" i="1"/>
  <c r="K19" i="1"/>
  <c r="J19" i="1"/>
  <c r="I19" i="1"/>
  <c r="H19" i="1"/>
  <c r="G19" i="1"/>
  <c r="E19" i="1"/>
  <c r="CM42" i="1" l="1"/>
  <c r="CE42" i="1"/>
  <c r="CP42" i="1"/>
  <c r="CF42" i="1"/>
  <c r="BZ42" i="1"/>
  <c r="BX42" i="1"/>
  <c r="CC42" i="1"/>
  <c r="CN42" i="1"/>
  <c r="BY42" i="1"/>
  <c r="CS42" i="1"/>
  <c r="BB93" i="1"/>
  <c r="AZ27" i="1"/>
  <c r="R35" i="1"/>
  <c r="R44" i="1"/>
  <c r="R45" i="1" s="1"/>
  <c r="P35" i="1"/>
  <c r="P44" i="1"/>
  <c r="P45" i="1" s="1"/>
  <c r="Y46" i="1"/>
  <c r="Y50" i="1" s="1"/>
  <c r="Y110" i="1"/>
  <c r="AM96" i="1"/>
  <c r="AN96" i="1" s="1"/>
  <c r="AO96" i="1" s="1"/>
  <c r="AP96" i="1" s="1"/>
  <c r="AL97" i="1"/>
  <c r="AY42" i="1"/>
  <c r="BV42" i="1"/>
  <c r="AK97" i="1"/>
  <c r="U99" i="1"/>
  <c r="U110" i="1" s="1"/>
  <c r="V45" i="1"/>
  <c r="V99" i="1"/>
  <c r="V100" i="1" s="1"/>
  <c r="AA100" i="1"/>
  <c r="T99" i="1"/>
  <c r="T46" i="1" s="1"/>
  <c r="T50" i="1" s="1"/>
  <c r="T67" i="1"/>
  <c r="CG2" i="1"/>
  <c r="CG20" i="1" s="1"/>
  <c r="CI2" i="1"/>
  <c r="CI20" i="1" s="1"/>
  <c r="CJ2" i="1"/>
  <c r="CJ20" i="1" s="1"/>
  <c r="CC2" i="1"/>
  <c r="CC20" i="1" s="1"/>
  <c r="CL2" i="1"/>
  <c r="CL20" i="1" s="1"/>
  <c r="CF2" i="1"/>
  <c r="CF20" i="1" s="1"/>
  <c r="CK2" i="1"/>
  <c r="CK20" i="1" s="1"/>
  <c r="CD2" i="1"/>
  <c r="CD20" i="1" s="1"/>
  <c r="CH2" i="1"/>
  <c r="CH20" i="1" s="1"/>
  <c r="CE2" i="1"/>
  <c r="CE20" i="1" s="1"/>
  <c r="CA2" i="1"/>
  <c r="CA20" i="1" s="1"/>
  <c r="CN2" i="1"/>
  <c r="CN20" i="1" s="1"/>
  <c r="AY37" i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DG37" i="1" s="1"/>
  <c r="AY39" i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CF39" i="1" s="1"/>
  <c r="CG39" i="1" s="1"/>
  <c r="CH39" i="1" s="1"/>
  <c r="CI39" i="1" s="1"/>
  <c r="CJ39" i="1" s="1"/>
  <c r="CK39" i="1" s="1"/>
  <c r="CL39" i="1" s="1"/>
  <c r="CM39" i="1" s="1"/>
  <c r="CN39" i="1" s="1"/>
  <c r="CO39" i="1" s="1"/>
  <c r="CP39" i="1" s="1"/>
  <c r="CQ39" i="1" s="1"/>
  <c r="CR39" i="1" s="1"/>
  <c r="CS39" i="1" s="1"/>
  <c r="CT39" i="1" s="1"/>
  <c r="CU39" i="1" s="1"/>
  <c r="CV39" i="1" s="1"/>
  <c r="CW39" i="1" s="1"/>
  <c r="CX39" i="1" s="1"/>
  <c r="CY39" i="1" s="1"/>
  <c r="CZ39" i="1" s="1"/>
  <c r="DA39" i="1" s="1"/>
  <c r="DB39" i="1" s="1"/>
  <c r="DC39" i="1" s="1"/>
  <c r="DD39" i="1" s="1"/>
  <c r="DE39" i="1" s="1"/>
  <c r="DF39" i="1" s="1"/>
  <c r="DG39" i="1" s="1"/>
  <c r="AY36" i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AY40" i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DC40" i="1" s="1"/>
  <c r="DD40" i="1" s="1"/>
  <c r="DE40" i="1" s="1"/>
  <c r="DF40" i="1" s="1"/>
  <c r="DG40" i="1" s="1"/>
  <c r="Q45" i="1"/>
  <c r="Q35" i="1"/>
  <c r="S99" i="1"/>
  <c r="S100" i="1" s="1"/>
  <c r="X110" i="1"/>
  <c r="X100" i="1"/>
  <c r="P66" i="1"/>
  <c r="P67" i="1" s="1"/>
  <c r="R126" i="1"/>
  <c r="R66" i="1"/>
  <c r="R67" i="1" s="1"/>
  <c r="X168" i="1"/>
  <c r="C19" i="6"/>
  <c r="K18" i="19"/>
  <c r="N147" i="1"/>
  <c r="M147" i="1"/>
  <c r="L147" i="1"/>
  <c r="K147" i="1"/>
  <c r="K164" i="1" s="1"/>
  <c r="J147" i="1"/>
  <c r="J164" i="1" s="1"/>
  <c r="O147" i="1"/>
  <c r="P164" i="1" s="1"/>
  <c r="O122" i="1"/>
  <c r="O95" i="1"/>
  <c r="O12" i="1"/>
  <c r="O15" i="1" s="1"/>
  <c r="K95" i="1"/>
  <c r="L95" i="1"/>
  <c r="M95" i="1"/>
  <c r="N95" i="1"/>
  <c r="DB42" i="1" l="1"/>
  <c r="CZ42" i="1"/>
  <c r="DE42" i="1"/>
  <c r="CJ42" i="1"/>
  <c r="CQ42" i="1"/>
  <c r="CO42" i="1"/>
  <c r="CH42" i="1"/>
  <c r="CR42" i="1"/>
  <c r="BK42" i="1"/>
  <c r="CK42" i="1"/>
  <c r="CL42" i="1"/>
  <c r="CY42" i="1"/>
  <c r="BC93" i="1"/>
  <c r="BA27" i="1"/>
  <c r="AQ96" i="1"/>
  <c r="AR96" i="1" s="1"/>
  <c r="AP97" i="1"/>
  <c r="AO97" i="1"/>
  <c r="AN97" i="1"/>
  <c r="AM97" i="1"/>
  <c r="U100" i="1"/>
  <c r="V46" i="1"/>
  <c r="V50" i="1" s="1"/>
  <c r="U46" i="1"/>
  <c r="U50" i="1" s="1"/>
  <c r="V110" i="1"/>
  <c r="T100" i="1"/>
  <c r="T110" i="1"/>
  <c r="AF163" i="1"/>
  <c r="CQ2" i="1"/>
  <c r="CQ20" i="1" s="1"/>
  <c r="CP2" i="1"/>
  <c r="CP20" i="1" s="1"/>
  <c r="CO2" i="1"/>
  <c r="CO20" i="1" s="1"/>
  <c r="CW2" i="1"/>
  <c r="CW20" i="1" s="1"/>
  <c r="CT2" i="1"/>
  <c r="CT20" i="1" s="1"/>
  <c r="CV2" i="1"/>
  <c r="CV20" i="1" s="1"/>
  <c r="CR2" i="1"/>
  <c r="CR20" i="1" s="1"/>
  <c r="CU2" i="1"/>
  <c r="CU20" i="1" s="1"/>
  <c r="CX2" i="1"/>
  <c r="CX20" i="1" s="1"/>
  <c r="CS2" i="1"/>
  <c r="CS20" i="1" s="1"/>
  <c r="CM2" i="1"/>
  <c r="CM20" i="1" s="1"/>
  <c r="CZ2" i="1"/>
  <c r="CZ20" i="1" s="1"/>
  <c r="S46" i="1"/>
  <c r="R99" i="1"/>
  <c r="R100" i="1" s="1"/>
  <c r="P99" i="1"/>
  <c r="P100" i="1" s="1"/>
  <c r="S110" i="1"/>
  <c r="K97" i="1"/>
  <c r="M97" i="1"/>
  <c r="O97" i="1"/>
  <c r="N97" i="1"/>
  <c r="L97" i="1"/>
  <c r="M164" i="1"/>
  <c r="N164" i="1"/>
  <c r="L164" i="1"/>
  <c r="O164" i="1"/>
  <c r="D20" i="6"/>
  <c r="E20" i="6"/>
  <c r="F20" i="6"/>
  <c r="G20" i="6"/>
  <c r="H20" i="6"/>
  <c r="I20" i="6"/>
  <c r="J20" i="6"/>
  <c r="K20" i="6"/>
  <c r="L20" i="6"/>
  <c r="M20" i="6"/>
  <c r="C20" i="6"/>
  <c r="L109" i="1"/>
  <c r="K109" i="1"/>
  <c r="N20" i="6"/>
  <c r="CW42" i="1" l="1"/>
  <c r="DA42" i="1"/>
  <c r="DD42" i="1"/>
  <c r="CX42" i="1"/>
  <c r="CV42" i="1"/>
  <c r="CT42" i="1"/>
  <c r="BW42" i="1"/>
  <c r="DC42" i="1"/>
  <c r="BD93" i="1"/>
  <c r="BB27" i="1"/>
  <c r="AS96" i="1"/>
  <c r="AR97" i="1"/>
  <c r="AQ97" i="1"/>
  <c r="U47" i="1"/>
  <c r="U49" i="1" s="1"/>
  <c r="V47" i="1"/>
  <c r="V49" i="1" s="1"/>
  <c r="AE163" i="1"/>
  <c r="DE2" i="1"/>
  <c r="DE20" i="1" s="1"/>
  <c r="DA2" i="1"/>
  <c r="DA20" i="1" s="1"/>
  <c r="DD2" i="1"/>
  <c r="DD20" i="1" s="1"/>
  <c r="DB2" i="1"/>
  <c r="DB20" i="1" s="1"/>
  <c r="DG2" i="1"/>
  <c r="DG20" i="1" s="1"/>
  <c r="DF2" i="1"/>
  <c r="DF20" i="1" s="1"/>
  <c r="DC2" i="1"/>
  <c r="DC20" i="1" s="1"/>
  <c r="CY2" i="1"/>
  <c r="CY20" i="1" s="1"/>
  <c r="R46" i="1"/>
  <c r="T47" i="1" s="1"/>
  <c r="T49" i="1" s="1"/>
  <c r="R110" i="1"/>
  <c r="S50" i="1"/>
  <c r="P46" i="1"/>
  <c r="P50" i="1" s="1"/>
  <c r="P110" i="1"/>
  <c r="P162" i="1" s="1"/>
  <c r="P20" i="6"/>
  <c r="C45" i="18"/>
  <c r="B34" i="18"/>
  <c r="C34" i="18" s="1"/>
  <c r="B12" i="18"/>
  <c r="C12" i="18" s="1"/>
  <c r="E3" i="18"/>
  <c r="C2" i="18"/>
  <c r="K27" i="16"/>
  <c r="N125" i="1"/>
  <c r="J122" i="1"/>
  <c r="K122" i="1"/>
  <c r="K133" i="1" s="1"/>
  <c r="K134" i="1" s="1"/>
  <c r="L122" i="1"/>
  <c r="L133" i="1" s="1"/>
  <c r="L134" i="1" s="1"/>
  <c r="M122" i="1"/>
  <c r="M133" i="1" s="1"/>
  <c r="M134" i="1" s="1"/>
  <c r="N122" i="1"/>
  <c r="L12" i="1"/>
  <c r="M12" i="1"/>
  <c r="N12" i="1"/>
  <c r="N15" i="1" s="1"/>
  <c r="K12" i="1"/>
  <c r="DF42" i="1" l="1"/>
  <c r="CI42" i="1"/>
  <c r="BE93" i="1"/>
  <c r="BF93" i="1" s="1"/>
  <c r="BG93" i="1" s="1"/>
  <c r="BH93" i="1" s="1"/>
  <c r="BI93" i="1" s="1"/>
  <c r="BJ93" i="1" s="1"/>
  <c r="BK93" i="1" s="1"/>
  <c r="BL93" i="1" s="1"/>
  <c r="BM93" i="1" s="1"/>
  <c r="BN93" i="1" s="1"/>
  <c r="BO93" i="1" s="1"/>
  <c r="BP93" i="1" s="1"/>
  <c r="BQ93" i="1" s="1"/>
  <c r="BR93" i="1" s="1"/>
  <c r="BS93" i="1" s="1"/>
  <c r="BT93" i="1" s="1"/>
  <c r="BU93" i="1" s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CP93" i="1" s="1"/>
  <c r="CQ93" i="1" s="1"/>
  <c r="CR93" i="1" s="1"/>
  <c r="CS93" i="1" s="1"/>
  <c r="CT93" i="1" s="1"/>
  <c r="CU93" i="1" s="1"/>
  <c r="CV93" i="1" s="1"/>
  <c r="CW93" i="1" s="1"/>
  <c r="CX93" i="1" s="1"/>
  <c r="CY93" i="1" s="1"/>
  <c r="CZ93" i="1" s="1"/>
  <c r="DA93" i="1" s="1"/>
  <c r="DB93" i="1" s="1"/>
  <c r="DC93" i="1" s="1"/>
  <c r="DD93" i="1" s="1"/>
  <c r="DE93" i="1" s="1"/>
  <c r="DF93" i="1" s="1"/>
  <c r="DG93" i="1" s="1"/>
  <c r="BC27" i="1"/>
  <c r="AT96" i="1"/>
  <c r="AS97" i="1"/>
  <c r="K14" i="1"/>
  <c r="K35" i="1" s="1"/>
  <c r="K15" i="1"/>
  <c r="M14" i="1"/>
  <c r="M15" i="1"/>
  <c r="L14" i="1"/>
  <c r="L15" i="1"/>
  <c r="AE162" i="1"/>
  <c r="AE165" i="1" s="1"/>
  <c r="AE171" i="1" s="1"/>
  <c r="R50" i="1"/>
  <c r="P154" i="1"/>
  <c r="P155" i="1" s="1"/>
  <c r="E11" i="5"/>
  <c r="E16" i="5" s="1"/>
  <c r="F16" i="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L26" i="6"/>
  <c r="K26" i="6"/>
  <c r="J26" i="6"/>
  <c r="J13" i="6"/>
  <c r="K13" i="6"/>
  <c r="L13" i="6"/>
  <c r="M13" i="6"/>
  <c r="N13" i="6"/>
  <c r="L12" i="6"/>
  <c r="K12" i="6"/>
  <c r="J12" i="6"/>
  <c r="C10" i="6"/>
  <c r="D10" i="6"/>
  <c r="E10" i="6"/>
  <c r="F10" i="6"/>
  <c r="G10" i="6"/>
  <c r="H10" i="6"/>
  <c r="I10" i="6"/>
  <c r="J10" i="6"/>
  <c r="K10" i="6"/>
  <c r="L10" i="6"/>
  <c r="M10" i="6"/>
  <c r="N10" i="6"/>
  <c r="E1" i="1"/>
  <c r="E3" i="1" s="1"/>
  <c r="F1" i="1"/>
  <c r="F3" i="1" s="1"/>
  <c r="G1" i="1"/>
  <c r="G3" i="1" s="1"/>
  <c r="H1" i="1"/>
  <c r="I1" i="1"/>
  <c r="J1" i="1"/>
  <c r="J3" i="1" s="1"/>
  <c r="K1" i="1"/>
  <c r="L1" i="1"/>
  <c r="L3" i="1" s="1"/>
  <c r="M1" i="1"/>
  <c r="M3" i="1" s="1"/>
  <c r="N1" i="1"/>
  <c r="N3" i="1" s="1"/>
  <c r="O1" i="1"/>
  <c r="O3" i="1" s="1"/>
  <c r="P1" i="1"/>
  <c r="P3" i="1" s="1"/>
  <c r="Q1" i="1"/>
  <c r="Q3" i="1" s="1"/>
  <c r="R1" i="1"/>
  <c r="R3" i="1" s="1"/>
  <c r="S1" i="1"/>
  <c r="S3" i="1" s="1"/>
  <c r="T1" i="1"/>
  <c r="T3" i="1" s="1"/>
  <c r="U1" i="1"/>
  <c r="U3" i="1" s="1"/>
  <c r="V1" i="1"/>
  <c r="V3" i="1" s="1"/>
  <c r="W1" i="1"/>
  <c r="W3" i="1" s="1"/>
  <c r="X1" i="1"/>
  <c r="X3" i="1" s="1"/>
  <c r="Y1" i="1"/>
  <c r="Y3" i="1" s="1"/>
  <c r="Z1" i="1"/>
  <c r="Z3" i="1" s="1"/>
  <c r="AA1" i="1"/>
  <c r="AA3" i="1" s="1"/>
  <c r="AB3" i="1"/>
  <c r="AC1" i="1"/>
  <c r="AC3" i="1" s="1"/>
  <c r="AD1" i="1"/>
  <c r="AD3" i="1" s="1"/>
  <c r="AK1" i="1"/>
  <c r="AK3" i="1" s="1"/>
  <c r="AL1" i="1"/>
  <c r="AL3" i="1" s="1"/>
  <c r="AM1" i="1"/>
  <c r="AM3" i="1" s="1"/>
  <c r="AN1" i="1"/>
  <c r="AN3" i="1" s="1"/>
  <c r="AO1" i="1"/>
  <c r="AO3" i="1" s="1"/>
  <c r="AY1" i="1"/>
  <c r="AY3" i="1" s="1"/>
  <c r="AZ1" i="1"/>
  <c r="AZ3" i="1" s="1"/>
  <c r="BA1" i="1"/>
  <c r="BA3" i="1" s="1"/>
  <c r="BB1" i="1"/>
  <c r="BB3" i="1" s="1"/>
  <c r="BC1" i="1"/>
  <c r="BC3" i="1" s="1"/>
  <c r="BD1" i="1"/>
  <c r="BD3" i="1" s="1"/>
  <c r="BE1" i="1"/>
  <c r="BE3" i="1" s="1"/>
  <c r="BF1" i="1"/>
  <c r="BF3" i="1" s="1"/>
  <c r="BG1" i="1"/>
  <c r="BG3" i="1" s="1"/>
  <c r="BH1" i="1"/>
  <c r="BH3" i="1" s="1"/>
  <c r="BI1" i="1"/>
  <c r="BI3" i="1" s="1"/>
  <c r="BJ1" i="1"/>
  <c r="BJ3" i="1" s="1"/>
  <c r="BK1" i="1"/>
  <c r="BK3" i="1" s="1"/>
  <c r="BL1" i="1"/>
  <c r="BL3" i="1" s="1"/>
  <c r="BM1" i="1"/>
  <c r="BM3" i="1" s="1"/>
  <c r="BN1" i="1"/>
  <c r="BN3" i="1" s="1"/>
  <c r="BO1" i="1"/>
  <c r="BO3" i="1" s="1"/>
  <c r="BP1" i="1"/>
  <c r="BP3" i="1" s="1"/>
  <c r="BQ1" i="1"/>
  <c r="BQ3" i="1" s="1"/>
  <c r="BR1" i="1"/>
  <c r="BR3" i="1" s="1"/>
  <c r="BS1" i="1"/>
  <c r="BS3" i="1" s="1"/>
  <c r="BT1" i="1"/>
  <c r="BT3" i="1" s="1"/>
  <c r="BU1" i="1"/>
  <c r="BU3" i="1" s="1"/>
  <c r="BV1" i="1"/>
  <c r="BV3" i="1" s="1"/>
  <c r="BW1" i="1"/>
  <c r="BW3" i="1" s="1"/>
  <c r="BX1" i="1"/>
  <c r="BX3" i="1" s="1"/>
  <c r="BY1" i="1"/>
  <c r="BY3" i="1" s="1"/>
  <c r="BZ1" i="1"/>
  <c r="BZ3" i="1" s="1"/>
  <c r="CA1" i="1"/>
  <c r="CA3" i="1" s="1"/>
  <c r="CB1" i="1"/>
  <c r="CB3" i="1" s="1"/>
  <c r="CC1" i="1"/>
  <c r="CC3" i="1" s="1"/>
  <c r="CD1" i="1"/>
  <c r="CD3" i="1" s="1"/>
  <c r="CE1" i="1"/>
  <c r="CE3" i="1" s="1"/>
  <c r="CF1" i="1"/>
  <c r="CF3" i="1" s="1"/>
  <c r="CG1" i="1"/>
  <c r="CG3" i="1" s="1"/>
  <c r="CH1" i="1"/>
  <c r="CH3" i="1" s="1"/>
  <c r="CI1" i="1"/>
  <c r="CI3" i="1" s="1"/>
  <c r="CJ1" i="1"/>
  <c r="CJ3" i="1" s="1"/>
  <c r="CK1" i="1"/>
  <c r="CK3" i="1" s="1"/>
  <c r="CL1" i="1"/>
  <c r="CL3" i="1" s="1"/>
  <c r="CM1" i="1"/>
  <c r="CM3" i="1" s="1"/>
  <c r="CN1" i="1"/>
  <c r="CN3" i="1" s="1"/>
  <c r="CO1" i="1"/>
  <c r="CO3" i="1" s="1"/>
  <c r="CP1" i="1"/>
  <c r="CP3" i="1" s="1"/>
  <c r="CQ1" i="1"/>
  <c r="CQ3" i="1" s="1"/>
  <c r="CR1" i="1"/>
  <c r="CR3" i="1" s="1"/>
  <c r="CS1" i="1"/>
  <c r="CS3" i="1" s="1"/>
  <c r="CT1" i="1"/>
  <c r="CT3" i="1" s="1"/>
  <c r="CU1" i="1"/>
  <c r="CU3" i="1" s="1"/>
  <c r="CV1" i="1"/>
  <c r="CV3" i="1" s="1"/>
  <c r="CW1" i="1"/>
  <c r="CW3" i="1" s="1"/>
  <c r="CX1" i="1"/>
  <c r="CX3" i="1" s="1"/>
  <c r="CY1" i="1"/>
  <c r="CY3" i="1" s="1"/>
  <c r="CZ1" i="1"/>
  <c r="CZ3" i="1" s="1"/>
  <c r="DA1" i="1"/>
  <c r="DA3" i="1" s="1"/>
  <c r="DB1" i="1"/>
  <c r="DB3" i="1" s="1"/>
  <c r="DC1" i="1"/>
  <c r="DC3" i="1" s="1"/>
  <c r="DD1" i="1"/>
  <c r="DD3" i="1" s="1"/>
  <c r="DE1" i="1"/>
  <c r="DE3" i="1" s="1"/>
  <c r="DF1" i="1"/>
  <c r="DF3" i="1" s="1"/>
  <c r="DG1" i="1"/>
  <c r="DG3" i="1" s="1"/>
  <c r="D1" i="1"/>
  <c r="E7" i="13"/>
  <c r="J7" i="13" s="1"/>
  <c r="E6" i="13"/>
  <c r="J6" i="13" s="1"/>
  <c r="E5" i="13"/>
  <c r="J5" i="13" s="1"/>
  <c r="E4" i="13"/>
  <c r="J4" i="13" s="1"/>
  <c r="E3" i="13"/>
  <c r="J3" i="13" s="1"/>
  <c r="E2" i="13"/>
  <c r="J2" i="13" s="1"/>
  <c r="J18" i="12"/>
  <c r="K43" i="11"/>
  <c r="DF88" i="1" l="1"/>
  <c r="CU42" i="1"/>
  <c r="CX88" i="1"/>
  <c r="CP88" i="1"/>
  <c r="CH88" i="1"/>
  <c r="BZ88" i="1"/>
  <c r="BR88" i="1"/>
  <c r="BJ88" i="1"/>
  <c r="BB88" i="1"/>
  <c r="BD27" i="1"/>
  <c r="L44" i="1"/>
  <c r="L45" i="1" s="1"/>
  <c r="M44" i="1"/>
  <c r="M45" i="1" s="1"/>
  <c r="DB88" i="1"/>
  <c r="CT88" i="1"/>
  <c r="CL88" i="1"/>
  <c r="CD88" i="1"/>
  <c r="BV88" i="1"/>
  <c r="BN88" i="1"/>
  <c r="BF88" i="1"/>
  <c r="DA88" i="1"/>
  <c r="CS88" i="1"/>
  <c r="CK88" i="1"/>
  <c r="CC88" i="1"/>
  <c r="BU88" i="1"/>
  <c r="BM88" i="1"/>
  <c r="DE88" i="1"/>
  <c r="CW88" i="1"/>
  <c r="CO88" i="1"/>
  <c r="CG88" i="1"/>
  <c r="BY88" i="1"/>
  <c r="BQ88" i="1"/>
  <c r="BI88" i="1"/>
  <c r="BA88" i="1"/>
  <c r="BE88" i="1"/>
  <c r="CZ88" i="1"/>
  <c r="CR88" i="1"/>
  <c r="CJ88" i="1"/>
  <c r="CB88" i="1"/>
  <c r="BT88" i="1"/>
  <c r="BL88" i="1"/>
  <c r="BD88" i="1"/>
  <c r="DG88" i="1"/>
  <c r="CY88" i="1"/>
  <c r="CQ88" i="1"/>
  <c r="CI88" i="1"/>
  <c r="CA88" i="1"/>
  <c r="BS88" i="1"/>
  <c r="BK88" i="1"/>
  <c r="BC88" i="1"/>
  <c r="DD88" i="1"/>
  <c r="CV88" i="1"/>
  <c r="CN88" i="1"/>
  <c r="CF88" i="1"/>
  <c r="BX88" i="1"/>
  <c r="BP88" i="1"/>
  <c r="BH88" i="1"/>
  <c r="AZ88" i="1"/>
  <c r="DC88" i="1"/>
  <c r="CU88" i="1"/>
  <c r="CM88" i="1"/>
  <c r="CE88" i="1"/>
  <c r="BW88" i="1"/>
  <c r="BO88" i="1"/>
  <c r="BG88" i="1"/>
  <c r="AY88" i="1"/>
  <c r="AU96" i="1"/>
  <c r="AV96" i="1" s="1"/>
  <c r="AT97" i="1"/>
  <c r="J10" i="13"/>
  <c r="M66" i="1"/>
  <c r="M99" i="1" s="1"/>
  <c r="M110" i="1" s="1"/>
  <c r="BK71" i="1"/>
  <c r="BB71" i="1"/>
  <c r="CZ71" i="1"/>
  <c r="CZ72" i="1" s="1"/>
  <c r="BJ71" i="1"/>
  <c r="BJ72" i="1" s="1"/>
  <c r="M22" i="31" s="1"/>
  <c r="CW71" i="1"/>
  <c r="CW72" i="1" s="1"/>
  <c r="CO71" i="1"/>
  <c r="BY71" i="1"/>
  <c r="BY72" i="1" s="1"/>
  <c r="BQ71" i="1"/>
  <c r="BA71" i="1"/>
  <c r="BA72" i="1" s="1"/>
  <c r="D22" i="31" s="1"/>
  <c r="BT71" i="1"/>
  <c r="DG71" i="1"/>
  <c r="J22" i="29"/>
  <c r="J21" i="27" s="1"/>
  <c r="CH71" i="1"/>
  <c r="CH72" i="1" s="1"/>
  <c r="DD71" i="1"/>
  <c r="CN71" i="1"/>
  <c r="CN72" i="1" s="1"/>
  <c r="CF71" i="1"/>
  <c r="BP71" i="1"/>
  <c r="BP72" i="1" s="1"/>
  <c r="BH71" i="1"/>
  <c r="G22" i="29"/>
  <c r="G21" i="27" s="1"/>
  <c r="CR71" i="1"/>
  <c r="BD71" i="1"/>
  <c r="CQ71" i="1"/>
  <c r="CQ72" i="1" s="1"/>
  <c r="BS71" i="1"/>
  <c r="BS72" i="1" s="1"/>
  <c r="CX71" i="1"/>
  <c r="BZ71" i="1"/>
  <c r="DC71" i="1"/>
  <c r="DC72" i="1" s="1"/>
  <c r="CU71" i="1"/>
  <c r="CE71" i="1"/>
  <c r="CE72" i="1" s="1"/>
  <c r="BW71" i="1"/>
  <c r="BG71" i="1"/>
  <c r="BG72" i="1" s="1"/>
  <c r="J22" i="31" s="1"/>
  <c r="AY71" i="1"/>
  <c r="CT71" i="1"/>
  <c r="CT72" i="1" s="1"/>
  <c r="CL71" i="1"/>
  <c r="BV71" i="1"/>
  <c r="BV72" i="1" s="1"/>
  <c r="BN71" i="1"/>
  <c r="M22" i="29"/>
  <c r="CB71" i="1"/>
  <c r="CB72" i="1" s="1"/>
  <c r="CI71" i="1"/>
  <c r="DF71" i="1"/>
  <c r="DF72" i="1" s="1"/>
  <c r="DA71" i="1"/>
  <c r="CK71" i="1"/>
  <c r="CK72" i="1" s="1"/>
  <c r="CC71" i="1"/>
  <c r="BM71" i="1"/>
  <c r="BM72" i="1" s="1"/>
  <c r="BE71" i="1"/>
  <c r="D22" i="29"/>
  <c r="D21" i="27" s="1"/>
  <c r="K66" i="1"/>
  <c r="K99" i="1" s="1"/>
  <c r="K110" i="1" s="1"/>
  <c r="M126" i="1"/>
  <c r="L66" i="1"/>
  <c r="L99" i="1" s="1"/>
  <c r="L46" i="1" s="1"/>
  <c r="L126" i="1"/>
  <c r="M35" i="1"/>
  <c r="AJ163" i="1"/>
  <c r="D19" i="5"/>
  <c r="E19" i="5"/>
  <c r="L35" i="1"/>
  <c r="D23" i="5"/>
  <c r="E23" i="5"/>
  <c r="D3" i="1"/>
  <c r="H3" i="1"/>
  <c r="I3" i="1"/>
  <c r="K3" i="1"/>
  <c r="D25" i="5"/>
  <c r="D13" i="15"/>
  <c r="C13" i="15"/>
  <c r="G11" i="5"/>
  <c r="G23" i="5" s="1"/>
  <c r="L14" i="6"/>
  <c r="L16" i="6" s="1"/>
  <c r="J14" i="6"/>
  <c r="J16" i="6" s="1"/>
  <c r="J17" i="6" s="1"/>
  <c r="K14" i="6"/>
  <c r="N105" i="1"/>
  <c r="N109" i="1" s="1"/>
  <c r="O105" i="1"/>
  <c r="O109" i="1" s="1"/>
  <c r="B21" i="9"/>
  <c r="B31" i="9" s="1"/>
  <c r="B41" i="9" s="1"/>
  <c r="B51" i="9" s="1"/>
  <c r="B61" i="9" s="1"/>
  <c r="B19" i="9"/>
  <c r="B29" i="9" s="1"/>
  <c r="B39" i="9" s="1"/>
  <c r="B49" i="9" s="1"/>
  <c r="B59" i="9" s="1"/>
  <c r="B18" i="9"/>
  <c r="B28" i="9" s="1"/>
  <c r="B38" i="9" s="1"/>
  <c r="B48" i="9" s="1"/>
  <c r="B58" i="9" s="1"/>
  <c r="B17" i="9"/>
  <c r="B27" i="9" s="1"/>
  <c r="B37" i="9" s="1"/>
  <c r="B47" i="9" s="1"/>
  <c r="B57" i="9" s="1"/>
  <c r="B16" i="9"/>
  <c r="B26" i="9" s="1"/>
  <c r="B36" i="9" s="1"/>
  <c r="B46" i="9" s="1"/>
  <c r="B56" i="9" s="1"/>
  <c r="B15" i="9"/>
  <c r="B25" i="9" s="1"/>
  <c r="B35" i="9" s="1"/>
  <c r="B45" i="9" s="1"/>
  <c r="B55" i="9" s="1"/>
  <c r="B14" i="9"/>
  <c r="B24" i="9" s="1"/>
  <c r="B34" i="9" s="1"/>
  <c r="B44" i="9" s="1"/>
  <c r="B54" i="9" s="1"/>
  <c r="B13" i="9"/>
  <c r="B23" i="9" s="1"/>
  <c r="B33" i="9" s="1"/>
  <c r="B43" i="9" s="1"/>
  <c r="B53" i="9" s="1"/>
  <c r="B12" i="9"/>
  <c r="B22" i="9" s="1"/>
  <c r="B32" i="9" s="1"/>
  <c r="B42" i="9" s="1"/>
  <c r="B52" i="9" s="1"/>
  <c r="B62" i="9" s="1"/>
  <c r="B10" i="9"/>
  <c r="AW96" i="1" l="1"/>
  <c r="AV97" i="1"/>
  <c r="DG42" i="1"/>
  <c r="BE27" i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CV27" i="1" s="1"/>
  <c r="CW27" i="1" s="1"/>
  <c r="CX27" i="1" s="1"/>
  <c r="CY27" i="1" s="1"/>
  <c r="CZ27" i="1" s="1"/>
  <c r="DA27" i="1" s="1"/>
  <c r="DB27" i="1" s="1"/>
  <c r="DC27" i="1" s="1"/>
  <c r="DD27" i="1" s="1"/>
  <c r="DE27" i="1" s="1"/>
  <c r="DF27" i="1" s="1"/>
  <c r="DG27" i="1" s="1"/>
  <c r="BD72" i="1"/>
  <c r="G22" i="31" s="1"/>
  <c r="L47" i="1"/>
  <c r="AU97" i="1"/>
  <c r="C22" i="20"/>
  <c r="H23" i="5"/>
  <c r="F23" i="5"/>
  <c r="F19" i="5"/>
  <c r="M46" i="1"/>
  <c r="M47" i="1" s="1"/>
  <c r="M49" i="1" s="1"/>
  <c r="B20" i="9"/>
  <c r="B30" i="9" s="1"/>
  <c r="B40" i="9" s="1"/>
  <c r="B50" i="9" s="1"/>
  <c r="B60" i="9" s="1"/>
  <c r="I21" i="20"/>
  <c r="F22" i="29"/>
  <c r="F21" i="27" s="1"/>
  <c r="C28" i="20"/>
  <c r="L110" i="1"/>
  <c r="D15" i="20"/>
  <c r="C15" i="20"/>
  <c r="C21" i="20"/>
  <c r="G21" i="20"/>
  <c r="Y168" i="1"/>
  <c r="F54" i="1"/>
  <c r="F59" i="1" s="1"/>
  <c r="E13" i="15"/>
  <c r="M26" i="6"/>
  <c r="N26" i="6"/>
  <c r="I11" i="5"/>
  <c r="K16" i="6"/>
  <c r="L17" i="6"/>
  <c r="AX96" i="1" l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DC96" i="1" s="1"/>
  <c r="DD96" i="1" s="1"/>
  <c r="DE96" i="1" s="1"/>
  <c r="DF96" i="1" s="1"/>
  <c r="DG96" i="1" s="1"/>
  <c r="AW97" i="1"/>
  <c r="M50" i="1"/>
  <c r="DG24" i="1"/>
  <c r="CC24" i="1"/>
  <c r="DB24" i="1"/>
  <c r="K24" i="1"/>
  <c r="K25" i="1" s="1"/>
  <c r="CO24" i="1"/>
  <c r="CE24" i="1"/>
  <c r="DE24" i="1"/>
  <c r="I24" i="1"/>
  <c r="I25" i="1" s="1"/>
  <c r="N24" i="1"/>
  <c r="N25" i="1" s="1"/>
  <c r="CF24" i="1"/>
  <c r="L24" i="1"/>
  <c r="L25" i="1" s="1"/>
  <c r="L51" i="1" s="1"/>
  <c r="BD24" i="1"/>
  <c r="X24" i="1"/>
  <c r="X25" i="1" s="1"/>
  <c r="CP24" i="1"/>
  <c r="E24" i="1"/>
  <c r="E25" i="1" s="1"/>
  <c r="Q55" i="1" s="1"/>
  <c r="AB24" i="1"/>
  <c r="AB25" i="1" s="1"/>
  <c r="CZ24" i="1"/>
  <c r="BM24" i="1"/>
  <c r="CY24" i="1"/>
  <c r="CL24" i="1"/>
  <c r="BO24" i="1"/>
  <c r="BC24" i="1"/>
  <c r="BP24" i="1"/>
  <c r="Q24" i="1"/>
  <c r="Q25" i="1" s="1"/>
  <c r="Q51" i="1" s="1"/>
  <c r="Y24" i="1"/>
  <c r="Y25" i="1" s="1"/>
  <c r="AH24" i="1"/>
  <c r="AH25" i="1" s="1"/>
  <c r="CW24" i="1"/>
  <c r="BJ24" i="1"/>
  <c r="BU24" i="1"/>
  <c r="H24" i="1"/>
  <c r="H25" i="1" s="1"/>
  <c r="CT24" i="1"/>
  <c r="BW24" i="1"/>
  <c r="CI24" i="1"/>
  <c r="BX24" i="1"/>
  <c r="S24" i="1"/>
  <c r="S25" i="1" s="1"/>
  <c r="S51" i="1" s="1"/>
  <c r="AA24" i="1"/>
  <c r="AA25" i="1" s="1"/>
  <c r="AI24" i="1"/>
  <c r="AI25" i="1" s="1"/>
  <c r="AJ24" i="1"/>
  <c r="AJ25" i="1" s="1"/>
  <c r="BA24" i="1"/>
  <c r="DF24" i="1"/>
  <c r="BL24" i="1"/>
  <c r="BS24" i="1"/>
  <c r="CK24" i="1"/>
  <c r="BR24" i="1"/>
  <c r="CM24" i="1"/>
  <c r="AY24" i="1"/>
  <c r="CN24" i="1"/>
  <c r="W24" i="1"/>
  <c r="W25" i="1" s="1"/>
  <c r="AC24" i="1"/>
  <c r="AC25" i="1" s="1"/>
  <c r="AK24" i="1"/>
  <c r="AK25" i="1" s="1"/>
  <c r="BI24" i="1"/>
  <c r="BB24" i="1"/>
  <c r="BT24" i="1"/>
  <c r="G24" i="1"/>
  <c r="G25" i="1" s="1"/>
  <c r="CS24" i="1"/>
  <c r="BF24" i="1"/>
  <c r="CU24" i="1"/>
  <c r="J24" i="1"/>
  <c r="J25" i="1" s="1"/>
  <c r="CV24" i="1"/>
  <c r="V24" i="1"/>
  <c r="V25" i="1" s="1"/>
  <c r="V51" i="1" s="1"/>
  <c r="AD24" i="1"/>
  <c r="AD25" i="1" s="1"/>
  <c r="AN24" i="1"/>
  <c r="BQ24" i="1"/>
  <c r="CX24" i="1"/>
  <c r="CB24" i="1"/>
  <c r="O24" i="1"/>
  <c r="O25" i="1" s="1"/>
  <c r="DA24" i="1"/>
  <c r="BN24" i="1"/>
  <c r="CQ24" i="1"/>
  <c r="DC24" i="1"/>
  <c r="DD24" i="1"/>
  <c r="T24" i="1"/>
  <c r="T25" i="1" s="1"/>
  <c r="T51" i="1" s="1"/>
  <c r="AE24" i="1"/>
  <c r="AE25" i="1" s="1"/>
  <c r="AL24" i="1"/>
  <c r="BY24" i="1"/>
  <c r="CA24" i="1"/>
  <c r="CJ24" i="1"/>
  <c r="BZ24" i="1"/>
  <c r="BV24" i="1"/>
  <c r="AZ24" i="1"/>
  <c r="R24" i="1"/>
  <c r="R25" i="1" s="1"/>
  <c r="U24" i="1"/>
  <c r="U25" i="1" s="1"/>
  <c r="U51" i="1" s="1"/>
  <c r="AF24" i="1"/>
  <c r="AF25" i="1" s="1"/>
  <c r="AM24" i="1"/>
  <c r="AM25" i="1" s="1"/>
  <c r="BK24" i="1"/>
  <c r="CG24" i="1"/>
  <c r="F24" i="1"/>
  <c r="F25" i="1" s="1"/>
  <c r="CR24" i="1"/>
  <c r="BE24" i="1"/>
  <c r="M24" i="1"/>
  <c r="M25" i="1" s="1"/>
  <c r="M51" i="1" s="1"/>
  <c r="CD24" i="1"/>
  <c r="BG24" i="1"/>
  <c r="CH24" i="1"/>
  <c r="BH24" i="1"/>
  <c r="P24" i="1"/>
  <c r="P25" i="1" s="1"/>
  <c r="P51" i="1" s="1"/>
  <c r="Z24" i="1"/>
  <c r="Z25" i="1" s="1"/>
  <c r="AG24" i="1"/>
  <c r="E22" i="29"/>
  <c r="E21" i="27" s="1"/>
  <c r="E15" i="20"/>
  <c r="W66" i="1"/>
  <c r="W67" i="1" s="1"/>
  <c r="Z168" i="1"/>
  <c r="F58" i="1"/>
  <c r="F13" i="15"/>
  <c r="K11" i="5"/>
  <c r="K17" i="6"/>
  <c r="H22" i="29" l="1"/>
  <c r="H21" i="27" s="1"/>
  <c r="D21" i="20"/>
  <c r="I22" i="29"/>
  <c r="I21" i="27" s="1"/>
  <c r="AZ71" i="1"/>
  <c r="AY86" i="1"/>
  <c r="AB51" i="1"/>
  <c r="X51" i="1"/>
  <c r="AM51" i="1"/>
  <c r="AY25" i="1"/>
  <c r="BK25" i="1" s="1"/>
  <c r="BW25" i="1" s="1"/>
  <c r="CI25" i="1" s="1"/>
  <c r="CU25" i="1" s="1"/>
  <c r="DG25" i="1" s="1"/>
  <c r="AC51" i="1"/>
  <c r="AF51" i="1"/>
  <c r="BD25" i="1"/>
  <c r="BP25" i="1" s="1"/>
  <c r="CB25" i="1" s="1"/>
  <c r="CN25" i="1" s="1"/>
  <c r="CZ25" i="1" s="1"/>
  <c r="W51" i="1"/>
  <c r="R57" i="1"/>
  <c r="AI51" i="1"/>
  <c r="BG25" i="1"/>
  <c r="BS25" i="1" s="1"/>
  <c r="CE25" i="1" s="1"/>
  <c r="CQ25" i="1" s="1"/>
  <c r="H12" i="24"/>
  <c r="AG25" i="1"/>
  <c r="BB25" i="1"/>
  <c r="BN25" i="1" s="1"/>
  <c r="BZ25" i="1" s="1"/>
  <c r="CL25" i="1" s="1"/>
  <c r="CX25" i="1" s="1"/>
  <c r="R51" i="1"/>
  <c r="AD51" i="1"/>
  <c r="AA51" i="1"/>
  <c r="Z51" i="1"/>
  <c r="AE51" i="1"/>
  <c r="BC25" i="1"/>
  <c r="AH51" i="1"/>
  <c r="BF25" i="1"/>
  <c r="BR25" i="1" s="1"/>
  <c r="CD25" i="1" s="1"/>
  <c r="CP25" i="1" s="1"/>
  <c r="DB25" i="1" s="1"/>
  <c r="AK51" i="1"/>
  <c r="BI25" i="1"/>
  <c r="BU25" i="1" s="1"/>
  <c r="CG25" i="1" s="1"/>
  <c r="CS25" i="1" s="1"/>
  <c r="DE25" i="1" s="1"/>
  <c r="AJ51" i="1"/>
  <c r="BH25" i="1"/>
  <c r="BT25" i="1" s="1"/>
  <c r="CF25" i="1" s="1"/>
  <c r="CR25" i="1" s="1"/>
  <c r="DD25" i="1" s="1"/>
  <c r="Y51" i="1"/>
  <c r="K22" i="29"/>
  <c r="K21" i="27" s="1"/>
  <c r="AF162" i="1"/>
  <c r="AF165" i="1" s="1"/>
  <c r="AF171" i="1" s="1"/>
  <c r="D15" i="25"/>
  <c r="W99" i="1"/>
  <c r="W100" i="1" s="1"/>
  <c r="W163" i="1"/>
  <c r="G13" i="15"/>
  <c r="L11" i="5"/>
  <c r="BO25" i="1" l="1"/>
  <c r="CA25" i="1" s="1"/>
  <c r="CM25" i="1" s="1"/>
  <c r="CY25" i="1" s="1"/>
  <c r="BD25" i="28"/>
  <c r="CD25" i="28" s="1"/>
  <c r="BD20" i="28"/>
  <c r="CD20" i="28" s="1"/>
  <c r="F21" i="20"/>
  <c r="E21" i="20"/>
  <c r="AZ86" i="1"/>
  <c r="AG51" i="1"/>
  <c r="BE25" i="1"/>
  <c r="BQ25" i="1" s="1"/>
  <c r="CC25" i="1" s="1"/>
  <c r="CO25" i="1" s="1"/>
  <c r="DA25" i="1" s="1"/>
  <c r="DC25" i="1"/>
  <c r="AA57" i="1"/>
  <c r="BA25" i="1"/>
  <c r="BC71" i="1"/>
  <c r="AZ72" i="1"/>
  <c r="C22" i="31" s="1"/>
  <c r="AY72" i="1"/>
  <c r="W110" i="1"/>
  <c r="W162" i="1" s="1"/>
  <c r="W165" i="1" s="1"/>
  <c r="W171" i="1" s="1"/>
  <c r="W46" i="1"/>
  <c r="W47" i="1" s="1"/>
  <c r="W49" i="1" s="1"/>
  <c r="D12" i="25"/>
  <c r="H13" i="15"/>
  <c r="M11" i="5"/>
  <c r="BM25" i="1" l="1"/>
  <c r="BY25" i="1" s="1"/>
  <c r="CK25" i="1" s="1"/>
  <c r="CW25" i="1" s="1"/>
  <c r="CC25" i="28"/>
  <c r="CC20" i="28"/>
  <c r="BD21" i="28"/>
  <c r="CD21" i="28" s="1"/>
  <c r="L22" i="29"/>
  <c r="L21" i="27" s="1"/>
  <c r="P21" i="27" s="1"/>
  <c r="H21" i="20"/>
  <c r="K21" i="20" s="1"/>
  <c r="I23" i="5"/>
  <c r="J23" i="5" s="1"/>
  <c r="N22" i="29"/>
  <c r="BA86" i="1"/>
  <c r="BF71" i="1"/>
  <c r="BC72" i="1"/>
  <c r="F22" i="31" s="1"/>
  <c r="BB72" i="1"/>
  <c r="E22" i="31" s="1"/>
  <c r="W50" i="1"/>
  <c r="Y164" i="1"/>
  <c r="I13" i="15"/>
  <c r="N11" i="5"/>
  <c r="CC21" i="28" l="1"/>
  <c r="T11" i="24"/>
  <c r="P22" i="29"/>
  <c r="BB86" i="1"/>
  <c r="BI71" i="1"/>
  <c r="BF72" i="1"/>
  <c r="I22" i="31" s="1"/>
  <c r="BE72" i="1"/>
  <c r="H22" i="31" s="1"/>
  <c r="AD168" i="1"/>
  <c r="J13" i="15"/>
  <c r="Z164" i="1"/>
  <c r="O11" i="5"/>
  <c r="T20" i="24" l="1"/>
  <c r="T21" i="24" s="1"/>
  <c r="BD39" i="28"/>
  <c r="CD39" i="28" s="1"/>
  <c r="BC86" i="1"/>
  <c r="BL71" i="1"/>
  <c r="BI72" i="1"/>
  <c r="L22" i="31" s="1"/>
  <c r="BH72" i="1"/>
  <c r="K22" i="31" s="1"/>
  <c r="G32" i="25"/>
  <c r="K13" i="15"/>
  <c r="CC39" i="28" l="1"/>
  <c r="BD43" i="28"/>
  <c r="CD43" i="28" s="1"/>
  <c r="BD86" i="1"/>
  <c r="BO71" i="1"/>
  <c r="BL72" i="1"/>
  <c r="BK72" i="1"/>
  <c r="L13" i="15"/>
  <c r="K23" i="5" l="1"/>
  <c r="N22" i="31"/>
  <c r="CC43" i="28"/>
  <c r="BE86" i="1"/>
  <c r="BR71" i="1"/>
  <c r="BO72" i="1"/>
  <c r="BN72" i="1"/>
  <c r="H32" i="25"/>
  <c r="I32" i="25"/>
  <c r="M13" i="15"/>
  <c r="P22" i="31" l="1"/>
  <c r="BF86" i="1"/>
  <c r="BU71" i="1"/>
  <c r="BR72" i="1"/>
  <c r="BQ72" i="1"/>
  <c r="L25" i="15"/>
  <c r="J32" i="25"/>
  <c r="N13" i="15"/>
  <c r="AD164" i="1"/>
  <c r="BG86" i="1" l="1"/>
  <c r="BX71" i="1"/>
  <c r="BU72" i="1"/>
  <c r="BT72" i="1"/>
  <c r="M25" i="15"/>
  <c r="K32" i="25"/>
  <c r="BH86" i="1" l="1"/>
  <c r="CA71" i="1"/>
  <c r="BX72" i="1"/>
  <c r="BW72" i="1"/>
  <c r="D13" i="25"/>
  <c r="N25" i="15"/>
  <c r="C13" i="20"/>
  <c r="BI86" i="1" l="1"/>
  <c r="CD71" i="1"/>
  <c r="CA72" i="1"/>
  <c r="BZ72" i="1"/>
  <c r="L32" i="25"/>
  <c r="E13" i="25"/>
  <c r="M32" i="25"/>
  <c r="P25" i="15"/>
  <c r="BJ86" i="1" l="1"/>
  <c r="CG71" i="1"/>
  <c r="CD72" i="1"/>
  <c r="CC72" i="1"/>
  <c r="F13" i="25"/>
  <c r="N32" i="25"/>
  <c r="P32" i="25" s="1"/>
  <c r="BK86" i="1" l="1"/>
  <c r="CJ71" i="1"/>
  <c r="CG72" i="1"/>
  <c r="CF72" i="1"/>
  <c r="G13" i="25"/>
  <c r="BL86" i="1" l="1"/>
  <c r="CM71" i="1"/>
  <c r="CJ72" i="1"/>
  <c r="CI72" i="1"/>
  <c r="H13" i="25"/>
  <c r="BM86" i="1" l="1"/>
  <c r="CP71" i="1"/>
  <c r="CM72" i="1"/>
  <c r="CL72" i="1"/>
  <c r="I13" i="25"/>
  <c r="AK164" i="1"/>
  <c r="BN86" i="1" l="1"/>
  <c r="CS71" i="1"/>
  <c r="CP72" i="1"/>
  <c r="CO72" i="1"/>
  <c r="AL164" i="1"/>
  <c r="BO86" i="1" l="1"/>
  <c r="CV71" i="1"/>
  <c r="CS72" i="1"/>
  <c r="CR72" i="1"/>
  <c r="BP86" i="1" l="1"/>
  <c r="CY71" i="1"/>
  <c r="CV72" i="1"/>
  <c r="CU72" i="1"/>
  <c r="AY130" i="1"/>
  <c r="AY132" i="1" s="1"/>
  <c r="BQ86" i="1" l="1"/>
  <c r="DB71" i="1"/>
  <c r="CY72" i="1"/>
  <c r="CX72" i="1"/>
  <c r="AZ130" i="1"/>
  <c r="AZ132" i="1" s="1"/>
  <c r="I32" i="29" l="1"/>
  <c r="BR86" i="1"/>
  <c r="DE71" i="1"/>
  <c r="DE72" i="1" s="1"/>
  <c r="DB72" i="1"/>
  <c r="DA72" i="1"/>
  <c r="BA130" i="1"/>
  <c r="BA132" i="1" s="1"/>
  <c r="J32" i="29" l="1"/>
  <c r="BS86" i="1"/>
  <c r="DG72" i="1"/>
  <c r="DD72" i="1"/>
  <c r="BB130" i="1"/>
  <c r="BB132" i="1" s="1"/>
  <c r="K32" i="29" l="1"/>
  <c r="BT86" i="1"/>
  <c r="O23" i="5"/>
  <c r="M29" i="25"/>
  <c r="L23" i="5"/>
  <c r="M23" i="5"/>
  <c r="N23" i="5"/>
  <c r="BC130" i="1"/>
  <c r="BC132" i="1" s="1"/>
  <c r="N29" i="27"/>
  <c r="N30" i="27" s="1"/>
  <c r="N29" i="25"/>
  <c r="L32" i="29" l="1"/>
  <c r="BU86" i="1"/>
  <c r="P29" i="25"/>
  <c r="BD130" i="1"/>
  <c r="BD132" i="1" s="1"/>
  <c r="M32" i="29" l="1"/>
  <c r="BV86" i="1"/>
  <c r="C29" i="29"/>
  <c r="BE130" i="1"/>
  <c r="BE132" i="1" s="1"/>
  <c r="AY149" i="1"/>
  <c r="N32" i="31" s="1"/>
  <c r="P32" i="31" s="1"/>
  <c r="N32" i="29" l="1"/>
  <c r="P32" i="29" s="1"/>
  <c r="C28" i="27"/>
  <c r="BW86" i="1"/>
  <c r="BF130" i="1"/>
  <c r="BF132" i="1" s="1"/>
  <c r="AZ149" i="1"/>
  <c r="E29" i="29"/>
  <c r="E28" i="27" s="1"/>
  <c r="BX86" i="1" l="1"/>
  <c r="BG130" i="1"/>
  <c r="BG132" i="1" s="1"/>
  <c r="BA149" i="1"/>
  <c r="F29" i="29"/>
  <c r="F28" i="27" s="1"/>
  <c r="BY86" i="1" l="1"/>
  <c r="BH130" i="1"/>
  <c r="BH132" i="1" s="1"/>
  <c r="BB149" i="1"/>
  <c r="G29" i="29" l="1"/>
  <c r="G28" i="27" s="1"/>
  <c r="D28" i="20"/>
  <c r="BZ86" i="1"/>
  <c r="BI130" i="1"/>
  <c r="BI132" i="1" s="1"/>
  <c r="BC149" i="1"/>
  <c r="AY137" i="1"/>
  <c r="H29" i="29"/>
  <c r="H28" i="27" s="1"/>
  <c r="E28" i="20" l="1"/>
  <c r="AY138" i="1"/>
  <c r="AY147" i="1"/>
  <c r="AY164" i="1" s="1"/>
  <c r="CA86" i="1"/>
  <c r="BJ130" i="1"/>
  <c r="BJ132" i="1" s="1"/>
  <c r="BD149" i="1"/>
  <c r="AZ137" i="1"/>
  <c r="I29" i="29" l="1"/>
  <c r="I28" i="27" s="1"/>
  <c r="AZ138" i="1"/>
  <c r="AZ147" i="1"/>
  <c r="AZ164" i="1" s="1"/>
  <c r="CB86" i="1"/>
  <c r="BK130" i="1"/>
  <c r="BK132" i="1" s="1"/>
  <c r="BE149" i="1"/>
  <c r="BA137" i="1"/>
  <c r="AY126" i="1"/>
  <c r="J29" i="29"/>
  <c r="J28" i="27" s="1"/>
  <c r="BA138" i="1" l="1"/>
  <c r="BA147" i="1"/>
  <c r="BA164" i="1" s="1"/>
  <c r="CC86" i="1"/>
  <c r="BL130" i="1"/>
  <c r="BL132" i="1" s="1"/>
  <c r="BF149" i="1"/>
  <c r="BB137" i="1"/>
  <c r="AZ126" i="1"/>
  <c r="K29" i="29" l="1"/>
  <c r="K28" i="27" s="1"/>
  <c r="F28" i="20"/>
  <c r="BB138" i="1"/>
  <c r="BB147" i="1"/>
  <c r="BB164" i="1" s="1"/>
  <c r="CD86" i="1"/>
  <c r="BM130" i="1"/>
  <c r="BM132" i="1" s="1"/>
  <c r="BG149" i="1"/>
  <c r="BC137" i="1"/>
  <c r="BA126" i="1"/>
  <c r="G28" i="20" l="1"/>
  <c r="L29" i="29"/>
  <c r="L28" i="27" s="1"/>
  <c r="P28" i="27" s="1"/>
  <c r="BC138" i="1"/>
  <c r="BC147" i="1"/>
  <c r="BC164" i="1" s="1"/>
  <c r="CE86" i="1"/>
  <c r="BN130" i="1"/>
  <c r="BN132" i="1" s="1"/>
  <c r="BH149" i="1"/>
  <c r="BD137" i="1"/>
  <c r="AY87" i="1"/>
  <c r="BB126" i="1"/>
  <c r="AY104" i="1"/>
  <c r="M29" i="29"/>
  <c r="BD138" i="1" l="1"/>
  <c r="BD147" i="1"/>
  <c r="BD164" i="1" s="1"/>
  <c r="CF86" i="1"/>
  <c r="BO130" i="1"/>
  <c r="BO132" i="1" s="1"/>
  <c r="BI149" i="1"/>
  <c r="BE137" i="1"/>
  <c r="AZ87" i="1"/>
  <c r="BC126" i="1"/>
  <c r="AZ104" i="1"/>
  <c r="AY105" i="1"/>
  <c r="AY109" i="1" s="1"/>
  <c r="N29" i="29" s="1"/>
  <c r="P29" i="29" s="1"/>
  <c r="H28" i="20" l="1"/>
  <c r="I28" i="20" s="1"/>
  <c r="BE138" i="1"/>
  <c r="BE147" i="1"/>
  <c r="BE164" i="1" s="1"/>
  <c r="CG86" i="1"/>
  <c r="BP130" i="1"/>
  <c r="BP132" i="1" s="1"/>
  <c r="BJ149" i="1"/>
  <c r="BF137" i="1"/>
  <c r="BA87" i="1"/>
  <c r="BD126" i="1"/>
  <c r="BA104" i="1"/>
  <c r="AZ105" i="1"/>
  <c r="AZ109" i="1" s="1"/>
  <c r="C29" i="31" s="1"/>
  <c r="K28" i="20" l="1"/>
  <c r="BF138" i="1"/>
  <c r="BF147" i="1"/>
  <c r="BF164" i="1" s="1"/>
  <c r="CH86" i="1"/>
  <c r="BQ130" i="1"/>
  <c r="BQ132" i="1" s="1"/>
  <c r="BK149" i="1"/>
  <c r="BG137" i="1"/>
  <c r="BB87" i="1"/>
  <c r="BE126" i="1"/>
  <c r="BB104" i="1"/>
  <c r="BA105" i="1"/>
  <c r="BA109" i="1" s="1"/>
  <c r="D29" i="31" s="1"/>
  <c r="BG138" i="1" l="1"/>
  <c r="BG147" i="1"/>
  <c r="BG164" i="1" s="1"/>
  <c r="CI86" i="1"/>
  <c r="BR130" i="1"/>
  <c r="BR132" i="1" s="1"/>
  <c r="BL149" i="1"/>
  <c r="BH137" i="1"/>
  <c r="BC87" i="1"/>
  <c r="BF126" i="1"/>
  <c r="BC104" i="1"/>
  <c r="BB105" i="1"/>
  <c r="BB109" i="1" s="1"/>
  <c r="E29" i="31" s="1"/>
  <c r="BH138" i="1" l="1"/>
  <c r="BH147" i="1"/>
  <c r="BH164" i="1" s="1"/>
  <c r="CJ86" i="1"/>
  <c r="BS130" i="1"/>
  <c r="BS132" i="1" s="1"/>
  <c r="BM149" i="1"/>
  <c r="BI137" i="1"/>
  <c r="BD87" i="1"/>
  <c r="BG126" i="1"/>
  <c r="BD104" i="1"/>
  <c r="BC105" i="1"/>
  <c r="BC109" i="1" s="1"/>
  <c r="F29" i="31" s="1"/>
  <c r="BI138" i="1" l="1"/>
  <c r="BI147" i="1"/>
  <c r="BI164" i="1" s="1"/>
  <c r="CK86" i="1"/>
  <c r="BT130" i="1"/>
  <c r="BT132" i="1" s="1"/>
  <c r="BN149" i="1"/>
  <c r="BJ137" i="1"/>
  <c r="BE87" i="1"/>
  <c r="BH126" i="1"/>
  <c r="BE104" i="1"/>
  <c r="BD105" i="1"/>
  <c r="BD109" i="1" s="1"/>
  <c r="G29" i="31" s="1"/>
  <c r="BJ138" i="1" l="1"/>
  <c r="BJ147" i="1"/>
  <c r="BJ164" i="1" s="1"/>
  <c r="CL86" i="1"/>
  <c r="BU130" i="1"/>
  <c r="BU132" i="1" s="1"/>
  <c r="BO149" i="1"/>
  <c r="BK137" i="1"/>
  <c r="BF87" i="1"/>
  <c r="BI126" i="1"/>
  <c r="BF104" i="1"/>
  <c r="BE105" i="1"/>
  <c r="BE109" i="1" s="1"/>
  <c r="H29" i="31" s="1"/>
  <c r="BK138" i="1" l="1"/>
  <c r="BK147" i="1"/>
  <c r="BK164" i="1" s="1"/>
  <c r="CM86" i="1"/>
  <c r="BV130" i="1"/>
  <c r="BV132" i="1" s="1"/>
  <c r="BP149" i="1"/>
  <c r="BL137" i="1"/>
  <c r="BG87" i="1"/>
  <c r="BJ126" i="1"/>
  <c r="BG104" i="1"/>
  <c r="BF105" i="1"/>
  <c r="BF109" i="1" s="1"/>
  <c r="I29" i="31" s="1"/>
  <c r="BL138" i="1" l="1"/>
  <c r="BL147" i="1"/>
  <c r="BL164" i="1" s="1"/>
  <c r="CN86" i="1"/>
  <c r="BW130" i="1"/>
  <c r="BW132" i="1" s="1"/>
  <c r="BQ149" i="1"/>
  <c r="BM137" i="1"/>
  <c r="BH87" i="1"/>
  <c r="BK126" i="1"/>
  <c r="BH104" i="1"/>
  <c r="BG105" i="1"/>
  <c r="BG109" i="1" s="1"/>
  <c r="J29" i="31" s="1"/>
  <c r="BM138" i="1" l="1"/>
  <c r="BM147" i="1"/>
  <c r="BM164" i="1" s="1"/>
  <c r="CO86" i="1"/>
  <c r="BX130" i="1"/>
  <c r="BX132" i="1" s="1"/>
  <c r="BR149" i="1"/>
  <c r="BN137" i="1"/>
  <c r="BI87" i="1"/>
  <c r="BL126" i="1"/>
  <c r="BI104" i="1"/>
  <c r="BH105" i="1"/>
  <c r="BH109" i="1" s="1"/>
  <c r="K29" i="31" s="1"/>
  <c r="BN138" i="1" l="1"/>
  <c r="BN147" i="1"/>
  <c r="BN164" i="1" s="1"/>
  <c r="CP86" i="1"/>
  <c r="BY130" i="1"/>
  <c r="BY132" i="1" s="1"/>
  <c r="BS149" i="1"/>
  <c r="BO137" i="1"/>
  <c r="BJ87" i="1"/>
  <c r="BM126" i="1"/>
  <c r="BJ104" i="1"/>
  <c r="BI105" i="1"/>
  <c r="BI109" i="1" s="1"/>
  <c r="L29" i="31" s="1"/>
  <c r="BO138" i="1" l="1"/>
  <c r="BO147" i="1"/>
  <c r="BO164" i="1" s="1"/>
  <c r="CQ86" i="1"/>
  <c r="BZ130" i="1"/>
  <c r="BZ132" i="1" s="1"/>
  <c r="BT149" i="1"/>
  <c r="BP137" i="1"/>
  <c r="BK87" i="1"/>
  <c r="BN126" i="1"/>
  <c r="BK104" i="1"/>
  <c r="BJ105" i="1"/>
  <c r="BJ109" i="1" s="1"/>
  <c r="M29" i="31" s="1"/>
  <c r="BP138" i="1" l="1"/>
  <c r="BP147" i="1"/>
  <c r="BP164" i="1" s="1"/>
  <c r="CR86" i="1"/>
  <c r="CA130" i="1"/>
  <c r="CA132" i="1" s="1"/>
  <c r="BU149" i="1"/>
  <c r="BQ137" i="1"/>
  <c r="BL87" i="1"/>
  <c r="BO126" i="1"/>
  <c r="BL104" i="1"/>
  <c r="BK105" i="1"/>
  <c r="BK109" i="1" s="1"/>
  <c r="N29" i="31" s="1"/>
  <c r="P29" i="31" s="1"/>
  <c r="BQ138" i="1" l="1"/>
  <c r="BQ147" i="1"/>
  <c r="BQ164" i="1" s="1"/>
  <c r="CS86" i="1"/>
  <c r="CB130" i="1"/>
  <c r="CB132" i="1" s="1"/>
  <c r="BV149" i="1"/>
  <c r="BR137" i="1"/>
  <c r="BM87" i="1"/>
  <c r="BP126" i="1"/>
  <c r="BM104" i="1"/>
  <c r="BL105" i="1"/>
  <c r="BL109" i="1" s="1"/>
  <c r="BR138" i="1" l="1"/>
  <c r="BR147" i="1"/>
  <c r="BR164" i="1" s="1"/>
  <c r="CT86" i="1"/>
  <c r="CC130" i="1"/>
  <c r="CC132" i="1" s="1"/>
  <c r="BW149" i="1"/>
  <c r="BS137" i="1"/>
  <c r="BN87" i="1"/>
  <c r="BQ126" i="1"/>
  <c r="BN104" i="1"/>
  <c r="BM105" i="1"/>
  <c r="BM109" i="1" s="1"/>
  <c r="BS138" i="1" l="1"/>
  <c r="BS147" i="1"/>
  <c r="BS164" i="1" s="1"/>
  <c r="CU86" i="1"/>
  <c r="CD130" i="1"/>
  <c r="CD132" i="1" s="1"/>
  <c r="BX149" i="1"/>
  <c r="BT137" i="1"/>
  <c r="BO87" i="1"/>
  <c r="BR126" i="1"/>
  <c r="BO104" i="1"/>
  <c r="BN105" i="1"/>
  <c r="BN109" i="1" s="1"/>
  <c r="BT138" i="1" l="1"/>
  <c r="BT147" i="1"/>
  <c r="BT164" i="1" s="1"/>
  <c r="CV86" i="1"/>
  <c r="CE130" i="1"/>
  <c r="CE132" i="1" s="1"/>
  <c r="BY149" i="1"/>
  <c r="BU137" i="1"/>
  <c r="BP87" i="1"/>
  <c r="BS126" i="1"/>
  <c r="BP104" i="1"/>
  <c r="BO105" i="1"/>
  <c r="BO109" i="1" s="1"/>
  <c r="BU138" i="1" l="1"/>
  <c r="BU147" i="1"/>
  <c r="BU164" i="1" s="1"/>
  <c r="CW86" i="1"/>
  <c r="CF130" i="1"/>
  <c r="CF132" i="1" s="1"/>
  <c r="BZ149" i="1"/>
  <c r="BV137" i="1"/>
  <c r="BQ87" i="1"/>
  <c r="BT126" i="1"/>
  <c r="BQ104" i="1"/>
  <c r="BP105" i="1"/>
  <c r="BP109" i="1" s="1"/>
  <c r="BV138" i="1" l="1"/>
  <c r="BV147" i="1"/>
  <c r="BV164" i="1" s="1"/>
  <c r="CX86" i="1"/>
  <c r="CG130" i="1"/>
  <c r="CG132" i="1" s="1"/>
  <c r="CA149" i="1"/>
  <c r="BW137" i="1"/>
  <c r="BR87" i="1"/>
  <c r="BU126" i="1"/>
  <c r="BR104" i="1"/>
  <c r="BQ105" i="1"/>
  <c r="BQ109" i="1" s="1"/>
  <c r="BW138" i="1" l="1"/>
  <c r="BW147" i="1"/>
  <c r="BW164" i="1" s="1"/>
  <c r="CY86" i="1"/>
  <c r="CH130" i="1"/>
  <c r="CH132" i="1" s="1"/>
  <c r="CB149" i="1"/>
  <c r="BX137" i="1"/>
  <c r="BS87" i="1"/>
  <c r="BV126" i="1"/>
  <c r="BS104" i="1"/>
  <c r="BR105" i="1"/>
  <c r="BR109" i="1" s="1"/>
  <c r="BX138" i="1" l="1"/>
  <c r="BX147" i="1"/>
  <c r="BX164" i="1" s="1"/>
  <c r="CZ86" i="1"/>
  <c r="CI130" i="1"/>
  <c r="CI132" i="1" s="1"/>
  <c r="CC149" i="1"/>
  <c r="BY137" i="1"/>
  <c r="BT87" i="1"/>
  <c r="BW126" i="1"/>
  <c r="BT104" i="1"/>
  <c r="BS105" i="1"/>
  <c r="BS109" i="1" s="1"/>
  <c r="BY138" i="1" l="1"/>
  <c r="BY147" i="1"/>
  <c r="BY164" i="1" s="1"/>
  <c r="DA86" i="1"/>
  <c r="CJ130" i="1"/>
  <c r="CJ132" i="1" s="1"/>
  <c r="CD149" i="1"/>
  <c r="BZ137" i="1"/>
  <c r="BU87" i="1"/>
  <c r="BX126" i="1"/>
  <c r="BU104" i="1"/>
  <c r="BT105" i="1"/>
  <c r="BT109" i="1" s="1"/>
  <c r="BZ138" i="1" l="1"/>
  <c r="BZ147" i="1"/>
  <c r="BZ164" i="1" s="1"/>
  <c r="DB86" i="1"/>
  <c r="CK130" i="1"/>
  <c r="CK132" i="1" s="1"/>
  <c r="CE149" i="1"/>
  <c r="CA137" i="1"/>
  <c r="BV87" i="1"/>
  <c r="BY126" i="1"/>
  <c r="BV104" i="1"/>
  <c r="BU105" i="1"/>
  <c r="BU109" i="1" s="1"/>
  <c r="CA138" i="1" l="1"/>
  <c r="CA147" i="1"/>
  <c r="CA164" i="1" s="1"/>
  <c r="DC86" i="1"/>
  <c r="CL130" i="1"/>
  <c r="CL132" i="1" s="1"/>
  <c r="CF149" i="1"/>
  <c r="CB137" i="1"/>
  <c r="BW87" i="1"/>
  <c r="BZ126" i="1"/>
  <c r="BW104" i="1"/>
  <c r="BV105" i="1"/>
  <c r="BV109" i="1" s="1"/>
  <c r="CB138" i="1" l="1"/>
  <c r="CB147" i="1"/>
  <c r="CB164" i="1" s="1"/>
  <c r="DD86" i="1"/>
  <c r="CM130" i="1"/>
  <c r="CM132" i="1" s="1"/>
  <c r="CG149" i="1"/>
  <c r="CC137" i="1"/>
  <c r="BX87" i="1"/>
  <c r="CA126" i="1"/>
  <c r="BX104" i="1"/>
  <c r="BW105" i="1"/>
  <c r="BW109" i="1" s="1"/>
  <c r="CC138" i="1" l="1"/>
  <c r="CC147" i="1"/>
  <c r="CC164" i="1" s="1"/>
  <c r="DE86" i="1"/>
  <c r="CN130" i="1"/>
  <c r="CN132" i="1" s="1"/>
  <c r="CH149" i="1"/>
  <c r="CD137" i="1"/>
  <c r="BY87" i="1"/>
  <c r="CB126" i="1"/>
  <c r="BY104" i="1"/>
  <c r="BX105" i="1"/>
  <c r="BX109" i="1" s="1"/>
  <c r="CD138" i="1" l="1"/>
  <c r="CD147" i="1"/>
  <c r="CD164" i="1" s="1"/>
  <c r="DF86" i="1"/>
  <c r="CO130" i="1"/>
  <c r="CO132" i="1" s="1"/>
  <c r="CI149" i="1"/>
  <c r="CE137" i="1"/>
  <c r="BZ87" i="1"/>
  <c r="CC126" i="1"/>
  <c r="BZ104" i="1"/>
  <c r="BY105" i="1"/>
  <c r="BY109" i="1" s="1"/>
  <c r="CE138" i="1" l="1"/>
  <c r="CE147" i="1"/>
  <c r="CE164" i="1" s="1"/>
  <c r="DG86" i="1"/>
  <c r="CP130" i="1"/>
  <c r="CP132" i="1" s="1"/>
  <c r="CJ149" i="1"/>
  <c r="CF137" i="1"/>
  <c r="CA87" i="1"/>
  <c r="CD126" i="1"/>
  <c r="CA104" i="1"/>
  <c r="BZ105" i="1"/>
  <c r="BZ109" i="1" s="1"/>
  <c r="CF138" i="1" l="1"/>
  <c r="CF147" i="1"/>
  <c r="CF164" i="1" s="1"/>
  <c r="CQ130" i="1"/>
  <c r="CQ132" i="1" s="1"/>
  <c r="CK149" i="1"/>
  <c r="CG137" i="1"/>
  <c r="CB87" i="1"/>
  <c r="CE126" i="1"/>
  <c r="CB104" i="1"/>
  <c r="CA105" i="1"/>
  <c r="CA109" i="1" s="1"/>
  <c r="CG138" i="1" l="1"/>
  <c r="CG147" i="1"/>
  <c r="CG164" i="1" s="1"/>
  <c r="CR130" i="1"/>
  <c r="CR132" i="1" s="1"/>
  <c r="CL149" i="1"/>
  <c r="CH137" i="1"/>
  <c r="CC87" i="1"/>
  <c r="CF126" i="1"/>
  <c r="CC104" i="1"/>
  <c r="CB105" i="1"/>
  <c r="CB109" i="1" s="1"/>
  <c r="CH138" i="1" l="1"/>
  <c r="CH147" i="1"/>
  <c r="CH164" i="1" s="1"/>
  <c r="CS130" i="1"/>
  <c r="CS132" i="1" s="1"/>
  <c r="CM149" i="1"/>
  <c r="CI137" i="1"/>
  <c r="CD87" i="1"/>
  <c r="CG126" i="1"/>
  <c r="CD104" i="1"/>
  <c r="CC105" i="1"/>
  <c r="CC109" i="1" s="1"/>
  <c r="CI138" i="1" l="1"/>
  <c r="CI147" i="1"/>
  <c r="CI164" i="1" s="1"/>
  <c r="CT130" i="1"/>
  <c r="CT132" i="1" s="1"/>
  <c r="CN149" i="1"/>
  <c r="CJ137" i="1"/>
  <c r="CE87" i="1"/>
  <c r="CH126" i="1"/>
  <c r="CE104" i="1"/>
  <c r="CD105" i="1"/>
  <c r="CD109" i="1" s="1"/>
  <c r="CJ138" i="1" l="1"/>
  <c r="CJ147" i="1"/>
  <c r="CJ164" i="1" s="1"/>
  <c r="CU130" i="1"/>
  <c r="CU132" i="1" s="1"/>
  <c r="CO149" i="1"/>
  <c r="CK137" i="1"/>
  <c r="CF87" i="1"/>
  <c r="CI126" i="1"/>
  <c r="CF104" i="1"/>
  <c r="CE105" i="1"/>
  <c r="CE109" i="1" s="1"/>
  <c r="CK138" i="1" l="1"/>
  <c r="CK147" i="1"/>
  <c r="CK164" i="1" s="1"/>
  <c r="CV130" i="1"/>
  <c r="CV132" i="1" s="1"/>
  <c r="CP149" i="1"/>
  <c r="CL137" i="1"/>
  <c r="CG87" i="1"/>
  <c r="CJ126" i="1"/>
  <c r="CG104" i="1"/>
  <c r="CF105" i="1"/>
  <c r="CF109" i="1" s="1"/>
  <c r="CL138" i="1" l="1"/>
  <c r="CL147" i="1"/>
  <c r="CL164" i="1" s="1"/>
  <c r="CW130" i="1"/>
  <c r="CW132" i="1" s="1"/>
  <c r="CQ149" i="1"/>
  <c r="CM137" i="1"/>
  <c r="CH87" i="1"/>
  <c r="CK126" i="1"/>
  <c r="CH104" i="1"/>
  <c r="CG105" i="1"/>
  <c r="CG109" i="1" s="1"/>
  <c r="CM138" i="1" l="1"/>
  <c r="CM147" i="1"/>
  <c r="CM164" i="1" s="1"/>
  <c r="CX130" i="1"/>
  <c r="CX132" i="1" s="1"/>
  <c r="CR149" i="1"/>
  <c r="CN137" i="1"/>
  <c r="CI87" i="1"/>
  <c r="CL126" i="1"/>
  <c r="CI104" i="1"/>
  <c r="CH105" i="1"/>
  <c r="CH109" i="1" s="1"/>
  <c r="CN138" i="1" l="1"/>
  <c r="CN147" i="1"/>
  <c r="CN164" i="1" s="1"/>
  <c r="CY130" i="1"/>
  <c r="CY132" i="1" s="1"/>
  <c r="CS149" i="1"/>
  <c r="CO137" i="1"/>
  <c r="CJ87" i="1"/>
  <c r="CM126" i="1"/>
  <c r="CJ104" i="1"/>
  <c r="CI105" i="1"/>
  <c r="CI109" i="1" s="1"/>
  <c r="CO138" i="1" l="1"/>
  <c r="CO147" i="1"/>
  <c r="CO164" i="1" s="1"/>
  <c r="CZ130" i="1"/>
  <c r="CZ132" i="1" s="1"/>
  <c r="CT149" i="1"/>
  <c r="CP137" i="1"/>
  <c r="CK87" i="1"/>
  <c r="CN126" i="1"/>
  <c r="CK104" i="1"/>
  <c r="CJ105" i="1"/>
  <c r="CJ109" i="1" s="1"/>
  <c r="CP138" i="1" l="1"/>
  <c r="CP147" i="1"/>
  <c r="CP164" i="1" s="1"/>
  <c r="DA130" i="1"/>
  <c r="DA132" i="1" s="1"/>
  <c r="CU149" i="1"/>
  <c r="CQ137" i="1"/>
  <c r="CL87" i="1"/>
  <c r="CO126" i="1"/>
  <c r="CL104" i="1"/>
  <c r="CK105" i="1"/>
  <c r="CK109" i="1" s="1"/>
  <c r="CQ138" i="1" l="1"/>
  <c r="CQ147" i="1"/>
  <c r="CQ164" i="1" s="1"/>
  <c r="DB130" i="1"/>
  <c r="DB132" i="1" s="1"/>
  <c r="CV149" i="1"/>
  <c r="CR137" i="1"/>
  <c r="CM87" i="1"/>
  <c r="CP126" i="1"/>
  <c r="CM104" i="1"/>
  <c r="CL105" i="1"/>
  <c r="CL109" i="1" s="1"/>
  <c r="CR138" i="1" l="1"/>
  <c r="CR147" i="1"/>
  <c r="CR164" i="1" s="1"/>
  <c r="DC130" i="1"/>
  <c r="DC132" i="1" s="1"/>
  <c r="CW149" i="1"/>
  <c r="CS137" i="1"/>
  <c r="CN87" i="1"/>
  <c r="CQ126" i="1"/>
  <c r="CN104" i="1"/>
  <c r="CM105" i="1"/>
  <c r="CM109" i="1" s="1"/>
  <c r="CS138" i="1" l="1"/>
  <c r="CS147" i="1"/>
  <c r="CS164" i="1" s="1"/>
  <c r="DD130" i="1"/>
  <c r="DD132" i="1" s="1"/>
  <c r="CX149" i="1"/>
  <c r="CT137" i="1"/>
  <c r="CO87" i="1"/>
  <c r="CR126" i="1"/>
  <c r="CO104" i="1"/>
  <c r="CN105" i="1"/>
  <c r="CN109" i="1" s="1"/>
  <c r="CT138" i="1" l="1"/>
  <c r="CT147" i="1"/>
  <c r="CT164" i="1" s="1"/>
  <c r="DE130" i="1"/>
  <c r="DE132" i="1" s="1"/>
  <c r="CY149" i="1"/>
  <c r="CU137" i="1"/>
  <c r="CP87" i="1"/>
  <c r="CS126" i="1"/>
  <c r="CP104" i="1"/>
  <c r="CO105" i="1"/>
  <c r="CO109" i="1" s="1"/>
  <c r="CU138" i="1" l="1"/>
  <c r="CU147" i="1"/>
  <c r="CU164" i="1" s="1"/>
  <c r="DF130" i="1"/>
  <c r="DF132" i="1" s="1"/>
  <c r="CZ149" i="1"/>
  <c r="CV137" i="1"/>
  <c r="CQ87" i="1"/>
  <c r="CT126" i="1"/>
  <c r="CQ104" i="1"/>
  <c r="CP105" i="1"/>
  <c r="CP109" i="1" s="1"/>
  <c r="CV138" i="1" l="1"/>
  <c r="CV147" i="1"/>
  <c r="CV164" i="1" s="1"/>
  <c r="DG130" i="1"/>
  <c r="DG132" i="1" s="1"/>
  <c r="DA149" i="1"/>
  <c r="CW137" i="1"/>
  <c r="CR87" i="1"/>
  <c r="CU126" i="1"/>
  <c r="CR104" i="1"/>
  <c r="CQ105" i="1"/>
  <c r="CQ109" i="1" s="1"/>
  <c r="CW138" i="1" l="1"/>
  <c r="CW147" i="1"/>
  <c r="CW164" i="1" s="1"/>
  <c r="DB149" i="1"/>
  <c r="CX137" i="1"/>
  <c r="CS87" i="1"/>
  <c r="CV126" i="1"/>
  <c r="CS104" i="1"/>
  <c r="CR105" i="1"/>
  <c r="CR109" i="1" s="1"/>
  <c r="CX138" i="1" l="1"/>
  <c r="CX147" i="1"/>
  <c r="CX164" i="1" s="1"/>
  <c r="DC149" i="1"/>
  <c r="CY137" i="1"/>
  <c r="CT87" i="1"/>
  <c r="CW126" i="1"/>
  <c r="CT104" i="1"/>
  <c r="CS105" i="1"/>
  <c r="CS109" i="1" s="1"/>
  <c r="CY138" i="1" l="1"/>
  <c r="CY147" i="1"/>
  <c r="CY164" i="1" s="1"/>
  <c r="DD149" i="1"/>
  <c r="CZ137" i="1"/>
  <c r="CU87" i="1"/>
  <c r="CX126" i="1"/>
  <c r="CU104" i="1"/>
  <c r="CT105" i="1"/>
  <c r="CT109" i="1" s="1"/>
  <c r="CZ138" i="1" l="1"/>
  <c r="CZ147" i="1"/>
  <c r="CZ164" i="1" s="1"/>
  <c r="DE149" i="1"/>
  <c r="DA137" i="1"/>
  <c r="CV87" i="1"/>
  <c r="CY126" i="1"/>
  <c r="CV104" i="1"/>
  <c r="CU105" i="1"/>
  <c r="CU109" i="1" s="1"/>
  <c r="DA138" i="1" l="1"/>
  <c r="DA147" i="1"/>
  <c r="DA164" i="1" s="1"/>
  <c r="DF149" i="1"/>
  <c r="DB137" i="1"/>
  <c r="CW87" i="1"/>
  <c r="CZ126" i="1"/>
  <c r="CW104" i="1"/>
  <c r="CV105" i="1"/>
  <c r="CV109" i="1" s="1"/>
  <c r="DB138" i="1" l="1"/>
  <c r="DB147" i="1"/>
  <c r="DB164" i="1" s="1"/>
  <c r="DG149" i="1"/>
  <c r="DC137" i="1"/>
  <c r="CX87" i="1"/>
  <c r="DA126" i="1"/>
  <c r="CX104" i="1"/>
  <c r="CW105" i="1"/>
  <c r="CW109" i="1" s="1"/>
  <c r="DC138" i="1" l="1"/>
  <c r="DC147" i="1"/>
  <c r="DC164" i="1" s="1"/>
  <c r="DD137" i="1"/>
  <c r="CY87" i="1"/>
  <c r="DB126" i="1"/>
  <c r="CY104" i="1"/>
  <c r="CX105" i="1"/>
  <c r="CX109" i="1" s="1"/>
  <c r="DD138" i="1" l="1"/>
  <c r="DD147" i="1"/>
  <c r="DD164" i="1" s="1"/>
  <c r="DE137" i="1"/>
  <c r="CZ87" i="1"/>
  <c r="DC126" i="1"/>
  <c r="CZ104" i="1"/>
  <c r="CY105" i="1"/>
  <c r="CY109" i="1" s="1"/>
  <c r="DE138" i="1" l="1"/>
  <c r="DE147" i="1"/>
  <c r="DE164" i="1" s="1"/>
  <c r="DF137" i="1"/>
  <c r="DA87" i="1"/>
  <c r="DD126" i="1"/>
  <c r="DA104" i="1"/>
  <c r="CZ105" i="1"/>
  <c r="CZ109" i="1" s="1"/>
  <c r="DF138" i="1" l="1"/>
  <c r="DF147" i="1"/>
  <c r="DF164" i="1" s="1"/>
  <c r="DG137" i="1"/>
  <c r="DG147" i="1" s="1"/>
  <c r="DB87" i="1"/>
  <c r="DE126" i="1"/>
  <c r="DB104" i="1"/>
  <c r="DA105" i="1"/>
  <c r="DA109" i="1" s="1"/>
  <c r="DG164" i="1" l="1"/>
  <c r="DG138" i="1"/>
  <c r="DC87" i="1"/>
  <c r="DF126" i="1"/>
  <c r="DC104" i="1"/>
  <c r="DB105" i="1"/>
  <c r="DB109" i="1" s="1"/>
  <c r="DD87" i="1" l="1"/>
  <c r="DG126" i="1"/>
  <c r="DD104" i="1"/>
  <c r="DC105" i="1"/>
  <c r="DC109" i="1" s="1"/>
  <c r="DE87" i="1" l="1"/>
  <c r="DE104" i="1"/>
  <c r="DD105" i="1"/>
  <c r="DD109" i="1" s="1"/>
  <c r="DF87" i="1" l="1"/>
  <c r="E14" i="5"/>
  <c r="DF104" i="1"/>
  <c r="DE105" i="1"/>
  <c r="DE109" i="1" s="1"/>
  <c r="DG87" i="1" l="1"/>
  <c r="DG104" i="1"/>
  <c r="DG105" i="1" s="1"/>
  <c r="DG109" i="1" s="1"/>
  <c r="DF105" i="1"/>
  <c r="DF109" i="1" s="1"/>
  <c r="G31" i="5" l="1"/>
  <c r="H31" i="5" s="1"/>
  <c r="I31" i="5"/>
  <c r="K31" i="5"/>
  <c r="L31" i="5"/>
  <c r="M31" i="5"/>
  <c r="N31" i="5"/>
  <c r="O31" i="5"/>
  <c r="O169" i="1"/>
  <c r="Q169" i="1"/>
  <c r="R169" i="1"/>
  <c r="S169" i="1"/>
  <c r="T169" i="1"/>
  <c r="U169" i="1"/>
  <c r="V169" i="1"/>
  <c r="X169" i="1"/>
  <c r="Y169" i="1"/>
  <c r="Z169" i="1"/>
  <c r="AD169" i="1"/>
  <c r="L163" i="1"/>
  <c r="M163" i="1"/>
  <c r="K162" i="1"/>
  <c r="L162" i="1"/>
  <c r="M162" i="1"/>
  <c r="E173" i="1"/>
  <c r="J31" i="5" l="1"/>
  <c r="M165" i="1"/>
  <c r="L165" i="1"/>
  <c r="M169" i="1" l="1"/>
  <c r="M171" i="1" s="1"/>
  <c r="N169" i="1"/>
  <c r="E6" i="1" l="1"/>
  <c r="F6" i="1"/>
  <c r="G6" i="1"/>
  <c r="H6" i="1"/>
  <c r="I6" i="1"/>
  <c r="J6" i="1"/>
  <c r="E7" i="1"/>
  <c r="F7" i="1"/>
  <c r="G7" i="1"/>
  <c r="H7" i="1"/>
  <c r="I7" i="1"/>
  <c r="E8" i="1"/>
  <c r="F8" i="1"/>
  <c r="G8" i="1"/>
  <c r="H8" i="1"/>
  <c r="I8" i="1"/>
  <c r="E10" i="1"/>
  <c r="F10" i="1"/>
  <c r="G10" i="1"/>
  <c r="H10" i="1"/>
  <c r="I10" i="1"/>
  <c r="E13" i="1"/>
  <c r="D13" i="6" s="1"/>
  <c r="F13" i="1"/>
  <c r="E13" i="6" s="1"/>
  <c r="G13" i="1"/>
  <c r="F13" i="6" s="1"/>
  <c r="H13" i="1"/>
  <c r="G13" i="6" s="1"/>
  <c r="I13" i="1"/>
  <c r="H13" i="6" s="1"/>
  <c r="J13" i="1"/>
  <c r="I13" i="6" s="1"/>
  <c r="E86" i="1"/>
  <c r="E100" i="1" s="1"/>
  <c r="F86" i="1"/>
  <c r="F100" i="1" s="1"/>
  <c r="G86" i="1"/>
  <c r="G100" i="1" s="1"/>
  <c r="H86" i="1"/>
  <c r="H100" i="1" s="1"/>
  <c r="I86" i="1"/>
  <c r="I100" i="1" s="1"/>
  <c r="E87" i="1"/>
  <c r="F87" i="1"/>
  <c r="G87" i="1"/>
  <c r="H87" i="1"/>
  <c r="I87" i="1"/>
  <c r="E88" i="1"/>
  <c r="F88" i="1"/>
  <c r="G88" i="1"/>
  <c r="H88" i="1"/>
  <c r="I88" i="1"/>
  <c r="E89" i="1"/>
  <c r="F89" i="1"/>
  <c r="G89" i="1"/>
  <c r="H89" i="1"/>
  <c r="I89" i="1"/>
  <c r="E92" i="1"/>
  <c r="F92" i="1"/>
  <c r="G92" i="1"/>
  <c r="H92" i="1"/>
  <c r="I92" i="1"/>
  <c r="E104" i="1"/>
  <c r="E105" i="1" s="1"/>
  <c r="F104" i="1"/>
  <c r="F105" i="1" s="1"/>
  <c r="G104" i="1"/>
  <c r="G105" i="1" s="1"/>
  <c r="H104" i="1"/>
  <c r="H105" i="1" s="1"/>
  <c r="I104" i="1"/>
  <c r="I105" i="1" s="1"/>
  <c r="J104" i="1"/>
  <c r="J105" i="1" s="1"/>
  <c r="E117" i="1"/>
  <c r="F117" i="1"/>
  <c r="G117" i="1"/>
  <c r="H117" i="1"/>
  <c r="I117" i="1"/>
  <c r="E118" i="1"/>
  <c r="F118" i="1"/>
  <c r="G118" i="1"/>
  <c r="H118" i="1"/>
  <c r="I118" i="1"/>
  <c r="E119" i="1"/>
  <c r="F119" i="1"/>
  <c r="G119" i="1"/>
  <c r="H119" i="1"/>
  <c r="I119" i="1"/>
  <c r="E120" i="1"/>
  <c r="F120" i="1"/>
  <c r="G120" i="1"/>
  <c r="H120" i="1"/>
  <c r="I120" i="1"/>
  <c r="E124" i="1"/>
  <c r="F124" i="1"/>
  <c r="G124" i="1"/>
  <c r="H124" i="1"/>
  <c r="I124" i="1"/>
  <c r="E149" i="1"/>
  <c r="F149" i="1"/>
  <c r="G149" i="1"/>
  <c r="H149" i="1"/>
  <c r="I149" i="1"/>
  <c r="E150" i="1"/>
  <c r="F150" i="1"/>
  <c r="G150" i="1"/>
  <c r="H150" i="1"/>
  <c r="I150" i="1"/>
  <c r="E151" i="1"/>
  <c r="F151" i="1"/>
  <c r="G151" i="1"/>
  <c r="H151" i="1"/>
  <c r="I151" i="1"/>
  <c r="D154" i="1"/>
  <c r="D151" i="1"/>
  <c r="D150" i="1"/>
  <c r="D149" i="1"/>
  <c r="D124" i="1"/>
  <c r="D120" i="1"/>
  <c r="D119" i="1"/>
  <c r="D118" i="1"/>
  <c r="D117" i="1"/>
  <c r="D104" i="1"/>
  <c r="D105" i="1" s="1"/>
  <c r="D109" i="1" s="1"/>
  <c r="D92" i="1"/>
  <c r="D89" i="1"/>
  <c r="D88" i="1"/>
  <c r="D87" i="1"/>
  <c r="D86" i="1"/>
  <c r="D13" i="1"/>
  <c r="D10" i="1"/>
  <c r="D8" i="1"/>
  <c r="D7" i="1"/>
  <c r="D6" i="1"/>
  <c r="D14" i="5" l="1"/>
  <c r="F14" i="5" s="1"/>
  <c r="J168" i="1"/>
  <c r="D95" i="1"/>
  <c r="D97" i="1" s="1"/>
  <c r="F95" i="1"/>
  <c r="F97" i="1" s="1"/>
  <c r="E95" i="1"/>
  <c r="E97" i="1" s="1"/>
  <c r="C21" i="6"/>
  <c r="J95" i="1"/>
  <c r="I95" i="1"/>
  <c r="I97" i="1" s="1"/>
  <c r="H95" i="1"/>
  <c r="H97" i="1" s="1"/>
  <c r="G95" i="1"/>
  <c r="G97" i="1" s="1"/>
  <c r="I109" i="1"/>
  <c r="H26" i="6" s="1"/>
  <c r="H109" i="1"/>
  <c r="G26" i="6" s="1"/>
  <c r="G109" i="1"/>
  <c r="F26" i="6" s="1"/>
  <c r="F109" i="1"/>
  <c r="J109" i="1"/>
  <c r="I26" i="6" s="1"/>
  <c r="E109" i="1"/>
  <c r="D26" i="6" s="1"/>
  <c r="C26" i="6"/>
  <c r="C13" i="6"/>
  <c r="D155" i="1"/>
  <c r="D156" i="1" s="1"/>
  <c r="H125" i="1"/>
  <c r="I125" i="1"/>
  <c r="G125" i="1"/>
  <c r="F125" i="1"/>
  <c r="J125" i="1"/>
  <c r="K126" i="1"/>
  <c r="D125" i="1"/>
  <c r="D163" i="1" s="1"/>
  <c r="E125" i="1"/>
  <c r="F168" i="1"/>
  <c r="F169" i="1" s="1"/>
  <c r="E168" i="1"/>
  <c r="E12" i="1"/>
  <c r="H122" i="1"/>
  <c r="I122" i="1"/>
  <c r="I168" i="1"/>
  <c r="H168" i="1"/>
  <c r="G168" i="1"/>
  <c r="F12" i="1"/>
  <c r="H12" i="1"/>
  <c r="G12" i="1"/>
  <c r="F122" i="1"/>
  <c r="D12" i="1"/>
  <c r="G122" i="1"/>
  <c r="E122" i="1"/>
  <c r="J12" i="1"/>
  <c r="D122" i="1"/>
  <c r="I12" i="1"/>
  <c r="L50" i="1" l="1"/>
  <c r="L49" i="1"/>
  <c r="J97" i="1"/>
  <c r="D24" i="5"/>
  <c r="D26" i="5" s="1"/>
  <c r="G133" i="1"/>
  <c r="G134" i="1" s="1"/>
  <c r="K163" i="1"/>
  <c r="K165" i="1" s="1"/>
  <c r="J163" i="1"/>
  <c r="E26" i="6"/>
  <c r="P26" i="6" s="1"/>
  <c r="H133" i="1"/>
  <c r="H134" i="1" s="1"/>
  <c r="I133" i="1"/>
  <c r="I134" i="1" s="1"/>
  <c r="I14" i="1"/>
  <c r="I35" i="1" s="1"/>
  <c r="H12" i="6"/>
  <c r="H16" i="6" s="1"/>
  <c r="F14" i="1"/>
  <c r="F35" i="1" s="1"/>
  <c r="E12" i="6"/>
  <c r="E16" i="6" s="1"/>
  <c r="G14" i="1"/>
  <c r="G35" i="1" s="1"/>
  <c r="F12" i="6"/>
  <c r="F16" i="6" s="1"/>
  <c r="H14" i="1"/>
  <c r="H35" i="1" s="1"/>
  <c r="G12" i="6"/>
  <c r="G16" i="6" s="1"/>
  <c r="J14" i="1"/>
  <c r="J35" i="1" s="1"/>
  <c r="I12" i="6"/>
  <c r="I16" i="6" s="1"/>
  <c r="E14" i="1"/>
  <c r="E35" i="1" s="1"/>
  <c r="D12" i="6"/>
  <c r="D16" i="6" s="1"/>
  <c r="H163" i="1"/>
  <c r="D14" i="1"/>
  <c r="C12" i="6"/>
  <c r="C16" i="6" s="1"/>
  <c r="J133" i="1"/>
  <c r="J134" i="1" s="1"/>
  <c r="E133" i="1"/>
  <c r="E134" i="1" s="1"/>
  <c r="E163" i="1"/>
  <c r="F163" i="1"/>
  <c r="I163" i="1"/>
  <c r="G163" i="1"/>
  <c r="F133" i="1"/>
  <c r="F134" i="1" s="1"/>
  <c r="D133" i="1"/>
  <c r="D175" i="1"/>
  <c r="E169" i="1"/>
  <c r="D134" i="1" l="1"/>
  <c r="D158" i="1" s="1"/>
  <c r="H66" i="1"/>
  <c r="H99" i="1" s="1"/>
  <c r="H110" i="1" s="1"/>
  <c r="H162" i="1" s="1"/>
  <c r="H165" i="1" s="1"/>
  <c r="I51" i="1"/>
  <c r="D66" i="1"/>
  <c r="D99" i="1" s="1"/>
  <c r="D110" i="1" s="1"/>
  <c r="D162" i="1" s="1"/>
  <c r="D165" i="1" s="1"/>
  <c r="D171" i="1" s="1"/>
  <c r="E51" i="1"/>
  <c r="E66" i="1"/>
  <c r="F66" i="1"/>
  <c r="G51" i="1"/>
  <c r="G66" i="1"/>
  <c r="G99" i="1" s="1"/>
  <c r="G110" i="1" s="1"/>
  <c r="G162" i="1" s="1"/>
  <c r="G165" i="1" s="1"/>
  <c r="J66" i="1"/>
  <c r="J99" i="1" s="1"/>
  <c r="J110" i="1" s="1"/>
  <c r="J162" i="1" s="1"/>
  <c r="J165" i="1" s="1"/>
  <c r="K51" i="1"/>
  <c r="I66" i="1"/>
  <c r="I99" i="1" s="1"/>
  <c r="I110" i="1" s="1"/>
  <c r="I162" i="1" s="1"/>
  <c r="I165" i="1" s="1"/>
  <c r="J51" i="1"/>
  <c r="J126" i="1"/>
  <c r="I126" i="1"/>
  <c r="F126" i="1"/>
  <c r="G126" i="1"/>
  <c r="F17" i="6"/>
  <c r="D17" i="6"/>
  <c r="E17" i="6"/>
  <c r="E126" i="1"/>
  <c r="I17" i="6"/>
  <c r="H17" i="6"/>
  <c r="C23" i="6"/>
  <c r="C24" i="6" s="1"/>
  <c r="C17" i="6"/>
  <c r="H126" i="1"/>
  <c r="G17" i="6"/>
  <c r="F51" i="1" l="1"/>
  <c r="Q56" i="1"/>
  <c r="H51" i="1"/>
  <c r="Q57" i="1"/>
  <c r="E99" i="1"/>
  <c r="E110" i="1" s="1"/>
  <c r="E154" i="1" s="1"/>
  <c r="E155" i="1" s="1"/>
  <c r="F99" i="1"/>
  <c r="F110" i="1" s="1"/>
  <c r="F162" i="1" s="1"/>
  <c r="F165" i="1" s="1"/>
  <c r="F171" i="1" s="1"/>
  <c r="C27" i="6"/>
  <c r="C28" i="6" s="1"/>
  <c r="E156" i="1" l="1"/>
  <c r="E158" i="1" s="1"/>
  <c r="E157" i="1"/>
  <c r="D19" i="6"/>
  <c r="D19" i="15"/>
  <c r="E162" i="1"/>
  <c r="E165" i="1" s="1"/>
  <c r="E171" i="1" s="1"/>
  <c r="E174" i="1" s="1"/>
  <c r="F154" i="1"/>
  <c r="E175" i="1" l="1"/>
  <c r="D30" i="6"/>
  <c r="D31" i="6" s="1"/>
  <c r="E19" i="15"/>
  <c r="E19" i="6"/>
  <c r="E21" i="6" s="1"/>
  <c r="E23" i="6" s="1"/>
  <c r="F173" i="1"/>
  <c r="F174" i="1" s="1"/>
  <c r="E30" i="6" s="1"/>
  <c r="G154" i="1"/>
  <c r="F155" i="1"/>
  <c r="D21" i="6"/>
  <c r="D23" i="6" s="1"/>
  <c r="G169" i="1"/>
  <c r="G171" i="1" s="1"/>
  <c r="F156" i="1" l="1"/>
  <c r="F158" i="1" s="1"/>
  <c r="F157" i="1"/>
  <c r="E31" i="6"/>
  <c r="F19" i="6"/>
  <c r="F19" i="15"/>
  <c r="F175" i="1"/>
  <c r="G173" i="1"/>
  <c r="G174" i="1" s="1"/>
  <c r="F30" i="6" s="1"/>
  <c r="F31" i="6" s="1"/>
  <c r="G155" i="1"/>
  <c r="G157" i="1" s="1"/>
  <c r="H154" i="1"/>
  <c r="D27" i="6"/>
  <c r="D28" i="6" s="1"/>
  <c r="D24" i="6"/>
  <c r="E24" i="6"/>
  <c r="E27" i="6"/>
  <c r="E28" i="6" s="1"/>
  <c r="H169" i="1"/>
  <c r="H171" i="1" s="1"/>
  <c r="G156" i="1" l="1"/>
  <c r="G158" i="1" s="1"/>
  <c r="G19" i="6"/>
  <c r="G21" i="6" s="1"/>
  <c r="G23" i="6" s="1"/>
  <c r="G19" i="15"/>
  <c r="I154" i="1"/>
  <c r="H155" i="1"/>
  <c r="H157" i="1" s="1"/>
  <c r="H173" i="1"/>
  <c r="H174" i="1" s="1"/>
  <c r="G30" i="6" s="1"/>
  <c r="G31" i="6" s="1"/>
  <c r="G175" i="1"/>
  <c r="F21" i="6"/>
  <c r="F23" i="6" s="1"/>
  <c r="I169" i="1"/>
  <c r="I171" i="1" s="1"/>
  <c r="H156" i="1" l="1"/>
  <c r="H158" i="1" s="1"/>
  <c r="H19" i="15"/>
  <c r="H19" i="6"/>
  <c r="H21" i="6" s="1"/>
  <c r="H23" i="6" s="1"/>
  <c r="J154" i="1"/>
  <c r="I155" i="1"/>
  <c r="F24" i="6"/>
  <c r="F27" i="6"/>
  <c r="F28" i="6" s="1"/>
  <c r="G24" i="6"/>
  <c r="G27" i="6"/>
  <c r="G28" i="6" s="1"/>
  <c r="H175" i="1"/>
  <c r="I173" i="1"/>
  <c r="I174" i="1" s="1"/>
  <c r="H30" i="6" s="1"/>
  <c r="H31" i="6" s="1"/>
  <c r="J169" i="1"/>
  <c r="J171" i="1" s="1"/>
  <c r="I156" i="1" l="1"/>
  <c r="I158" i="1" s="1"/>
  <c r="I157" i="1"/>
  <c r="I19" i="6"/>
  <c r="I21" i="6" s="1"/>
  <c r="I23" i="6" s="1"/>
  <c r="I19" i="15"/>
  <c r="K154" i="1"/>
  <c r="J155" i="1"/>
  <c r="H24" i="6"/>
  <c r="H27" i="6"/>
  <c r="H28" i="6" s="1"/>
  <c r="I175" i="1"/>
  <c r="J173" i="1"/>
  <c r="J174" i="1" s="1"/>
  <c r="I30" i="6" s="1"/>
  <c r="I31" i="6" s="1"/>
  <c r="K169" i="1"/>
  <c r="K171" i="1" s="1"/>
  <c r="J156" i="1" l="1"/>
  <c r="J158" i="1" s="1"/>
  <c r="J157" i="1"/>
  <c r="J19" i="6"/>
  <c r="J21" i="6" s="1"/>
  <c r="J23" i="6" s="1"/>
  <c r="J19" i="15"/>
  <c r="K155" i="1"/>
  <c r="L154" i="1"/>
  <c r="I24" i="6"/>
  <c r="I27" i="6"/>
  <c r="I28" i="6" s="1"/>
  <c r="J175" i="1"/>
  <c r="K173" i="1"/>
  <c r="K174" i="1" s="1"/>
  <c r="J30" i="6" s="1"/>
  <c r="J31" i="6" s="1"/>
  <c r="L169" i="1"/>
  <c r="L171" i="1" s="1"/>
  <c r="K156" i="1" l="1"/>
  <c r="K158" i="1" s="1"/>
  <c r="K157" i="1"/>
  <c r="K19" i="15"/>
  <c r="K19" i="6"/>
  <c r="K21" i="6" s="1"/>
  <c r="K23" i="6" s="1"/>
  <c r="J27" i="6"/>
  <c r="J28" i="6" s="1"/>
  <c r="J24" i="6"/>
  <c r="L155" i="1"/>
  <c r="M154" i="1"/>
  <c r="M155" i="1" s="1"/>
  <c r="M156" i="1" s="1"/>
  <c r="M158" i="1" s="1"/>
  <c r="L173" i="1"/>
  <c r="L174" i="1" s="1"/>
  <c r="K30" i="6" s="1"/>
  <c r="K31" i="6" s="1"/>
  <c r="K175" i="1"/>
  <c r="L156" i="1" l="1"/>
  <c r="L158" i="1" s="1"/>
  <c r="M157" i="1"/>
  <c r="L157" i="1"/>
  <c r="K27" i="6"/>
  <c r="K28" i="6" s="1"/>
  <c r="K24" i="6"/>
  <c r="L19" i="6"/>
  <c r="L21" i="6" s="1"/>
  <c r="L23" i="6" s="1"/>
  <c r="L19" i="15"/>
  <c r="M173" i="1"/>
  <c r="M174" i="1" s="1"/>
  <c r="L30" i="6" s="1"/>
  <c r="L31" i="6" s="1"/>
  <c r="L175" i="1"/>
  <c r="M19" i="6" l="1"/>
  <c r="M21" i="6" s="1"/>
  <c r="M19" i="15"/>
  <c r="L27" i="6"/>
  <c r="L28" i="6" s="1"/>
  <c r="L24" i="6"/>
  <c r="N173" i="1"/>
  <c r="M175" i="1"/>
  <c r="D23" i="25" l="1"/>
  <c r="D24" i="25" s="1"/>
  <c r="C23" i="20" l="1"/>
  <c r="E23" i="25"/>
  <c r="E24" i="25" s="1"/>
  <c r="F23" i="25" l="1"/>
  <c r="F24" i="25" s="1"/>
  <c r="G23" i="25" l="1"/>
  <c r="G24" i="25" s="1"/>
  <c r="AY89" i="1" l="1"/>
  <c r="AZ89" i="1" l="1"/>
  <c r="BA89" i="1" l="1"/>
  <c r="BB89" i="1" l="1"/>
  <c r="BC89" i="1" l="1"/>
  <c r="BD89" i="1" l="1"/>
  <c r="BE89" i="1" l="1"/>
  <c r="BF89" i="1" l="1"/>
  <c r="BG89" i="1" l="1"/>
  <c r="BH89" i="1" l="1"/>
  <c r="BI89" i="1" l="1"/>
  <c r="BJ89" i="1" l="1"/>
  <c r="BK89" i="1" l="1"/>
  <c r="BL89" i="1" l="1"/>
  <c r="BM89" i="1" l="1"/>
  <c r="BN89" i="1" l="1"/>
  <c r="BO89" i="1" l="1"/>
  <c r="BP89" i="1" l="1"/>
  <c r="BQ89" i="1" l="1"/>
  <c r="BR89" i="1" l="1"/>
  <c r="BS89" i="1" l="1"/>
  <c r="BT89" i="1" l="1"/>
  <c r="BU89" i="1" l="1"/>
  <c r="BV89" i="1" l="1"/>
  <c r="BW89" i="1" l="1"/>
  <c r="BX89" i="1" l="1"/>
  <c r="BY89" i="1" l="1"/>
  <c r="BZ89" i="1" l="1"/>
  <c r="CA89" i="1" l="1"/>
  <c r="CB89" i="1" l="1"/>
  <c r="CC89" i="1" l="1"/>
  <c r="CD89" i="1" l="1"/>
  <c r="CE89" i="1" l="1"/>
  <c r="CF89" i="1" l="1"/>
  <c r="CG89" i="1" l="1"/>
  <c r="CH89" i="1" l="1"/>
  <c r="CI89" i="1" l="1"/>
  <c r="CJ89" i="1" l="1"/>
  <c r="CK89" i="1" l="1"/>
  <c r="CL89" i="1" l="1"/>
  <c r="CM89" i="1" l="1"/>
  <c r="CN89" i="1" l="1"/>
  <c r="CO89" i="1" l="1"/>
  <c r="CP89" i="1" l="1"/>
  <c r="CQ89" i="1" l="1"/>
  <c r="CR89" i="1" l="1"/>
  <c r="CS89" i="1" l="1"/>
  <c r="CT89" i="1" l="1"/>
  <c r="CU89" i="1" l="1"/>
  <c r="CV89" i="1" l="1"/>
  <c r="CW89" i="1" l="1"/>
  <c r="CX89" i="1" l="1"/>
  <c r="CY89" i="1" l="1"/>
  <c r="CZ89" i="1" l="1"/>
  <c r="DA89" i="1" l="1"/>
  <c r="DB89" i="1" l="1"/>
  <c r="DC89" i="1" l="1"/>
  <c r="DD89" i="1" l="1"/>
  <c r="DE89" i="1" l="1"/>
  <c r="DF89" i="1" l="1"/>
  <c r="DG89" i="1" l="1"/>
  <c r="N14" i="1" l="1"/>
  <c r="N44" i="1" s="1"/>
  <c r="M12" i="6"/>
  <c r="N35" i="1" l="1"/>
  <c r="N126" i="1"/>
  <c r="R55" i="1"/>
  <c r="M14" i="6"/>
  <c r="M16" i="6" s="1"/>
  <c r="N66" i="1"/>
  <c r="N99" i="1" s="1"/>
  <c r="N45" i="1" l="1"/>
  <c r="N110" i="1"/>
  <c r="N162" i="1" s="1"/>
  <c r="N46" i="1"/>
  <c r="N51" i="1"/>
  <c r="N163" i="1"/>
  <c r="M23" i="6"/>
  <c r="M17" i="6"/>
  <c r="N47" i="1" l="1"/>
  <c r="N49" i="1" s="1"/>
  <c r="N50" i="1"/>
  <c r="N154" i="1"/>
  <c r="N155" i="1" s="1"/>
  <c r="M24" i="6"/>
  <c r="M27" i="6"/>
  <c r="M28" i="6" s="1"/>
  <c r="N165" i="1"/>
  <c r="N171" i="1" s="1"/>
  <c r="N156" i="1" l="1"/>
  <c r="N157" i="1"/>
  <c r="N174" i="1"/>
  <c r="M30" i="6" s="1"/>
  <c r="M31" i="6" s="1"/>
  <c r="N175" i="1" l="1"/>
  <c r="O173" i="1"/>
  <c r="N133" i="1"/>
  <c r="N134" i="1" s="1"/>
  <c r="N158" i="1" s="1"/>
  <c r="D13" i="5" l="1"/>
  <c r="D15" i="5" s="1"/>
  <c r="N12" i="6"/>
  <c r="O14" i="1"/>
  <c r="O44" i="1" s="1"/>
  <c r="D20" i="5" l="1"/>
  <c r="D21" i="5" s="1"/>
  <c r="O35" i="1"/>
  <c r="R56" i="1"/>
  <c r="O66" i="1"/>
  <c r="P12" i="6"/>
  <c r="P14" i="6" s="1"/>
  <c r="P16" i="6" s="1"/>
  <c r="N14" i="6"/>
  <c r="N16" i="6" s="1"/>
  <c r="D28" i="5" l="1"/>
  <c r="O45" i="1"/>
  <c r="R54" i="1"/>
  <c r="R58" i="1" s="1"/>
  <c r="O51" i="1"/>
  <c r="O99" i="1"/>
  <c r="P17" i="6"/>
  <c r="N17" i="6"/>
  <c r="D32" i="5" l="1"/>
  <c r="D29" i="5"/>
  <c r="O110" i="1"/>
  <c r="O162" i="1" s="1"/>
  <c r="O46" i="1"/>
  <c r="R59" i="1"/>
  <c r="D33" i="5" l="1"/>
  <c r="D34" i="5"/>
  <c r="O154" i="1"/>
  <c r="O155" i="1" s="1"/>
  <c r="O47" i="1"/>
  <c r="O49" i="1" s="1"/>
  <c r="P47" i="1"/>
  <c r="P49" i="1" s="1"/>
  <c r="O50" i="1"/>
  <c r="O156" i="1" l="1"/>
  <c r="P157" i="1"/>
  <c r="O157" i="1"/>
  <c r="O126" i="1"/>
  <c r="O125" i="1"/>
  <c r="O133" i="1" s="1"/>
  <c r="O134" i="1" s="1"/>
  <c r="O158" i="1" l="1"/>
  <c r="O163" i="1"/>
  <c r="O165" i="1" s="1"/>
  <c r="O171" i="1" s="1"/>
  <c r="O174" i="1" l="1"/>
  <c r="N30" i="6" s="1"/>
  <c r="N31" i="6" s="1"/>
  <c r="P173" i="1" l="1"/>
  <c r="O175" i="1"/>
  <c r="C12" i="15" l="1"/>
  <c r="C14" i="15" l="1"/>
  <c r="C16" i="15" s="1"/>
  <c r="C20" i="15"/>
  <c r="C22" i="15" l="1"/>
  <c r="C17" i="15"/>
  <c r="P156" i="1"/>
  <c r="C26" i="15" l="1"/>
  <c r="C27" i="15" s="1"/>
  <c r="C23" i="15"/>
  <c r="D20" i="15" l="1"/>
  <c r="P126" i="1" l="1"/>
  <c r="P125" i="1"/>
  <c r="P133" i="1" l="1"/>
  <c r="P134" i="1" s="1"/>
  <c r="P158" i="1" s="1"/>
  <c r="P163" i="1"/>
  <c r="P165" i="1" s="1"/>
  <c r="Q163" i="1"/>
  <c r="P171" i="1" l="1"/>
  <c r="Q126" i="1"/>
  <c r="D12" i="15"/>
  <c r="Q66" i="1"/>
  <c r="Q99" i="1" l="1"/>
  <c r="Q46" i="1" s="1"/>
  <c r="Q47" i="1" s="1"/>
  <c r="Q49" i="1" s="1"/>
  <c r="Q67" i="1"/>
  <c r="P174" i="1"/>
  <c r="C30" i="15"/>
  <c r="E12" i="15"/>
  <c r="E14" i="15" s="1"/>
  <c r="E16" i="15" s="1"/>
  <c r="D14" i="15"/>
  <c r="D16" i="15" s="1"/>
  <c r="Q110" i="1" l="1"/>
  <c r="Q154" i="1" s="1"/>
  <c r="R154" i="1" s="1"/>
  <c r="R155" i="1" s="1"/>
  <c r="Q100" i="1"/>
  <c r="Q50" i="1"/>
  <c r="R47" i="1"/>
  <c r="R49" i="1" s="1"/>
  <c r="S47" i="1"/>
  <c r="S49" i="1" s="1"/>
  <c r="P175" i="1"/>
  <c r="C29" i="15"/>
  <c r="Q173" i="1"/>
  <c r="E17" i="15"/>
  <c r="D17" i="15"/>
  <c r="D22" i="15"/>
  <c r="R163" i="1"/>
  <c r="Q155" i="1" l="1"/>
  <c r="Q156" i="1" s="1"/>
  <c r="Q158" i="1" s="1"/>
  <c r="Q162" i="1"/>
  <c r="Q165" i="1" s="1"/>
  <c r="Q171" i="1" s="1"/>
  <c r="Q174" i="1" s="1"/>
  <c r="S154" i="1"/>
  <c r="S155" i="1" s="1"/>
  <c r="S156" i="1" s="1"/>
  <c r="S158" i="1" s="1"/>
  <c r="R156" i="1"/>
  <c r="R158" i="1" s="1"/>
  <c r="R162" i="1"/>
  <c r="R165" i="1" s="1"/>
  <c r="R171" i="1" s="1"/>
  <c r="F20" i="15"/>
  <c r="D26" i="15"/>
  <c r="D27" i="15" s="1"/>
  <c r="D23" i="15"/>
  <c r="E20" i="15"/>
  <c r="E22" i="15" s="1"/>
  <c r="D30" i="15" l="1"/>
  <c r="T154" i="1"/>
  <c r="U154" i="1" s="1"/>
  <c r="U155" i="1" s="1"/>
  <c r="S157" i="1"/>
  <c r="Q157" i="1"/>
  <c r="R157" i="1"/>
  <c r="Q175" i="1"/>
  <c r="R173" i="1"/>
  <c r="R174" i="1" s="1"/>
  <c r="D29" i="15"/>
  <c r="G20" i="15"/>
  <c r="E23" i="15"/>
  <c r="E26" i="15"/>
  <c r="E27" i="15" s="1"/>
  <c r="E30" i="15"/>
  <c r="V154" i="1" l="1"/>
  <c r="W154" i="1" s="1"/>
  <c r="X154" i="1" s="1"/>
  <c r="Y154" i="1" s="1"/>
  <c r="Y155" i="1" s="1"/>
  <c r="Y156" i="1" s="1"/>
  <c r="Y158" i="1" s="1"/>
  <c r="T155" i="1"/>
  <c r="T156" i="1" s="1"/>
  <c r="T158" i="1" s="1"/>
  <c r="U156" i="1"/>
  <c r="U158" i="1" s="1"/>
  <c r="R175" i="1"/>
  <c r="S173" i="1"/>
  <c r="E29" i="15"/>
  <c r="H20" i="15"/>
  <c r="W155" i="1" l="1"/>
  <c r="W156" i="1" s="1"/>
  <c r="W158" i="1" s="1"/>
  <c r="V155" i="1"/>
  <c r="V156" i="1" s="1"/>
  <c r="V158" i="1" s="1"/>
  <c r="T157" i="1"/>
  <c r="U157" i="1"/>
  <c r="X155" i="1"/>
  <c r="I20" i="15"/>
  <c r="X157" i="1" l="1"/>
  <c r="V157" i="1"/>
  <c r="W157" i="1"/>
  <c r="X156" i="1"/>
  <c r="X158" i="1" s="1"/>
  <c r="Y157" i="1"/>
  <c r="J20" i="15"/>
  <c r="K20" i="15" l="1"/>
  <c r="L20" i="15" l="1"/>
  <c r="M20" i="15" l="1"/>
  <c r="E25" i="5" l="1"/>
  <c r="F25" i="5" s="1"/>
  <c r="G25" i="5"/>
  <c r="I25" i="5"/>
  <c r="K25" i="5"/>
  <c r="L25" i="5"/>
  <c r="M25" i="5"/>
  <c r="N25" i="5"/>
  <c r="O25" i="5"/>
  <c r="S163" i="1"/>
  <c r="F12" i="15"/>
  <c r="F14" i="15" s="1"/>
  <c r="F16" i="15" s="1"/>
  <c r="J25" i="5" l="1"/>
  <c r="H25" i="5"/>
  <c r="S162" i="1"/>
  <c r="S165" i="1" s="1"/>
  <c r="S171" i="1" s="1"/>
  <c r="G12" i="15"/>
  <c r="G14" i="15" s="1"/>
  <c r="G16" i="15" s="1"/>
  <c r="F17" i="15"/>
  <c r="F22" i="15"/>
  <c r="I12" i="15" l="1"/>
  <c r="I14" i="15" s="1"/>
  <c r="I16" i="15" s="1"/>
  <c r="G17" i="15"/>
  <c r="G22" i="15"/>
  <c r="S174" i="1"/>
  <c r="F30" i="15"/>
  <c r="F26" i="15"/>
  <c r="F27" i="15" s="1"/>
  <c r="F23" i="15"/>
  <c r="T162" i="1" l="1"/>
  <c r="G23" i="15"/>
  <c r="G26" i="15"/>
  <c r="G27" i="15" s="1"/>
  <c r="F29" i="15"/>
  <c r="S175" i="1"/>
  <c r="T173" i="1"/>
  <c r="H12" i="15"/>
  <c r="I17" i="15"/>
  <c r="I22" i="15"/>
  <c r="T163" i="1"/>
  <c r="I26" i="15" l="1"/>
  <c r="I27" i="15" s="1"/>
  <c r="I23" i="15"/>
  <c r="V162" i="1"/>
  <c r="H14" i="15"/>
  <c r="H16" i="15" s="1"/>
  <c r="V163" i="1"/>
  <c r="T165" i="1"/>
  <c r="T171" i="1" s="1"/>
  <c r="T174" i="1" l="1"/>
  <c r="V165" i="1"/>
  <c r="V171" i="1" s="1"/>
  <c r="U162" i="1"/>
  <c r="U163" i="1"/>
  <c r="G30" i="15"/>
  <c r="H17" i="15"/>
  <c r="H22" i="15"/>
  <c r="U173" i="1" l="1"/>
  <c r="G29" i="15"/>
  <c r="I30" i="15"/>
  <c r="H26" i="15"/>
  <c r="H27" i="15" s="1"/>
  <c r="H23" i="15"/>
  <c r="U165" i="1"/>
  <c r="U171" i="1" s="1"/>
  <c r="T175" i="1"/>
  <c r="H30" i="15" l="1"/>
  <c r="U174" i="1"/>
  <c r="H29" i="15" l="1"/>
  <c r="U175" i="1"/>
  <c r="V173" i="1"/>
  <c r="V174" i="1" s="1"/>
  <c r="W173" i="1" s="1"/>
  <c r="W174" i="1" s="1"/>
  <c r="W175" i="1" s="1"/>
  <c r="V175" i="1" l="1"/>
  <c r="I29" i="15"/>
  <c r="G54" i="1" l="1"/>
  <c r="G59" i="1" s="1"/>
  <c r="G58" i="1" l="1"/>
  <c r="J12" i="15"/>
  <c r="K12" i="15" l="1"/>
  <c r="K14" i="15" s="1"/>
  <c r="K16" i="15" s="1"/>
  <c r="J14" i="15"/>
  <c r="J16" i="15" s="1"/>
  <c r="X163" i="1" l="1"/>
  <c r="K22" i="15"/>
  <c r="K17" i="15"/>
  <c r="J17" i="15"/>
  <c r="J22" i="15"/>
  <c r="X46" i="1" l="1"/>
  <c r="X162" i="1"/>
  <c r="X165" i="1" s="1"/>
  <c r="X171" i="1" s="1"/>
  <c r="K26" i="15"/>
  <c r="K27" i="15" s="1"/>
  <c r="K23" i="15"/>
  <c r="J23" i="15"/>
  <c r="J26" i="15"/>
  <c r="J27" i="15" s="1"/>
  <c r="J30" i="15"/>
  <c r="Y47" i="1" l="1"/>
  <c r="Y49" i="1" s="1"/>
  <c r="X47" i="1"/>
  <c r="X49" i="1" s="1"/>
  <c r="X50" i="1"/>
  <c r="K30" i="15"/>
  <c r="J29" i="15"/>
  <c r="X173" i="1"/>
  <c r="X174" i="1" s="1"/>
  <c r="X175" i="1" l="1"/>
  <c r="K29" i="15"/>
  <c r="Y173" i="1"/>
  <c r="Q54" i="1" l="1"/>
  <c r="Q59" i="1" s="1"/>
  <c r="Q58" i="1" l="1"/>
  <c r="L12" i="15" l="1"/>
  <c r="L14" i="15" l="1"/>
  <c r="L16" i="15" s="1"/>
  <c r="Y163" i="1" l="1"/>
  <c r="L22" i="15"/>
  <c r="L17" i="15"/>
  <c r="Y162" i="1" l="1"/>
  <c r="Y165" i="1" s="1"/>
  <c r="Y171" i="1" s="1"/>
  <c r="L26" i="15"/>
  <c r="L27" i="15" s="1"/>
  <c r="L23" i="15"/>
  <c r="L30" i="15" l="1"/>
  <c r="Y174" i="1"/>
  <c r="Y175" i="1" s="1"/>
  <c r="N12" i="15"/>
  <c r="L29" i="15" l="1"/>
  <c r="Z173" i="1"/>
  <c r="N14" i="15"/>
  <c r="N16" i="15" s="1"/>
  <c r="N17" i="15" l="1"/>
  <c r="H54" i="1" l="1"/>
  <c r="H58" i="1" s="1"/>
  <c r="M54" i="1" l="1"/>
  <c r="M58" i="1" s="1"/>
  <c r="L54" i="1"/>
  <c r="L58" i="1" s="1"/>
  <c r="N54" i="1"/>
  <c r="N58" i="1" s="1"/>
  <c r="J54" i="1"/>
  <c r="J58" i="1" s="1"/>
  <c r="I54" i="1"/>
  <c r="I58" i="1" s="1"/>
  <c r="K54" i="1"/>
  <c r="K58" i="1" s="1"/>
  <c r="H59" i="1"/>
  <c r="L59" i="1" l="1"/>
  <c r="M59" i="1"/>
  <c r="I59" i="1"/>
  <c r="J59" i="1"/>
  <c r="K59" i="1"/>
  <c r="N59" i="1"/>
  <c r="Z125" i="1" l="1"/>
  <c r="AA163" i="1" s="1"/>
  <c r="AA165" i="1" s="1"/>
  <c r="AA171" i="1" s="1"/>
  <c r="Z163" i="1" l="1"/>
  <c r="E13" i="5"/>
  <c r="M12" i="15"/>
  <c r="P12" i="15" s="1"/>
  <c r="P14" i="15" s="1"/>
  <c r="P16" i="15" s="1"/>
  <c r="Z14" i="1"/>
  <c r="Z44" i="1" s="1"/>
  <c r="E15" i="5" l="1"/>
  <c r="E17" i="5" s="1"/>
  <c r="F17" i="5" s="1"/>
  <c r="F13" i="5"/>
  <c r="Z35" i="1"/>
  <c r="Z126" i="1"/>
  <c r="M14" i="15"/>
  <c r="M16" i="15" s="1"/>
  <c r="M22" i="15" s="1"/>
  <c r="M26" i="15" s="1"/>
  <c r="M27" i="15" s="1"/>
  <c r="P17" i="15"/>
  <c r="Z66" i="1"/>
  <c r="Z67" i="1" s="1"/>
  <c r="E20" i="5" l="1"/>
  <c r="F15" i="5"/>
  <c r="Z99" i="1"/>
  <c r="Z100" i="1" s="1"/>
  <c r="Z45" i="1"/>
  <c r="M17" i="15"/>
  <c r="M23" i="15"/>
  <c r="E21" i="5" l="1"/>
  <c r="F21" i="5" s="1"/>
  <c r="F20" i="5"/>
  <c r="Z110" i="1"/>
  <c r="Z162" i="1" s="1"/>
  <c r="Z165" i="1" s="1"/>
  <c r="Z171" i="1" s="1"/>
  <c r="Z46" i="1"/>
  <c r="Z50" i="1" s="1"/>
  <c r="Z154" i="1" l="1"/>
  <c r="AA154" i="1" s="1"/>
  <c r="AA155" i="1" s="1"/>
  <c r="AA156" i="1" s="1"/>
  <c r="Z47" i="1"/>
  <c r="Z49" i="1" s="1"/>
  <c r="M30" i="15"/>
  <c r="Z174" i="1"/>
  <c r="AA173" i="1" s="1"/>
  <c r="AA174" i="1" s="1"/>
  <c r="AB173" i="1" l="1"/>
  <c r="E36" i="5"/>
  <c r="Z155" i="1"/>
  <c r="AA133" i="1"/>
  <c r="AA134" i="1" s="1"/>
  <c r="AA158" i="1" s="1"/>
  <c r="AA175" i="1"/>
  <c r="Z133" i="1"/>
  <c r="Z134" i="1" s="1"/>
  <c r="M29" i="15"/>
  <c r="Z175" i="1"/>
  <c r="Z156" i="1" l="1"/>
  <c r="Z158" i="1" s="1"/>
  <c r="AA157" i="1"/>
  <c r="Z157" i="1"/>
  <c r="S57" i="1"/>
  <c r="S55" i="1" l="1"/>
  <c r="S56" i="1" l="1"/>
  <c r="S54" i="1" l="1"/>
  <c r="S58" i="1" s="1"/>
  <c r="S59" i="1" l="1"/>
  <c r="T57" i="1" l="1"/>
  <c r="AY51" i="1" l="1"/>
  <c r="BA51" i="1" l="1"/>
  <c r="BB51" i="1" l="1"/>
  <c r="BC51" i="1" l="1"/>
  <c r="U57" i="1"/>
  <c r="BD51" i="1" l="1"/>
  <c r="BE51" i="1" l="1"/>
  <c r="BF51" i="1" l="1"/>
  <c r="BG51" i="1" l="1"/>
  <c r="BH51" i="1" l="1"/>
  <c r="BI51" i="1" l="1"/>
  <c r="BK51" i="1" l="1"/>
  <c r="BM51" i="1" l="1"/>
  <c r="BN51" i="1" l="1"/>
  <c r="BO51" i="1" l="1"/>
  <c r="V57" i="1"/>
  <c r="BP51" i="1" l="1"/>
  <c r="BQ51" i="1" l="1"/>
  <c r="BR51" i="1" l="1"/>
  <c r="BS51" i="1" l="1"/>
  <c r="BT51" i="1" l="1"/>
  <c r="BU51" i="1" l="1"/>
  <c r="BW51" i="1" l="1"/>
  <c r="BY51" i="1" l="1"/>
  <c r="BZ51" i="1" l="1"/>
  <c r="CA51" i="1" l="1"/>
  <c r="W57" i="1"/>
  <c r="Y57" i="1"/>
  <c r="X57" i="1"/>
  <c r="CB51" i="1" l="1"/>
  <c r="CC51" i="1" l="1"/>
  <c r="CD51" i="1" l="1"/>
  <c r="CE51" i="1" l="1"/>
  <c r="CF51" i="1" l="1"/>
  <c r="CG51" i="1" l="1"/>
  <c r="CI51" i="1" l="1"/>
  <c r="CK51" i="1" l="1"/>
  <c r="CL51" i="1" l="1"/>
  <c r="CM51" i="1" l="1"/>
  <c r="Z57" i="1"/>
  <c r="CN51" i="1" l="1"/>
  <c r="CO51" i="1" l="1"/>
  <c r="CP51" i="1" l="1"/>
  <c r="CQ51" i="1" l="1"/>
  <c r="CR51" i="1" l="1"/>
  <c r="CS51" i="1" l="1"/>
  <c r="CU51" i="1" l="1"/>
  <c r="CW51" i="1" l="1"/>
  <c r="CX51" i="1" l="1"/>
  <c r="CY51" i="1" l="1"/>
  <c r="CZ51" i="1" l="1"/>
  <c r="DA51" i="1" l="1"/>
  <c r="DB51" i="1" l="1"/>
  <c r="DC51" i="1" l="1"/>
  <c r="DD51" i="1" l="1"/>
  <c r="DE51" i="1" l="1"/>
  <c r="DG51" i="1" l="1"/>
  <c r="E15" i="25" l="1"/>
  <c r="AC163" i="1" l="1"/>
  <c r="D14" i="25"/>
  <c r="D19" i="25" l="1"/>
  <c r="D26" i="25" s="1"/>
  <c r="E12" i="25"/>
  <c r="F15" i="25"/>
  <c r="D20" i="25" l="1"/>
  <c r="AC162" i="1"/>
  <c r="AC165" i="1" s="1"/>
  <c r="AC171" i="1" s="1"/>
  <c r="E14" i="25"/>
  <c r="E19" i="25" s="1"/>
  <c r="D30" i="25"/>
  <c r="D31" i="25" s="1"/>
  <c r="D27" i="25"/>
  <c r="E26" i="25" l="1"/>
  <c r="E20" i="25"/>
  <c r="AD163" i="1"/>
  <c r="E27" i="25" l="1"/>
  <c r="E30" i="25"/>
  <c r="E31" i="25" s="1"/>
  <c r="F12" i="25"/>
  <c r="AD162" i="1"/>
  <c r="AD165" i="1" s="1"/>
  <c r="AD171" i="1" s="1"/>
  <c r="F14" i="25" l="1"/>
  <c r="F19" i="25" s="1"/>
  <c r="E37" i="25"/>
  <c r="G15" i="25"/>
  <c r="F20" i="25" l="1"/>
  <c r="F26" i="25"/>
  <c r="F30" i="25" l="1"/>
  <c r="F31" i="25" s="1"/>
  <c r="F27" i="25"/>
  <c r="G12" i="25" l="1"/>
  <c r="F37" i="25"/>
  <c r="H15" i="25"/>
  <c r="G14" i="25" l="1"/>
  <c r="G19" i="25" s="1"/>
  <c r="G20" i="25" l="1"/>
  <c r="G26" i="25"/>
  <c r="H11" i="24"/>
  <c r="H20" i="24" s="1"/>
  <c r="H21" i="24" s="1"/>
  <c r="H23" i="25" l="1"/>
  <c r="H24" i="25" s="1"/>
  <c r="G27" i="25"/>
  <c r="G30" i="25"/>
  <c r="G31" i="25" s="1"/>
  <c r="I15" i="25" l="1"/>
  <c r="H12" i="25"/>
  <c r="H14" i="25" s="1"/>
  <c r="G37" i="25"/>
  <c r="I20" i="24" l="1"/>
  <c r="I21" i="24" l="1"/>
  <c r="J15" i="25" l="1"/>
  <c r="H37" i="25"/>
  <c r="I12" i="25"/>
  <c r="I14" i="25" s="1"/>
  <c r="I23" i="25" l="1"/>
  <c r="I24" i="25" s="1"/>
  <c r="J20" i="24"/>
  <c r="J21" i="24" l="1"/>
  <c r="J13" i="25" l="1"/>
  <c r="K15" i="25"/>
  <c r="J12" i="25"/>
  <c r="I33" i="25" l="1"/>
  <c r="J14" i="25"/>
  <c r="J23" i="25"/>
  <c r="J24" i="25" s="1"/>
  <c r="K20" i="24"/>
  <c r="AJ48" i="1" l="1"/>
  <c r="K21" i="24"/>
  <c r="I37" i="25"/>
  <c r="AJ46" i="1" l="1"/>
  <c r="AJ47" i="1" s="1"/>
  <c r="AJ49" i="1" s="1"/>
  <c r="L15" i="25"/>
  <c r="K12" i="25"/>
  <c r="AJ50" i="1" l="1"/>
  <c r="K13" i="25"/>
  <c r="K14" i="25" s="1"/>
  <c r="L16" i="25"/>
  <c r="L20" i="24"/>
  <c r="AK48" i="1" l="1"/>
  <c r="AJ162" i="1"/>
  <c r="AJ165" i="1" s="1"/>
  <c r="K23" i="25"/>
  <c r="K24" i="25" s="1"/>
  <c r="L21" i="24"/>
  <c r="J33" i="25"/>
  <c r="AK46" i="1" l="1"/>
  <c r="AK47" i="1" s="1"/>
  <c r="AK49" i="1" s="1"/>
  <c r="AJ168" i="1"/>
  <c r="J37" i="25"/>
  <c r="M15" i="25"/>
  <c r="L12" i="25"/>
  <c r="AK50" i="1" l="1"/>
  <c r="AJ169" i="1"/>
  <c r="L13" i="25"/>
  <c r="L14" i="25" s="1"/>
  <c r="AK163" i="1"/>
  <c r="M16" i="25"/>
  <c r="AJ171" i="1" l="1"/>
  <c r="L23" i="25"/>
  <c r="L24" i="25" s="1"/>
  <c r="K33" i="25"/>
  <c r="K37" i="25" l="1"/>
  <c r="G16" i="5"/>
  <c r="H16" i="5" s="1"/>
  <c r="AK162" i="1"/>
  <c r="AK165" i="1" s="1"/>
  <c r="AK168" i="1"/>
  <c r="M12" i="25"/>
  <c r="N15" i="25"/>
  <c r="AK169" i="1" l="1"/>
  <c r="AK171" i="1" s="1"/>
  <c r="L33" i="25"/>
  <c r="N16" i="25"/>
  <c r="N20" i="24"/>
  <c r="M23" i="25"/>
  <c r="M24" i="25" s="1"/>
  <c r="L37" i="25" l="1"/>
  <c r="N21" i="24"/>
  <c r="AM65" i="1" l="1"/>
  <c r="N12" i="25"/>
  <c r="AM102" i="1" l="1"/>
  <c r="M33" i="25"/>
  <c r="N23" i="25"/>
  <c r="AL168" i="1" l="1"/>
  <c r="AL169" i="1" s="1"/>
  <c r="N24" i="25"/>
  <c r="P23" i="25"/>
  <c r="P24" i="25" s="1"/>
  <c r="N33" i="25" l="1"/>
  <c r="P33" i="25" s="1"/>
  <c r="AY43" i="1" l="1"/>
  <c r="AZ43" i="1" l="1"/>
  <c r="BA43" i="1" l="1"/>
  <c r="BB43" i="1" l="1"/>
  <c r="BC43" i="1" l="1"/>
  <c r="BD43" i="1" l="1"/>
  <c r="BE43" i="1" l="1"/>
  <c r="BF43" i="1" l="1"/>
  <c r="BG43" i="1" l="1"/>
  <c r="BH43" i="1" l="1"/>
  <c r="BI43" i="1" l="1"/>
  <c r="BJ43" i="1" l="1"/>
  <c r="BK43" i="1" l="1"/>
  <c r="BL43" i="1" l="1"/>
  <c r="BM43" i="1" l="1"/>
  <c r="BN43" i="1" l="1"/>
  <c r="BO43" i="1" l="1"/>
  <c r="BP43" i="1" l="1"/>
  <c r="BQ43" i="1" l="1"/>
  <c r="BR43" i="1" l="1"/>
  <c r="BS43" i="1" l="1"/>
  <c r="BT43" i="1" l="1"/>
  <c r="BU43" i="1" l="1"/>
  <c r="BV43" i="1" l="1"/>
  <c r="BW43" i="1" l="1"/>
  <c r="BX43" i="1" l="1"/>
  <c r="BY43" i="1" l="1"/>
  <c r="BZ43" i="1" l="1"/>
  <c r="CA43" i="1" l="1"/>
  <c r="CB43" i="1" l="1"/>
  <c r="CC43" i="1" l="1"/>
  <c r="CD43" i="1" l="1"/>
  <c r="CE43" i="1" l="1"/>
  <c r="CF43" i="1" l="1"/>
  <c r="CG43" i="1" l="1"/>
  <c r="CH43" i="1" l="1"/>
  <c r="CI43" i="1" l="1"/>
  <c r="CJ43" i="1" l="1"/>
  <c r="CK43" i="1" l="1"/>
  <c r="CL43" i="1" l="1"/>
  <c r="CM43" i="1" l="1"/>
  <c r="CN43" i="1" l="1"/>
  <c r="CO43" i="1" l="1"/>
  <c r="CP43" i="1" l="1"/>
  <c r="CQ43" i="1" l="1"/>
  <c r="CR43" i="1" l="1"/>
  <c r="CS43" i="1" l="1"/>
  <c r="CT43" i="1" l="1"/>
  <c r="CU43" i="1" l="1"/>
  <c r="CV43" i="1" l="1"/>
  <c r="CW43" i="1" l="1"/>
  <c r="CX43" i="1" l="1"/>
  <c r="CY43" i="1" l="1"/>
  <c r="CZ43" i="1" l="1"/>
  <c r="DA43" i="1" l="1"/>
  <c r="DB43" i="1" l="1"/>
  <c r="DC43" i="1" l="1"/>
  <c r="DD43" i="1" l="1"/>
  <c r="DE43" i="1" l="1"/>
  <c r="DF43" i="1" l="1"/>
  <c r="DG43" i="1" l="1"/>
  <c r="G24" i="5" l="1"/>
  <c r="G26" i="5" l="1"/>
  <c r="E24" i="5"/>
  <c r="H24" i="5" s="1"/>
  <c r="AA46" i="1"/>
  <c r="AA50" i="1" s="1"/>
  <c r="N19" i="15"/>
  <c r="N20" i="15" s="1"/>
  <c r="N22" i="15" s="1"/>
  <c r="N19" i="6"/>
  <c r="N21" i="6" s="1"/>
  <c r="N23" i="6" s="1"/>
  <c r="E26" i="5" l="1"/>
  <c r="F26" i="5" s="1"/>
  <c r="F24" i="5"/>
  <c r="AA47" i="1"/>
  <c r="AA49" i="1" s="1"/>
  <c r="N26" i="15"/>
  <c r="N27" i="15" s="1"/>
  <c r="N23" i="15"/>
  <c r="N24" i="6"/>
  <c r="N27" i="6"/>
  <c r="N28" i="6" s="1"/>
  <c r="P19" i="6"/>
  <c r="P21" i="6" s="1"/>
  <c r="P23" i="6" s="1"/>
  <c r="P19" i="15"/>
  <c r="P20" i="15" s="1"/>
  <c r="P22" i="15" s="1"/>
  <c r="E28" i="5" l="1"/>
  <c r="F28" i="5" s="1"/>
  <c r="H26" i="5"/>
  <c r="P23" i="15"/>
  <c r="P26" i="15"/>
  <c r="P27" i="15" s="1"/>
  <c r="P27" i="6"/>
  <c r="P28" i="6" s="1"/>
  <c r="P24" i="6"/>
  <c r="E29" i="5" l="1"/>
  <c r="F29" i="5" s="1"/>
  <c r="E32" i="5"/>
  <c r="N30" i="15"/>
  <c r="F32" i="5" l="1"/>
  <c r="E34" i="5"/>
  <c r="E33" i="5"/>
  <c r="F33" i="5" s="1"/>
  <c r="N29" i="15"/>
  <c r="G13" i="5" l="1"/>
  <c r="C12" i="25"/>
  <c r="P12" i="25" s="1"/>
  <c r="AB14" i="1"/>
  <c r="AB44" i="1" s="1"/>
  <c r="H13" i="5" l="1"/>
  <c r="AB66" i="1"/>
  <c r="AB67" i="1" s="1"/>
  <c r="AB35" i="1"/>
  <c r="AB45" i="1"/>
  <c r="AB126" i="1"/>
  <c r="C14" i="25"/>
  <c r="AB99" i="1" l="1"/>
  <c r="D37" i="25"/>
  <c r="AB110" i="1" l="1"/>
  <c r="AB154" i="1" s="1"/>
  <c r="AB46" i="1"/>
  <c r="AB47" i="1" s="1"/>
  <c r="AB100" i="1"/>
  <c r="AB162" i="1" l="1"/>
  <c r="AB165" i="1" s="1"/>
  <c r="AB171" i="1" s="1"/>
  <c r="AD47" i="1"/>
  <c r="AD49" i="1" s="1"/>
  <c r="AB50" i="1"/>
  <c r="AC154" i="1"/>
  <c r="AD154" i="1" s="1"/>
  <c r="AE154" i="1" s="1"/>
  <c r="AF154" i="1" s="1"/>
  <c r="AB155" i="1"/>
  <c r="AB49" i="1"/>
  <c r="AC47" i="1"/>
  <c r="AC49" i="1" s="1"/>
  <c r="AB133" i="1"/>
  <c r="AB134" i="1" s="1"/>
  <c r="AB156" i="1" l="1"/>
  <c r="AB158" i="1" s="1"/>
  <c r="AB174" i="1"/>
  <c r="C36" i="25" s="1"/>
  <c r="C37" i="25"/>
  <c r="AF155" i="1"/>
  <c r="AG154" i="1"/>
  <c r="AE155" i="1"/>
  <c r="AC155" i="1"/>
  <c r="AD155" i="1"/>
  <c r="AF156" i="1" l="1"/>
  <c r="AF158" i="1" s="1"/>
  <c r="AD156" i="1"/>
  <c r="AC156" i="1"/>
  <c r="AE156" i="1"/>
  <c r="AE158" i="1" s="1"/>
  <c r="AB175" i="1"/>
  <c r="AC173" i="1"/>
  <c r="AC174" i="1" s="1"/>
  <c r="AG155" i="1"/>
  <c r="AH154" i="1"/>
  <c r="AD133" i="1"/>
  <c r="AD134" i="1" s="1"/>
  <c r="AC133" i="1"/>
  <c r="AC134" i="1" s="1"/>
  <c r="AC175" i="1" l="1"/>
  <c r="AD158" i="1"/>
  <c r="AG156" i="1"/>
  <c r="AG158" i="1" s="1"/>
  <c r="AC158" i="1"/>
  <c r="D36" i="25"/>
  <c r="AD173" i="1"/>
  <c r="AD174" i="1" s="1"/>
  <c r="AH155" i="1"/>
  <c r="AI154" i="1"/>
  <c r="AJ154" i="1" s="1"/>
  <c r="AK154" i="1" s="1"/>
  <c r="AE173" i="1" l="1"/>
  <c r="AE174" i="1" s="1"/>
  <c r="AE175" i="1" s="1"/>
  <c r="AH156" i="1"/>
  <c r="AH158" i="1" s="1"/>
  <c r="E36" i="25"/>
  <c r="AK155" i="1"/>
  <c r="AK156" i="1" s="1"/>
  <c r="AK158" i="1" s="1"/>
  <c r="AD175" i="1"/>
  <c r="AJ155" i="1"/>
  <c r="AI155" i="1"/>
  <c r="C32" i="20"/>
  <c r="F36" i="25" l="1"/>
  <c r="AF173" i="1"/>
  <c r="AF174" i="1" s="1"/>
  <c r="AG173" i="1" s="1"/>
  <c r="AG174" i="1" s="1"/>
  <c r="AI156" i="1"/>
  <c r="AI158" i="1" s="1"/>
  <c r="AJ156" i="1"/>
  <c r="AJ158" i="1" s="1"/>
  <c r="AF175" i="1" l="1"/>
  <c r="G36" i="25"/>
  <c r="AH173" i="1"/>
  <c r="AH174" i="1" s="1"/>
  <c r="AH175" i="1" s="1"/>
  <c r="H36" i="25"/>
  <c r="D32" i="20"/>
  <c r="AG175" i="1"/>
  <c r="AI173" i="1" l="1"/>
  <c r="AI174" i="1" s="1"/>
  <c r="AI175" i="1" s="1"/>
  <c r="I36" i="25"/>
  <c r="J36" i="25" l="1"/>
  <c r="AJ173" i="1"/>
  <c r="AJ174" i="1" s="1"/>
  <c r="AK173" i="1" s="1"/>
  <c r="AK174" i="1" s="1"/>
  <c r="K36" i="25" l="1"/>
  <c r="AJ175" i="1"/>
  <c r="F32" i="20"/>
  <c r="AL173" i="1"/>
  <c r="AK175" i="1"/>
  <c r="L36" i="25"/>
  <c r="M13" i="25" l="1"/>
  <c r="M14" i="25" s="1"/>
  <c r="AL14" i="1"/>
  <c r="AL15" i="1"/>
  <c r="AL126" i="1" l="1"/>
  <c r="AL44" i="1"/>
  <c r="AL45" i="1" s="1"/>
  <c r="AL35" i="1"/>
  <c r="AL125" i="1"/>
  <c r="AM163" i="1" s="1"/>
  <c r="AL163" i="1" l="1"/>
  <c r="N13" i="25"/>
  <c r="G14" i="5"/>
  <c r="G15" i="5" s="1"/>
  <c r="H15" i="5" l="1"/>
  <c r="H14" i="5"/>
  <c r="N14" i="25"/>
  <c r="P13" i="25"/>
  <c r="P14" i="25" s="1"/>
  <c r="AM66" i="1"/>
  <c r="AM99" i="1" s="1"/>
  <c r="G17" i="5" l="1"/>
  <c r="H17" i="5" s="1"/>
  <c r="AM46" i="1"/>
  <c r="AM110" i="1"/>
  <c r="AM100" i="1"/>
  <c r="AM67" i="1"/>
  <c r="AM162" i="1" l="1"/>
  <c r="AM165" i="1" s="1"/>
  <c r="AM171" i="1" s="1"/>
  <c r="N37" i="25" l="1"/>
  <c r="AL25" i="1" l="1"/>
  <c r="M11" i="24"/>
  <c r="M20" i="24" s="1"/>
  <c r="AL51" i="1" l="1"/>
  <c r="AX25" i="1"/>
  <c r="M21" i="24"/>
  <c r="AL65" i="1"/>
  <c r="T55" i="1"/>
  <c r="AX26" i="1" l="1"/>
  <c r="AX51" i="1"/>
  <c r="AL102" i="1"/>
  <c r="AM48" i="1" s="1"/>
  <c r="AM50" i="1" s="1"/>
  <c r="U55" i="1"/>
  <c r="BJ25" i="1"/>
  <c r="G19" i="5"/>
  <c r="AL66" i="1"/>
  <c r="AL99" i="1" s="1"/>
  <c r="AL100" i="1" s="1"/>
  <c r="AX30" i="1" l="1"/>
  <c r="AX31" i="1"/>
  <c r="AX32" i="1"/>
  <c r="AX28" i="1"/>
  <c r="AX29" i="1"/>
  <c r="AX8" i="1" s="1"/>
  <c r="G20" i="5"/>
  <c r="H20" i="5" s="1"/>
  <c r="H19" i="5"/>
  <c r="AL48" i="1"/>
  <c r="V55" i="1"/>
  <c r="BJ51" i="1"/>
  <c r="BV25" i="1"/>
  <c r="AL67" i="1"/>
  <c r="AL46" i="1"/>
  <c r="AX9" i="1" l="1"/>
  <c r="AX33" i="1"/>
  <c r="AX34" i="1" s="1"/>
  <c r="Y18" i="24" s="1"/>
  <c r="Y19" i="24" s="1"/>
  <c r="AX10" i="1"/>
  <c r="Y15" i="24"/>
  <c r="AX7" i="1"/>
  <c r="G21" i="5"/>
  <c r="H21" i="5" s="1"/>
  <c r="G28" i="5"/>
  <c r="H28" i="5" s="1"/>
  <c r="AL47" i="1"/>
  <c r="AL49" i="1" s="1"/>
  <c r="AM47" i="1"/>
  <c r="AM49" i="1" s="1"/>
  <c r="AL50" i="1"/>
  <c r="AL110" i="1"/>
  <c r="AL154" i="1" s="1"/>
  <c r="AM154" i="1" s="1"/>
  <c r="AN151" i="1" s="1"/>
  <c r="AO151" i="1" s="1"/>
  <c r="AP151" i="1" s="1"/>
  <c r="AQ151" i="1" s="1"/>
  <c r="AR151" i="1" s="1"/>
  <c r="Y55" i="1"/>
  <c r="X55" i="1"/>
  <c r="W55" i="1"/>
  <c r="BV51" i="1"/>
  <c r="CH25" i="1"/>
  <c r="AX12" i="1" l="1"/>
  <c r="AX13" i="1" s="1"/>
  <c r="AX14" i="1" s="1"/>
  <c r="AX35" i="1" s="1"/>
  <c r="AX124" i="1"/>
  <c r="AX125" i="1" s="1"/>
  <c r="AX44" i="1"/>
  <c r="AX45" i="1" s="1"/>
  <c r="AS151" i="1"/>
  <c r="AT151" i="1" s="1"/>
  <c r="AU151" i="1" s="1"/>
  <c r="AV151" i="1" s="1"/>
  <c r="AW151" i="1" s="1"/>
  <c r="G32" i="5"/>
  <c r="G29" i="5"/>
  <c r="H29" i="5" s="1"/>
  <c r="AM155" i="1"/>
  <c r="AM156" i="1" s="1"/>
  <c r="AM158" i="1" s="1"/>
  <c r="AL162" i="1"/>
  <c r="AL165" i="1" s="1"/>
  <c r="AL171" i="1" s="1"/>
  <c r="AA55" i="1"/>
  <c r="CH51" i="1"/>
  <c r="Z55" i="1"/>
  <c r="CT25" i="1"/>
  <c r="AX91" i="1" l="1"/>
  <c r="G33" i="5"/>
  <c r="H33" i="5" s="1"/>
  <c r="G34" i="5"/>
  <c r="H34" i="5" s="1"/>
  <c r="H32" i="5"/>
  <c r="AL155" i="1"/>
  <c r="AL156" i="1" s="1"/>
  <c r="M37" i="25"/>
  <c r="AL174" i="1"/>
  <c r="CT51" i="1"/>
  <c r="DF25" i="1"/>
  <c r="AM173" i="1" l="1"/>
  <c r="AM174" i="1" s="1"/>
  <c r="G36" i="5" s="1"/>
  <c r="H36" i="5" s="1"/>
  <c r="DF51" i="1"/>
  <c r="M36" i="25"/>
  <c r="AL175" i="1"/>
  <c r="AL133" i="1"/>
  <c r="AL134" i="1" s="1"/>
  <c r="AL158" i="1" s="1"/>
  <c r="AM175" i="1" l="1"/>
  <c r="AN173" i="1"/>
  <c r="H32" i="20"/>
  <c r="N36" i="25"/>
  <c r="AN12" i="1" l="1"/>
  <c r="AN101" i="1" l="1"/>
  <c r="C12" i="20"/>
  <c r="AY101" i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F101" i="1" s="1"/>
  <c r="CG101" i="1" s="1"/>
  <c r="CH101" i="1" s="1"/>
  <c r="CI101" i="1" s="1"/>
  <c r="CJ101" i="1" s="1"/>
  <c r="CK101" i="1" s="1"/>
  <c r="CL101" i="1" s="1"/>
  <c r="CM101" i="1" s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DC101" i="1" s="1"/>
  <c r="DD101" i="1" s="1"/>
  <c r="DE101" i="1" s="1"/>
  <c r="DF101" i="1" s="1"/>
  <c r="DG101" i="1" s="1"/>
  <c r="O20" i="24"/>
  <c r="C14" i="20" l="1"/>
  <c r="C12" i="29"/>
  <c r="C12" i="27" s="1"/>
  <c r="O21" i="24"/>
  <c r="AN65" i="1"/>
  <c r="C18" i="25" s="1"/>
  <c r="C19" i="25" s="1"/>
  <c r="C20" i="25" l="1"/>
  <c r="C26" i="25"/>
  <c r="C18" i="29"/>
  <c r="C17" i="27" s="1"/>
  <c r="C17" i="20"/>
  <c r="C18" i="20" s="1"/>
  <c r="AN102" i="1"/>
  <c r="C23" i="29"/>
  <c r="C22" i="27" s="1"/>
  <c r="C27" i="25" l="1"/>
  <c r="C30" i="25"/>
  <c r="AN48" i="1"/>
  <c r="AP48" i="1"/>
  <c r="AP50" i="1" s="1"/>
  <c r="C19" i="20"/>
  <c r="C25" i="20"/>
  <c r="C24" i="29"/>
  <c r="C23" i="27" s="1"/>
  <c r="C34" i="25" l="1"/>
  <c r="D34" i="25" s="1"/>
  <c r="E34" i="25" s="1"/>
  <c r="F34" i="25" s="1"/>
  <c r="G34" i="25" s="1"/>
  <c r="C31" i="25"/>
  <c r="C26" i="20"/>
  <c r="C29" i="20"/>
  <c r="C30" i="20" s="1"/>
  <c r="AN14" i="1" l="1"/>
  <c r="AN44" i="1" s="1"/>
  <c r="AN15" i="1"/>
  <c r="C13" i="29"/>
  <c r="BD16" i="28" l="1"/>
  <c r="C15" i="27"/>
  <c r="C13" i="27"/>
  <c r="AN126" i="1"/>
  <c r="AN66" i="1"/>
  <c r="AN45" i="1"/>
  <c r="AN35" i="1"/>
  <c r="C14" i="29"/>
  <c r="AN99" i="1" l="1"/>
  <c r="AN110" i="1" s="1"/>
  <c r="AN154" i="1" s="1"/>
  <c r="AN46" i="1"/>
  <c r="AN47" i="1" s="1"/>
  <c r="AN49" i="1" s="1"/>
  <c r="BD23" i="28"/>
  <c r="CD23" i="28" s="1"/>
  <c r="C19" i="29"/>
  <c r="C18" i="27" s="1"/>
  <c r="C14" i="27"/>
  <c r="AN67" i="1"/>
  <c r="AN163" i="1"/>
  <c r="AN50" i="1" l="1"/>
  <c r="AN100" i="1"/>
  <c r="CC23" i="28"/>
  <c r="AS163" i="1"/>
  <c r="C26" i="29"/>
  <c r="C25" i="27" s="1"/>
  <c r="C20" i="29"/>
  <c r="C19" i="27" s="1"/>
  <c r="AN155" i="1"/>
  <c r="AN156" i="1" s="1"/>
  <c r="AN158" i="1" s="1"/>
  <c r="AN162" i="1"/>
  <c r="AN165" i="1" s="1"/>
  <c r="AN171" i="1" s="1"/>
  <c r="C27" i="29" l="1"/>
  <c r="C26" i="27" s="1"/>
  <c r="C30" i="29"/>
  <c r="AN174" i="1"/>
  <c r="AO173" i="1" s="1"/>
  <c r="C37" i="29"/>
  <c r="C33" i="27" s="1"/>
  <c r="C29" i="27" l="1"/>
  <c r="C34" i="29"/>
  <c r="C31" i="29"/>
  <c r="C30" i="27" s="1"/>
  <c r="C36" i="29"/>
  <c r="C32" i="27" s="1"/>
  <c r="AN175" i="1"/>
  <c r="AY15" i="1" l="1"/>
  <c r="AZ15" i="1" l="1"/>
  <c r="BA15" i="1" l="1"/>
  <c r="BB15" i="1" l="1"/>
  <c r="BC15" i="1" l="1"/>
  <c r="BD15" i="1" l="1"/>
  <c r="BE15" i="1" l="1"/>
  <c r="BF15" i="1" l="1"/>
  <c r="BG15" i="1" l="1"/>
  <c r="BH15" i="1" l="1"/>
  <c r="BI15" i="1" l="1"/>
  <c r="BJ15" i="1" l="1"/>
  <c r="BK15" i="1" l="1"/>
  <c r="BL15" i="1" l="1"/>
  <c r="BM15" i="1" l="1"/>
  <c r="BN15" i="1" l="1"/>
  <c r="BO15" i="1" l="1"/>
  <c r="BP15" i="1" l="1"/>
  <c r="BQ15" i="1" l="1"/>
  <c r="BR15" i="1" l="1"/>
  <c r="BS15" i="1" l="1"/>
  <c r="BT15" i="1" l="1"/>
  <c r="BU15" i="1" l="1"/>
  <c r="BV15" i="1" l="1"/>
  <c r="BW15" i="1" l="1"/>
  <c r="BX15" i="1" l="1"/>
  <c r="BY15" i="1" l="1"/>
  <c r="BZ15" i="1" l="1"/>
  <c r="CA15" i="1" l="1"/>
  <c r="CB15" i="1" l="1"/>
  <c r="CC15" i="1" l="1"/>
  <c r="CD15" i="1" l="1"/>
  <c r="CE15" i="1" l="1"/>
  <c r="CF15" i="1" l="1"/>
  <c r="CG15" i="1" l="1"/>
  <c r="CH15" i="1" l="1"/>
  <c r="CI15" i="1" l="1"/>
  <c r="CJ15" i="1" l="1"/>
  <c r="CK15" i="1" l="1"/>
  <c r="CL15" i="1" l="1"/>
  <c r="CM15" i="1" l="1"/>
  <c r="CN15" i="1" l="1"/>
  <c r="CO15" i="1" l="1"/>
  <c r="CP15" i="1" l="1"/>
  <c r="CQ15" i="1" l="1"/>
  <c r="CR15" i="1" l="1"/>
  <c r="CS15" i="1" l="1"/>
  <c r="CT15" i="1" l="1"/>
  <c r="CU15" i="1" l="1"/>
  <c r="CV15" i="1" l="1"/>
  <c r="CW15" i="1" l="1"/>
  <c r="CX15" i="1" l="1"/>
  <c r="CY15" i="1" l="1"/>
  <c r="CZ15" i="1" l="1"/>
  <c r="DA15" i="1" l="1"/>
  <c r="DB15" i="1" l="1"/>
  <c r="DC15" i="1" l="1"/>
  <c r="DD15" i="1" l="1"/>
  <c r="DE15" i="1" l="1"/>
  <c r="DF15" i="1" l="1"/>
  <c r="DG15" i="1" l="1"/>
  <c r="AN19" i="1"/>
  <c r="D15" i="29" l="1"/>
  <c r="D15" i="27" s="1"/>
  <c r="E15" i="29" l="1"/>
  <c r="E15" i="27" s="1"/>
  <c r="F15" i="29" l="1"/>
  <c r="F15" i="27" s="1"/>
  <c r="E16" i="29"/>
  <c r="G15" i="29" l="1"/>
  <c r="G15" i="27" s="1"/>
  <c r="F16" i="29"/>
  <c r="Q20" i="24" l="1"/>
  <c r="H15" i="29"/>
  <c r="H15" i="27" s="1"/>
  <c r="G16" i="29"/>
  <c r="D23" i="29"/>
  <c r="D22" i="27" s="1"/>
  <c r="D12" i="29"/>
  <c r="D12" i="27" s="1"/>
  <c r="D13" i="29"/>
  <c r="D13" i="27" s="1"/>
  <c r="AO48" i="1"/>
  <c r="Q21" i="24" l="1"/>
  <c r="H16" i="29"/>
  <c r="D14" i="29"/>
  <c r="D24" i="29"/>
  <c r="D23" i="27" s="1"/>
  <c r="R20" i="24"/>
  <c r="AO14" i="1"/>
  <c r="AO44" i="1" s="1"/>
  <c r="AO45" i="1" l="1"/>
  <c r="F18" i="29"/>
  <c r="F17" i="27" s="1"/>
  <c r="D19" i="29"/>
  <c r="D26" i="29" s="1"/>
  <c r="D34" i="29" s="1"/>
  <c r="D14" i="27"/>
  <c r="AO126" i="1"/>
  <c r="AO66" i="1"/>
  <c r="AO46" i="1" s="1"/>
  <c r="AO35" i="1"/>
  <c r="E12" i="29"/>
  <c r="E12" i="27" s="1"/>
  <c r="I15" i="29"/>
  <c r="I15" i="27" s="1"/>
  <c r="J15" i="29"/>
  <c r="J15" i="27" s="1"/>
  <c r="F23" i="29"/>
  <c r="F22" i="27" s="1"/>
  <c r="F12" i="29"/>
  <c r="F12" i="27" s="1"/>
  <c r="R21" i="24"/>
  <c r="G18" i="29" l="1"/>
  <c r="G17" i="27" s="1"/>
  <c r="E13" i="29"/>
  <c r="D20" i="29"/>
  <c r="D19" i="27" s="1"/>
  <c r="D18" i="27"/>
  <c r="D30" i="29"/>
  <c r="D25" i="27"/>
  <c r="E23" i="29"/>
  <c r="AO67" i="1"/>
  <c r="AO99" i="1"/>
  <c r="H12" i="29"/>
  <c r="H12" i="27" s="1"/>
  <c r="I16" i="29"/>
  <c r="K15" i="29"/>
  <c r="K15" i="27" s="1"/>
  <c r="D27" i="29"/>
  <c r="D26" i="27" s="1"/>
  <c r="F24" i="29"/>
  <c r="F23" i="27" s="1"/>
  <c r="F13" i="29"/>
  <c r="F14" i="29" l="1"/>
  <c r="F13" i="27"/>
  <c r="F15" i="20"/>
  <c r="G15" i="20" s="1"/>
  <c r="E14" i="29"/>
  <c r="E13" i="27"/>
  <c r="D12" i="20"/>
  <c r="E24" i="29"/>
  <c r="E23" i="27" s="1"/>
  <c r="E22" i="27"/>
  <c r="G23" i="29"/>
  <c r="D22" i="20"/>
  <c r="D31" i="29"/>
  <c r="D30" i="27" s="1"/>
  <c r="D29" i="27"/>
  <c r="AO100" i="1"/>
  <c r="AO110" i="1"/>
  <c r="AO154" i="1" s="1"/>
  <c r="AP154" i="1" s="1"/>
  <c r="AQ47" i="1"/>
  <c r="G12" i="29"/>
  <c r="G12" i="27" s="1"/>
  <c r="J16" i="29"/>
  <c r="H13" i="29"/>
  <c r="H23" i="29"/>
  <c r="H24" i="29" l="1"/>
  <c r="H23" i="27" s="1"/>
  <c r="H22" i="27"/>
  <c r="H14" i="29"/>
  <c r="H14" i="27" s="1"/>
  <c r="H13" i="27"/>
  <c r="BD27" i="28"/>
  <c r="H18" i="25"/>
  <c r="G24" i="29"/>
  <c r="G23" i="27" s="1"/>
  <c r="G22" i="27"/>
  <c r="F19" i="29"/>
  <c r="F14" i="27"/>
  <c r="AP47" i="1"/>
  <c r="AP49" i="1" s="1"/>
  <c r="AQ49" i="1"/>
  <c r="AP155" i="1"/>
  <c r="AP156" i="1" s="1"/>
  <c r="AP158" i="1" s="1"/>
  <c r="AQ154" i="1"/>
  <c r="H18" i="29"/>
  <c r="D17" i="20"/>
  <c r="E17" i="20" s="1"/>
  <c r="L15" i="29"/>
  <c r="L15" i="27" s="1"/>
  <c r="E12" i="20"/>
  <c r="G13" i="29"/>
  <c r="D13" i="20"/>
  <c r="E13" i="20" s="1"/>
  <c r="E19" i="29"/>
  <c r="E14" i="27"/>
  <c r="D23" i="20"/>
  <c r="E22" i="20"/>
  <c r="E23" i="20" s="1"/>
  <c r="K16" i="29"/>
  <c r="AO162" i="1"/>
  <c r="AO165" i="1" s="1"/>
  <c r="AO171" i="1" s="1"/>
  <c r="AO174" i="1" s="1"/>
  <c r="AO47" i="1"/>
  <c r="AO49" i="1" s="1"/>
  <c r="AO50" i="1"/>
  <c r="W11" i="24"/>
  <c r="I18" i="25"/>
  <c r="I19" i="25" s="1"/>
  <c r="J12" i="29"/>
  <c r="J12" i="27" s="1"/>
  <c r="CC27" i="28" l="1"/>
  <c r="CD27" i="28"/>
  <c r="H19" i="29"/>
  <c r="H18" i="27" s="1"/>
  <c r="H17" i="27"/>
  <c r="G14" i="29"/>
  <c r="G13" i="27"/>
  <c r="H19" i="25"/>
  <c r="BD28" i="28"/>
  <c r="CD28" i="28" s="1"/>
  <c r="I20" i="25"/>
  <c r="I26" i="25"/>
  <c r="AQ155" i="1"/>
  <c r="AQ156" i="1" s="1"/>
  <c r="AQ158" i="1" s="1"/>
  <c r="AR154" i="1"/>
  <c r="AS154" i="1" s="1"/>
  <c r="I12" i="29"/>
  <c r="I12" i="27" s="1"/>
  <c r="F18" i="27"/>
  <c r="F20" i="29"/>
  <c r="F19" i="27" s="1"/>
  <c r="F26" i="29"/>
  <c r="C33" i="20"/>
  <c r="I18" i="29"/>
  <c r="I17" i="27" s="1"/>
  <c r="E18" i="27"/>
  <c r="E20" i="29"/>
  <c r="E19" i="27" s="1"/>
  <c r="E26" i="29"/>
  <c r="E34" i="29" s="1"/>
  <c r="D14" i="20"/>
  <c r="AO175" i="1"/>
  <c r="AP173" i="1"/>
  <c r="AP174" i="1" s="1"/>
  <c r="AO155" i="1"/>
  <c r="AO156" i="1" s="1"/>
  <c r="AO158" i="1" s="1"/>
  <c r="L16" i="29"/>
  <c r="K12" i="29"/>
  <c r="K12" i="27" s="1"/>
  <c r="F37" i="29"/>
  <c r="F33" i="27" s="1"/>
  <c r="I13" i="29"/>
  <c r="I13" i="27" s="1"/>
  <c r="D37" i="29"/>
  <c r="D33" i="27" s="1"/>
  <c r="J13" i="29"/>
  <c r="J23" i="29"/>
  <c r="D36" i="29"/>
  <c r="D32" i="27" s="1"/>
  <c r="F34" i="29" l="1"/>
  <c r="CC28" i="28"/>
  <c r="J14" i="29"/>
  <c r="J14" i="27" s="1"/>
  <c r="J13" i="27"/>
  <c r="J24" i="29"/>
  <c r="J23" i="27" s="1"/>
  <c r="J22" i="27"/>
  <c r="H26" i="29"/>
  <c r="H30" i="29" s="1"/>
  <c r="H20" i="29"/>
  <c r="H19" i="27" s="1"/>
  <c r="AR155" i="1"/>
  <c r="AR156" i="1" s="1"/>
  <c r="AR158" i="1" s="1"/>
  <c r="AT154" i="1"/>
  <c r="AU154" i="1" s="1"/>
  <c r="BD44" i="28"/>
  <c r="CD44" i="28" s="1"/>
  <c r="BD29" i="28"/>
  <c r="CD29" i="28" s="1"/>
  <c r="H20" i="25"/>
  <c r="H26" i="25"/>
  <c r="J18" i="29"/>
  <c r="J18" i="25"/>
  <c r="I30" i="25"/>
  <c r="I31" i="25" s="1"/>
  <c r="I27" i="25"/>
  <c r="G19" i="29"/>
  <c r="G14" i="27"/>
  <c r="F25" i="27"/>
  <c r="F30" i="29"/>
  <c r="F27" i="29"/>
  <c r="F26" i="27" s="1"/>
  <c r="AP175" i="1"/>
  <c r="AQ173" i="1"/>
  <c r="AQ174" i="1" s="1"/>
  <c r="F12" i="20"/>
  <c r="E25" i="27"/>
  <c r="E27" i="29"/>
  <c r="E26" i="27" s="1"/>
  <c r="E30" i="29"/>
  <c r="I23" i="29"/>
  <c r="D18" i="20"/>
  <c r="E14" i="20"/>
  <c r="W20" i="24"/>
  <c r="E37" i="29"/>
  <c r="E33" i="27" s="1"/>
  <c r="M15" i="29"/>
  <c r="AY21" i="1"/>
  <c r="I14" i="29"/>
  <c r="E36" i="29"/>
  <c r="E32" i="27" s="1"/>
  <c r="F13" i="20"/>
  <c r="G13" i="20" s="1"/>
  <c r="K23" i="29"/>
  <c r="K22" i="27" s="1"/>
  <c r="G12" i="20" l="1"/>
  <c r="CC44" i="28"/>
  <c r="CC29" i="28"/>
  <c r="AU155" i="1"/>
  <c r="AU156" i="1" s="1"/>
  <c r="AU158" i="1" s="1"/>
  <c r="AV154" i="1"/>
  <c r="J19" i="29"/>
  <c r="J20" i="29" s="1"/>
  <c r="J19" i="27" s="1"/>
  <c r="J17" i="27"/>
  <c r="I19" i="29"/>
  <c r="I14" i="27"/>
  <c r="H25" i="27"/>
  <c r="H27" i="29"/>
  <c r="H26" i="27" s="1"/>
  <c r="I24" i="29"/>
  <c r="I23" i="27" s="1"/>
  <c r="I22" i="27"/>
  <c r="W21" i="24"/>
  <c r="AS155" i="1"/>
  <c r="AS156" i="1" s="1"/>
  <c r="AS158" i="1" s="1"/>
  <c r="AT155" i="1"/>
  <c r="H31" i="29"/>
  <c r="H30" i="27" s="1"/>
  <c r="H29" i="27"/>
  <c r="J19" i="25"/>
  <c r="H30" i="25"/>
  <c r="H31" i="25" s="1"/>
  <c r="H27" i="25"/>
  <c r="H34" i="25"/>
  <c r="I34" i="25" s="1"/>
  <c r="F17" i="20"/>
  <c r="G17" i="20" s="1"/>
  <c r="K18" i="25"/>
  <c r="K19" i="25" s="1"/>
  <c r="G18" i="27"/>
  <c r="G20" i="29"/>
  <c r="G19" i="27" s="1"/>
  <c r="G26" i="29"/>
  <c r="G34" i="29" s="1"/>
  <c r="H34" i="29" s="1"/>
  <c r="BD45" i="28"/>
  <c r="CD45" i="28" s="1"/>
  <c r="BD50" i="28"/>
  <c r="CD50" i="28" s="1"/>
  <c r="AQ175" i="1"/>
  <c r="AR173" i="1"/>
  <c r="AR174" i="1" s="1"/>
  <c r="AR175" i="1" s="1"/>
  <c r="AS162" i="1"/>
  <c r="AS165" i="1" s="1"/>
  <c r="F31" i="29"/>
  <c r="F30" i="27" s="1"/>
  <c r="F29" i="27"/>
  <c r="F22" i="20"/>
  <c r="G22" i="20" s="1"/>
  <c r="G23" i="20" s="1"/>
  <c r="K18" i="29"/>
  <c r="K17" i="27" s="1"/>
  <c r="D19" i="20"/>
  <c r="E19" i="20" s="1"/>
  <c r="E18" i="20"/>
  <c r="D25" i="20"/>
  <c r="F14" i="20"/>
  <c r="E31" i="29"/>
  <c r="E30" i="27" s="1"/>
  <c r="E29" i="27"/>
  <c r="G37" i="29"/>
  <c r="G33" i="27" s="1"/>
  <c r="AY19" i="1"/>
  <c r="AY17" i="1" s="1"/>
  <c r="K24" i="29"/>
  <c r="K23" i="27" s="1"/>
  <c r="K13" i="29"/>
  <c r="F36" i="29"/>
  <c r="F32" i="27" s="1"/>
  <c r="I18" i="27" l="1"/>
  <c r="I20" i="29"/>
  <c r="I19" i="27" s="1"/>
  <c r="AV155" i="1"/>
  <c r="AV156" i="1" s="1"/>
  <c r="AV158" i="1" s="1"/>
  <c r="AW154" i="1"/>
  <c r="AW155" i="1" s="1"/>
  <c r="AW156" i="1" s="1"/>
  <c r="AW158" i="1" s="1"/>
  <c r="AZ21" i="1"/>
  <c r="AZ19" i="1" s="1"/>
  <c r="K14" i="29"/>
  <c r="K13" i="27"/>
  <c r="J26" i="29"/>
  <c r="J30" i="29" s="1"/>
  <c r="I26" i="29"/>
  <c r="I25" i="27" s="1"/>
  <c r="CC50" i="28"/>
  <c r="CC45" i="28"/>
  <c r="J18" i="27"/>
  <c r="AT156" i="1"/>
  <c r="AT158" i="1" s="1"/>
  <c r="G25" i="27"/>
  <c r="G27" i="29"/>
  <c r="G26" i="27" s="1"/>
  <c r="G30" i="29"/>
  <c r="K20" i="25"/>
  <c r="K26" i="25"/>
  <c r="J26" i="25"/>
  <c r="J20" i="25"/>
  <c r="AS173" i="1"/>
  <c r="F23" i="20"/>
  <c r="F18" i="20"/>
  <c r="G18" i="20" s="1"/>
  <c r="G14" i="20"/>
  <c r="E25" i="20"/>
  <c r="D26" i="20"/>
  <c r="E26" i="20" s="1"/>
  <c r="D29" i="20"/>
  <c r="Y11" i="24"/>
  <c r="Y13" i="24"/>
  <c r="Y12" i="24"/>
  <c r="N15" i="29"/>
  <c r="I16" i="5"/>
  <c r="J16" i="5" s="1"/>
  <c r="G36" i="29"/>
  <c r="G32" i="27" s="1"/>
  <c r="AY26" i="1" l="1"/>
  <c r="K14" i="27"/>
  <c r="K19" i="29"/>
  <c r="K26" i="29" s="1"/>
  <c r="J27" i="29"/>
  <c r="J26" i="27" s="1"/>
  <c r="J25" i="27"/>
  <c r="AZ17" i="1"/>
  <c r="C15" i="31" s="1"/>
  <c r="H15" i="20"/>
  <c r="I15" i="20" s="1"/>
  <c r="I34" i="29"/>
  <c r="J34" i="29" s="1"/>
  <c r="I30" i="29"/>
  <c r="I31" i="29" s="1"/>
  <c r="I30" i="27" s="1"/>
  <c r="I27" i="29"/>
  <c r="I26" i="27" s="1"/>
  <c r="J31" i="29"/>
  <c r="J30" i="27" s="1"/>
  <c r="J29" i="27"/>
  <c r="G31" i="29"/>
  <c r="G30" i="27" s="1"/>
  <c r="G29" i="27"/>
  <c r="K30" i="25"/>
  <c r="K31" i="25" s="1"/>
  <c r="K27" i="25"/>
  <c r="J27" i="25"/>
  <c r="J30" i="25"/>
  <c r="J31" i="25" s="1"/>
  <c r="J34" i="25"/>
  <c r="K34" i="25" s="1"/>
  <c r="D30" i="20"/>
  <c r="E30" i="20" s="1"/>
  <c r="E29" i="20"/>
  <c r="F25" i="20"/>
  <c r="F19" i="20"/>
  <c r="G19" i="20" s="1"/>
  <c r="AY28" i="1"/>
  <c r="AY31" i="1"/>
  <c r="AY30" i="1"/>
  <c r="AY29" i="1"/>
  <c r="AY32" i="1"/>
  <c r="Y20" i="24"/>
  <c r="AX63" i="1" s="1"/>
  <c r="AX65" i="1" s="1"/>
  <c r="AX102" i="1" s="1"/>
  <c r="Z14" i="24" l="1"/>
  <c r="AY33" i="1"/>
  <c r="AY34" i="1" s="1"/>
  <c r="Z18" i="24" s="1"/>
  <c r="Z19" i="24" s="1"/>
  <c r="AX76" i="1" s="1"/>
  <c r="AY10" i="1"/>
  <c r="Z15" i="24"/>
  <c r="AX66" i="1"/>
  <c r="K20" i="29"/>
  <c r="K19" i="27" s="1"/>
  <c r="K18" i="27"/>
  <c r="K34" i="29"/>
  <c r="BA21" i="1"/>
  <c r="BA19" i="1" s="1"/>
  <c r="K30" i="29"/>
  <c r="K25" i="27"/>
  <c r="I29" i="27"/>
  <c r="K27" i="29"/>
  <c r="K26" i="27" s="1"/>
  <c r="F26" i="20"/>
  <c r="G26" i="20" s="1"/>
  <c r="F29" i="20"/>
  <c r="G25" i="20"/>
  <c r="Z13" i="24"/>
  <c r="AY8" i="1"/>
  <c r="Z12" i="24"/>
  <c r="AY9" i="1"/>
  <c r="M12" i="29"/>
  <c r="M18" i="25"/>
  <c r="Y21" i="24"/>
  <c r="AY7" i="1"/>
  <c r="Z11" i="24"/>
  <c r="AX78" i="1" l="1"/>
  <c r="AX77" i="1"/>
  <c r="AX80" i="1"/>
  <c r="AX95" i="1" s="1"/>
  <c r="AX67" i="1"/>
  <c r="AX46" i="1"/>
  <c r="BA17" i="1"/>
  <c r="D15" i="31" s="1"/>
  <c r="K31" i="29"/>
  <c r="K30" i="27" s="1"/>
  <c r="K29" i="27"/>
  <c r="M19" i="25"/>
  <c r="M18" i="29"/>
  <c r="F30" i="20"/>
  <c r="G30" i="20" s="1"/>
  <c r="G29" i="20"/>
  <c r="AY12" i="1"/>
  <c r="M23" i="29"/>
  <c r="Z20" i="24"/>
  <c r="M13" i="29"/>
  <c r="M14" i="29" s="1"/>
  <c r="AX97" i="1" l="1"/>
  <c r="AX98" i="1"/>
  <c r="AX99" i="1" s="1"/>
  <c r="AX110" i="1" s="1"/>
  <c r="AX100" i="1"/>
  <c r="BA26" i="1"/>
  <c r="BB21" i="1"/>
  <c r="BB19" i="1" s="1"/>
  <c r="M20" i="25"/>
  <c r="M26" i="25"/>
  <c r="M19" i="29"/>
  <c r="M20" i="29" s="1"/>
  <c r="AY91" i="1"/>
  <c r="N12" i="29"/>
  <c r="AY13" i="1"/>
  <c r="M24" i="29"/>
  <c r="Z21" i="24"/>
  <c r="AY63" i="1"/>
  <c r="AY65" i="1" s="1"/>
  <c r="N18" i="25" l="1"/>
  <c r="N19" i="25" s="1"/>
  <c r="AY102" i="1"/>
  <c r="AX154" i="1"/>
  <c r="AX162" i="1"/>
  <c r="BA29" i="1"/>
  <c r="BA32" i="1"/>
  <c r="BA31" i="1"/>
  <c r="BA30" i="1"/>
  <c r="BA28" i="1"/>
  <c r="BB17" i="1"/>
  <c r="E15" i="31" s="1"/>
  <c r="M30" i="25"/>
  <c r="M31" i="25" s="1"/>
  <c r="M27" i="25"/>
  <c r="M26" i="29"/>
  <c r="M30" i="29" s="1"/>
  <c r="M31" i="29" s="1"/>
  <c r="AY14" i="1"/>
  <c r="N18" i="29"/>
  <c r="N13" i="29"/>
  <c r="N14" i="29" s="1"/>
  <c r="AB14" i="24" l="1"/>
  <c r="BA33" i="1"/>
  <c r="BA34" i="1" s="1"/>
  <c r="AB18" i="24" s="1"/>
  <c r="AB19" i="24" s="1"/>
  <c r="AZ76" i="1" s="1"/>
  <c r="BA10" i="1"/>
  <c r="AB15" i="24"/>
  <c r="BB26" i="1"/>
  <c r="BC21" i="1"/>
  <c r="BC19" i="1" s="1"/>
  <c r="AB12" i="24"/>
  <c r="BA9" i="1"/>
  <c r="BA7" i="1"/>
  <c r="AB11" i="24"/>
  <c r="BA8" i="1"/>
  <c r="AB13" i="24"/>
  <c r="AY124" i="1"/>
  <c r="AY125" i="1" s="1"/>
  <c r="AY163" i="1" s="1"/>
  <c r="AY44" i="1"/>
  <c r="AY45" i="1" s="1"/>
  <c r="N20" i="25"/>
  <c r="N26" i="25"/>
  <c r="N19" i="29"/>
  <c r="AY35" i="1"/>
  <c r="M27" i="29"/>
  <c r="AY66" i="1"/>
  <c r="AZ78" i="1" l="1"/>
  <c r="AZ77" i="1"/>
  <c r="AZ80" i="1" s="1"/>
  <c r="AB20" i="24"/>
  <c r="AB21" i="24" s="1"/>
  <c r="BA12" i="1"/>
  <c r="D12" i="31" s="1"/>
  <c r="BC17" i="1"/>
  <c r="F15" i="31" s="1"/>
  <c r="BB30" i="1"/>
  <c r="BB29" i="1"/>
  <c r="BB28" i="1"/>
  <c r="BB32" i="1"/>
  <c r="BB31" i="1"/>
  <c r="AY46" i="1"/>
  <c r="N30" i="25"/>
  <c r="N31" i="25" s="1"/>
  <c r="N27" i="25"/>
  <c r="AY67" i="1"/>
  <c r="N20" i="29"/>
  <c r="AC14" i="24" l="1"/>
  <c r="BB33" i="1"/>
  <c r="BB34" i="1" s="1"/>
  <c r="AC18" i="24" s="1"/>
  <c r="AC19" i="24" s="1"/>
  <c r="BA76" i="1" s="1"/>
  <c r="BB10" i="1"/>
  <c r="AC15" i="24"/>
  <c r="BA63" i="1"/>
  <c r="BA65" i="1" s="1"/>
  <c r="D18" i="31" s="1"/>
  <c r="BC26" i="1"/>
  <c r="BD21" i="1"/>
  <c r="BD19" i="1" s="1"/>
  <c r="AC13" i="24"/>
  <c r="BB8" i="1"/>
  <c r="AC12" i="24"/>
  <c r="BB9" i="1"/>
  <c r="BA13" i="1"/>
  <c r="BA91" i="1"/>
  <c r="BB7" i="1"/>
  <c r="AC11" i="24"/>
  <c r="BA78" i="1" l="1"/>
  <c r="BA77" i="1"/>
  <c r="BA80" i="1" s="1"/>
  <c r="BA14" i="1"/>
  <c r="BA35" i="1" s="1"/>
  <c r="D13" i="31"/>
  <c r="D14" i="31" s="1"/>
  <c r="D19" i="31" s="1"/>
  <c r="BA102" i="1"/>
  <c r="BB12" i="1"/>
  <c r="E12" i="31" s="1"/>
  <c r="BC32" i="1"/>
  <c r="BC28" i="1"/>
  <c r="BC31" i="1"/>
  <c r="BC29" i="1"/>
  <c r="BC30" i="1"/>
  <c r="BA95" i="1"/>
  <c r="D23" i="31" s="1"/>
  <c r="D24" i="31" s="1"/>
  <c r="BA124" i="1"/>
  <c r="BA125" i="1" s="1"/>
  <c r="AC20" i="24"/>
  <c r="BD17" i="1"/>
  <c r="G15" i="31" s="1"/>
  <c r="AD14" i="24" l="1"/>
  <c r="BC33" i="1"/>
  <c r="BC34" i="1" s="1"/>
  <c r="AD18" i="24" s="1"/>
  <c r="AD19" i="24" s="1"/>
  <c r="BB76" i="1" s="1"/>
  <c r="BA44" i="1"/>
  <c r="BA45" i="1" s="1"/>
  <c r="BA66" i="1"/>
  <c r="BA67" i="1" s="1"/>
  <c r="D20" i="31"/>
  <c r="D26" i="31"/>
  <c r="D27" i="31" s="1"/>
  <c r="BC10" i="1"/>
  <c r="AD15" i="24"/>
  <c r="BB13" i="1"/>
  <c r="BB91" i="1"/>
  <c r="BB63" i="1"/>
  <c r="BB65" i="1" s="1"/>
  <c r="E18" i="31" s="1"/>
  <c r="AC21" i="24"/>
  <c r="AD13" i="24"/>
  <c r="BC8" i="1"/>
  <c r="BA46" i="1"/>
  <c r="BC7" i="1"/>
  <c r="AD11" i="24"/>
  <c r="AD12" i="24"/>
  <c r="BC9" i="1"/>
  <c r="BA98" i="1"/>
  <c r="BA99" i="1" s="1"/>
  <c r="BA97" i="1"/>
  <c r="BE21" i="1"/>
  <c r="BE19" i="1" s="1"/>
  <c r="BE17" i="1" s="1"/>
  <c r="H15" i="31" s="1"/>
  <c r="BD26" i="1"/>
  <c r="BB78" i="1" l="1"/>
  <c r="BB77" i="1"/>
  <c r="BB80" i="1" s="1"/>
  <c r="BB95" i="1" s="1"/>
  <c r="D30" i="31"/>
  <c r="D31" i="31" s="1"/>
  <c r="BB14" i="1"/>
  <c r="E13" i="31"/>
  <c r="E14" i="31" s="1"/>
  <c r="E19" i="31" s="1"/>
  <c r="BB102" i="1"/>
  <c r="BC12" i="1"/>
  <c r="F12" i="31" s="1"/>
  <c r="BD29" i="1"/>
  <c r="BD30" i="1"/>
  <c r="BD32" i="1"/>
  <c r="BD28" i="1"/>
  <c r="BD31" i="1"/>
  <c r="BF21" i="1"/>
  <c r="BF19" i="1" s="1"/>
  <c r="BF17" i="1" s="1"/>
  <c r="I15" i="31" s="1"/>
  <c r="BE26" i="1"/>
  <c r="BA110" i="1"/>
  <c r="BA162" i="1" s="1"/>
  <c r="BA100" i="1"/>
  <c r="AD20" i="24"/>
  <c r="E23" i="31" l="1"/>
  <c r="E24" i="31" s="1"/>
  <c r="E26" i="31" s="1"/>
  <c r="BB97" i="1"/>
  <c r="BB98" i="1"/>
  <c r="BB66" i="1"/>
  <c r="AE14" i="24"/>
  <c r="BD33" i="1"/>
  <c r="BD34" i="1" s="1"/>
  <c r="AE18" i="24" s="1"/>
  <c r="AE19" i="24" s="1"/>
  <c r="BC76" i="1" s="1"/>
  <c r="BB44" i="1"/>
  <c r="BB45" i="1" s="1"/>
  <c r="BB124" i="1"/>
  <c r="BB125" i="1" s="1"/>
  <c r="BB163" i="1" s="1"/>
  <c r="BB35" i="1"/>
  <c r="E20" i="31"/>
  <c r="BD10" i="1"/>
  <c r="AE15" i="24"/>
  <c r="BC13" i="1"/>
  <c r="BC91" i="1"/>
  <c r="BB67" i="1"/>
  <c r="BB46" i="1"/>
  <c r="BB99" i="1"/>
  <c r="BC63" i="1"/>
  <c r="BC65" i="1" s="1"/>
  <c r="AD21" i="24"/>
  <c r="AE13" i="24"/>
  <c r="BD8" i="1"/>
  <c r="AE11" i="24"/>
  <c r="BD7" i="1"/>
  <c r="AE12" i="24"/>
  <c r="BD9" i="1"/>
  <c r="BE30" i="1"/>
  <c r="BE31" i="1"/>
  <c r="BE28" i="1"/>
  <c r="BE29" i="1"/>
  <c r="BE32" i="1"/>
  <c r="BF26" i="1"/>
  <c r="BG21" i="1"/>
  <c r="BG19" i="1" s="1"/>
  <c r="BG17" i="1" s="1"/>
  <c r="J15" i="31" s="1"/>
  <c r="E27" i="31" l="1"/>
  <c r="E30" i="31"/>
  <c r="E31" i="31" s="1"/>
  <c r="AF14" i="24"/>
  <c r="BE33" i="1"/>
  <c r="BE34" i="1" s="1"/>
  <c r="AF18" i="24" s="1"/>
  <c r="AF19" i="24" s="1"/>
  <c r="BD76" i="1" s="1"/>
  <c r="BC78" i="1"/>
  <c r="BC77" i="1"/>
  <c r="BC80" i="1" s="1"/>
  <c r="BC95" i="1"/>
  <c r="F23" i="31" s="1"/>
  <c r="F24" i="31" s="1"/>
  <c r="BE10" i="1"/>
  <c r="AF15" i="24"/>
  <c r="BC14" i="1"/>
  <c r="BC44" i="1" s="1"/>
  <c r="BC45" i="1" s="1"/>
  <c r="F13" i="31"/>
  <c r="F14" i="31" s="1"/>
  <c r="BC102" i="1"/>
  <c r="BC48" i="1" s="1"/>
  <c r="F18" i="31"/>
  <c r="F19" i="31" s="1"/>
  <c r="BB100" i="1"/>
  <c r="BB110" i="1"/>
  <c r="BB162" i="1" s="1"/>
  <c r="BB165" i="1" s="1"/>
  <c r="AE20" i="24"/>
  <c r="BD12" i="1"/>
  <c r="G12" i="31" s="1"/>
  <c r="BE7" i="1"/>
  <c r="AF11" i="24"/>
  <c r="BE8" i="1"/>
  <c r="AF13" i="24"/>
  <c r="BH21" i="1"/>
  <c r="BH19" i="1" s="1"/>
  <c r="BH17" i="1" s="1"/>
  <c r="K15" i="31" s="1"/>
  <c r="BG26" i="1"/>
  <c r="AF12" i="24"/>
  <c r="BE9" i="1"/>
  <c r="BF30" i="1"/>
  <c r="BF32" i="1"/>
  <c r="BF31" i="1"/>
  <c r="BF28" i="1"/>
  <c r="BF29" i="1"/>
  <c r="AG14" i="24" l="1"/>
  <c r="BF33" i="1"/>
  <c r="BF34" i="1" s="1"/>
  <c r="AG18" i="24" s="1"/>
  <c r="AG19" i="24" s="1"/>
  <c r="BE76" i="1" s="1"/>
  <c r="BD78" i="1"/>
  <c r="BD77" i="1"/>
  <c r="BD80" i="1" s="1"/>
  <c r="BC98" i="1"/>
  <c r="BC97" i="1"/>
  <c r="BC124" i="1"/>
  <c r="BC125" i="1" s="1"/>
  <c r="BC163" i="1" s="1"/>
  <c r="BC66" i="1"/>
  <c r="BC46" i="1" s="1"/>
  <c r="BC50" i="1" s="1"/>
  <c r="BC35" i="1"/>
  <c r="BF10" i="1"/>
  <c r="AG15" i="24"/>
  <c r="F20" i="31"/>
  <c r="F26" i="31"/>
  <c r="BD13" i="1"/>
  <c r="BD91" i="1"/>
  <c r="BD95" i="1" s="1"/>
  <c r="G23" i="31" s="1"/>
  <c r="G24" i="31" s="1"/>
  <c r="BD63" i="1"/>
  <c r="BD65" i="1" s="1"/>
  <c r="G18" i="31" s="1"/>
  <c r="AE21" i="24"/>
  <c r="AG13" i="24"/>
  <c r="BF8" i="1"/>
  <c r="AF20" i="24"/>
  <c r="BE12" i="1"/>
  <c r="H12" i="31" s="1"/>
  <c r="AG12" i="24"/>
  <c r="BF9" i="1"/>
  <c r="BG28" i="1"/>
  <c r="BG31" i="1"/>
  <c r="BG29" i="1"/>
  <c r="BG32" i="1"/>
  <c r="BG30" i="1"/>
  <c r="BF7" i="1"/>
  <c r="AG11" i="24"/>
  <c r="BH26" i="1"/>
  <c r="BI21" i="1"/>
  <c r="BI19" i="1" s="1"/>
  <c r="BI17" i="1" s="1"/>
  <c r="L15" i="31" s="1"/>
  <c r="BC99" i="1" l="1"/>
  <c r="BC67" i="1"/>
  <c r="BE78" i="1"/>
  <c r="BE77" i="1"/>
  <c r="BE80" i="1" s="1"/>
  <c r="AH14" i="24"/>
  <c r="BG33" i="1"/>
  <c r="BG34" i="1" s="1"/>
  <c r="AH18" i="24" s="1"/>
  <c r="AH19" i="24" s="1"/>
  <c r="BF76" i="1" s="1"/>
  <c r="BG10" i="1"/>
  <c r="AH15" i="24"/>
  <c r="BD14" i="1"/>
  <c r="G13" i="31"/>
  <c r="G14" i="31" s="1"/>
  <c r="G19" i="31" s="1"/>
  <c r="BC47" i="1"/>
  <c r="BC49" i="1" s="1"/>
  <c r="F27" i="31"/>
  <c r="F30" i="31"/>
  <c r="F31" i="31" s="1"/>
  <c r="BD102" i="1"/>
  <c r="BD48" i="1" s="1"/>
  <c r="BC110" i="1"/>
  <c r="BC162" i="1" s="1"/>
  <c r="BC165" i="1" s="1"/>
  <c r="BC100" i="1"/>
  <c r="BF12" i="1"/>
  <c r="I12" i="31" s="1"/>
  <c r="BI26" i="1"/>
  <c r="BJ21" i="1"/>
  <c r="BJ19" i="1" s="1"/>
  <c r="BJ17" i="1" s="1"/>
  <c r="M15" i="31" s="1"/>
  <c r="BG8" i="1"/>
  <c r="AH13" i="24"/>
  <c r="BH32" i="1"/>
  <c r="BH29" i="1"/>
  <c r="BH28" i="1"/>
  <c r="BH30" i="1"/>
  <c r="BH31" i="1"/>
  <c r="BD97" i="1"/>
  <c r="BD98" i="1"/>
  <c r="BE91" i="1"/>
  <c r="BE95" i="1" s="1"/>
  <c r="H23" i="31" s="1"/>
  <c r="H24" i="31" s="1"/>
  <c r="BE13" i="1"/>
  <c r="BG9" i="1"/>
  <c r="AH12" i="24"/>
  <c r="BE63" i="1"/>
  <c r="BE65" i="1" s="1"/>
  <c r="H18" i="31" s="1"/>
  <c r="AF21" i="24"/>
  <c r="AG20" i="24"/>
  <c r="BG7" i="1"/>
  <c r="AH11" i="24"/>
  <c r="BF78" i="1" l="1"/>
  <c r="BF77" i="1"/>
  <c r="BF80" i="1" s="1"/>
  <c r="AI14" i="24"/>
  <c r="BH33" i="1"/>
  <c r="BH34" i="1" s="1"/>
  <c r="AI18" i="24" s="1"/>
  <c r="AI19" i="24" s="1"/>
  <c r="BG76" i="1" s="1"/>
  <c r="BD124" i="1"/>
  <c r="BD125" i="1" s="1"/>
  <c r="BD163" i="1" s="1"/>
  <c r="G26" i="31"/>
  <c r="G30" i="31" s="1"/>
  <c r="G31" i="31" s="1"/>
  <c r="G20" i="31"/>
  <c r="BH10" i="1"/>
  <c r="AI15" i="24"/>
  <c r="BD66" i="1"/>
  <c r="BD67" i="1" s="1"/>
  <c r="BE14" i="1"/>
  <c r="BE35" i="1" s="1"/>
  <c r="H13" i="31"/>
  <c r="H14" i="31" s="1"/>
  <c r="H19" i="31" s="1"/>
  <c r="BD35" i="1"/>
  <c r="BD44" i="1"/>
  <c r="BD45" i="1" s="1"/>
  <c r="BE102" i="1"/>
  <c r="BE48" i="1" s="1"/>
  <c r="BF91" i="1"/>
  <c r="BF95" i="1" s="1"/>
  <c r="I23" i="31" s="1"/>
  <c r="I24" i="31" s="1"/>
  <c r="BF13" i="1"/>
  <c r="BF63" i="1"/>
  <c r="BF65" i="1" s="1"/>
  <c r="I18" i="31" s="1"/>
  <c r="AG21" i="24"/>
  <c r="BJ26" i="1"/>
  <c r="BK21" i="1"/>
  <c r="BK19" i="1" s="1"/>
  <c r="BK17" i="1" s="1"/>
  <c r="N15" i="31" s="1"/>
  <c r="BH9" i="1"/>
  <c r="AI12" i="24"/>
  <c r="BH7" i="1"/>
  <c r="AI11" i="24"/>
  <c r="AH20" i="24"/>
  <c r="BE98" i="1"/>
  <c r="BE97" i="1"/>
  <c r="BH8" i="1"/>
  <c r="AI13" i="24"/>
  <c r="BG12" i="1"/>
  <c r="J12" i="31" s="1"/>
  <c r="BG78" i="1" l="1"/>
  <c r="BG77" i="1"/>
  <c r="BG80" i="1" s="1"/>
  <c r="G27" i="31"/>
  <c r="BE124" i="1"/>
  <c r="BE125" i="1" s="1"/>
  <c r="BE163" i="1" s="1"/>
  <c r="H20" i="31"/>
  <c r="H26" i="31"/>
  <c r="H30" i="31" s="1"/>
  <c r="H31" i="31" s="1"/>
  <c r="BF14" i="1"/>
  <c r="BF124" i="1" s="1"/>
  <c r="BF125" i="1" s="1"/>
  <c r="I13" i="31"/>
  <c r="I14" i="31" s="1"/>
  <c r="I19" i="31" s="1"/>
  <c r="BE44" i="1"/>
  <c r="BE45" i="1" s="1"/>
  <c r="BD99" i="1"/>
  <c r="BD110" i="1" s="1"/>
  <c r="BD162" i="1" s="1"/>
  <c r="BD165" i="1" s="1"/>
  <c r="BD46" i="1"/>
  <c r="BD50" i="1" s="1"/>
  <c r="BE66" i="1"/>
  <c r="BF102" i="1"/>
  <c r="BF48" i="1" s="1"/>
  <c r="BF98" i="1"/>
  <c r="BF97" i="1"/>
  <c r="BF44" i="1"/>
  <c r="BF45" i="1" s="1"/>
  <c r="AI20" i="24"/>
  <c r="BH63" i="1" s="1"/>
  <c r="BH65" i="1" s="1"/>
  <c r="K18" i="31" s="1"/>
  <c r="BG91" i="1"/>
  <c r="BG95" i="1" s="1"/>
  <c r="J23" i="31" s="1"/>
  <c r="J24" i="31" s="1"/>
  <c r="BG13" i="1"/>
  <c r="BE46" i="1"/>
  <c r="BE99" i="1"/>
  <c r="BE67" i="1"/>
  <c r="BL21" i="1"/>
  <c r="BL19" i="1" s="1"/>
  <c r="BL17" i="1" s="1"/>
  <c r="BM21" i="1" s="1"/>
  <c r="BM19" i="1" s="1"/>
  <c r="BM17" i="1" s="1"/>
  <c r="BK26" i="1"/>
  <c r="K16" i="5"/>
  <c r="BJ28" i="1"/>
  <c r="BJ30" i="1"/>
  <c r="BJ29" i="1"/>
  <c r="BJ32" i="1"/>
  <c r="BJ31" i="1"/>
  <c r="AH21" i="24"/>
  <c r="BG63" i="1"/>
  <c r="BG65" i="1" s="1"/>
  <c r="J18" i="31" s="1"/>
  <c r="BH12" i="1"/>
  <c r="K12" i="31" s="1"/>
  <c r="AK14" i="24" l="1"/>
  <c r="BJ33" i="1"/>
  <c r="BJ34" i="1" s="1"/>
  <c r="AK18" i="24" s="1"/>
  <c r="AK19" i="24" s="1"/>
  <c r="BI76" i="1" s="1"/>
  <c r="BF163" i="1"/>
  <c r="H27" i="31"/>
  <c r="BF35" i="1"/>
  <c r="BD47" i="1"/>
  <c r="BD49" i="1" s="1"/>
  <c r="BF66" i="1"/>
  <c r="BF46" i="1" s="1"/>
  <c r="BF47" i="1" s="1"/>
  <c r="BF49" i="1" s="1"/>
  <c r="I26" i="31"/>
  <c r="I30" i="31" s="1"/>
  <c r="I31" i="31" s="1"/>
  <c r="I20" i="31"/>
  <c r="BE47" i="1"/>
  <c r="BE49" i="1" s="1"/>
  <c r="BG14" i="1"/>
  <c r="BG44" i="1" s="1"/>
  <c r="BG45" i="1" s="1"/>
  <c r="J13" i="31"/>
  <c r="J14" i="31" s="1"/>
  <c r="J19" i="31" s="1"/>
  <c r="BJ10" i="1"/>
  <c r="AK15" i="24"/>
  <c r="BD100" i="1"/>
  <c r="BG102" i="1"/>
  <c r="BG48" i="1" s="1"/>
  <c r="AI21" i="24"/>
  <c r="BE110" i="1"/>
  <c r="BE162" i="1" s="1"/>
  <c r="BE165" i="1" s="1"/>
  <c r="BE100" i="1"/>
  <c r="BJ8" i="1"/>
  <c r="AK13" i="24"/>
  <c r="AK12" i="24"/>
  <c r="BJ9" i="1"/>
  <c r="BE50" i="1"/>
  <c r="AK11" i="24"/>
  <c r="BJ7" i="1"/>
  <c r="BG97" i="1"/>
  <c r="BG98" i="1"/>
  <c r="BH13" i="1"/>
  <c r="BH91" i="1"/>
  <c r="BK31" i="1"/>
  <c r="BK29" i="1"/>
  <c r="BK32" i="1"/>
  <c r="BK30" i="1"/>
  <c r="BK28" i="1"/>
  <c r="BN21" i="1"/>
  <c r="BN19" i="1" s="1"/>
  <c r="BN17" i="1" s="1"/>
  <c r="BM26" i="1"/>
  <c r="AL14" i="24" l="1"/>
  <c r="BK33" i="1"/>
  <c r="BK34" i="1" s="1"/>
  <c r="AL18" i="24" s="1"/>
  <c r="AL19" i="24" s="1"/>
  <c r="BJ76" i="1" s="1"/>
  <c r="BF99" i="1"/>
  <c r="BF100" i="1" s="1"/>
  <c r="BI78" i="1"/>
  <c r="BI77" i="1"/>
  <c r="BI80" i="1" s="1"/>
  <c r="BF67" i="1"/>
  <c r="I27" i="31"/>
  <c r="BG35" i="1"/>
  <c r="BG124" i="1"/>
  <c r="BG125" i="1" s="1"/>
  <c r="BG163" i="1" s="1"/>
  <c r="BG66" i="1"/>
  <c r="J26" i="31"/>
  <c r="J30" i="31" s="1"/>
  <c r="J31" i="31" s="1"/>
  <c r="J20" i="31"/>
  <c r="BK10" i="1"/>
  <c r="AL15" i="24"/>
  <c r="BH14" i="1"/>
  <c r="BH66" i="1" s="1"/>
  <c r="K13" i="31"/>
  <c r="K14" i="31" s="1"/>
  <c r="K19" i="31" s="1"/>
  <c r="BH102" i="1"/>
  <c r="BH48" i="1"/>
  <c r="BF110" i="1"/>
  <c r="BF162" i="1" s="1"/>
  <c r="BF165" i="1" s="1"/>
  <c r="BF50" i="1"/>
  <c r="AL12" i="24"/>
  <c r="BK9" i="1"/>
  <c r="BK8" i="1"/>
  <c r="AL13" i="24"/>
  <c r="BM31" i="1"/>
  <c r="BM30" i="1"/>
  <c r="BM32" i="1"/>
  <c r="BM29" i="1"/>
  <c r="BM28" i="1"/>
  <c r="BJ12" i="1"/>
  <c r="M12" i="31" s="1"/>
  <c r="AK20" i="24"/>
  <c r="BO21" i="1"/>
  <c r="BO19" i="1" s="1"/>
  <c r="BO17" i="1" s="1"/>
  <c r="BN26" i="1"/>
  <c r="BG46" i="1"/>
  <c r="BG67" i="1"/>
  <c r="BG99" i="1"/>
  <c r="BK7" i="1"/>
  <c r="AL11" i="24"/>
  <c r="AN14" i="24" l="1"/>
  <c r="BM33" i="1"/>
  <c r="BM34" i="1" s="1"/>
  <c r="AN18" i="24" s="1"/>
  <c r="AN19" i="24" s="1"/>
  <c r="BL76" i="1" s="1"/>
  <c r="BJ78" i="1"/>
  <c r="BJ77" i="1"/>
  <c r="BJ80" i="1" s="1"/>
  <c r="BH44" i="1"/>
  <c r="BH45" i="1" s="1"/>
  <c r="J27" i="31"/>
  <c r="BH35" i="1"/>
  <c r="K20" i="31"/>
  <c r="BM10" i="1"/>
  <c r="AN15" i="24"/>
  <c r="BH124" i="1"/>
  <c r="BH125" i="1" s="1"/>
  <c r="BH163" i="1" s="1"/>
  <c r="AL20" i="24"/>
  <c r="BH46" i="1"/>
  <c r="BH67" i="1"/>
  <c r="BK12" i="1"/>
  <c r="N12" i="31" s="1"/>
  <c r="BG110" i="1"/>
  <c r="BG162" i="1" s="1"/>
  <c r="BG165" i="1" s="1"/>
  <c r="BG100" i="1"/>
  <c r="BN31" i="1"/>
  <c r="BN32" i="1"/>
  <c r="BN30" i="1"/>
  <c r="BN28" i="1"/>
  <c r="BN29" i="1"/>
  <c r="BJ63" i="1"/>
  <c r="BJ65" i="1" s="1"/>
  <c r="M18" i="31" s="1"/>
  <c r="AK21" i="24"/>
  <c r="BJ91" i="1"/>
  <c r="BJ13" i="1"/>
  <c r="BM8" i="1"/>
  <c r="AN13" i="24"/>
  <c r="BO26" i="1"/>
  <c r="BP21" i="1"/>
  <c r="BP19" i="1" s="1"/>
  <c r="BP17" i="1" s="1"/>
  <c r="BM9" i="1"/>
  <c r="AN12" i="24"/>
  <c r="BG47" i="1"/>
  <c r="BG49" i="1" s="1"/>
  <c r="BG50" i="1"/>
  <c r="AN11" i="24"/>
  <c r="BM7" i="1"/>
  <c r="AO14" i="24" l="1"/>
  <c r="BN33" i="1"/>
  <c r="BN34" i="1" s="1"/>
  <c r="AO18" i="24" s="1"/>
  <c r="AO19" i="24" s="1"/>
  <c r="BM76" i="1" s="1"/>
  <c r="BJ95" i="1"/>
  <c r="M23" i="31" s="1"/>
  <c r="M24" i="31" s="1"/>
  <c r="BL78" i="1"/>
  <c r="BL77" i="1"/>
  <c r="BL80" i="1" s="1"/>
  <c r="BJ14" i="1"/>
  <c r="BJ35" i="1" s="1"/>
  <c r="M13" i="31"/>
  <c r="M14" i="31" s="1"/>
  <c r="M19" i="31" s="1"/>
  <c r="BN10" i="1"/>
  <c r="AO15" i="24"/>
  <c r="BJ102" i="1"/>
  <c r="BK63" i="1"/>
  <c r="BK65" i="1" s="1"/>
  <c r="N18" i="31" s="1"/>
  <c r="AL21" i="24"/>
  <c r="BH47" i="1"/>
  <c r="BH49" i="1" s="1"/>
  <c r="BH50" i="1"/>
  <c r="BO29" i="1"/>
  <c r="BO31" i="1"/>
  <c r="BO32" i="1"/>
  <c r="BO30" i="1"/>
  <c r="BO28" i="1"/>
  <c r="BJ44" i="1"/>
  <c r="BJ45" i="1" s="1"/>
  <c r="BJ124" i="1"/>
  <c r="BJ125" i="1" s="1"/>
  <c r="BM12" i="1"/>
  <c r="BK13" i="1"/>
  <c r="BK91" i="1"/>
  <c r="AO11" i="24"/>
  <c r="BN7" i="1"/>
  <c r="BJ97" i="1"/>
  <c r="BJ98" i="1"/>
  <c r="AN20" i="24"/>
  <c r="BP26" i="1"/>
  <c r="BQ21" i="1"/>
  <c r="BQ19" i="1" s="1"/>
  <c r="BQ17" i="1" s="1"/>
  <c r="AO13" i="24"/>
  <c r="BN8" i="1"/>
  <c r="BN9" i="1"/>
  <c r="AO12" i="24"/>
  <c r="BM78" i="1" l="1"/>
  <c r="BM77" i="1"/>
  <c r="BM80" i="1" s="1"/>
  <c r="AP14" i="24"/>
  <c r="BO33" i="1"/>
  <c r="BO34" i="1" s="1"/>
  <c r="AP18" i="24" s="1"/>
  <c r="AP19" i="24" s="1"/>
  <c r="BN76" i="1" s="1"/>
  <c r="BJ66" i="1"/>
  <c r="BJ46" i="1" s="1"/>
  <c r="M20" i="31"/>
  <c r="M26" i="31"/>
  <c r="M30" i="31" s="1"/>
  <c r="M31" i="31" s="1"/>
  <c r="BO10" i="1"/>
  <c r="AP15" i="24"/>
  <c r="BK14" i="1"/>
  <c r="BK44" i="1" s="1"/>
  <c r="BK45" i="1" s="1"/>
  <c r="N13" i="31"/>
  <c r="N14" i="31" s="1"/>
  <c r="N19" i="31" s="1"/>
  <c r="M27" i="31"/>
  <c r="BK102" i="1"/>
  <c r="AO20" i="24"/>
  <c r="BP31" i="1"/>
  <c r="BP32" i="1"/>
  <c r="BP28" i="1"/>
  <c r="BP30" i="1"/>
  <c r="BP29" i="1"/>
  <c r="AP12" i="24"/>
  <c r="BO9" i="1"/>
  <c r="BN12" i="1"/>
  <c r="BR21" i="1"/>
  <c r="BR19" i="1" s="1"/>
  <c r="BR17" i="1" s="1"/>
  <c r="BQ26" i="1"/>
  <c r="AP11" i="24"/>
  <c r="BO7" i="1"/>
  <c r="BM63" i="1"/>
  <c r="BM65" i="1" s="1"/>
  <c r="AN21" i="24"/>
  <c r="BM13" i="1"/>
  <c r="BM14" i="1" s="1"/>
  <c r="BM91" i="1"/>
  <c r="BM95" i="1" s="1"/>
  <c r="AP13" i="24"/>
  <c r="BO8" i="1"/>
  <c r="BN78" i="1" l="1"/>
  <c r="BN77" i="1"/>
  <c r="BN80" i="1" s="1"/>
  <c r="BJ67" i="1"/>
  <c r="BJ99" i="1"/>
  <c r="BJ100" i="1" s="1"/>
  <c r="AQ14" i="24"/>
  <c r="BP33" i="1"/>
  <c r="BP34" i="1" s="1"/>
  <c r="AQ18" i="24" s="1"/>
  <c r="AQ19" i="24" s="1"/>
  <c r="BO76" i="1" s="1"/>
  <c r="BK124" i="1"/>
  <c r="BK125" i="1" s="1"/>
  <c r="BK163" i="1" s="1"/>
  <c r="BK66" i="1"/>
  <c r="BK46" i="1" s="1"/>
  <c r="N20" i="31"/>
  <c r="BK35" i="1"/>
  <c r="BP10" i="1"/>
  <c r="AQ15" i="24"/>
  <c r="BM102" i="1"/>
  <c r="BO12" i="1"/>
  <c r="BO91" i="1" s="1"/>
  <c r="AP20" i="24"/>
  <c r="BM98" i="1"/>
  <c r="BM97" i="1"/>
  <c r="BQ29" i="1"/>
  <c r="BQ31" i="1"/>
  <c r="BQ30" i="1"/>
  <c r="BQ32" i="1"/>
  <c r="BQ28" i="1"/>
  <c r="BR26" i="1"/>
  <c r="BS21" i="1"/>
  <c r="BS19" i="1" s="1"/>
  <c r="BS17" i="1" s="1"/>
  <c r="BP7" i="1"/>
  <c r="AQ11" i="24"/>
  <c r="BM44" i="1"/>
  <c r="BM45" i="1" s="1"/>
  <c r="BM124" i="1"/>
  <c r="BM125" i="1" s="1"/>
  <c r="BM66" i="1"/>
  <c r="BM35" i="1"/>
  <c r="BP8" i="1"/>
  <c r="AQ13" i="24"/>
  <c r="AQ12" i="24"/>
  <c r="BP9" i="1"/>
  <c r="BK67" i="1"/>
  <c r="BN13" i="1"/>
  <c r="BN14" i="1" s="1"/>
  <c r="BN91" i="1"/>
  <c r="AO21" i="24"/>
  <c r="BN63" i="1"/>
  <c r="BN65" i="1" s="1"/>
  <c r="AR14" i="24" l="1"/>
  <c r="BQ33" i="1"/>
  <c r="BQ34" i="1" s="1"/>
  <c r="AR18" i="24" s="1"/>
  <c r="AR19" i="24" s="1"/>
  <c r="BP76" i="1" s="1"/>
  <c r="BO78" i="1"/>
  <c r="BO77" i="1"/>
  <c r="BO80" i="1" s="1"/>
  <c r="BJ110" i="1"/>
  <c r="BJ162" i="1" s="1"/>
  <c r="BO95" i="1"/>
  <c r="BO98" i="1" s="1"/>
  <c r="BN95" i="1"/>
  <c r="BN98" i="1" s="1"/>
  <c r="BN102" i="1"/>
  <c r="BO13" i="1"/>
  <c r="BO14" i="1" s="1"/>
  <c r="BO44" i="1" s="1"/>
  <c r="BO45" i="1" s="1"/>
  <c r="BQ10" i="1"/>
  <c r="AR15" i="24"/>
  <c r="BO63" i="1"/>
  <c r="BO65" i="1" s="1"/>
  <c r="BO102" i="1" s="1"/>
  <c r="AP21" i="24"/>
  <c r="BQ9" i="1"/>
  <c r="AR12" i="24"/>
  <c r="AQ20" i="24"/>
  <c r="BN44" i="1"/>
  <c r="BN45" i="1" s="1"/>
  <c r="BN124" i="1"/>
  <c r="BN125" i="1" s="1"/>
  <c r="BN163" i="1" s="1"/>
  <c r="BN35" i="1"/>
  <c r="BN66" i="1"/>
  <c r="BM46" i="1"/>
  <c r="BM99" i="1"/>
  <c r="BM67" i="1"/>
  <c r="BP12" i="1"/>
  <c r="BQ8" i="1"/>
  <c r="AR13" i="24"/>
  <c r="BT21" i="1"/>
  <c r="BT19" i="1" s="1"/>
  <c r="BT17" i="1" s="1"/>
  <c r="BS26" i="1"/>
  <c r="BR31" i="1"/>
  <c r="BR30" i="1"/>
  <c r="BR29" i="1"/>
  <c r="BR28" i="1"/>
  <c r="BR32" i="1"/>
  <c r="AR11" i="24"/>
  <c r="BQ7" i="1"/>
  <c r="BO97" i="1" l="1"/>
  <c r="BN97" i="1"/>
  <c r="AS14" i="24"/>
  <c r="BR33" i="1"/>
  <c r="BR34" i="1" s="1"/>
  <c r="AS18" i="24" s="1"/>
  <c r="AS19" i="24" s="1"/>
  <c r="BQ76" i="1" s="1"/>
  <c r="BP78" i="1"/>
  <c r="BP77" i="1"/>
  <c r="BP80" i="1" s="1"/>
  <c r="BO35" i="1"/>
  <c r="BO124" i="1"/>
  <c r="BO125" i="1" s="1"/>
  <c r="BR10" i="1"/>
  <c r="AS15" i="24"/>
  <c r="AR20" i="24"/>
  <c r="AR21" i="24" s="1"/>
  <c r="BO48" i="1"/>
  <c r="BO66" i="1"/>
  <c r="BO163" i="1"/>
  <c r="BP91" i="1"/>
  <c r="BP95" i="1" s="1"/>
  <c r="BP13" i="1"/>
  <c r="BP14" i="1" s="1"/>
  <c r="BM110" i="1"/>
  <c r="BM162" i="1" s="1"/>
  <c r="BM100" i="1"/>
  <c r="BU21" i="1"/>
  <c r="BU19" i="1" s="1"/>
  <c r="BU17" i="1" s="1"/>
  <c r="BT26" i="1"/>
  <c r="BP63" i="1"/>
  <c r="BP65" i="1" s="1"/>
  <c r="AQ21" i="24"/>
  <c r="BS32" i="1"/>
  <c r="BS29" i="1"/>
  <c r="BS30" i="1"/>
  <c r="BS31" i="1"/>
  <c r="BS28" i="1"/>
  <c r="AS11" i="24"/>
  <c r="BR7" i="1"/>
  <c r="BN46" i="1"/>
  <c r="BN99" i="1"/>
  <c r="BN67" i="1"/>
  <c r="AS13" i="24"/>
  <c r="BR8" i="1"/>
  <c r="BQ12" i="1"/>
  <c r="AS12" i="24"/>
  <c r="BR9" i="1"/>
  <c r="BQ78" i="1" l="1"/>
  <c r="BQ77" i="1"/>
  <c r="BQ80" i="1" s="1"/>
  <c r="AT14" i="24"/>
  <c r="BS33" i="1"/>
  <c r="BS34" i="1" s="1"/>
  <c r="AT18" i="24" s="1"/>
  <c r="AT19" i="24" s="1"/>
  <c r="BR76" i="1" s="1"/>
  <c r="BS10" i="1"/>
  <c r="AT15" i="24"/>
  <c r="BQ63" i="1"/>
  <c r="BQ65" i="1" s="1"/>
  <c r="BP102" i="1"/>
  <c r="BP48" i="1" s="1"/>
  <c r="BO46" i="1"/>
  <c r="BO50" i="1" s="1"/>
  <c r="BO99" i="1"/>
  <c r="BO67" i="1"/>
  <c r="BO47" i="1"/>
  <c r="BO49" i="1" s="1"/>
  <c r="AS20" i="24"/>
  <c r="AT12" i="24"/>
  <c r="BS9" i="1"/>
  <c r="BT31" i="1"/>
  <c r="BT30" i="1"/>
  <c r="BT29" i="1"/>
  <c r="BT28" i="1"/>
  <c r="BT32" i="1"/>
  <c r="BN110" i="1"/>
  <c r="BN162" i="1" s="1"/>
  <c r="BN165" i="1" s="1"/>
  <c r="BN100" i="1"/>
  <c r="AT13" i="24"/>
  <c r="BS8" i="1"/>
  <c r="BV21" i="1"/>
  <c r="BV19" i="1" s="1"/>
  <c r="BV17" i="1" s="1"/>
  <c r="BU26" i="1"/>
  <c r="BQ13" i="1"/>
  <c r="BQ14" i="1" s="1"/>
  <c r="BQ91" i="1"/>
  <c r="BQ95" i="1" s="1"/>
  <c r="BR12" i="1"/>
  <c r="BP44" i="1"/>
  <c r="BP45" i="1" s="1"/>
  <c r="BP124" i="1"/>
  <c r="BP125" i="1" s="1"/>
  <c r="BP163" i="1" s="1"/>
  <c r="BP66" i="1"/>
  <c r="BP35" i="1"/>
  <c r="BS7" i="1"/>
  <c r="AT11" i="24"/>
  <c r="BP97" i="1"/>
  <c r="BP98" i="1"/>
  <c r="BR78" i="1" l="1"/>
  <c r="BR77" i="1"/>
  <c r="BR80" i="1" s="1"/>
  <c r="AU14" i="24"/>
  <c r="BT33" i="1"/>
  <c r="BT34" i="1" s="1"/>
  <c r="AU18" i="24" s="1"/>
  <c r="AU19" i="24" s="1"/>
  <c r="BS76" i="1" s="1"/>
  <c r="BT10" i="1"/>
  <c r="AU15" i="24"/>
  <c r="BQ102" i="1"/>
  <c r="BQ48" i="1" s="1"/>
  <c r="BO100" i="1"/>
  <c r="BO110" i="1"/>
  <c r="BO162" i="1" s="1"/>
  <c r="BO165" i="1" s="1"/>
  <c r="BR63" i="1"/>
  <c r="BR65" i="1" s="1"/>
  <c r="AS21" i="24"/>
  <c r="AT20" i="24"/>
  <c r="BV26" i="1"/>
  <c r="BW21" i="1"/>
  <c r="BW19" i="1" s="1"/>
  <c r="BW17" i="1" s="1"/>
  <c r="BP46" i="1"/>
  <c r="BP99" i="1"/>
  <c r="BP67" i="1"/>
  <c r="BR13" i="1"/>
  <c r="BR14" i="1" s="1"/>
  <c r="BR91" i="1"/>
  <c r="BR95" i="1" s="1"/>
  <c r="BT7" i="1"/>
  <c r="AU11" i="24"/>
  <c r="AU13" i="24"/>
  <c r="BT8" i="1"/>
  <c r="BS12" i="1"/>
  <c r="AU12" i="24"/>
  <c r="BT9" i="1"/>
  <c r="BQ97" i="1"/>
  <c r="BQ98" i="1"/>
  <c r="BQ44" i="1"/>
  <c r="BQ45" i="1" s="1"/>
  <c r="BQ35" i="1"/>
  <c r="BQ124" i="1"/>
  <c r="BQ125" i="1" s="1"/>
  <c r="BQ163" i="1" s="1"/>
  <c r="BQ66" i="1"/>
  <c r="BS78" i="1" l="1"/>
  <c r="BS77" i="1"/>
  <c r="BS80" i="1" s="1"/>
  <c r="BR102" i="1"/>
  <c r="BR48" i="1" s="1"/>
  <c r="BS63" i="1"/>
  <c r="BS65" i="1" s="1"/>
  <c r="AT21" i="24"/>
  <c r="BP47" i="1"/>
  <c r="BP49" i="1" s="1"/>
  <c r="BP50" i="1"/>
  <c r="AU20" i="24"/>
  <c r="BP100" i="1"/>
  <c r="BP110" i="1"/>
  <c r="BP162" i="1" s="1"/>
  <c r="BP165" i="1" s="1"/>
  <c r="BT12" i="1"/>
  <c r="BR44" i="1"/>
  <c r="BR124" i="1"/>
  <c r="BR125" i="1" s="1"/>
  <c r="BR163" i="1" s="1"/>
  <c r="BR35" i="1"/>
  <c r="BR66" i="1"/>
  <c r="BQ46" i="1"/>
  <c r="BQ99" i="1"/>
  <c r="BQ67" i="1"/>
  <c r="BW26" i="1"/>
  <c r="BX21" i="1"/>
  <c r="BX19" i="1" s="1"/>
  <c r="BX17" i="1" s="1"/>
  <c r="BY21" i="1" s="1"/>
  <c r="BY19" i="1" s="1"/>
  <c r="BY17" i="1" s="1"/>
  <c r="L16" i="5"/>
  <c r="BS91" i="1"/>
  <c r="BS95" i="1" s="1"/>
  <c r="BS13" i="1"/>
  <c r="BS14" i="1" s="1"/>
  <c r="BR98" i="1"/>
  <c r="BR97" i="1"/>
  <c r="BV29" i="1"/>
  <c r="BV30" i="1"/>
  <c r="BV32" i="1"/>
  <c r="BV31" i="1"/>
  <c r="BV28" i="1"/>
  <c r="AW14" i="24" l="1"/>
  <c r="BV33" i="1"/>
  <c r="BV34" i="1" s="1"/>
  <c r="AW18" i="24" s="1"/>
  <c r="AW19" i="24" s="1"/>
  <c r="BU76" i="1" s="1"/>
  <c r="BV10" i="1"/>
  <c r="AW15" i="24"/>
  <c r="BS102" i="1"/>
  <c r="BS48" i="1" s="1"/>
  <c r="BQ47" i="1"/>
  <c r="BQ49" i="1" s="1"/>
  <c r="BQ50" i="1"/>
  <c r="AW11" i="24"/>
  <c r="BV7" i="1"/>
  <c r="AU21" i="24"/>
  <c r="BT63" i="1"/>
  <c r="BT65" i="1" s="1"/>
  <c r="BY26" i="1"/>
  <c r="BZ21" i="1"/>
  <c r="BZ19" i="1" s="1"/>
  <c r="BZ17" i="1" s="1"/>
  <c r="BW31" i="1"/>
  <c r="BW30" i="1"/>
  <c r="BW32" i="1"/>
  <c r="BW28" i="1"/>
  <c r="BW29" i="1"/>
  <c r="AW13" i="24"/>
  <c r="BV8" i="1"/>
  <c r="BQ110" i="1"/>
  <c r="BQ162" i="1" s="1"/>
  <c r="BQ165" i="1" s="1"/>
  <c r="BQ100" i="1"/>
  <c r="BS97" i="1"/>
  <c r="BS98" i="1"/>
  <c r="BR45" i="1"/>
  <c r="BV9" i="1"/>
  <c r="AW12" i="24"/>
  <c r="BT13" i="1"/>
  <c r="BT14" i="1" s="1"/>
  <c r="BT91" i="1"/>
  <c r="BS44" i="1"/>
  <c r="BS66" i="1"/>
  <c r="BS35" i="1"/>
  <c r="BS124" i="1"/>
  <c r="BS125" i="1" s="1"/>
  <c r="BS163" i="1" s="1"/>
  <c r="BR46" i="1"/>
  <c r="BR99" i="1"/>
  <c r="BR67" i="1"/>
  <c r="AX14" i="24" l="1"/>
  <c r="BW33" i="1"/>
  <c r="BW34" i="1" s="1"/>
  <c r="AX18" i="24" s="1"/>
  <c r="AX19" i="24" s="1"/>
  <c r="BV76" i="1" s="1"/>
  <c r="BU78" i="1"/>
  <c r="BU77" i="1"/>
  <c r="BU80" i="1" s="1"/>
  <c r="BW10" i="1"/>
  <c r="AX15" i="24"/>
  <c r="BT102" i="1"/>
  <c r="BT48" i="1" s="1"/>
  <c r="BV12" i="1"/>
  <c r="BZ26" i="1"/>
  <c r="CA21" i="1"/>
  <c r="CA19" i="1" s="1"/>
  <c r="CA17" i="1" s="1"/>
  <c r="BR100" i="1"/>
  <c r="BR110" i="1"/>
  <c r="BR162" i="1" s="1"/>
  <c r="BR165" i="1" s="1"/>
  <c r="BR47" i="1"/>
  <c r="BR49" i="1" s="1"/>
  <c r="BS45" i="1"/>
  <c r="BW9" i="1"/>
  <c r="AX12" i="24"/>
  <c r="BT44" i="1"/>
  <c r="BT45" i="1" s="1"/>
  <c r="BT35" i="1"/>
  <c r="BT124" i="1"/>
  <c r="BT125" i="1" s="1"/>
  <c r="BT163" i="1" s="1"/>
  <c r="BT66" i="1"/>
  <c r="BY28" i="1"/>
  <c r="BY30" i="1"/>
  <c r="BY32" i="1"/>
  <c r="BY29" i="1"/>
  <c r="BY31" i="1"/>
  <c r="BR50" i="1"/>
  <c r="AX13" i="24"/>
  <c r="BW8" i="1"/>
  <c r="AX11" i="24"/>
  <c r="BW7" i="1"/>
  <c r="BS46" i="1"/>
  <c r="BS67" i="1"/>
  <c r="BS99" i="1"/>
  <c r="AW20" i="24"/>
  <c r="AZ14" i="24" l="1"/>
  <c r="BY33" i="1"/>
  <c r="BY34" i="1" s="1"/>
  <c r="AZ18" i="24" s="1"/>
  <c r="AZ19" i="24" s="1"/>
  <c r="BX76" i="1" s="1"/>
  <c r="BV78" i="1"/>
  <c r="BV77" i="1"/>
  <c r="BV80" i="1" s="1"/>
  <c r="BY10" i="1"/>
  <c r="AZ15" i="24"/>
  <c r="BV13" i="1"/>
  <c r="BV14" i="1" s="1"/>
  <c r="BV91" i="1"/>
  <c r="BS47" i="1"/>
  <c r="BS49" i="1" s="1"/>
  <c r="BS50" i="1"/>
  <c r="BS100" i="1"/>
  <c r="BS110" i="1"/>
  <c r="BS162" i="1" s="1"/>
  <c r="BS165" i="1" s="1"/>
  <c r="CA26" i="1"/>
  <c r="CB21" i="1"/>
  <c r="CB19" i="1" s="1"/>
  <c r="CB17" i="1" s="1"/>
  <c r="BY8" i="1"/>
  <c r="AZ13" i="24"/>
  <c r="BZ32" i="1"/>
  <c r="BZ31" i="1"/>
  <c r="BZ29" i="1"/>
  <c r="BZ30" i="1"/>
  <c r="BZ28" i="1"/>
  <c r="BV63" i="1"/>
  <c r="BV65" i="1" s="1"/>
  <c r="AW21" i="24"/>
  <c r="BT46" i="1"/>
  <c r="BT67" i="1"/>
  <c r="BW12" i="1"/>
  <c r="BY9" i="1"/>
  <c r="AZ12" i="24"/>
  <c r="AX20" i="24"/>
  <c r="BY7" i="1"/>
  <c r="AZ11" i="24"/>
  <c r="BA14" i="24" l="1"/>
  <c r="BZ33" i="1"/>
  <c r="BZ34" i="1" s="1"/>
  <c r="BA18" i="24" s="1"/>
  <c r="BA19" i="24" s="1"/>
  <c r="BY76" i="1" s="1"/>
  <c r="BX78" i="1"/>
  <c r="BX77" i="1"/>
  <c r="BX80" i="1" s="1"/>
  <c r="BV95" i="1"/>
  <c r="BV98" i="1" s="1"/>
  <c r="BZ10" i="1"/>
  <c r="BA15" i="24"/>
  <c r="BV102" i="1"/>
  <c r="BV44" i="1"/>
  <c r="BV45" i="1" s="1"/>
  <c r="BV124" i="1"/>
  <c r="BV125" i="1" s="1"/>
  <c r="BV35" i="1"/>
  <c r="BV97" i="1"/>
  <c r="BZ8" i="1"/>
  <c r="BA13" i="24"/>
  <c r="CB26" i="1"/>
  <c r="CC21" i="1"/>
  <c r="CC19" i="1" s="1"/>
  <c r="CC17" i="1" s="1"/>
  <c r="AZ20" i="24"/>
  <c r="BT47" i="1"/>
  <c r="BT49" i="1" s="1"/>
  <c r="BT50" i="1"/>
  <c r="BW63" i="1"/>
  <c r="BW65" i="1" s="1"/>
  <c r="AX21" i="24"/>
  <c r="BA12" i="24"/>
  <c r="BZ9" i="1"/>
  <c r="BW13" i="1"/>
  <c r="BW14" i="1" s="1"/>
  <c r="BW91" i="1"/>
  <c r="CA28" i="1"/>
  <c r="CA30" i="1"/>
  <c r="CA29" i="1"/>
  <c r="CA31" i="1"/>
  <c r="CA32" i="1"/>
  <c r="BY12" i="1"/>
  <c r="BV66" i="1"/>
  <c r="BA11" i="24"/>
  <c r="BZ7" i="1"/>
  <c r="BY78" i="1" l="1"/>
  <c r="BY77" i="1"/>
  <c r="BY80" i="1" s="1"/>
  <c r="BB14" i="24"/>
  <c r="CA33" i="1"/>
  <c r="CA34" i="1" s="1"/>
  <c r="BB18" i="24" s="1"/>
  <c r="BB19" i="24" s="1"/>
  <c r="BZ76" i="1" s="1"/>
  <c r="BW102" i="1"/>
  <c r="CA10" i="1"/>
  <c r="BB15" i="24"/>
  <c r="BZ12" i="1"/>
  <c r="BZ13" i="1" s="1"/>
  <c r="BZ14" i="1" s="1"/>
  <c r="CC26" i="1"/>
  <c r="CD21" i="1"/>
  <c r="CD19" i="1" s="1"/>
  <c r="CD17" i="1" s="1"/>
  <c r="CA7" i="1"/>
  <c r="BB11" i="24"/>
  <c r="BA20" i="24"/>
  <c r="BY63" i="1"/>
  <c r="BY65" i="1" s="1"/>
  <c r="AZ21" i="24"/>
  <c r="BV46" i="1"/>
  <c r="BV99" i="1"/>
  <c r="BV67" i="1"/>
  <c r="BW44" i="1"/>
  <c r="BW45" i="1" s="1"/>
  <c r="BW124" i="1"/>
  <c r="BW125" i="1" s="1"/>
  <c r="BW163" i="1" s="1"/>
  <c r="BW66" i="1"/>
  <c r="BW35" i="1"/>
  <c r="BY13" i="1"/>
  <c r="BY14" i="1" s="1"/>
  <c r="BY91" i="1"/>
  <c r="BY95" i="1" s="1"/>
  <c r="CB30" i="1"/>
  <c r="CB32" i="1"/>
  <c r="CB28" i="1"/>
  <c r="CB31" i="1"/>
  <c r="CB29" i="1"/>
  <c r="CA8" i="1"/>
  <c r="BB13" i="24"/>
  <c r="BB12" i="24"/>
  <c r="CA9" i="1"/>
  <c r="BZ78" i="1" l="1"/>
  <c r="BZ77" i="1"/>
  <c r="BZ80" i="1" s="1"/>
  <c r="BC14" i="24"/>
  <c r="CB33" i="1"/>
  <c r="CB34" i="1" s="1"/>
  <c r="BC18" i="24" s="1"/>
  <c r="BC19" i="24" s="1"/>
  <c r="CA76" i="1" s="1"/>
  <c r="CB10" i="1"/>
  <c r="BC15" i="24"/>
  <c r="BZ91" i="1"/>
  <c r="BZ95" i="1" s="1"/>
  <c r="BZ97" i="1" s="1"/>
  <c r="BY102" i="1"/>
  <c r="BB20" i="24"/>
  <c r="BY98" i="1"/>
  <c r="BY97" i="1"/>
  <c r="CD26" i="1"/>
  <c r="CE21" i="1"/>
  <c r="CE19" i="1" s="1"/>
  <c r="CE17" i="1" s="1"/>
  <c r="BC11" i="24"/>
  <c r="CB7" i="1"/>
  <c r="CA12" i="1"/>
  <c r="CB9" i="1"/>
  <c r="BC12" i="24"/>
  <c r="BV110" i="1"/>
  <c r="BV162" i="1" s="1"/>
  <c r="BV100" i="1"/>
  <c r="BZ44" i="1"/>
  <c r="BZ45" i="1" s="1"/>
  <c r="BZ35" i="1"/>
  <c r="BZ124" i="1"/>
  <c r="BZ125" i="1" s="1"/>
  <c r="BY44" i="1"/>
  <c r="BY45" i="1" s="1"/>
  <c r="BY66" i="1"/>
  <c r="BY124" i="1"/>
  <c r="BY125" i="1" s="1"/>
  <c r="BY35" i="1"/>
  <c r="CC28" i="1"/>
  <c r="CC29" i="1"/>
  <c r="CC31" i="1"/>
  <c r="CC30" i="1"/>
  <c r="CC32" i="1"/>
  <c r="BC13" i="24"/>
  <c r="CB8" i="1"/>
  <c r="BW46" i="1"/>
  <c r="BW67" i="1"/>
  <c r="BA21" i="24"/>
  <c r="BZ63" i="1"/>
  <c r="BZ65" i="1" s="1"/>
  <c r="CA78" i="1" l="1"/>
  <c r="CA77" i="1"/>
  <c r="CA80" i="1" s="1"/>
  <c r="BZ98" i="1"/>
  <c r="BZ102" i="1"/>
  <c r="BD14" i="24"/>
  <c r="CC33" i="1"/>
  <c r="CC34" i="1" s="1"/>
  <c r="BD18" i="24" s="1"/>
  <c r="BD19" i="24" s="1"/>
  <c r="CB76" i="1" s="1"/>
  <c r="CC10" i="1"/>
  <c r="BD15" i="24"/>
  <c r="CA63" i="1"/>
  <c r="CA65" i="1" s="1"/>
  <c r="BB21" i="24"/>
  <c r="BZ66" i="1"/>
  <c r="BZ67" i="1" s="1"/>
  <c r="BC20" i="24"/>
  <c r="CC9" i="1"/>
  <c r="BD12" i="24"/>
  <c r="BZ163" i="1"/>
  <c r="CA13" i="1"/>
  <c r="CA14" i="1" s="1"/>
  <c r="CA91" i="1"/>
  <c r="CA95" i="1" s="1"/>
  <c r="BD13" i="24"/>
  <c r="CC8" i="1"/>
  <c r="CC7" i="1"/>
  <c r="BD11" i="24"/>
  <c r="CE26" i="1"/>
  <c r="CF21" i="1"/>
  <c r="CF19" i="1" s="1"/>
  <c r="CF17" i="1" s="1"/>
  <c r="BY46" i="1"/>
  <c r="BY67" i="1"/>
  <c r="BY99" i="1"/>
  <c r="CD32" i="1"/>
  <c r="CD29" i="1"/>
  <c r="CD28" i="1"/>
  <c r="CD31" i="1"/>
  <c r="CD30" i="1"/>
  <c r="CB12" i="1"/>
  <c r="CB78" i="1" l="1"/>
  <c r="CB77" i="1"/>
  <c r="BE14" i="24"/>
  <c r="CD33" i="1"/>
  <c r="CD34" i="1" s="1"/>
  <c r="BE18" i="24" s="1"/>
  <c r="BE19" i="24" s="1"/>
  <c r="CC76" i="1" s="1"/>
  <c r="CD10" i="1"/>
  <c r="BE15" i="24"/>
  <c r="CA102" i="1"/>
  <c r="CA48" i="1" s="1"/>
  <c r="CC12" i="1"/>
  <c r="CB63" i="1"/>
  <c r="CB65" i="1" s="1"/>
  <c r="BC21" i="24"/>
  <c r="BZ46" i="1"/>
  <c r="BZ99" i="1"/>
  <c r="BZ110" i="1" s="1"/>
  <c r="BZ162" i="1" s="1"/>
  <c r="BZ165" i="1" s="1"/>
  <c r="BY110" i="1"/>
  <c r="BY162" i="1" s="1"/>
  <c r="BY100" i="1"/>
  <c r="CA98" i="1"/>
  <c r="CA97" i="1"/>
  <c r="CA44" i="1"/>
  <c r="CA124" i="1"/>
  <c r="CA125" i="1" s="1"/>
  <c r="CA163" i="1" s="1"/>
  <c r="CA35" i="1"/>
  <c r="CA66" i="1"/>
  <c r="CB13" i="1"/>
  <c r="CB14" i="1" s="1"/>
  <c r="CB91" i="1"/>
  <c r="CD9" i="1"/>
  <c r="BE12" i="24"/>
  <c r="CG21" i="1"/>
  <c r="CG19" i="1" s="1"/>
  <c r="CG17" i="1" s="1"/>
  <c r="CF26" i="1"/>
  <c r="CE30" i="1"/>
  <c r="CE28" i="1"/>
  <c r="CE31" i="1"/>
  <c r="CE32" i="1"/>
  <c r="CE29" i="1"/>
  <c r="BE11" i="24"/>
  <c r="CD7" i="1"/>
  <c r="CD8" i="1"/>
  <c r="BE13" i="24"/>
  <c r="BD20" i="24"/>
  <c r="CC78" i="1" l="1"/>
  <c r="CC77" i="1"/>
  <c r="BF14" i="24"/>
  <c r="CE33" i="1"/>
  <c r="CE34" i="1" s="1"/>
  <c r="BF18" i="24" s="1"/>
  <c r="BF19" i="24" s="1"/>
  <c r="CD76" i="1" s="1"/>
  <c r="CB80" i="1"/>
  <c r="CB95" i="1" s="1"/>
  <c r="CE10" i="1"/>
  <c r="BF15" i="24"/>
  <c r="CB102" i="1"/>
  <c r="CB48" i="1" s="1"/>
  <c r="CC13" i="1"/>
  <c r="CC14" i="1" s="1"/>
  <c r="CC91" i="1"/>
  <c r="CD12" i="1"/>
  <c r="BE20" i="24"/>
  <c r="BZ100" i="1"/>
  <c r="CF30" i="1"/>
  <c r="CF32" i="1"/>
  <c r="CF31" i="1"/>
  <c r="CF28" i="1"/>
  <c r="CF29" i="1"/>
  <c r="CG26" i="1"/>
  <c r="CH21" i="1"/>
  <c r="CH19" i="1" s="1"/>
  <c r="CH17" i="1" s="1"/>
  <c r="CE8" i="1"/>
  <c r="BF13" i="24"/>
  <c r="BF12" i="24"/>
  <c r="CE9" i="1"/>
  <c r="BD21" i="24"/>
  <c r="CC63" i="1"/>
  <c r="CC65" i="1" s="1"/>
  <c r="CC102" i="1" s="1"/>
  <c r="CA45" i="1"/>
  <c r="CB44" i="1"/>
  <c r="CB66" i="1"/>
  <c r="CB35" i="1"/>
  <c r="CB124" i="1"/>
  <c r="CB125" i="1" s="1"/>
  <c r="CB163" i="1" s="1"/>
  <c r="CE7" i="1"/>
  <c r="BF11" i="24"/>
  <c r="CA46" i="1"/>
  <c r="CA99" i="1"/>
  <c r="CA67" i="1"/>
  <c r="CB98" i="1" l="1"/>
  <c r="CB97" i="1"/>
  <c r="BG14" i="24"/>
  <c r="CF33" i="1"/>
  <c r="CF34" i="1" s="1"/>
  <c r="BG18" i="24" s="1"/>
  <c r="BG19" i="24" s="1"/>
  <c r="CE76" i="1" s="1"/>
  <c r="CC80" i="1"/>
  <c r="CC95" i="1" s="1"/>
  <c r="CD78" i="1"/>
  <c r="CD77" i="1"/>
  <c r="CF10" i="1"/>
  <c r="BG15" i="24"/>
  <c r="CC35" i="1"/>
  <c r="CC44" i="1"/>
  <c r="CC45" i="1" s="1"/>
  <c r="CC124" i="1"/>
  <c r="CC125" i="1" s="1"/>
  <c r="CC163" i="1" s="1"/>
  <c r="CD91" i="1"/>
  <c r="CD13" i="1"/>
  <c r="CD14" i="1" s="1"/>
  <c r="CD63" i="1"/>
  <c r="CD65" i="1" s="1"/>
  <c r="BE21" i="24"/>
  <c r="CE12" i="1"/>
  <c r="CC66" i="1"/>
  <c r="CA100" i="1"/>
  <c r="CA110" i="1"/>
  <c r="CA162" i="1" s="1"/>
  <c r="CA165" i="1" s="1"/>
  <c r="CI21" i="1"/>
  <c r="CI19" i="1" s="1"/>
  <c r="CI17" i="1" s="1"/>
  <c r="CH26" i="1"/>
  <c r="CF7" i="1"/>
  <c r="BG11" i="24"/>
  <c r="CC48" i="1"/>
  <c r="CB46" i="1"/>
  <c r="CB50" i="1" s="1"/>
  <c r="CB99" i="1"/>
  <c r="CB67" i="1"/>
  <c r="CF9" i="1"/>
  <c r="BG12" i="24"/>
  <c r="CB45" i="1"/>
  <c r="CA47" i="1"/>
  <c r="CA49" i="1" s="1"/>
  <c r="BF20" i="24"/>
  <c r="CA50" i="1"/>
  <c r="BG13" i="24"/>
  <c r="CF8" i="1"/>
  <c r="CC98" i="1" l="1"/>
  <c r="CC97" i="1"/>
  <c r="CE78" i="1"/>
  <c r="CE77" i="1"/>
  <c r="CE80" i="1" s="1"/>
  <c r="CD80" i="1"/>
  <c r="CD95" i="1" s="1"/>
  <c r="CD102" i="1"/>
  <c r="CD48" i="1" s="1"/>
  <c r="CD44" i="1"/>
  <c r="CD45" i="1" s="1"/>
  <c r="CD66" i="1"/>
  <c r="CD35" i="1"/>
  <c r="CD124" i="1"/>
  <c r="CD125" i="1" s="1"/>
  <c r="CD163" i="1" s="1"/>
  <c r="CE13" i="1"/>
  <c r="CE14" i="1" s="1"/>
  <c r="CE91" i="1"/>
  <c r="CE95" i="1" s="1"/>
  <c r="CC67" i="1"/>
  <c r="CC46" i="1"/>
  <c r="CC99" i="1"/>
  <c r="BF21" i="24"/>
  <c r="CE63" i="1"/>
  <c r="CE65" i="1" s="1"/>
  <c r="BG20" i="24"/>
  <c r="CH32" i="1"/>
  <c r="CH28" i="1"/>
  <c r="CH30" i="1"/>
  <c r="CH31" i="1"/>
  <c r="CH29" i="1"/>
  <c r="CF12" i="1"/>
  <c r="M16" i="5"/>
  <c r="CI26" i="1"/>
  <c r="CJ21" i="1"/>
  <c r="CJ19" i="1" s="1"/>
  <c r="CJ17" i="1" s="1"/>
  <c r="CK21" i="1" s="1"/>
  <c r="CK19" i="1" s="1"/>
  <c r="CK17" i="1" s="1"/>
  <c r="CB110" i="1"/>
  <c r="CB162" i="1" s="1"/>
  <c r="CB165" i="1" s="1"/>
  <c r="CB100" i="1"/>
  <c r="CB47" i="1"/>
  <c r="CB49" i="1" s="1"/>
  <c r="CD97" i="1" l="1"/>
  <c r="CD98" i="1"/>
  <c r="CE102" i="1"/>
  <c r="BI14" i="24"/>
  <c r="CH33" i="1"/>
  <c r="CH34" i="1" s="1"/>
  <c r="BI18" i="24" s="1"/>
  <c r="BI19" i="24" s="1"/>
  <c r="CG76" i="1" s="1"/>
  <c r="CH10" i="1"/>
  <c r="BI15" i="24"/>
  <c r="CE124" i="1"/>
  <c r="CE125" i="1" s="1"/>
  <c r="CE163" i="1" s="1"/>
  <c r="CE44" i="1"/>
  <c r="CE45" i="1" s="1"/>
  <c r="CE35" i="1"/>
  <c r="CE98" i="1"/>
  <c r="CE97" i="1"/>
  <c r="CC100" i="1"/>
  <c r="CC110" i="1"/>
  <c r="CC162" i="1" s="1"/>
  <c r="CC165" i="1" s="1"/>
  <c r="CD46" i="1"/>
  <c r="CD99" i="1"/>
  <c r="CD67" i="1"/>
  <c r="CC47" i="1"/>
  <c r="CC49" i="1" s="1"/>
  <c r="CC50" i="1"/>
  <c r="CE48" i="1"/>
  <c r="CE66" i="1"/>
  <c r="CI32" i="1"/>
  <c r="CI31" i="1"/>
  <c r="CI30" i="1"/>
  <c r="CI29" i="1"/>
  <c r="CI28" i="1"/>
  <c r="CF91" i="1"/>
  <c r="CF13" i="1"/>
  <c r="CF14" i="1" s="1"/>
  <c r="BI12" i="24"/>
  <c r="CH9" i="1"/>
  <c r="CF63" i="1"/>
  <c r="CF65" i="1" s="1"/>
  <c r="BG21" i="24"/>
  <c r="CH7" i="1"/>
  <c r="BI11" i="24"/>
  <c r="CK26" i="1"/>
  <c r="CL21" i="1"/>
  <c r="CL19" i="1" s="1"/>
  <c r="CL17" i="1" s="1"/>
  <c r="BI13" i="24"/>
  <c r="CH8" i="1"/>
  <c r="CG78" i="1" l="1"/>
  <c r="CG77" i="1"/>
  <c r="CG80" i="1" s="1"/>
  <c r="BJ14" i="24"/>
  <c r="CI33" i="1"/>
  <c r="CI34" i="1" s="1"/>
  <c r="BJ18" i="24" s="1"/>
  <c r="BJ19" i="24" s="1"/>
  <c r="CH76" i="1" s="1"/>
  <c r="CI10" i="1"/>
  <c r="BJ15" i="24"/>
  <c r="CF102" i="1"/>
  <c r="CF48" i="1" s="1"/>
  <c r="CD47" i="1"/>
  <c r="CD49" i="1" s="1"/>
  <c r="CD50" i="1"/>
  <c r="CD100" i="1"/>
  <c r="CD110" i="1"/>
  <c r="CD162" i="1" s="1"/>
  <c r="CD165" i="1" s="1"/>
  <c r="CE46" i="1"/>
  <c r="CE99" i="1"/>
  <c r="CE67" i="1"/>
  <c r="CL26" i="1"/>
  <c r="CM21" i="1"/>
  <c r="CM19" i="1" s="1"/>
  <c r="CM17" i="1" s="1"/>
  <c r="BJ11" i="24"/>
  <c r="CI7" i="1"/>
  <c r="CK31" i="1"/>
  <c r="CK29" i="1"/>
  <c r="CK28" i="1"/>
  <c r="CK30" i="1"/>
  <c r="CK32" i="1"/>
  <c r="BJ13" i="24"/>
  <c r="CI8" i="1"/>
  <c r="BJ12" i="24"/>
  <c r="CI9" i="1"/>
  <c r="BI20" i="24"/>
  <c r="CF35" i="1"/>
  <c r="CF44" i="1"/>
  <c r="CF45" i="1" s="1"/>
  <c r="CF66" i="1"/>
  <c r="CF124" i="1"/>
  <c r="CF125" i="1" s="1"/>
  <c r="CF163" i="1" s="1"/>
  <c r="CH12" i="1"/>
  <c r="BL14" i="24" l="1"/>
  <c r="CK33" i="1"/>
  <c r="CK34" i="1" s="1"/>
  <c r="BL18" i="24" s="1"/>
  <c r="BL19" i="24" s="1"/>
  <c r="CJ76" i="1" s="1"/>
  <c r="CH78" i="1"/>
  <c r="CH77" i="1"/>
  <c r="CH80" i="1" s="1"/>
  <c r="CK10" i="1"/>
  <c r="BL15" i="24"/>
  <c r="CE50" i="1"/>
  <c r="CE47" i="1"/>
  <c r="CE49" i="1" s="1"/>
  <c r="CE110" i="1"/>
  <c r="CE162" i="1" s="1"/>
  <c r="CE165" i="1" s="1"/>
  <c r="CE100" i="1"/>
  <c r="CI12" i="1"/>
  <c r="CF46" i="1"/>
  <c r="CF47" i="1" s="1"/>
  <c r="CF49" i="1" s="1"/>
  <c r="CF67" i="1"/>
  <c r="CM26" i="1"/>
  <c r="CN21" i="1"/>
  <c r="CN19" i="1" s="1"/>
  <c r="CN17" i="1" s="1"/>
  <c r="CK7" i="1"/>
  <c r="BL11" i="24"/>
  <c r="BL13" i="24"/>
  <c r="CK8" i="1"/>
  <c r="BJ20" i="24"/>
  <c r="BI21" i="24"/>
  <c r="CH63" i="1"/>
  <c r="CH65" i="1" s="1"/>
  <c r="CL28" i="1"/>
  <c r="CL31" i="1"/>
  <c r="CL32" i="1"/>
  <c r="CL30" i="1"/>
  <c r="CL29" i="1"/>
  <c r="CH91" i="1"/>
  <c r="CH95" i="1" s="1"/>
  <c r="CH13" i="1"/>
  <c r="CH14" i="1" s="1"/>
  <c r="BL12" i="24"/>
  <c r="CK9" i="1"/>
  <c r="CJ78" i="1" l="1"/>
  <c r="CJ77" i="1"/>
  <c r="CJ80" i="1" s="1"/>
  <c r="BM14" i="24"/>
  <c r="CL33" i="1"/>
  <c r="CL34" i="1" s="1"/>
  <c r="BM18" i="24" s="1"/>
  <c r="BM19" i="24" s="1"/>
  <c r="CK76" i="1" s="1"/>
  <c r="CL10" i="1"/>
  <c r="BM15" i="24"/>
  <c r="CH102" i="1"/>
  <c r="CI91" i="1"/>
  <c r="CI13" i="1"/>
  <c r="CI14" i="1" s="1"/>
  <c r="BL20" i="24"/>
  <c r="CK63" i="1" s="1"/>
  <c r="CK65" i="1" s="1"/>
  <c r="CF50" i="1"/>
  <c r="BM11" i="24"/>
  <c r="CL7" i="1"/>
  <c r="CI63" i="1"/>
  <c r="CI65" i="1" s="1"/>
  <c r="BJ21" i="24"/>
  <c r="CM32" i="1"/>
  <c r="CM30" i="1"/>
  <c r="CM29" i="1"/>
  <c r="CM28" i="1"/>
  <c r="CM31" i="1"/>
  <c r="CH97" i="1"/>
  <c r="CH98" i="1"/>
  <c r="BM13" i="24"/>
  <c r="CL8" i="1"/>
  <c r="CK12" i="1"/>
  <c r="CH44" i="1"/>
  <c r="CH45" i="1" s="1"/>
  <c r="CH124" i="1"/>
  <c r="CH125" i="1" s="1"/>
  <c r="CH35" i="1"/>
  <c r="CH66" i="1"/>
  <c r="CL9" i="1"/>
  <c r="BM12" i="24"/>
  <c r="CO21" i="1"/>
  <c r="CO19" i="1" s="1"/>
  <c r="CO17" i="1" s="1"/>
  <c r="CN26" i="1"/>
  <c r="CK78" i="1" l="1"/>
  <c r="CK77" i="1"/>
  <c r="CK80" i="1" s="1"/>
  <c r="BN14" i="24"/>
  <c r="CM33" i="1"/>
  <c r="CM34" i="1" s="1"/>
  <c r="BN18" i="24" s="1"/>
  <c r="BN19" i="24" s="1"/>
  <c r="CL76" i="1" s="1"/>
  <c r="CM10" i="1"/>
  <c r="BN15" i="24"/>
  <c r="CI102" i="1"/>
  <c r="CI124" i="1"/>
  <c r="CI125" i="1" s="1"/>
  <c r="CI163" i="1" s="1"/>
  <c r="CI44" i="1"/>
  <c r="CI45" i="1" s="1"/>
  <c r="CI35" i="1"/>
  <c r="CI66" i="1"/>
  <c r="BL21" i="24"/>
  <c r="BN11" i="24"/>
  <c r="CM7" i="1"/>
  <c r="CM8" i="1"/>
  <c r="BN13" i="24"/>
  <c r="CM9" i="1"/>
  <c r="BN12" i="24"/>
  <c r="CN28" i="1"/>
  <c r="CN29" i="1"/>
  <c r="CN31" i="1"/>
  <c r="CN32" i="1"/>
  <c r="CN30" i="1"/>
  <c r="CH46" i="1"/>
  <c r="CH99" i="1"/>
  <c r="CH67" i="1"/>
  <c r="CP21" i="1"/>
  <c r="CP19" i="1" s="1"/>
  <c r="CP17" i="1" s="1"/>
  <c r="CO26" i="1"/>
  <c r="CK91" i="1"/>
  <c r="CK95" i="1" s="1"/>
  <c r="CK13" i="1"/>
  <c r="CK14" i="1" s="1"/>
  <c r="CL12" i="1"/>
  <c r="BM20" i="24"/>
  <c r="CL78" i="1" l="1"/>
  <c r="CL77" i="1"/>
  <c r="CL80" i="1" s="1"/>
  <c r="BO14" i="24"/>
  <c r="CN33" i="1"/>
  <c r="CN34" i="1" s="1"/>
  <c r="BO18" i="24" s="1"/>
  <c r="BO19" i="24" s="1"/>
  <c r="CM76" i="1" s="1"/>
  <c r="CN10" i="1"/>
  <c r="BO15" i="24"/>
  <c r="CK102" i="1"/>
  <c r="CI67" i="1"/>
  <c r="CI46" i="1"/>
  <c r="CM12" i="1"/>
  <c r="CM13" i="1" s="1"/>
  <c r="CM14" i="1" s="1"/>
  <c r="BN20" i="24"/>
  <c r="BN21" i="24" s="1"/>
  <c r="CL63" i="1"/>
  <c r="CL65" i="1" s="1"/>
  <c r="BM21" i="24"/>
  <c r="CN7" i="1"/>
  <c r="BO11" i="24"/>
  <c r="CH110" i="1"/>
  <c r="CH162" i="1" s="1"/>
  <c r="CH100" i="1"/>
  <c r="CL13" i="1"/>
  <c r="CL14" i="1" s="1"/>
  <c r="CL91" i="1"/>
  <c r="CL95" i="1" s="1"/>
  <c r="CN9" i="1"/>
  <c r="BO12" i="24"/>
  <c r="CK44" i="1"/>
  <c r="CK45" i="1" s="1"/>
  <c r="CK124" i="1"/>
  <c r="CK125" i="1" s="1"/>
  <c r="CK35" i="1"/>
  <c r="CK66" i="1"/>
  <c r="CK98" i="1"/>
  <c r="CK97" i="1"/>
  <c r="CO30" i="1"/>
  <c r="CO28" i="1"/>
  <c r="CO31" i="1"/>
  <c r="CO32" i="1"/>
  <c r="CO29" i="1"/>
  <c r="BO13" i="24"/>
  <c r="CN8" i="1"/>
  <c r="CP26" i="1"/>
  <c r="CQ21" i="1"/>
  <c r="CQ19" i="1" s="1"/>
  <c r="CQ17" i="1" s="1"/>
  <c r="BP14" i="24" l="1"/>
  <c r="CO33" i="1"/>
  <c r="CO34" i="1" s="1"/>
  <c r="BP18" i="24" s="1"/>
  <c r="BP19" i="24" s="1"/>
  <c r="CN76" i="1" s="1"/>
  <c r="CM78" i="1"/>
  <c r="CM77" i="1"/>
  <c r="CM80" i="1" s="1"/>
  <c r="CO10" i="1"/>
  <c r="BP15" i="24"/>
  <c r="CL102" i="1"/>
  <c r="CM63" i="1"/>
  <c r="CM65" i="1" s="1"/>
  <c r="CM91" i="1"/>
  <c r="CO7" i="1"/>
  <c r="BP11" i="24"/>
  <c r="CO9" i="1"/>
  <c r="BP12" i="24"/>
  <c r="BO20" i="24"/>
  <c r="CN12" i="1"/>
  <c r="CL98" i="1"/>
  <c r="CL97" i="1"/>
  <c r="CL44" i="1"/>
  <c r="CL45" i="1" s="1"/>
  <c r="CL66" i="1"/>
  <c r="CL35" i="1"/>
  <c r="CL124" i="1"/>
  <c r="CL125" i="1" s="1"/>
  <c r="CL163" i="1" s="1"/>
  <c r="CK46" i="1"/>
  <c r="CK67" i="1"/>
  <c r="CK99" i="1"/>
  <c r="CR21" i="1"/>
  <c r="CR19" i="1" s="1"/>
  <c r="CR17" i="1" s="1"/>
  <c r="CQ26" i="1"/>
  <c r="CP29" i="1"/>
  <c r="CP31" i="1"/>
  <c r="CP28" i="1"/>
  <c r="CP30" i="1"/>
  <c r="CP32" i="1"/>
  <c r="CO8" i="1"/>
  <c r="BP13" i="24"/>
  <c r="CM44" i="1"/>
  <c r="CM45" i="1" s="1"/>
  <c r="CM124" i="1"/>
  <c r="CM125" i="1" s="1"/>
  <c r="CM35" i="1"/>
  <c r="CM95" i="1" l="1"/>
  <c r="CM97" i="1" s="1"/>
  <c r="CN78" i="1"/>
  <c r="CN77" i="1"/>
  <c r="BQ14" i="24"/>
  <c r="CP33" i="1"/>
  <c r="CP34" i="1" s="1"/>
  <c r="BQ18" i="24" s="1"/>
  <c r="BQ19" i="24" s="1"/>
  <c r="CO76" i="1" s="1"/>
  <c r="CP10" i="1"/>
  <c r="BQ15" i="24"/>
  <c r="CM102" i="1"/>
  <c r="CM48" i="1" s="1"/>
  <c r="CM163" i="1"/>
  <c r="CM66" i="1"/>
  <c r="CM98" i="1"/>
  <c r="CN63" i="1"/>
  <c r="CN65" i="1" s="1"/>
  <c r="BO21" i="24"/>
  <c r="CN13" i="1"/>
  <c r="CN14" i="1" s="1"/>
  <c r="CN91" i="1"/>
  <c r="CQ31" i="1"/>
  <c r="CQ32" i="1"/>
  <c r="CQ30" i="1"/>
  <c r="CQ29" i="1"/>
  <c r="CQ28" i="1"/>
  <c r="CL46" i="1"/>
  <c r="CL99" i="1"/>
  <c r="CL67" i="1"/>
  <c r="BP20" i="24"/>
  <c r="BQ12" i="24"/>
  <c r="CP9" i="1"/>
  <c r="BQ13" i="24"/>
  <c r="CP8" i="1"/>
  <c r="CK110" i="1"/>
  <c r="CK162" i="1" s="1"/>
  <c r="CK100" i="1"/>
  <c r="CO12" i="1"/>
  <c r="CP7" i="1"/>
  <c r="BQ11" i="24"/>
  <c r="CS21" i="1"/>
  <c r="CS19" i="1" s="1"/>
  <c r="CS17" i="1" s="1"/>
  <c r="CR26" i="1"/>
  <c r="BR14" i="24" l="1"/>
  <c r="CQ33" i="1"/>
  <c r="CQ34" i="1" s="1"/>
  <c r="BR18" i="24" s="1"/>
  <c r="BR19" i="24" s="1"/>
  <c r="CP76" i="1" s="1"/>
  <c r="CN80" i="1"/>
  <c r="CN95" i="1" s="1"/>
  <c r="CO78" i="1"/>
  <c r="CO77" i="1"/>
  <c r="CO80" i="1" s="1"/>
  <c r="CQ10" i="1"/>
  <c r="BR15" i="24"/>
  <c r="CN102" i="1"/>
  <c r="CN48" i="1" s="1"/>
  <c r="CM46" i="1"/>
  <c r="CM99" i="1"/>
  <c r="CM67" i="1"/>
  <c r="BQ20" i="24"/>
  <c r="CL110" i="1"/>
  <c r="CL162" i="1" s="1"/>
  <c r="CL165" i="1" s="1"/>
  <c r="CL100" i="1"/>
  <c r="CQ9" i="1"/>
  <c r="BR12" i="24"/>
  <c r="CO13" i="1"/>
  <c r="CO14" i="1" s="1"/>
  <c r="CO91" i="1"/>
  <c r="CT21" i="1"/>
  <c r="CT19" i="1" s="1"/>
  <c r="CT17" i="1" s="1"/>
  <c r="CS26" i="1"/>
  <c r="CN44" i="1"/>
  <c r="CN45" i="1" s="1"/>
  <c r="CN35" i="1"/>
  <c r="CN66" i="1"/>
  <c r="CN124" i="1"/>
  <c r="CN125" i="1" s="1"/>
  <c r="CN163" i="1" s="1"/>
  <c r="CP12" i="1"/>
  <c r="CR29" i="1"/>
  <c r="CR30" i="1"/>
  <c r="CR31" i="1"/>
  <c r="CR32" i="1"/>
  <c r="CR28" i="1"/>
  <c r="CQ8" i="1"/>
  <c r="BR13" i="24"/>
  <c r="BP21" i="24"/>
  <c r="CO63" i="1"/>
  <c r="CO65" i="1" s="1"/>
  <c r="CQ7" i="1"/>
  <c r="BR11" i="24"/>
  <c r="CN98" i="1" l="1"/>
  <c r="CN97" i="1"/>
  <c r="CP78" i="1"/>
  <c r="CP77" i="1"/>
  <c r="CP80" i="1" s="1"/>
  <c r="BS14" i="24"/>
  <c r="CR33" i="1"/>
  <c r="CR34" i="1" s="1"/>
  <c r="BS18" i="24" s="1"/>
  <c r="BS19" i="24" s="1"/>
  <c r="CQ76" i="1" s="1"/>
  <c r="CO95" i="1"/>
  <c r="CO98" i="1" s="1"/>
  <c r="CR10" i="1"/>
  <c r="BS15" i="24"/>
  <c r="CO102" i="1"/>
  <c r="CO48" i="1" s="1"/>
  <c r="CM47" i="1"/>
  <c r="CM49" i="1" s="1"/>
  <c r="CM50" i="1"/>
  <c r="CM110" i="1"/>
  <c r="CM162" i="1" s="1"/>
  <c r="CM165" i="1" s="1"/>
  <c r="CM100" i="1"/>
  <c r="BR20" i="24"/>
  <c r="CP63" i="1"/>
  <c r="CP65" i="1" s="1"/>
  <c r="BQ21" i="24"/>
  <c r="CQ12" i="1"/>
  <c r="BS12" i="24"/>
  <c r="CR9" i="1"/>
  <c r="CR7" i="1"/>
  <c r="BS11" i="24"/>
  <c r="BS13" i="24"/>
  <c r="CR8" i="1"/>
  <c r="CO44" i="1"/>
  <c r="CO45" i="1" s="1"/>
  <c r="CO124" i="1"/>
  <c r="CO125" i="1" s="1"/>
  <c r="CO163" i="1" s="1"/>
  <c r="CO35" i="1"/>
  <c r="CO66" i="1"/>
  <c r="CN46" i="1"/>
  <c r="CN47" i="1" s="1"/>
  <c r="CN49" i="1" s="1"/>
  <c r="CN67" i="1"/>
  <c r="CN99" i="1"/>
  <c r="CP13" i="1"/>
  <c r="CP14" i="1" s="1"/>
  <c r="CP91" i="1"/>
  <c r="CT26" i="1"/>
  <c r="CU21" i="1"/>
  <c r="CU19" i="1" s="1"/>
  <c r="CU17" i="1" s="1"/>
  <c r="CO97" i="1" l="1"/>
  <c r="CQ78" i="1"/>
  <c r="CQ77" i="1"/>
  <c r="CQ80" i="1" s="1"/>
  <c r="CP95" i="1"/>
  <c r="CP102" i="1"/>
  <c r="CP48" i="1" s="1"/>
  <c r="BR21" i="24"/>
  <c r="CQ63" i="1"/>
  <c r="CQ65" i="1" s="1"/>
  <c r="CN50" i="1"/>
  <c r="CO46" i="1"/>
  <c r="CO99" i="1"/>
  <c r="CO67" i="1"/>
  <c r="CP44" i="1"/>
  <c r="CP35" i="1"/>
  <c r="CP124" i="1"/>
  <c r="CP125" i="1" s="1"/>
  <c r="CP163" i="1" s="1"/>
  <c r="CP66" i="1"/>
  <c r="CN100" i="1"/>
  <c r="CN110" i="1"/>
  <c r="CN162" i="1" s="1"/>
  <c r="CN165" i="1" s="1"/>
  <c r="CV21" i="1"/>
  <c r="CV19" i="1" s="1"/>
  <c r="CV17" i="1" s="1"/>
  <c r="CW21" i="1" s="1"/>
  <c r="CW19" i="1" s="1"/>
  <c r="CW17" i="1" s="1"/>
  <c r="CU26" i="1"/>
  <c r="N16" i="5"/>
  <c r="CQ13" i="1"/>
  <c r="CQ14" i="1" s="1"/>
  <c r="CQ91" i="1"/>
  <c r="CQ95" i="1" s="1"/>
  <c r="CT32" i="1"/>
  <c r="CT30" i="1"/>
  <c r="CT29" i="1"/>
  <c r="CT28" i="1"/>
  <c r="CT31" i="1"/>
  <c r="BS20" i="24"/>
  <c r="CP97" i="1"/>
  <c r="CP98" i="1"/>
  <c r="CR12" i="1"/>
  <c r="BU14" i="24" l="1"/>
  <c r="CT33" i="1"/>
  <c r="CT34" i="1" s="1"/>
  <c r="BU18" i="24" s="1"/>
  <c r="BU19" i="24" s="1"/>
  <c r="CS76" i="1" s="1"/>
  <c r="CT10" i="1"/>
  <c r="BU15" i="24"/>
  <c r="CQ102" i="1"/>
  <c r="CQ48" i="1" s="1"/>
  <c r="CO47" i="1"/>
  <c r="CO49" i="1" s="1"/>
  <c r="CO50" i="1"/>
  <c r="CQ44" i="1"/>
  <c r="CQ45" i="1" s="1"/>
  <c r="CQ66" i="1"/>
  <c r="CQ124" i="1"/>
  <c r="CQ125" i="1" s="1"/>
  <c r="CQ163" i="1" s="1"/>
  <c r="CQ35" i="1"/>
  <c r="CU32" i="1"/>
  <c r="CU30" i="1"/>
  <c r="CU28" i="1"/>
  <c r="CU29" i="1"/>
  <c r="CU31" i="1"/>
  <c r="CX21" i="1"/>
  <c r="CX19" i="1" s="1"/>
  <c r="CX17" i="1" s="1"/>
  <c r="CW26" i="1"/>
  <c r="CO100" i="1"/>
  <c r="CO110" i="1"/>
  <c r="CO162" i="1" s="1"/>
  <c r="CO165" i="1" s="1"/>
  <c r="CQ97" i="1"/>
  <c r="CQ98" i="1"/>
  <c r="CR63" i="1"/>
  <c r="CR65" i="1" s="1"/>
  <c r="BS21" i="24"/>
  <c r="CP45" i="1"/>
  <c r="BU11" i="24"/>
  <c r="CT7" i="1"/>
  <c r="CT8" i="1"/>
  <c r="BU13" i="24"/>
  <c r="CR13" i="1"/>
  <c r="CR14" i="1" s="1"/>
  <c r="CR91" i="1"/>
  <c r="CT9" i="1"/>
  <c r="BU12" i="24"/>
  <c r="CP46" i="1"/>
  <c r="CP67" i="1"/>
  <c r="CP99" i="1"/>
  <c r="BV14" i="24" l="1"/>
  <c r="CU33" i="1"/>
  <c r="CU34" i="1" s="1"/>
  <c r="BV18" i="24" s="1"/>
  <c r="BV19" i="24" s="1"/>
  <c r="CT76" i="1" s="1"/>
  <c r="CS78" i="1"/>
  <c r="CS77" i="1"/>
  <c r="CU10" i="1"/>
  <c r="BV15" i="24"/>
  <c r="CR102" i="1"/>
  <c r="CR48" i="1" s="1"/>
  <c r="CP47" i="1"/>
  <c r="CP49" i="1" s="1"/>
  <c r="CT12" i="1"/>
  <c r="BV11" i="24"/>
  <c r="CU7" i="1"/>
  <c r="CP100" i="1"/>
  <c r="CP110" i="1"/>
  <c r="CP162" i="1" s="1"/>
  <c r="CP165" i="1" s="1"/>
  <c r="CU9" i="1"/>
  <c r="BV12" i="24"/>
  <c r="CP50" i="1"/>
  <c r="CW28" i="1"/>
  <c r="CW29" i="1"/>
  <c r="CW30" i="1"/>
  <c r="CW31" i="1"/>
  <c r="CW32" i="1"/>
  <c r="BU20" i="24"/>
  <c r="CX26" i="1"/>
  <c r="CY21" i="1"/>
  <c r="CY19" i="1" s="1"/>
  <c r="CY17" i="1" s="1"/>
  <c r="CQ46" i="1"/>
  <c r="CQ99" i="1"/>
  <c r="CQ67" i="1"/>
  <c r="CR44" i="1"/>
  <c r="CR45" i="1" s="1"/>
  <c r="CR35" i="1"/>
  <c r="CR66" i="1"/>
  <c r="CR124" i="1"/>
  <c r="CR125" i="1" s="1"/>
  <c r="CR163" i="1" s="1"/>
  <c r="BV13" i="24"/>
  <c r="CU8" i="1"/>
  <c r="BX14" i="24" l="1"/>
  <c r="CW33" i="1"/>
  <c r="CW34" i="1" s="1"/>
  <c r="BX18" i="24" s="1"/>
  <c r="BX19" i="24" s="1"/>
  <c r="CV76" i="1" s="1"/>
  <c r="CS80" i="1"/>
  <c r="CT78" i="1"/>
  <c r="CT77" i="1"/>
  <c r="CT80" i="1" s="1"/>
  <c r="CW10" i="1"/>
  <c r="BX15" i="24"/>
  <c r="CT13" i="1"/>
  <c r="CT14" i="1" s="1"/>
  <c r="CT91" i="1"/>
  <c r="CT95" i="1" s="1"/>
  <c r="CQ47" i="1"/>
  <c r="CQ49" i="1" s="1"/>
  <c r="CQ50" i="1"/>
  <c r="CX29" i="1"/>
  <c r="CX31" i="1"/>
  <c r="CX32" i="1"/>
  <c r="CX30" i="1"/>
  <c r="CX28" i="1"/>
  <c r="BX12" i="24"/>
  <c r="CW9" i="1"/>
  <c r="BU21" i="24"/>
  <c r="CT63" i="1"/>
  <c r="CT65" i="1" s="1"/>
  <c r="CQ100" i="1"/>
  <c r="CQ110" i="1"/>
  <c r="CQ162" i="1" s="1"/>
  <c r="CQ165" i="1" s="1"/>
  <c r="BX13" i="24"/>
  <c r="CW8" i="1"/>
  <c r="CW7" i="1"/>
  <c r="BX11" i="24"/>
  <c r="CU12" i="1"/>
  <c r="CR46" i="1"/>
  <c r="CR47" i="1" s="1"/>
  <c r="CR49" i="1" s="1"/>
  <c r="CR67" i="1"/>
  <c r="CZ21" i="1"/>
  <c r="CZ19" i="1" s="1"/>
  <c r="CZ17" i="1" s="1"/>
  <c r="CY26" i="1"/>
  <c r="BV20" i="24"/>
  <c r="BY14" i="24" l="1"/>
  <c r="CX33" i="1"/>
  <c r="CX34" i="1" s="1"/>
  <c r="BY18" i="24" s="1"/>
  <c r="BY19" i="24" s="1"/>
  <c r="CW76" i="1" s="1"/>
  <c r="CT102" i="1"/>
  <c r="CV78" i="1"/>
  <c r="CV77" i="1"/>
  <c r="CV80" i="1" s="1"/>
  <c r="CX10" i="1"/>
  <c r="BY15" i="24"/>
  <c r="CT97" i="1"/>
  <c r="CT98" i="1"/>
  <c r="CT44" i="1"/>
  <c r="CT45" i="1" s="1"/>
  <c r="CT35" i="1"/>
  <c r="CT124" i="1"/>
  <c r="CT125" i="1" s="1"/>
  <c r="BX20" i="24"/>
  <c r="CW63" i="1" s="1"/>
  <c r="CW65" i="1" s="1"/>
  <c r="CT66" i="1"/>
  <c r="CT46" i="1" s="1"/>
  <c r="CU13" i="1"/>
  <c r="CU14" i="1" s="1"/>
  <c r="CU91" i="1"/>
  <c r="CZ26" i="1"/>
  <c r="DA21" i="1"/>
  <c r="DA19" i="1" s="1"/>
  <c r="DA17" i="1" s="1"/>
  <c r="CR50" i="1"/>
  <c r="BY12" i="24"/>
  <c r="CX9" i="1"/>
  <c r="CU63" i="1"/>
  <c r="CU65" i="1" s="1"/>
  <c r="BV21" i="24"/>
  <c r="CY29" i="1"/>
  <c r="CY32" i="1"/>
  <c r="CY31" i="1"/>
  <c r="CY28" i="1"/>
  <c r="CY30" i="1"/>
  <c r="CW12" i="1"/>
  <c r="CX7" i="1"/>
  <c r="BY11" i="24"/>
  <c r="BY13" i="24"/>
  <c r="CX8" i="1"/>
  <c r="CW78" i="1" l="1"/>
  <c r="CW77" i="1"/>
  <c r="CW80" i="1" s="1"/>
  <c r="BZ14" i="24"/>
  <c r="CY33" i="1"/>
  <c r="CY34" i="1" s="1"/>
  <c r="BZ18" i="24" s="1"/>
  <c r="BZ19" i="24" s="1"/>
  <c r="CX76" i="1" s="1"/>
  <c r="CY10" i="1"/>
  <c r="BZ15" i="24"/>
  <c r="CU102" i="1"/>
  <c r="CT67" i="1"/>
  <c r="BX21" i="24"/>
  <c r="CT99" i="1"/>
  <c r="CZ30" i="1"/>
  <c r="CZ28" i="1"/>
  <c r="CZ29" i="1"/>
  <c r="CZ32" i="1"/>
  <c r="CZ31" i="1"/>
  <c r="CY8" i="1"/>
  <c r="BZ13" i="24"/>
  <c r="BZ12" i="24"/>
  <c r="CY9" i="1"/>
  <c r="CY7" i="1"/>
  <c r="BZ11" i="24"/>
  <c r="BY20" i="24"/>
  <c r="DA26" i="1"/>
  <c r="DB21" i="1"/>
  <c r="DB19" i="1" s="1"/>
  <c r="DB17" i="1" s="1"/>
  <c r="CX12" i="1"/>
  <c r="CW91" i="1"/>
  <c r="CW95" i="1" s="1"/>
  <c r="CW13" i="1"/>
  <c r="CW14" i="1" s="1"/>
  <c r="CU44" i="1"/>
  <c r="CU45" i="1" s="1"/>
  <c r="CU35" i="1"/>
  <c r="CU66" i="1"/>
  <c r="CU124" i="1"/>
  <c r="CU125" i="1" s="1"/>
  <c r="CU163" i="1" s="1"/>
  <c r="CA14" i="24" l="1"/>
  <c r="CZ33" i="1"/>
  <c r="CZ34" i="1" s="1"/>
  <c r="CA18" i="24" s="1"/>
  <c r="CA19" i="24" s="1"/>
  <c r="CY76" i="1" s="1"/>
  <c r="CX78" i="1"/>
  <c r="CX77" i="1"/>
  <c r="CX80" i="1" s="1"/>
  <c r="CZ10" i="1"/>
  <c r="CA15" i="24"/>
  <c r="CW102" i="1"/>
  <c r="CT110" i="1"/>
  <c r="CT162" i="1" s="1"/>
  <c r="CT100" i="1"/>
  <c r="BZ20" i="24"/>
  <c r="DA28" i="1"/>
  <c r="DA29" i="1"/>
  <c r="DA32" i="1"/>
  <c r="DA30" i="1"/>
  <c r="DA31" i="1"/>
  <c r="CW44" i="1"/>
  <c r="CW45" i="1" s="1"/>
  <c r="CW124" i="1"/>
  <c r="CW125" i="1" s="1"/>
  <c r="CW35" i="1"/>
  <c r="CW66" i="1"/>
  <c r="CX63" i="1"/>
  <c r="CX65" i="1" s="1"/>
  <c r="BY21" i="24"/>
  <c r="CX13" i="1"/>
  <c r="CX14" i="1" s="1"/>
  <c r="CX91" i="1"/>
  <c r="CX95" i="1" s="1"/>
  <c r="CW97" i="1"/>
  <c r="CW98" i="1"/>
  <c r="CY12" i="1"/>
  <c r="CA13" i="24"/>
  <c r="CZ8" i="1"/>
  <c r="CA11" i="24"/>
  <c r="CZ7" i="1"/>
  <c r="CU46" i="1"/>
  <c r="CU67" i="1"/>
  <c r="DB26" i="1"/>
  <c r="DC21" i="1"/>
  <c r="DC19" i="1" s="1"/>
  <c r="DC17" i="1" s="1"/>
  <c r="CZ9" i="1"/>
  <c r="CA12" i="24"/>
  <c r="CB14" i="24" l="1"/>
  <c r="DA33" i="1"/>
  <c r="DA34" i="1" s="1"/>
  <c r="CB18" i="24" s="1"/>
  <c r="CB19" i="24" s="1"/>
  <c r="CZ76" i="1" s="1"/>
  <c r="CY78" i="1"/>
  <c r="CY77" i="1"/>
  <c r="CY80" i="1" s="1"/>
  <c r="DA10" i="1"/>
  <c r="CB15" i="24"/>
  <c r="CX102" i="1"/>
  <c r="CZ12" i="1"/>
  <c r="CY63" i="1"/>
  <c r="CY65" i="1" s="1"/>
  <c r="BZ21" i="24"/>
  <c r="CA20" i="24"/>
  <c r="CA21" i="24" s="1"/>
  <c r="CX44" i="1"/>
  <c r="CX45" i="1" s="1"/>
  <c r="CX35" i="1"/>
  <c r="CX66" i="1"/>
  <c r="CX124" i="1"/>
  <c r="CX125" i="1" s="1"/>
  <c r="CX163" i="1" s="1"/>
  <c r="CB12" i="24"/>
  <c r="DA9" i="1"/>
  <c r="CX97" i="1"/>
  <c r="CX98" i="1"/>
  <c r="DD21" i="1"/>
  <c r="DD19" i="1" s="1"/>
  <c r="DD17" i="1" s="1"/>
  <c r="DC26" i="1"/>
  <c r="DB30" i="1"/>
  <c r="DB29" i="1"/>
  <c r="DB28" i="1"/>
  <c r="DB32" i="1"/>
  <c r="DB31" i="1"/>
  <c r="CY91" i="1"/>
  <c r="CY95" i="1" s="1"/>
  <c r="CY13" i="1"/>
  <c r="CY14" i="1" s="1"/>
  <c r="DA8" i="1"/>
  <c r="CB13" i="24"/>
  <c r="CW46" i="1"/>
  <c r="CW99" i="1"/>
  <c r="CW67" i="1"/>
  <c r="DA7" i="1"/>
  <c r="CB11" i="24"/>
  <c r="CZ78" i="1" l="1"/>
  <c r="CZ77" i="1"/>
  <c r="CZ80" i="1" s="1"/>
  <c r="CC14" i="24"/>
  <c r="DB33" i="1"/>
  <c r="DB34" i="1" s="1"/>
  <c r="CC18" i="24" s="1"/>
  <c r="CC19" i="24" s="1"/>
  <c r="DA76" i="1" s="1"/>
  <c r="DB10" i="1"/>
  <c r="CC15" i="24"/>
  <c r="CY102" i="1"/>
  <c r="CY48" i="1" s="1"/>
  <c r="CZ91" i="1"/>
  <c r="CZ95" i="1" s="1"/>
  <c r="CZ13" i="1"/>
  <c r="CZ14" i="1" s="1"/>
  <c r="CB20" i="24"/>
  <c r="DA63" i="1" s="1"/>
  <c r="DA65" i="1" s="1"/>
  <c r="CX99" i="1"/>
  <c r="CX110" i="1" s="1"/>
  <c r="CX162" i="1" s="1"/>
  <c r="CX165" i="1" s="1"/>
  <c r="DA12" i="1"/>
  <c r="CZ63" i="1"/>
  <c r="CZ65" i="1" s="1"/>
  <c r="DB7" i="1"/>
  <c r="CC11" i="24"/>
  <c r="DC29" i="1"/>
  <c r="DC30" i="1"/>
  <c r="DC28" i="1"/>
  <c r="DC31" i="1"/>
  <c r="DC32" i="1"/>
  <c r="CY44" i="1"/>
  <c r="CY35" i="1"/>
  <c r="CY124" i="1"/>
  <c r="CY125" i="1" s="1"/>
  <c r="CY163" i="1" s="1"/>
  <c r="CY66" i="1"/>
  <c r="CW110" i="1"/>
  <c r="CW162" i="1" s="1"/>
  <c r="CW100" i="1"/>
  <c r="DB8" i="1"/>
  <c r="CC13" i="24"/>
  <c r="DD26" i="1"/>
  <c r="DE21" i="1"/>
  <c r="DE19" i="1" s="1"/>
  <c r="DE17" i="1" s="1"/>
  <c r="CY98" i="1"/>
  <c r="CY97" i="1"/>
  <c r="DB9" i="1"/>
  <c r="CC12" i="24"/>
  <c r="CX46" i="1"/>
  <c r="CX67" i="1"/>
  <c r="DA78" i="1" l="1"/>
  <c r="DA77" i="1"/>
  <c r="DA80" i="1" s="1"/>
  <c r="CD14" i="24"/>
  <c r="DC33" i="1"/>
  <c r="DC34" i="1" s="1"/>
  <c r="CD18" i="24" s="1"/>
  <c r="CD19" i="24" s="1"/>
  <c r="DB76" i="1" s="1"/>
  <c r="DC10" i="1"/>
  <c r="CD15" i="24"/>
  <c r="CZ102" i="1"/>
  <c r="CZ48" i="1" s="1"/>
  <c r="CZ98" i="1"/>
  <c r="CZ97" i="1"/>
  <c r="CZ66" i="1"/>
  <c r="CZ44" i="1"/>
  <c r="CZ45" i="1" s="1"/>
  <c r="CZ124" i="1"/>
  <c r="CZ125" i="1" s="1"/>
  <c r="CZ163" i="1" s="1"/>
  <c r="CZ35" i="1"/>
  <c r="DA13" i="1"/>
  <c r="DA14" i="1" s="1"/>
  <c r="DA91" i="1"/>
  <c r="DA95" i="1" s="1"/>
  <c r="CB21" i="24"/>
  <c r="CX100" i="1"/>
  <c r="DC8" i="1"/>
  <c r="CD13" i="24"/>
  <c r="CY45" i="1"/>
  <c r="CC20" i="24"/>
  <c r="DF21" i="1"/>
  <c r="DF19" i="1" s="1"/>
  <c r="DF17" i="1" s="1"/>
  <c r="DE26" i="1"/>
  <c r="DC9" i="1"/>
  <c r="CD12" i="24"/>
  <c r="CY46" i="1"/>
  <c r="CY67" i="1"/>
  <c r="CY99" i="1"/>
  <c r="DD31" i="1"/>
  <c r="DD29" i="1"/>
  <c r="DD30" i="1"/>
  <c r="DD32" i="1"/>
  <c r="DD28" i="1"/>
  <c r="DB12" i="1"/>
  <c r="DC7" i="1"/>
  <c r="CD11" i="24"/>
  <c r="CE14" i="24" l="1"/>
  <c r="DD33" i="1"/>
  <c r="DD34" i="1" s="1"/>
  <c r="CE18" i="24" s="1"/>
  <c r="CE19" i="24" s="1"/>
  <c r="DC76" i="1" s="1"/>
  <c r="DB78" i="1"/>
  <c r="DB77" i="1"/>
  <c r="DB80" i="1" s="1"/>
  <c r="DD10" i="1"/>
  <c r="CE15" i="24"/>
  <c r="DA102" i="1"/>
  <c r="DA48" i="1" s="1"/>
  <c r="CZ99" i="1"/>
  <c r="CZ67" i="1"/>
  <c r="CZ46" i="1"/>
  <c r="CZ50" i="1" s="1"/>
  <c r="CY47" i="1"/>
  <c r="CY49" i="1" s="1"/>
  <c r="DA44" i="1"/>
  <c r="DA45" i="1" s="1"/>
  <c r="DA66" i="1"/>
  <c r="DA35" i="1"/>
  <c r="DA124" i="1"/>
  <c r="DA125" i="1" s="1"/>
  <c r="DA163" i="1" s="1"/>
  <c r="DA97" i="1"/>
  <c r="DA98" i="1"/>
  <c r="DB13" i="1"/>
  <c r="DB14" i="1" s="1"/>
  <c r="DB91" i="1"/>
  <c r="DB95" i="1" s="1"/>
  <c r="CD20" i="24"/>
  <c r="CY110" i="1"/>
  <c r="CY162" i="1" s="1"/>
  <c r="CY165" i="1" s="1"/>
  <c r="CY100" i="1"/>
  <c r="DC12" i="1"/>
  <c r="CE12" i="24"/>
  <c r="DD9" i="1"/>
  <c r="DB63" i="1"/>
  <c r="DB65" i="1" s="1"/>
  <c r="CC21" i="24"/>
  <c r="CE13" i="24"/>
  <c r="DD8" i="1"/>
  <c r="DD7" i="1"/>
  <c r="CE11" i="24"/>
  <c r="CY50" i="1"/>
  <c r="DG21" i="1"/>
  <c r="DG19" i="1" s="1"/>
  <c r="DG17" i="1" s="1"/>
  <c r="DF26" i="1"/>
  <c r="DC78" i="1" l="1"/>
  <c r="DC77" i="1"/>
  <c r="DC80" i="1" s="1"/>
  <c r="DB102" i="1"/>
  <c r="CZ47" i="1"/>
  <c r="CZ49" i="1" s="1"/>
  <c r="CZ100" i="1"/>
  <c r="CZ110" i="1"/>
  <c r="CZ162" i="1" s="1"/>
  <c r="CZ165" i="1" s="1"/>
  <c r="DA46" i="1"/>
  <c r="DA47" i="1" s="1"/>
  <c r="DA49" i="1" s="1"/>
  <c r="DA99" i="1"/>
  <c r="DA67" i="1"/>
  <c r="DD12" i="1"/>
  <c r="DC91" i="1"/>
  <c r="DC95" i="1" s="1"/>
  <c r="DC13" i="1"/>
  <c r="DC14" i="1" s="1"/>
  <c r="CE20" i="24"/>
  <c r="DF31" i="1"/>
  <c r="DF29" i="1"/>
  <c r="DF30" i="1"/>
  <c r="DF32" i="1"/>
  <c r="DF28" i="1"/>
  <c r="DB98" i="1"/>
  <c r="DB97" i="1"/>
  <c r="DB44" i="1"/>
  <c r="DB45" i="1" s="1"/>
  <c r="DB124" i="1"/>
  <c r="DB125" i="1" s="1"/>
  <c r="DB163" i="1" s="1"/>
  <c r="DB66" i="1"/>
  <c r="DB35" i="1"/>
  <c r="DB48" i="1"/>
  <c r="DG26" i="1"/>
  <c r="O16" i="5"/>
  <c r="DC63" i="1"/>
  <c r="DC65" i="1" s="1"/>
  <c r="CD21" i="24"/>
  <c r="CG14" i="24" l="1"/>
  <c r="DF33" i="1"/>
  <c r="DF34" i="1" s="1"/>
  <c r="CG18" i="24" s="1"/>
  <c r="CG19" i="24" s="1"/>
  <c r="DE76" i="1" s="1"/>
  <c r="DF10" i="1"/>
  <c r="CG15" i="24"/>
  <c r="DA50" i="1"/>
  <c r="DC102" i="1"/>
  <c r="DC48" i="1" s="1"/>
  <c r="DA100" i="1"/>
  <c r="DA110" i="1"/>
  <c r="DA162" i="1" s="1"/>
  <c r="DA165" i="1" s="1"/>
  <c r="DD13" i="1"/>
  <c r="DD14" i="1" s="1"/>
  <c r="DD44" i="1" s="1"/>
  <c r="DD45" i="1" s="1"/>
  <c r="DD91" i="1"/>
  <c r="DD63" i="1"/>
  <c r="DD65" i="1" s="1"/>
  <c r="CE21" i="24"/>
  <c r="DF7" i="1"/>
  <c r="CG11" i="24"/>
  <c r="DG32" i="1"/>
  <c r="DG28" i="1"/>
  <c r="DG29" i="1"/>
  <c r="DG31" i="1"/>
  <c r="DG30" i="1"/>
  <c r="DF9" i="1"/>
  <c r="CG12" i="24"/>
  <c r="DC44" i="1"/>
  <c r="DC45" i="1" s="1"/>
  <c r="DC66" i="1"/>
  <c r="DC35" i="1"/>
  <c r="DC124" i="1"/>
  <c r="DC125" i="1" s="1"/>
  <c r="DB46" i="1"/>
  <c r="DB47" i="1" s="1"/>
  <c r="DB49" i="1" s="1"/>
  <c r="DB99" i="1"/>
  <c r="DB67" i="1"/>
  <c r="DF8" i="1"/>
  <c r="CG13" i="24"/>
  <c r="DC97" i="1"/>
  <c r="DC98" i="1"/>
  <c r="CH14" i="24" l="1"/>
  <c r="DG33" i="1"/>
  <c r="DG34" i="1" s="1"/>
  <c r="CH18" i="24" s="1"/>
  <c r="CH19" i="24" s="1"/>
  <c r="DF76" i="1" s="1"/>
  <c r="DE78" i="1"/>
  <c r="DE77" i="1"/>
  <c r="DE80" i="1" s="1"/>
  <c r="DG10" i="1"/>
  <c r="CH15" i="24"/>
  <c r="DD102" i="1"/>
  <c r="DD48" i="1" s="1"/>
  <c r="DD124" i="1"/>
  <c r="DD125" i="1" s="1"/>
  <c r="DD163" i="1" s="1"/>
  <c r="DD35" i="1"/>
  <c r="DD66" i="1"/>
  <c r="DD46" i="1" s="1"/>
  <c r="CG20" i="24"/>
  <c r="DC46" i="1"/>
  <c r="DC99" i="1"/>
  <c r="DC67" i="1"/>
  <c r="DB50" i="1"/>
  <c r="DG9" i="1"/>
  <c r="CH12" i="24"/>
  <c r="DF12" i="1"/>
  <c r="DB110" i="1"/>
  <c r="DB162" i="1" s="1"/>
  <c r="DB165" i="1" s="1"/>
  <c r="DB100" i="1"/>
  <c r="DG8" i="1"/>
  <c r="CH13" i="24"/>
  <c r="DG7" i="1"/>
  <c r="CH11" i="24"/>
  <c r="DC163" i="1"/>
  <c r="DF78" i="1" l="1"/>
  <c r="DF77" i="1"/>
  <c r="DF80" i="1" s="1"/>
  <c r="DD67" i="1"/>
  <c r="CH20" i="24"/>
  <c r="DD47" i="1"/>
  <c r="DD49" i="1" s="1"/>
  <c r="DC110" i="1"/>
  <c r="DC162" i="1" s="1"/>
  <c r="DC165" i="1" s="1"/>
  <c r="DC100" i="1"/>
  <c r="DC47" i="1"/>
  <c r="DC49" i="1" s="1"/>
  <c r="DC50" i="1"/>
  <c r="CG21" i="24"/>
  <c r="DF63" i="1"/>
  <c r="DF65" i="1" s="1"/>
  <c r="DF91" i="1"/>
  <c r="DF95" i="1" s="1"/>
  <c r="DF13" i="1"/>
  <c r="DF14" i="1" s="1"/>
  <c r="DG12" i="1"/>
  <c r="DD50" i="1"/>
  <c r="DF102" i="1" l="1"/>
  <c r="DG63" i="1"/>
  <c r="DG65" i="1" s="1"/>
  <c r="CH21" i="24"/>
  <c r="DF97" i="1"/>
  <c r="DF98" i="1"/>
  <c r="DF44" i="1"/>
  <c r="DF45" i="1" s="1"/>
  <c r="DF124" i="1"/>
  <c r="DF125" i="1" s="1"/>
  <c r="DF35" i="1"/>
  <c r="DF66" i="1"/>
  <c r="DG13" i="1"/>
  <c r="DG14" i="1" s="1"/>
  <c r="DG91" i="1"/>
  <c r="DG95" i="1" s="1"/>
  <c r="DG102" i="1" l="1"/>
  <c r="DG97" i="1"/>
  <c r="DG98" i="1"/>
  <c r="DG44" i="1"/>
  <c r="DG45" i="1" s="1"/>
  <c r="DG35" i="1"/>
  <c r="DG66" i="1"/>
  <c r="DG124" i="1"/>
  <c r="DG125" i="1" s="1"/>
  <c r="DG163" i="1" s="1"/>
  <c r="DF46" i="1"/>
  <c r="DF67" i="1"/>
  <c r="DF99" i="1"/>
  <c r="AN25" i="1"/>
  <c r="DG46" i="1" l="1"/>
  <c r="DG99" i="1"/>
  <c r="DG67" i="1"/>
  <c r="DF100" i="1"/>
  <c r="DF110" i="1"/>
  <c r="DF162" i="1" s="1"/>
  <c r="AN51" i="1"/>
  <c r="T56" i="1"/>
  <c r="AZ25" i="1"/>
  <c r="DG110" i="1" l="1"/>
  <c r="DG162" i="1" s="1"/>
  <c r="DG165" i="1" s="1"/>
  <c r="DG100" i="1"/>
  <c r="T54" i="1"/>
  <c r="T58" i="1" s="1"/>
  <c r="AZ51" i="1"/>
  <c r="AZ26" i="1"/>
  <c r="U56" i="1"/>
  <c r="BL25" i="1"/>
  <c r="BL51" i="1" l="1"/>
  <c r="V56" i="1"/>
  <c r="BX25" i="1"/>
  <c r="BL26" i="1"/>
  <c r="AZ29" i="1"/>
  <c r="AZ31" i="1"/>
  <c r="AZ30" i="1"/>
  <c r="AZ32" i="1"/>
  <c r="AZ28" i="1"/>
  <c r="U54" i="1"/>
  <c r="U58" i="1" s="1"/>
  <c r="T59" i="1"/>
  <c r="AA14" i="24" l="1"/>
  <c r="AZ33" i="1"/>
  <c r="AZ34" i="1" s="1"/>
  <c r="AA18" i="24" s="1"/>
  <c r="AA19" i="24" s="1"/>
  <c r="AY76" i="1" s="1"/>
  <c r="AZ10" i="1"/>
  <c r="AA15" i="24"/>
  <c r="BL30" i="1"/>
  <c r="BL29" i="1"/>
  <c r="BL32" i="1"/>
  <c r="BL31" i="1"/>
  <c r="BL28" i="1"/>
  <c r="U59" i="1"/>
  <c r="Y56" i="1"/>
  <c r="BX51" i="1"/>
  <c r="X56" i="1"/>
  <c r="CJ25" i="1"/>
  <c r="BX26" i="1"/>
  <c r="W56" i="1"/>
  <c r="AA12" i="24"/>
  <c r="AZ9" i="1"/>
  <c r="AZ8" i="1"/>
  <c r="AA13" i="24"/>
  <c r="AA11" i="24"/>
  <c r="AZ7" i="1"/>
  <c r="V54" i="1"/>
  <c r="V58" i="1" s="1"/>
  <c r="AY78" i="1" l="1"/>
  <c r="AY77" i="1"/>
  <c r="AY80" i="1" s="1"/>
  <c r="AY95" i="1" s="1"/>
  <c r="AM14" i="24"/>
  <c r="BL33" i="1"/>
  <c r="BL34" i="1" s="1"/>
  <c r="AM18" i="24" s="1"/>
  <c r="AM19" i="24" s="1"/>
  <c r="BK76" i="1" s="1"/>
  <c r="BL10" i="1"/>
  <c r="AM15" i="24"/>
  <c r="V59" i="1"/>
  <c r="Y54" i="1"/>
  <c r="Y58" i="1" s="1"/>
  <c r="BL7" i="1"/>
  <c r="AM11" i="24"/>
  <c r="W54" i="1"/>
  <c r="W58" i="1" s="1"/>
  <c r="BX30" i="1"/>
  <c r="BX31" i="1"/>
  <c r="BX32" i="1"/>
  <c r="BX28" i="1"/>
  <c r="BX29" i="1"/>
  <c r="AZ12" i="1"/>
  <c r="C12" i="31" s="1"/>
  <c r="CV25" i="1"/>
  <c r="CJ26" i="1"/>
  <c r="AA56" i="1"/>
  <c r="Z56" i="1"/>
  <c r="CJ51" i="1"/>
  <c r="AM13" i="24"/>
  <c r="BL8" i="1"/>
  <c r="X54" i="1"/>
  <c r="X58" i="1" s="1"/>
  <c r="AM12" i="24"/>
  <c r="BL9" i="1"/>
  <c r="AA20" i="24"/>
  <c r="AY14" i="24" l="1"/>
  <c r="BX33" i="1"/>
  <c r="BX34" i="1" s="1"/>
  <c r="AY18" i="24" s="1"/>
  <c r="AY19" i="24" s="1"/>
  <c r="BW76" i="1" s="1"/>
  <c r="AY97" i="1"/>
  <c r="AY98" i="1"/>
  <c r="AY99" i="1" s="1"/>
  <c r="N23" i="29"/>
  <c r="N24" i="29" s="1"/>
  <c r="N26" i="29" s="1"/>
  <c r="BK78" i="1"/>
  <c r="BK77" i="1"/>
  <c r="BK80" i="1" s="1"/>
  <c r="BK95" i="1" s="1"/>
  <c r="BX10" i="1"/>
  <c r="AY15" i="24"/>
  <c r="X59" i="1"/>
  <c r="AM20" i="24"/>
  <c r="AM21" i="24" s="1"/>
  <c r="AA54" i="1"/>
  <c r="AA58" i="1" s="1"/>
  <c r="CJ32" i="1"/>
  <c r="CJ31" i="1"/>
  <c r="CJ28" i="1"/>
  <c r="CJ29" i="1"/>
  <c r="CJ30" i="1"/>
  <c r="CV51" i="1"/>
  <c r="CV26" i="1"/>
  <c r="W59" i="1"/>
  <c r="AA21" i="24"/>
  <c r="AZ63" i="1"/>
  <c r="AZ65" i="1" s="1"/>
  <c r="BL12" i="1"/>
  <c r="Z54" i="1"/>
  <c r="Z58" i="1" s="1"/>
  <c r="BX9" i="1"/>
  <c r="AY12" i="24"/>
  <c r="AZ91" i="1"/>
  <c r="AZ13" i="1"/>
  <c r="C13" i="31" s="1"/>
  <c r="AY13" i="24"/>
  <c r="BX8" i="1"/>
  <c r="AY11" i="24"/>
  <c r="BX7" i="1"/>
  <c r="Y59" i="1"/>
  <c r="N23" i="31" l="1"/>
  <c r="N24" i="31" s="1"/>
  <c r="N26" i="31" s="1"/>
  <c r="BK97" i="1"/>
  <c r="BK98" i="1"/>
  <c r="BK99" i="1" s="1"/>
  <c r="AY100" i="1"/>
  <c r="AY110" i="1"/>
  <c r="AY162" i="1" s="1"/>
  <c r="AY165" i="1" s="1"/>
  <c r="N27" i="29"/>
  <c r="N30" i="29"/>
  <c r="N31" i="29" s="1"/>
  <c r="BW78" i="1"/>
  <c r="BW77" i="1"/>
  <c r="BK14" i="24"/>
  <c r="CJ33" i="1"/>
  <c r="CJ34" i="1" s="1"/>
  <c r="BK18" i="24" s="1"/>
  <c r="BK19" i="24" s="1"/>
  <c r="CI76" i="1" s="1"/>
  <c r="C14" i="31"/>
  <c r="CJ10" i="1"/>
  <c r="BK15" i="24"/>
  <c r="AZ102" i="1"/>
  <c r="C18" i="31"/>
  <c r="AZ95" i="1"/>
  <c r="BL63" i="1"/>
  <c r="BL65" i="1" s="1"/>
  <c r="BK12" i="24"/>
  <c r="CJ9" i="1"/>
  <c r="BL13" i="1"/>
  <c r="BL91" i="1"/>
  <c r="BL95" i="1" s="1"/>
  <c r="AZ14" i="1"/>
  <c r="CJ8" i="1"/>
  <c r="BK13" i="24"/>
  <c r="CJ7" i="1"/>
  <c r="BK11" i="24"/>
  <c r="BX12" i="1"/>
  <c r="AY20" i="24"/>
  <c r="Z59" i="1"/>
  <c r="CV31" i="1"/>
  <c r="CV30" i="1"/>
  <c r="CV28" i="1"/>
  <c r="CV32" i="1"/>
  <c r="CV29" i="1"/>
  <c r="AA59" i="1"/>
  <c r="CI78" i="1" l="1"/>
  <c r="CI77" i="1"/>
  <c r="BK100" i="1"/>
  <c r="BK110" i="1"/>
  <c r="BK162" i="1" s="1"/>
  <c r="BK165" i="1" s="1"/>
  <c r="BW14" i="24"/>
  <c r="CV33" i="1"/>
  <c r="CV34" i="1" s="1"/>
  <c r="BW18" i="24" s="1"/>
  <c r="BW19" i="24" s="1"/>
  <c r="CU76" i="1" s="1"/>
  <c r="BW80" i="1"/>
  <c r="BW95" i="1" s="1"/>
  <c r="N30" i="31"/>
  <c r="N31" i="31" s="1"/>
  <c r="N27" i="31"/>
  <c r="AZ97" i="1"/>
  <c r="C23" i="31"/>
  <c r="CV10" i="1"/>
  <c r="BW15" i="24"/>
  <c r="C19" i="31"/>
  <c r="BL102" i="1"/>
  <c r="BM48" i="1" s="1"/>
  <c r="BM50" i="1" s="1"/>
  <c r="AZ98" i="1"/>
  <c r="AZ44" i="1"/>
  <c r="AZ45" i="1" s="1"/>
  <c r="BK20" i="24"/>
  <c r="BK21" i="24" s="1"/>
  <c r="BL98" i="1"/>
  <c r="BL97" i="1"/>
  <c r="CV9" i="1"/>
  <c r="BW12" i="24"/>
  <c r="CJ12" i="1"/>
  <c r="BL14" i="1"/>
  <c r="BL44" i="1" s="1"/>
  <c r="AY21" i="24"/>
  <c r="BX63" i="1"/>
  <c r="BX65" i="1" s="1"/>
  <c r="BX91" i="1"/>
  <c r="BX95" i="1" s="1"/>
  <c r="BX13" i="1"/>
  <c r="AZ48" i="1"/>
  <c r="BA48" i="1"/>
  <c r="BA50" i="1" s="1"/>
  <c r="BB48" i="1"/>
  <c r="BB50" i="1" s="1"/>
  <c r="CV8" i="1"/>
  <c r="BW13" i="24"/>
  <c r="AZ66" i="1"/>
  <c r="AZ46" i="1" s="1"/>
  <c r="AZ35" i="1"/>
  <c r="AZ124" i="1"/>
  <c r="AZ125" i="1" s="1"/>
  <c r="BW11" i="24"/>
  <c r="CV7" i="1"/>
  <c r="BW98" i="1" l="1"/>
  <c r="BW99" i="1" s="1"/>
  <c r="BW97" i="1"/>
  <c r="CU78" i="1"/>
  <c r="CU77" i="1"/>
  <c r="CU80" i="1" s="1"/>
  <c r="CU95" i="1" s="1"/>
  <c r="CI80" i="1"/>
  <c r="CI95" i="1" s="1"/>
  <c r="BL48" i="1"/>
  <c r="BN48" i="1"/>
  <c r="BN50" i="1" s="1"/>
  <c r="C24" i="31"/>
  <c r="C26" i="31" s="1"/>
  <c r="C20" i="31"/>
  <c r="BX102" i="1"/>
  <c r="CJ63" i="1"/>
  <c r="CJ65" i="1" s="1"/>
  <c r="CV12" i="1"/>
  <c r="CV91" i="1" s="1"/>
  <c r="CV95" i="1" s="1"/>
  <c r="CJ91" i="1"/>
  <c r="CJ95" i="1" s="1"/>
  <c r="CJ13" i="1"/>
  <c r="BX14" i="1"/>
  <c r="BX44" i="1" s="1"/>
  <c r="BX98" i="1"/>
  <c r="BX97" i="1"/>
  <c r="AZ99" i="1"/>
  <c r="AZ67" i="1"/>
  <c r="BW20" i="24"/>
  <c r="BA163" i="1"/>
  <c r="BA165" i="1" s="1"/>
  <c r="AZ163" i="1"/>
  <c r="BL45" i="1"/>
  <c r="BL66" i="1"/>
  <c r="BL46" i="1" s="1"/>
  <c r="BL124" i="1"/>
  <c r="BL125" i="1" s="1"/>
  <c r="BL35" i="1"/>
  <c r="CU97" i="1" l="1"/>
  <c r="CU98" i="1"/>
  <c r="CU99" i="1" s="1"/>
  <c r="CI97" i="1"/>
  <c r="CI98" i="1"/>
  <c r="CI99" i="1" s="1"/>
  <c r="BW110" i="1"/>
  <c r="BW162" i="1" s="1"/>
  <c r="BW165" i="1" s="1"/>
  <c r="BW100" i="1"/>
  <c r="C30" i="31"/>
  <c r="C27" i="31"/>
  <c r="CJ102" i="1"/>
  <c r="CK48" i="1" s="1"/>
  <c r="CK50" i="1" s="1"/>
  <c r="CV13" i="1"/>
  <c r="CV14" i="1" s="1"/>
  <c r="CV44" i="1" s="1"/>
  <c r="AZ100" i="1"/>
  <c r="AZ110" i="1"/>
  <c r="CJ14" i="1"/>
  <c r="CJ44" i="1" s="1"/>
  <c r="BW21" i="24"/>
  <c r="CV63" i="1"/>
  <c r="CV65" i="1" s="1"/>
  <c r="CV102" i="1" s="1"/>
  <c r="CJ98" i="1"/>
  <c r="CJ97" i="1"/>
  <c r="CJ48" i="1"/>
  <c r="CL48" i="1"/>
  <c r="CL50" i="1" s="1"/>
  <c r="BL163" i="1"/>
  <c r="BM163" i="1"/>
  <c r="BM165" i="1" s="1"/>
  <c r="BL67" i="1"/>
  <c r="BL99" i="1"/>
  <c r="CV97" i="1"/>
  <c r="CV98" i="1"/>
  <c r="BZ48" i="1"/>
  <c r="BZ50" i="1" s="1"/>
  <c r="BY48" i="1"/>
  <c r="BY50" i="1" s="1"/>
  <c r="BX48" i="1"/>
  <c r="BX45" i="1"/>
  <c r="BX35" i="1"/>
  <c r="BX124" i="1"/>
  <c r="BX125" i="1" s="1"/>
  <c r="BX66" i="1"/>
  <c r="BX46" i="1" s="1"/>
  <c r="CI100" i="1" l="1"/>
  <c r="CI110" i="1"/>
  <c r="CI162" i="1" s="1"/>
  <c r="CI165" i="1" s="1"/>
  <c r="CU110" i="1"/>
  <c r="CU162" i="1" s="1"/>
  <c r="CU165" i="1" s="1"/>
  <c r="CU100" i="1"/>
  <c r="C31" i="31"/>
  <c r="C34" i="31"/>
  <c r="D34" i="31" s="1"/>
  <c r="E34" i="31" s="1"/>
  <c r="F34" i="31" s="1"/>
  <c r="G34" i="31" s="1"/>
  <c r="H34" i="31" s="1"/>
  <c r="I34" i="31" s="1"/>
  <c r="J34" i="31" s="1"/>
  <c r="CJ66" i="1"/>
  <c r="CJ46" i="1" s="1"/>
  <c r="CJ124" i="1"/>
  <c r="CJ125" i="1" s="1"/>
  <c r="CJ35" i="1"/>
  <c r="CJ45" i="1"/>
  <c r="AZ154" i="1"/>
  <c r="AZ162" i="1"/>
  <c r="AZ165" i="1" s="1"/>
  <c r="CV45" i="1"/>
  <c r="CV66" i="1"/>
  <c r="CV46" i="1" s="1"/>
  <c r="CV124" i="1"/>
  <c r="CV125" i="1" s="1"/>
  <c r="CV35" i="1"/>
  <c r="BX163" i="1"/>
  <c r="BY163" i="1"/>
  <c r="BY165" i="1" s="1"/>
  <c r="BB47" i="1"/>
  <c r="BB49" i="1" s="1"/>
  <c r="BA47" i="1"/>
  <c r="BA49" i="1" s="1"/>
  <c r="AZ47" i="1"/>
  <c r="AZ49" i="1" s="1"/>
  <c r="AZ50" i="1"/>
  <c r="BX67" i="1"/>
  <c r="BX99" i="1"/>
  <c r="BL100" i="1"/>
  <c r="BL110" i="1"/>
  <c r="BL154" i="1" l="1"/>
  <c r="BM154" i="1" s="1"/>
  <c r="BN154" i="1" s="1"/>
  <c r="BO154" i="1" s="1"/>
  <c r="BP154" i="1" s="1"/>
  <c r="BQ154" i="1" s="1"/>
  <c r="BR154" i="1" s="1"/>
  <c r="BS154" i="1" s="1"/>
  <c r="BL162" i="1"/>
  <c r="BL165" i="1" s="1"/>
  <c r="CK163" i="1"/>
  <c r="CK165" i="1" s="1"/>
  <c r="CJ163" i="1"/>
  <c r="BM47" i="1"/>
  <c r="BM49" i="1" s="1"/>
  <c r="BN47" i="1"/>
  <c r="BN49" i="1" s="1"/>
  <c r="BL47" i="1"/>
  <c r="BL49" i="1" s="1"/>
  <c r="BL50" i="1"/>
  <c r="CW163" i="1"/>
  <c r="CW165" i="1" s="1"/>
  <c r="CV163" i="1"/>
  <c r="CJ67" i="1"/>
  <c r="CJ99" i="1"/>
  <c r="CV67" i="1"/>
  <c r="CV99" i="1"/>
  <c r="CW48" i="1"/>
  <c r="CW50" i="1" s="1"/>
  <c r="CX48" i="1"/>
  <c r="CX50" i="1" s="1"/>
  <c r="CV48" i="1"/>
  <c r="BX100" i="1"/>
  <c r="BX110" i="1"/>
  <c r="BA154" i="1"/>
  <c r="BX47" i="1" l="1"/>
  <c r="BX49" i="1" s="1"/>
  <c r="BY47" i="1"/>
  <c r="BY49" i="1" s="1"/>
  <c r="BZ47" i="1"/>
  <c r="BZ49" i="1" s="1"/>
  <c r="BX50" i="1"/>
  <c r="BB154" i="1"/>
  <c r="CJ100" i="1"/>
  <c r="CJ110" i="1"/>
  <c r="BX162" i="1"/>
  <c r="BX165" i="1" s="1"/>
  <c r="BX154" i="1"/>
  <c r="BY154" i="1" s="1"/>
  <c r="BZ154" i="1" s="1"/>
  <c r="CA154" i="1" s="1"/>
  <c r="CB154" i="1" s="1"/>
  <c r="CC154" i="1" s="1"/>
  <c r="CD154" i="1" s="1"/>
  <c r="CE154" i="1" s="1"/>
  <c r="CV100" i="1"/>
  <c r="CV110" i="1"/>
  <c r="CV154" i="1" l="1"/>
  <c r="CW154" i="1" s="1"/>
  <c r="CX154" i="1" s="1"/>
  <c r="CY154" i="1" s="1"/>
  <c r="CZ154" i="1" s="1"/>
  <c r="DA154" i="1" s="1"/>
  <c r="DB154" i="1" s="1"/>
  <c r="DC154" i="1" s="1"/>
  <c r="CV162" i="1"/>
  <c r="CV165" i="1" s="1"/>
  <c r="CW47" i="1"/>
  <c r="CW49" i="1" s="1"/>
  <c r="CV47" i="1"/>
  <c r="CV49" i="1" s="1"/>
  <c r="CX47" i="1"/>
  <c r="CX49" i="1" s="1"/>
  <c r="BC154" i="1"/>
  <c r="CJ154" i="1"/>
  <c r="CK154" i="1" s="1"/>
  <c r="CL154" i="1" s="1"/>
  <c r="CM154" i="1" s="1"/>
  <c r="CN154" i="1" s="1"/>
  <c r="CO154" i="1" s="1"/>
  <c r="CP154" i="1" s="1"/>
  <c r="CQ154" i="1" s="1"/>
  <c r="CJ162" i="1"/>
  <c r="CJ165" i="1" s="1"/>
  <c r="CK47" i="1"/>
  <c r="CK49" i="1" s="1"/>
  <c r="CJ47" i="1"/>
  <c r="CJ49" i="1" s="1"/>
  <c r="CL47" i="1"/>
  <c r="CL49" i="1" s="1"/>
  <c r="CJ50" i="1"/>
  <c r="CV50" i="1"/>
  <c r="BD154" i="1" l="1"/>
  <c r="BE154" i="1" l="1"/>
  <c r="BF154" i="1" l="1"/>
  <c r="BG154" i="1" l="1"/>
  <c r="AS168" i="1" l="1"/>
  <c r="AS169" i="1" s="1"/>
  <c r="AS171" i="1" s="1"/>
  <c r="H33" i="29"/>
  <c r="H37" i="29" l="1"/>
  <c r="H33" i="27" s="1"/>
  <c r="AS174" i="1"/>
  <c r="D33" i="20"/>
  <c r="E33" i="20" s="1"/>
  <c r="AT173" i="1" l="1"/>
  <c r="AT174" i="1" s="1"/>
  <c r="AS175" i="1"/>
  <c r="I33" i="29"/>
  <c r="H36" i="29"/>
  <c r="H32" i="27" s="1"/>
  <c r="AT175" i="1" l="1"/>
  <c r="AU173" i="1"/>
  <c r="AU174" i="1" s="1"/>
  <c r="I37" i="29"/>
  <c r="I33" i="27" s="1"/>
  <c r="J33" i="29"/>
  <c r="J37" i="29"/>
  <c r="J33" i="27" s="1"/>
  <c r="AU175" i="1" l="1"/>
  <c r="AV173" i="1"/>
  <c r="AV174" i="1" s="1"/>
  <c r="AW173" i="1" s="1"/>
  <c r="AW174" i="1" s="1"/>
  <c r="AW175" i="1" s="1"/>
  <c r="I36" i="29"/>
  <c r="I32" i="27" s="1"/>
  <c r="K37" i="29"/>
  <c r="K33" i="27" s="1"/>
  <c r="K33" i="29"/>
  <c r="AV175" i="1" l="1"/>
  <c r="F33" i="20"/>
  <c r="G33" i="20" s="1"/>
  <c r="J36" i="29"/>
  <c r="J32" i="27" s="1"/>
  <c r="L33" i="29"/>
  <c r="K36" i="29" l="1"/>
  <c r="K32" i="27" s="1"/>
  <c r="AY150" i="1"/>
  <c r="N33" i="31" s="1"/>
  <c r="P33" i="31" s="1"/>
  <c r="M33" i="29"/>
  <c r="AZ150" i="1" l="1"/>
  <c r="AY168" i="1"/>
  <c r="AY169" i="1" s="1"/>
  <c r="AY171" i="1" s="1"/>
  <c r="N33" i="29"/>
  <c r="P33" i="29" s="1"/>
  <c r="AZ168" i="1" l="1"/>
  <c r="AZ169" i="1" s="1"/>
  <c r="AZ171" i="1" s="1"/>
  <c r="C37" i="31" s="1"/>
  <c r="BA150" i="1"/>
  <c r="N37" i="29"/>
  <c r="BB150" i="1" l="1"/>
  <c r="BA168" i="1"/>
  <c r="BA169" i="1" s="1"/>
  <c r="BA171" i="1" s="1"/>
  <c r="D37" i="31" s="1"/>
  <c r="BB168" i="1" l="1"/>
  <c r="BB169" i="1" s="1"/>
  <c r="BB171" i="1" s="1"/>
  <c r="E37" i="31" s="1"/>
  <c r="BC150" i="1"/>
  <c r="BC168" i="1" l="1"/>
  <c r="BC169" i="1" s="1"/>
  <c r="BC171" i="1" s="1"/>
  <c r="F37" i="31" s="1"/>
  <c r="BD150" i="1"/>
  <c r="BE150" i="1" l="1"/>
  <c r="BD168" i="1"/>
  <c r="BD169" i="1" s="1"/>
  <c r="BD171" i="1" s="1"/>
  <c r="G37" i="31" s="1"/>
  <c r="BE168" i="1" l="1"/>
  <c r="BE169" i="1" s="1"/>
  <c r="BE171" i="1" s="1"/>
  <c r="H37" i="31" s="1"/>
  <c r="BF150" i="1"/>
  <c r="BG150" i="1" l="1"/>
  <c r="BF168" i="1"/>
  <c r="BF169" i="1" s="1"/>
  <c r="BF171" i="1" s="1"/>
  <c r="I37" i="31" s="1"/>
  <c r="BH150" i="1" l="1"/>
  <c r="BG168" i="1"/>
  <c r="BG169" i="1" s="1"/>
  <c r="BG171" i="1" s="1"/>
  <c r="J37" i="31" s="1"/>
  <c r="BI150" i="1" l="1"/>
  <c r="BH168" i="1"/>
  <c r="BH169" i="1" s="1"/>
  <c r="BI168" i="1" l="1"/>
  <c r="BI169" i="1" s="1"/>
  <c r="BJ150" i="1"/>
  <c r="BJ168" i="1" l="1"/>
  <c r="BJ169" i="1" s="1"/>
  <c r="BK150" i="1"/>
  <c r="BK168" i="1" l="1"/>
  <c r="BK169" i="1" s="1"/>
  <c r="BK171" i="1" s="1"/>
  <c r="N37" i="31" s="1"/>
  <c r="BL150" i="1"/>
  <c r="BL168" i="1" l="1"/>
  <c r="BL169" i="1" s="1"/>
  <c r="BL171" i="1" s="1"/>
  <c r="BM150" i="1"/>
  <c r="BM168" i="1" l="1"/>
  <c r="BM169" i="1" s="1"/>
  <c r="BM171" i="1" s="1"/>
  <c r="BN150" i="1"/>
  <c r="BO150" i="1" l="1"/>
  <c r="BN168" i="1"/>
  <c r="BN169" i="1" s="1"/>
  <c r="BN171" i="1" s="1"/>
  <c r="BP150" i="1" l="1"/>
  <c r="BO168" i="1"/>
  <c r="BO169" i="1" s="1"/>
  <c r="BO171" i="1" s="1"/>
  <c r="BP168" i="1" l="1"/>
  <c r="BP169" i="1" s="1"/>
  <c r="BP171" i="1" s="1"/>
  <c r="BQ150" i="1"/>
  <c r="BR150" i="1" l="1"/>
  <c r="BQ168" i="1"/>
  <c r="BQ169" i="1" s="1"/>
  <c r="BQ171" i="1" s="1"/>
  <c r="BR168" i="1" l="1"/>
  <c r="BR169" i="1" s="1"/>
  <c r="BR171" i="1" s="1"/>
  <c r="BS150" i="1"/>
  <c r="BS168" i="1" l="1"/>
  <c r="BS169" i="1" s="1"/>
  <c r="BS171" i="1" s="1"/>
  <c r="BT150" i="1"/>
  <c r="BT168" i="1" l="1"/>
  <c r="BT169" i="1" s="1"/>
  <c r="BU150" i="1"/>
  <c r="BU168" i="1" l="1"/>
  <c r="BU169" i="1" s="1"/>
  <c r="BV150" i="1"/>
  <c r="BW150" i="1" l="1"/>
  <c r="BV168" i="1"/>
  <c r="BV169" i="1" s="1"/>
  <c r="BW168" i="1" l="1"/>
  <c r="BW169" i="1" s="1"/>
  <c r="BW171" i="1" s="1"/>
  <c r="BX150" i="1"/>
  <c r="BX168" i="1" l="1"/>
  <c r="BX169" i="1" s="1"/>
  <c r="BX171" i="1" s="1"/>
  <c r="BY150" i="1"/>
  <c r="BZ150" i="1" l="1"/>
  <c r="BY168" i="1"/>
  <c r="BY169" i="1" s="1"/>
  <c r="BY171" i="1" s="1"/>
  <c r="BZ168" i="1" l="1"/>
  <c r="BZ169" i="1" s="1"/>
  <c r="BZ171" i="1" s="1"/>
  <c r="CA150" i="1"/>
  <c r="CA168" i="1" l="1"/>
  <c r="CA169" i="1" s="1"/>
  <c r="CA171" i="1" s="1"/>
  <c r="CB150" i="1"/>
  <c r="CB168" i="1" l="1"/>
  <c r="CB169" i="1" s="1"/>
  <c r="CB171" i="1" s="1"/>
  <c r="CC150" i="1"/>
  <c r="CC168" i="1" l="1"/>
  <c r="CC169" i="1" s="1"/>
  <c r="CC171" i="1" s="1"/>
  <c r="CD150" i="1"/>
  <c r="CD168" i="1" l="1"/>
  <c r="CD169" i="1" s="1"/>
  <c r="CD171" i="1" s="1"/>
  <c r="CE150" i="1"/>
  <c r="CE168" i="1" l="1"/>
  <c r="CE169" i="1" s="1"/>
  <c r="CE171" i="1" s="1"/>
  <c r="CF150" i="1"/>
  <c r="CF168" i="1" l="1"/>
  <c r="CF169" i="1" s="1"/>
  <c r="CG150" i="1"/>
  <c r="CG168" i="1" l="1"/>
  <c r="CG169" i="1" s="1"/>
  <c r="CH150" i="1"/>
  <c r="CH168" i="1" l="1"/>
  <c r="CH169" i="1" s="1"/>
  <c r="CI150" i="1"/>
  <c r="CI168" i="1" l="1"/>
  <c r="CI169" i="1" s="1"/>
  <c r="CI171" i="1" s="1"/>
  <c r="CJ150" i="1"/>
  <c r="CJ168" i="1" l="1"/>
  <c r="CJ169" i="1" s="1"/>
  <c r="CJ171" i="1" s="1"/>
  <c r="CK150" i="1"/>
  <c r="CK168" i="1" l="1"/>
  <c r="CK169" i="1" s="1"/>
  <c r="CK171" i="1" s="1"/>
  <c r="CL150" i="1"/>
  <c r="CL168" i="1" l="1"/>
  <c r="CL169" i="1" s="1"/>
  <c r="CL171" i="1" s="1"/>
  <c r="CM150" i="1"/>
  <c r="CM168" i="1" l="1"/>
  <c r="CM169" i="1" s="1"/>
  <c r="CM171" i="1" s="1"/>
  <c r="CN150" i="1"/>
  <c r="CN168" i="1" l="1"/>
  <c r="CN169" i="1" s="1"/>
  <c r="CN171" i="1" s="1"/>
  <c r="CO150" i="1"/>
  <c r="CO168" i="1" l="1"/>
  <c r="CO169" i="1" s="1"/>
  <c r="CO171" i="1" s="1"/>
  <c r="CP150" i="1"/>
  <c r="CP168" i="1" l="1"/>
  <c r="CP169" i="1" s="1"/>
  <c r="CP171" i="1" s="1"/>
  <c r="CQ150" i="1"/>
  <c r="CQ168" i="1" l="1"/>
  <c r="CQ169" i="1" s="1"/>
  <c r="CQ171" i="1" s="1"/>
  <c r="CR150" i="1"/>
  <c r="CR168" i="1" l="1"/>
  <c r="CR169" i="1" s="1"/>
  <c r="CS150" i="1"/>
  <c r="CS168" i="1" l="1"/>
  <c r="CS169" i="1" s="1"/>
  <c r="CT150" i="1"/>
  <c r="CT168" i="1" l="1"/>
  <c r="CT169" i="1" s="1"/>
  <c r="CU150" i="1"/>
  <c r="CU168" i="1" l="1"/>
  <c r="CU169" i="1" s="1"/>
  <c r="CU171" i="1" s="1"/>
  <c r="CV150" i="1"/>
  <c r="CV168" i="1" l="1"/>
  <c r="CV169" i="1" s="1"/>
  <c r="CV171" i="1" s="1"/>
  <c r="CW150" i="1"/>
  <c r="CW168" i="1" l="1"/>
  <c r="CW169" i="1" s="1"/>
  <c r="CW171" i="1" s="1"/>
  <c r="CX150" i="1"/>
  <c r="CX168" i="1" l="1"/>
  <c r="CX169" i="1" s="1"/>
  <c r="CX171" i="1" s="1"/>
  <c r="CY150" i="1"/>
  <c r="CY168" i="1" l="1"/>
  <c r="CY169" i="1" s="1"/>
  <c r="CY171" i="1" s="1"/>
  <c r="CZ150" i="1"/>
  <c r="DA150" i="1" l="1"/>
  <c r="CZ168" i="1"/>
  <c r="CZ169" i="1" s="1"/>
  <c r="CZ171" i="1" s="1"/>
  <c r="DA168" i="1" l="1"/>
  <c r="DA169" i="1" s="1"/>
  <c r="DA171" i="1" s="1"/>
  <c r="DB150" i="1"/>
  <c r="DB168" i="1" l="1"/>
  <c r="DB169" i="1" s="1"/>
  <c r="DB171" i="1" s="1"/>
  <c r="DC150" i="1"/>
  <c r="DC168" i="1" l="1"/>
  <c r="DC169" i="1" s="1"/>
  <c r="DC171" i="1" s="1"/>
  <c r="DD150" i="1"/>
  <c r="DD168" i="1" l="1"/>
  <c r="DD169" i="1" s="1"/>
  <c r="DE150" i="1"/>
  <c r="DE168" i="1" l="1"/>
  <c r="DE169" i="1" s="1"/>
  <c r="DF150" i="1"/>
  <c r="DF168" i="1" l="1"/>
  <c r="DF169" i="1" s="1"/>
  <c r="DG150" i="1"/>
  <c r="DG168" i="1" l="1"/>
  <c r="DG169" i="1" s="1"/>
  <c r="DG171" i="1" s="1"/>
  <c r="BI32" i="1"/>
  <c r="BU32" i="1" s="1"/>
  <c r="CG32" i="1" s="1"/>
  <c r="CS32" i="1" s="1"/>
  <c r="DE32" i="1" s="1"/>
  <c r="BI30" i="1"/>
  <c r="M16" i="29"/>
  <c r="AY22" i="1"/>
  <c r="AJ14" i="24" l="1"/>
  <c r="BU30" i="1"/>
  <c r="BI9" i="1"/>
  <c r="AJ12" i="24"/>
  <c r="BI29" i="1"/>
  <c r="N16" i="29"/>
  <c r="AZ22" i="1"/>
  <c r="C16" i="31" s="1"/>
  <c r="BI31" i="1"/>
  <c r="AJ15" i="24" s="1"/>
  <c r="AV14" i="24" l="1"/>
  <c r="BU31" i="1"/>
  <c r="AV15" i="24" s="1"/>
  <c r="BI10" i="1"/>
  <c r="BA22" i="1"/>
  <c r="D16" i="31" s="1"/>
  <c r="BU9" i="1"/>
  <c r="AV12" i="24"/>
  <c r="CG30" i="1"/>
  <c r="BU29" i="1"/>
  <c r="AJ13" i="24"/>
  <c r="BI8" i="1"/>
  <c r="BI28" i="1"/>
  <c r="BI33" i="1" s="1"/>
  <c r="BI34" i="1" s="1"/>
  <c r="AJ18" i="24" s="1"/>
  <c r="AJ19" i="24" s="1"/>
  <c r="BH76" i="1" s="1"/>
  <c r="BH78" i="1" l="1"/>
  <c r="BH77" i="1"/>
  <c r="BH80" i="1" s="1"/>
  <c r="BH95" i="1" s="1"/>
  <c r="BH14" i="24"/>
  <c r="BU10" i="1"/>
  <c r="CG31" i="1"/>
  <c r="BH15" i="24" s="1"/>
  <c r="AV13" i="24"/>
  <c r="CG29" i="1"/>
  <c r="BU8" i="1"/>
  <c r="CS30" i="1"/>
  <c r="BH12" i="24"/>
  <c r="CG9" i="1"/>
  <c r="BU28" i="1"/>
  <c r="BU33" i="1" s="1"/>
  <c r="BU34" i="1" s="1"/>
  <c r="AV18" i="24" s="1"/>
  <c r="AV19" i="24" s="1"/>
  <c r="BT76" i="1" s="1"/>
  <c r="AJ11" i="24"/>
  <c r="AJ20" i="24" s="1"/>
  <c r="BI7" i="1"/>
  <c r="BI12" i="1" s="1"/>
  <c r="L12" i="31" s="1"/>
  <c r="I13" i="5"/>
  <c r="J13" i="5" s="1"/>
  <c r="H12" i="20"/>
  <c r="K12" i="20" s="1"/>
  <c r="L12" i="29"/>
  <c r="L12" i="27" s="1"/>
  <c r="P12" i="27" s="1"/>
  <c r="BB22" i="1"/>
  <c r="E16" i="31" s="1"/>
  <c r="BT78" i="1" l="1"/>
  <c r="BT77" i="1"/>
  <c r="BT80" i="1" s="1"/>
  <c r="BT95" i="1" s="1"/>
  <c r="BT14" i="24"/>
  <c r="K23" i="31"/>
  <c r="K24" i="31" s="1"/>
  <c r="K26" i="31" s="1"/>
  <c r="BH98" i="1"/>
  <c r="BH99" i="1" s="1"/>
  <c r="BH97" i="1"/>
  <c r="P12" i="31"/>
  <c r="K13" i="5"/>
  <c r="BI91" i="1"/>
  <c r="BI95" i="1" s="1"/>
  <c r="L23" i="31" s="1"/>
  <c r="BI13" i="1"/>
  <c r="L13" i="31" s="1"/>
  <c r="P13" i="31" s="1"/>
  <c r="BC22" i="1"/>
  <c r="F16" i="31" s="1"/>
  <c r="BI63" i="1"/>
  <c r="BI65" i="1" s="1"/>
  <c r="AJ21" i="24"/>
  <c r="CG10" i="1"/>
  <c r="CS31" i="1"/>
  <c r="BT15" i="24" s="1"/>
  <c r="DE30" i="1"/>
  <c r="CS9" i="1"/>
  <c r="BT12" i="24"/>
  <c r="AV11" i="24"/>
  <c r="AV20" i="24" s="1"/>
  <c r="CG28" i="1"/>
  <c r="CG33" i="1" s="1"/>
  <c r="CG34" i="1" s="1"/>
  <c r="BH18" i="24" s="1"/>
  <c r="BH19" i="24" s="1"/>
  <c r="CF76" i="1" s="1"/>
  <c r="BU7" i="1"/>
  <c r="BU12" i="1" s="1"/>
  <c r="I12" i="20"/>
  <c r="CS29" i="1"/>
  <c r="CG8" i="1"/>
  <c r="BH13" i="24"/>
  <c r="I14" i="5"/>
  <c r="H13" i="20"/>
  <c r="K13" i="20" s="1"/>
  <c r="L13" i="29"/>
  <c r="I19" i="5"/>
  <c r="J19" i="5" s="1"/>
  <c r="AX48" i="1"/>
  <c r="AX50" i="1" s="1"/>
  <c r="L18" i="29"/>
  <c r="L18" i="25"/>
  <c r="H17" i="20"/>
  <c r="P12" i="29"/>
  <c r="CF78" i="1" l="1"/>
  <c r="CF77" i="1"/>
  <c r="CF80" i="1" s="1"/>
  <c r="CF95" i="1" s="1"/>
  <c r="BH100" i="1"/>
  <c r="BH110" i="1"/>
  <c r="CF14" i="24"/>
  <c r="P14" i="31"/>
  <c r="BT98" i="1"/>
  <c r="BT99" i="1" s="1"/>
  <c r="BT97" i="1"/>
  <c r="K30" i="31"/>
  <c r="K31" i="31" s="1"/>
  <c r="K27" i="31"/>
  <c r="K34" i="31"/>
  <c r="L24" i="31"/>
  <c r="P23" i="31"/>
  <c r="P24" i="31" s="1"/>
  <c r="L14" i="31"/>
  <c r="BI102" i="1"/>
  <c r="L18" i="31"/>
  <c r="I15" i="5"/>
  <c r="J15" i="5" s="1"/>
  <c r="J14" i="5"/>
  <c r="P13" i="29"/>
  <c r="P14" i="29" s="1"/>
  <c r="L13" i="27"/>
  <c r="P13" i="27" s="1"/>
  <c r="P14" i="27" s="1"/>
  <c r="P18" i="29"/>
  <c r="L17" i="27"/>
  <c r="P17" i="27" s="1"/>
  <c r="BD22" i="1"/>
  <c r="G16" i="31" s="1"/>
  <c r="K14" i="5"/>
  <c r="K15" i="5" s="1"/>
  <c r="BI14" i="1"/>
  <c r="P18" i="25"/>
  <c r="P19" i="25" s="1"/>
  <c r="L19" i="25"/>
  <c r="AV21" i="24"/>
  <c r="BU63" i="1"/>
  <c r="BU65" i="1" s="1"/>
  <c r="AY48" i="1"/>
  <c r="AY50" i="1" s="1"/>
  <c r="K14" i="20"/>
  <c r="I13" i="20"/>
  <c r="H14" i="20"/>
  <c r="I24" i="5"/>
  <c r="L23" i="29"/>
  <c r="L22" i="27" s="1"/>
  <c r="P22" i="27" s="1"/>
  <c r="P23" i="27" s="1"/>
  <c r="H22" i="20"/>
  <c r="BI97" i="1"/>
  <c r="K24" i="5"/>
  <c r="K26" i="5" s="1"/>
  <c r="BI98" i="1"/>
  <c r="L14" i="29"/>
  <c r="AX163" i="1"/>
  <c r="AX165" i="1" s="1"/>
  <c r="AX171" i="1" s="1"/>
  <c r="AX47" i="1"/>
  <c r="AX49" i="1" s="1"/>
  <c r="L13" i="5"/>
  <c r="BU13" i="1"/>
  <c r="BU91" i="1"/>
  <c r="BU95" i="1" s="1"/>
  <c r="DE31" i="1"/>
  <c r="CS10" i="1"/>
  <c r="K19" i="5"/>
  <c r="BT13" i="24"/>
  <c r="CS8" i="1"/>
  <c r="DE29" i="1"/>
  <c r="CF12" i="24"/>
  <c r="DE9" i="1"/>
  <c r="I17" i="20"/>
  <c r="K17" i="20"/>
  <c r="CS28" i="1"/>
  <c r="CS33" i="1" s="1"/>
  <c r="CS34" i="1" s="1"/>
  <c r="BT18" i="24" s="1"/>
  <c r="BT19" i="24" s="1"/>
  <c r="CR76" i="1" s="1"/>
  <c r="CG7" i="1"/>
  <c r="CG12" i="1" s="1"/>
  <c r="BH11" i="24"/>
  <c r="BH20" i="24" s="1"/>
  <c r="BT100" i="1" l="1"/>
  <c r="BT110" i="1"/>
  <c r="P18" i="27"/>
  <c r="BH162" i="1"/>
  <c r="BH165" i="1" s="1"/>
  <c r="BH171" i="1" s="1"/>
  <c r="K37" i="31" s="1"/>
  <c r="BH154" i="1"/>
  <c r="CF97" i="1"/>
  <c r="CF98" i="1"/>
  <c r="CF99" i="1" s="1"/>
  <c r="CR78" i="1"/>
  <c r="CR77" i="1"/>
  <c r="I20" i="5"/>
  <c r="J20" i="5" s="1"/>
  <c r="DE10" i="1"/>
  <c r="CF15" i="24"/>
  <c r="I17" i="5"/>
  <c r="J17" i="5" s="1"/>
  <c r="L19" i="31"/>
  <c r="P18" i="31"/>
  <c r="P19" i="31" s="1"/>
  <c r="I26" i="5"/>
  <c r="J26" i="5" s="1"/>
  <c r="J24" i="5"/>
  <c r="BU102" i="1"/>
  <c r="P19" i="29"/>
  <c r="P20" i="29" s="1"/>
  <c r="L19" i="29"/>
  <c r="L18" i="27" s="1"/>
  <c r="L14" i="27"/>
  <c r="P25" i="27"/>
  <c r="P19" i="27"/>
  <c r="K18" i="20"/>
  <c r="K19" i="20" s="1"/>
  <c r="K20" i="5"/>
  <c r="K17" i="5"/>
  <c r="CG91" i="1"/>
  <c r="CG95" i="1" s="1"/>
  <c r="CG13" i="1"/>
  <c r="M13" i="5"/>
  <c r="H18" i="20"/>
  <c r="I14" i="20"/>
  <c r="P20" i="25"/>
  <c r="P26" i="25"/>
  <c r="I22" i="20"/>
  <c r="K22" i="20"/>
  <c r="K23" i="20" s="1"/>
  <c r="H23" i="20"/>
  <c r="I23" i="20" s="1"/>
  <c r="M37" i="29"/>
  <c r="BE22" i="1"/>
  <c r="L26" i="25"/>
  <c r="L20" i="25"/>
  <c r="I21" i="5"/>
  <c r="J21" i="5" s="1"/>
  <c r="DE28" i="1"/>
  <c r="DE33" i="1" s="1"/>
  <c r="DE34" i="1" s="1"/>
  <c r="CF18" i="24" s="1"/>
  <c r="CF19" i="24" s="1"/>
  <c r="DD76" i="1" s="1"/>
  <c r="CS7" i="1"/>
  <c r="CS12" i="1" s="1"/>
  <c r="BT11" i="24"/>
  <c r="BT20" i="24" s="1"/>
  <c r="BI48" i="1"/>
  <c r="BJ48" i="1"/>
  <c r="BJ50" i="1" s="1"/>
  <c r="BK48" i="1"/>
  <c r="BK50" i="1" s="1"/>
  <c r="BI66" i="1"/>
  <c r="BI46" i="1" s="1"/>
  <c r="BI44" i="1"/>
  <c r="BI45" i="1" s="1"/>
  <c r="BI124" i="1"/>
  <c r="BI125" i="1" s="1"/>
  <c r="BI35" i="1"/>
  <c r="P23" i="29"/>
  <c r="P24" i="29" s="1"/>
  <c r="L24" i="29"/>
  <c r="L19" i="5"/>
  <c r="DE8" i="1"/>
  <c r="CF13" i="24"/>
  <c r="L24" i="5"/>
  <c r="L26" i="5" s="1"/>
  <c r="BU98" i="1"/>
  <c r="BU97" i="1"/>
  <c r="BH21" i="24"/>
  <c r="CG63" i="1"/>
  <c r="CG65" i="1" s="1"/>
  <c r="L14" i="5"/>
  <c r="L15" i="5" s="1"/>
  <c r="BU14" i="1"/>
  <c r="CF110" i="1" l="1"/>
  <c r="CF100" i="1"/>
  <c r="BT162" i="1"/>
  <c r="BT165" i="1" s="1"/>
  <c r="BT171" i="1" s="1"/>
  <c r="BT154" i="1"/>
  <c r="DD78" i="1"/>
  <c r="DD77" i="1"/>
  <c r="CR80" i="1"/>
  <c r="CR95" i="1" s="1"/>
  <c r="I28" i="5"/>
  <c r="J28" i="5" s="1"/>
  <c r="BF22" i="1"/>
  <c r="H16" i="31"/>
  <c r="P20" i="31"/>
  <c r="P26" i="31"/>
  <c r="L26" i="31"/>
  <c r="L20" i="31"/>
  <c r="P26" i="29"/>
  <c r="P27" i="29" s="1"/>
  <c r="L20" i="29"/>
  <c r="L19" i="27" s="1"/>
  <c r="K25" i="20"/>
  <c r="K26" i="20" s="1"/>
  <c r="CG102" i="1"/>
  <c r="L26" i="29"/>
  <c r="L27" i="29" s="1"/>
  <c r="L26" i="27" s="1"/>
  <c r="L23" i="27"/>
  <c r="P29" i="27"/>
  <c r="P30" i="27" s="1"/>
  <c r="P26" i="27"/>
  <c r="L17" i="5"/>
  <c r="L20" i="5"/>
  <c r="H19" i="20"/>
  <c r="I19" i="20" s="1"/>
  <c r="I18" i="20"/>
  <c r="H25" i="20"/>
  <c r="CG14" i="1"/>
  <c r="M14" i="5"/>
  <c r="M15" i="5" s="1"/>
  <c r="L27" i="25"/>
  <c r="L34" i="25"/>
  <c r="M34" i="25" s="1"/>
  <c r="N34" i="25" s="1"/>
  <c r="P34" i="25" s="1"/>
  <c r="L30" i="25"/>
  <c r="L31" i="25" s="1"/>
  <c r="BT21" i="24"/>
  <c r="CS63" i="1"/>
  <c r="CS65" i="1" s="1"/>
  <c r="P30" i="25"/>
  <c r="P31" i="25" s="1"/>
  <c r="P27" i="25"/>
  <c r="K28" i="5"/>
  <c r="K21" i="5"/>
  <c r="CG98" i="1"/>
  <c r="CG97" i="1"/>
  <c r="M24" i="5"/>
  <c r="M26" i="5" s="1"/>
  <c r="BU124" i="1"/>
  <c r="BU125" i="1" s="1"/>
  <c r="BU66" i="1"/>
  <c r="BU46" i="1" s="1"/>
  <c r="BU35" i="1"/>
  <c r="BU44" i="1"/>
  <c r="BU45" i="1" s="1"/>
  <c r="M19" i="5"/>
  <c r="N13" i="5"/>
  <c r="CS13" i="1"/>
  <c r="CS91" i="1"/>
  <c r="CS95" i="1" s="1"/>
  <c r="BU48" i="1"/>
  <c r="BW48" i="1"/>
  <c r="BW50" i="1" s="1"/>
  <c r="BV48" i="1"/>
  <c r="BV50" i="1" s="1"/>
  <c r="BI99" i="1"/>
  <c r="BI67" i="1"/>
  <c r="BJ163" i="1"/>
  <c r="BJ165" i="1" s="1"/>
  <c r="BJ171" i="1" s="1"/>
  <c r="M37" i="31" s="1"/>
  <c r="BI163" i="1"/>
  <c r="CF11" i="24"/>
  <c r="CF20" i="24" s="1"/>
  <c r="DE7" i="1"/>
  <c r="DE12" i="1" s="1"/>
  <c r="DD80" i="1" l="1"/>
  <c r="DD95" i="1" s="1"/>
  <c r="CR98" i="1"/>
  <c r="CR99" i="1" s="1"/>
  <c r="CR97" i="1"/>
  <c r="I32" i="5"/>
  <c r="I34" i="5" s="1"/>
  <c r="J34" i="5" s="1"/>
  <c r="I29" i="5"/>
  <c r="J29" i="5" s="1"/>
  <c r="CF162" i="1"/>
  <c r="CF165" i="1" s="1"/>
  <c r="CF171" i="1" s="1"/>
  <c r="CF154" i="1"/>
  <c r="K29" i="20"/>
  <c r="K30" i="20" s="1"/>
  <c r="L30" i="29"/>
  <c r="BG22" i="1"/>
  <c r="I16" i="31"/>
  <c r="P30" i="29"/>
  <c r="P31" i="29" s="1"/>
  <c r="P30" i="31"/>
  <c r="P31" i="31" s="1"/>
  <c r="P27" i="31"/>
  <c r="L27" i="31"/>
  <c r="L30" i="31"/>
  <c r="L31" i="31" s="1"/>
  <c r="L34" i="31"/>
  <c r="M34" i="31" s="1"/>
  <c r="N34" i="31" s="1"/>
  <c r="P34" i="31" s="1"/>
  <c r="I35" i="5"/>
  <c r="I33" i="5"/>
  <c r="J33" i="5" s="1"/>
  <c r="J32" i="5"/>
  <c r="CS102" i="1"/>
  <c r="L31" i="29"/>
  <c r="L30" i="27" s="1"/>
  <c r="L29" i="27"/>
  <c r="L34" i="29"/>
  <c r="M34" i="29" s="1"/>
  <c r="N34" i="29" s="1"/>
  <c r="P34" i="29" s="1"/>
  <c r="L25" i="27"/>
  <c r="M20" i="5"/>
  <c r="M17" i="5"/>
  <c r="AX151" i="1"/>
  <c r="N24" i="5"/>
  <c r="N26" i="5" s="1"/>
  <c r="CS97" i="1"/>
  <c r="CS98" i="1"/>
  <c r="K29" i="5"/>
  <c r="K32" i="5"/>
  <c r="CF21" i="24"/>
  <c r="DE63" i="1"/>
  <c r="DE65" i="1" s="1"/>
  <c r="CS14" i="1"/>
  <c r="N14" i="5"/>
  <c r="N15" i="5" s="1"/>
  <c r="CG35" i="1"/>
  <c r="CG44" i="1"/>
  <c r="CG45" i="1" s="1"/>
  <c r="CG66" i="1"/>
  <c r="CG46" i="1" s="1"/>
  <c r="CG124" i="1"/>
  <c r="CG125" i="1" s="1"/>
  <c r="AY47" i="1"/>
  <c r="AY49" i="1" s="1"/>
  <c r="BU67" i="1"/>
  <c r="BU99" i="1"/>
  <c r="L21" i="5"/>
  <c r="L28" i="5"/>
  <c r="O13" i="5"/>
  <c r="DE91" i="1"/>
  <c r="DE95" i="1" s="1"/>
  <c r="DE13" i="1"/>
  <c r="BI100" i="1"/>
  <c r="BI110" i="1"/>
  <c r="CI48" i="1"/>
  <c r="CI50" i="1" s="1"/>
  <c r="CH48" i="1"/>
  <c r="CH50" i="1" s="1"/>
  <c r="CG48" i="1"/>
  <c r="BV163" i="1"/>
  <c r="BV165" i="1" s="1"/>
  <c r="BV171" i="1" s="1"/>
  <c r="BU163" i="1"/>
  <c r="N19" i="5"/>
  <c r="H26" i="20"/>
  <c r="I26" i="20" s="1"/>
  <c r="H29" i="20"/>
  <c r="I25" i="20"/>
  <c r="K35" i="5" l="1"/>
  <c r="CR110" i="1"/>
  <c r="CR100" i="1"/>
  <c r="DD98" i="1"/>
  <c r="DD99" i="1" s="1"/>
  <c r="DD97" i="1"/>
  <c r="BH22" i="1"/>
  <c r="J16" i="31"/>
  <c r="K33" i="5"/>
  <c r="K34" i="5"/>
  <c r="DE102" i="1"/>
  <c r="AY151" i="1"/>
  <c r="AX155" i="1"/>
  <c r="AX156" i="1" s="1"/>
  <c r="N17" i="5"/>
  <c r="N20" i="5"/>
  <c r="O19" i="5"/>
  <c r="L37" i="29"/>
  <c r="L33" i="27" s="1"/>
  <c r="AX173" i="1"/>
  <c r="AX174" i="1" s="1"/>
  <c r="AX122" i="1"/>
  <c r="AX133" i="1" s="1"/>
  <c r="AX134" i="1" s="1"/>
  <c r="H33" i="20"/>
  <c r="I33" i="20" s="1"/>
  <c r="CS44" i="1"/>
  <c r="CS45" i="1" s="1"/>
  <c r="CS124" i="1"/>
  <c r="CS125" i="1" s="1"/>
  <c r="CS35" i="1"/>
  <c r="CS66" i="1"/>
  <c r="CS46" i="1" s="1"/>
  <c r="H30" i="20"/>
  <c r="I30" i="20" s="1"/>
  <c r="I29" i="20"/>
  <c r="L32" i="5"/>
  <c r="L35" i="5" s="1"/>
  <c r="L29" i="5"/>
  <c r="CU48" i="1"/>
  <c r="CU50" i="1" s="1"/>
  <c r="CT48" i="1"/>
  <c r="CT50" i="1" s="1"/>
  <c r="CS48" i="1"/>
  <c r="BI47" i="1"/>
  <c r="BI49" i="1" s="1"/>
  <c r="BJ47" i="1"/>
  <c r="BJ49" i="1" s="1"/>
  <c r="BK47" i="1"/>
  <c r="BK49" i="1" s="1"/>
  <c r="BI50" i="1"/>
  <c r="O14" i="5"/>
  <c r="O15" i="5" s="1"/>
  <c r="DE14" i="1"/>
  <c r="DE98" i="1"/>
  <c r="O24" i="5"/>
  <c r="O26" i="5" s="1"/>
  <c r="DE97" i="1"/>
  <c r="CH163" i="1"/>
  <c r="CH165" i="1" s="1"/>
  <c r="CH171" i="1" s="1"/>
  <c r="CG163" i="1"/>
  <c r="BI162" i="1"/>
  <c r="BI165" i="1" s="1"/>
  <c r="BI171" i="1" s="1"/>
  <c r="L37" i="31" s="1"/>
  <c r="BI154" i="1"/>
  <c r="BJ154" i="1" s="1"/>
  <c r="BK154" i="1" s="1"/>
  <c r="BU100" i="1"/>
  <c r="BU110" i="1"/>
  <c r="CG99" i="1"/>
  <c r="CG67" i="1"/>
  <c r="M28" i="5"/>
  <c r="M21" i="5"/>
  <c r="DD110" i="1" l="1"/>
  <c r="DD100" i="1"/>
  <c r="CR162" i="1"/>
  <c r="CR165" i="1" s="1"/>
  <c r="CR171" i="1" s="1"/>
  <c r="CR154" i="1"/>
  <c r="BI22" i="1"/>
  <c r="K16" i="31"/>
  <c r="L33" i="5"/>
  <c r="L34" i="5"/>
  <c r="AX158" i="1"/>
  <c r="AX175" i="1"/>
  <c r="O17" i="5"/>
  <c r="O20" i="5"/>
  <c r="L36" i="29"/>
  <c r="L32" i="27" s="1"/>
  <c r="CS67" i="1"/>
  <c r="CS99" i="1"/>
  <c r="DE48" i="1"/>
  <c r="DF48" i="1"/>
  <c r="DF50" i="1" s="1"/>
  <c r="DG48" i="1"/>
  <c r="DG50" i="1" s="1"/>
  <c r="M29" i="5"/>
  <c r="M32" i="5"/>
  <c r="M33" i="5" s="1"/>
  <c r="DE44" i="1"/>
  <c r="DE45" i="1" s="1"/>
  <c r="DE66" i="1"/>
  <c r="DE46" i="1" s="1"/>
  <c r="DE124" i="1"/>
  <c r="DE125" i="1" s="1"/>
  <c r="DE35" i="1"/>
  <c r="CT163" i="1"/>
  <c r="CT165" i="1" s="1"/>
  <c r="CT171" i="1" s="1"/>
  <c r="CS163" i="1"/>
  <c r="AY154" i="1"/>
  <c r="N28" i="5"/>
  <c r="N21" i="5"/>
  <c r="BU154" i="1"/>
  <c r="BV154" i="1" s="1"/>
  <c r="BW154" i="1" s="1"/>
  <c r="BU162" i="1"/>
  <c r="BU165" i="1" s="1"/>
  <c r="BU171" i="1" s="1"/>
  <c r="BV47" i="1"/>
  <c r="BV49" i="1" s="1"/>
  <c r="BU47" i="1"/>
  <c r="BU49" i="1" s="1"/>
  <c r="BW47" i="1"/>
  <c r="BW49" i="1" s="1"/>
  <c r="BU50" i="1"/>
  <c r="CG110" i="1"/>
  <c r="CG100" i="1"/>
  <c r="DD162" i="1" l="1"/>
  <c r="DD165" i="1" s="1"/>
  <c r="DD171" i="1" s="1"/>
  <c r="DD154" i="1"/>
  <c r="BJ22" i="1"/>
  <c r="L16" i="31"/>
  <c r="O28" i="5"/>
  <c r="O21" i="5"/>
  <c r="DF163" i="1"/>
  <c r="DF165" i="1" s="1"/>
  <c r="DF171" i="1" s="1"/>
  <c r="DE163" i="1"/>
  <c r="N32" i="5"/>
  <c r="N33" i="5" s="1"/>
  <c r="N29" i="5"/>
  <c r="CS100" i="1"/>
  <c r="CS110" i="1"/>
  <c r="AZ151" i="1"/>
  <c r="AY155" i="1"/>
  <c r="AY156" i="1" s="1"/>
  <c r="M36" i="29"/>
  <c r="AY173" i="1"/>
  <c r="AY174" i="1" s="1"/>
  <c r="I36" i="5" s="1"/>
  <c r="J36" i="5" s="1"/>
  <c r="CG47" i="1"/>
  <c r="CG49" i="1" s="1"/>
  <c r="CH47" i="1"/>
  <c r="CH49" i="1" s="1"/>
  <c r="CI47" i="1"/>
  <c r="CI49" i="1" s="1"/>
  <c r="CG50" i="1"/>
  <c r="AY122" i="1"/>
  <c r="CG162" i="1"/>
  <c r="CG165" i="1" s="1"/>
  <c r="CG171" i="1" s="1"/>
  <c r="CG154" i="1"/>
  <c r="CH154" i="1" s="1"/>
  <c r="CI154" i="1" s="1"/>
  <c r="DE67" i="1"/>
  <c r="DE99" i="1"/>
  <c r="BK22" i="1" l="1"/>
  <c r="M16" i="31"/>
  <c r="AY133" i="1"/>
  <c r="AY134" i="1" s="1"/>
  <c r="AY158" i="1" s="1"/>
  <c r="AZ122" i="1"/>
  <c r="DE110" i="1"/>
  <c r="DE100" i="1"/>
  <c r="AZ155" i="1"/>
  <c r="AZ156" i="1" s="1"/>
  <c r="BA151" i="1"/>
  <c r="AZ173" i="1"/>
  <c r="AZ174" i="1" s="1"/>
  <c r="C36" i="31" s="1"/>
  <c r="AY175" i="1"/>
  <c r="N36" i="29"/>
  <c r="CS154" i="1"/>
  <c r="CT154" i="1" s="1"/>
  <c r="CU154" i="1" s="1"/>
  <c r="CS162" i="1"/>
  <c r="CS165" i="1" s="1"/>
  <c r="CS171" i="1" s="1"/>
  <c r="CS47" i="1"/>
  <c r="CS49" i="1" s="1"/>
  <c r="CT47" i="1"/>
  <c r="CT49" i="1" s="1"/>
  <c r="CU47" i="1"/>
  <c r="CU49" i="1" s="1"/>
  <c r="CS50" i="1"/>
  <c r="O32" i="5"/>
  <c r="O33" i="5" s="1"/>
  <c r="O29" i="5"/>
  <c r="BL22" i="1" l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N16" i="31"/>
  <c r="BA173" i="1"/>
  <c r="BA174" i="1" s="1"/>
  <c r="D36" i="31" s="1"/>
  <c r="AZ175" i="1"/>
  <c r="BA155" i="1"/>
  <c r="BA156" i="1" s="1"/>
  <c r="BB151" i="1"/>
  <c r="DE162" i="1"/>
  <c r="DE165" i="1" s="1"/>
  <c r="DE171" i="1" s="1"/>
  <c r="DE154" i="1"/>
  <c r="DF154" i="1" s="1"/>
  <c r="DG154" i="1" s="1"/>
  <c r="DE47" i="1"/>
  <c r="DE49" i="1" s="1"/>
  <c r="DG47" i="1"/>
  <c r="DG49" i="1" s="1"/>
  <c r="DF47" i="1"/>
  <c r="DF49" i="1" s="1"/>
  <c r="DE50" i="1"/>
  <c r="AZ133" i="1"/>
  <c r="AZ134" i="1" s="1"/>
  <c r="AZ158" i="1" s="1"/>
  <c r="BA122" i="1"/>
  <c r="BA133" i="1" l="1"/>
  <c r="BA134" i="1" s="1"/>
  <c r="BA158" i="1" s="1"/>
  <c r="BB122" i="1"/>
  <c r="BB155" i="1"/>
  <c r="BB156" i="1" s="1"/>
  <c r="BC151" i="1"/>
  <c r="BB173" i="1"/>
  <c r="BB174" i="1" s="1"/>
  <c r="E36" i="31" s="1"/>
  <c r="BA175" i="1"/>
  <c r="BB175" i="1" l="1"/>
  <c r="BC173" i="1"/>
  <c r="BC174" i="1" s="1"/>
  <c r="F36" i="31" s="1"/>
  <c r="BC155" i="1"/>
  <c r="BC156" i="1" s="1"/>
  <c r="BD151" i="1"/>
  <c r="BC122" i="1"/>
  <c r="BB133" i="1"/>
  <c r="BB134" i="1" s="1"/>
  <c r="BB158" i="1" s="1"/>
  <c r="BC175" i="1" l="1"/>
  <c r="BD173" i="1"/>
  <c r="BD174" i="1" s="1"/>
  <c r="G36" i="31" s="1"/>
  <c r="BC133" i="1"/>
  <c r="BC134" i="1" s="1"/>
  <c r="BC158" i="1" s="1"/>
  <c r="BD122" i="1"/>
  <c r="BD155" i="1"/>
  <c r="BD156" i="1" s="1"/>
  <c r="BE151" i="1"/>
  <c r="BE155" i="1" l="1"/>
  <c r="BE156" i="1" s="1"/>
  <c r="BF151" i="1"/>
  <c r="BE122" i="1"/>
  <c r="BD133" i="1"/>
  <c r="BD134" i="1" s="1"/>
  <c r="BD158" i="1" s="1"/>
  <c r="BD175" i="1"/>
  <c r="BE173" i="1"/>
  <c r="BE174" i="1" s="1"/>
  <c r="H36" i="31" s="1"/>
  <c r="BF173" i="1" l="1"/>
  <c r="BF174" i="1" s="1"/>
  <c r="I36" i="31" s="1"/>
  <c r="BE175" i="1"/>
  <c r="BF155" i="1"/>
  <c r="BF156" i="1" s="1"/>
  <c r="BG151" i="1"/>
  <c r="BE133" i="1"/>
  <c r="BE134" i="1" s="1"/>
  <c r="BE158" i="1" s="1"/>
  <c r="BF122" i="1"/>
  <c r="BG173" i="1" l="1"/>
  <c r="BG174" i="1" s="1"/>
  <c r="J36" i="31" s="1"/>
  <c r="BF175" i="1"/>
  <c r="BF133" i="1"/>
  <c r="BF134" i="1" s="1"/>
  <c r="BF158" i="1" s="1"/>
  <c r="BG122" i="1"/>
  <c r="BG155" i="1"/>
  <c r="BG156" i="1" s="1"/>
  <c r="BH151" i="1"/>
  <c r="BH155" i="1" l="1"/>
  <c r="BH156" i="1" s="1"/>
  <c r="BI151" i="1"/>
  <c r="BH122" i="1"/>
  <c r="BG133" i="1"/>
  <c r="BG134" i="1" s="1"/>
  <c r="BG158" i="1" s="1"/>
  <c r="BH173" i="1"/>
  <c r="BH174" i="1" s="1"/>
  <c r="K36" i="31" s="1"/>
  <c r="BG175" i="1"/>
  <c r="BI173" i="1" l="1"/>
  <c r="BI174" i="1" s="1"/>
  <c r="L36" i="31" s="1"/>
  <c r="BH175" i="1"/>
  <c r="BI122" i="1"/>
  <c r="BH133" i="1"/>
  <c r="BH134" i="1" s="1"/>
  <c r="BH158" i="1" s="1"/>
  <c r="BJ151" i="1"/>
  <c r="BI155" i="1"/>
  <c r="BI156" i="1" s="1"/>
  <c r="BJ155" i="1" l="1"/>
  <c r="BJ156" i="1" s="1"/>
  <c r="BK151" i="1"/>
  <c r="BJ122" i="1"/>
  <c r="BI133" i="1"/>
  <c r="BI134" i="1" s="1"/>
  <c r="BI158" i="1" s="1"/>
  <c r="BJ173" i="1"/>
  <c r="BJ174" i="1" s="1"/>
  <c r="M36" i="31" s="1"/>
  <c r="BI175" i="1"/>
  <c r="BJ175" i="1" l="1"/>
  <c r="BK173" i="1"/>
  <c r="BK174" i="1" s="1"/>
  <c r="BK122" i="1"/>
  <c r="BJ133" i="1"/>
  <c r="BJ134" i="1" s="1"/>
  <c r="BJ158" i="1" s="1"/>
  <c r="BK155" i="1"/>
  <c r="BK156" i="1" s="1"/>
  <c r="BL151" i="1"/>
  <c r="K36" i="5" l="1"/>
  <c r="N36" i="31"/>
  <c r="BK133" i="1"/>
  <c r="BK134" i="1" s="1"/>
  <c r="BK158" i="1" s="1"/>
  <c r="BL122" i="1"/>
  <c r="BK175" i="1"/>
  <c r="BL173" i="1"/>
  <c r="BL174" i="1" s="1"/>
  <c r="BL155" i="1"/>
  <c r="BL156" i="1" s="1"/>
  <c r="BM151" i="1"/>
  <c r="BM155" i="1" l="1"/>
  <c r="BM156" i="1" s="1"/>
  <c r="BN151" i="1"/>
  <c r="BL175" i="1"/>
  <c r="BM173" i="1"/>
  <c r="BM174" i="1" s="1"/>
  <c r="BL133" i="1"/>
  <c r="BL134" i="1" s="1"/>
  <c r="BL158" i="1" s="1"/>
  <c r="BM122" i="1"/>
  <c r="BO151" i="1" l="1"/>
  <c r="BN155" i="1"/>
  <c r="BN156" i="1" s="1"/>
  <c r="BN122" i="1"/>
  <c r="BM133" i="1"/>
  <c r="BM134" i="1" s="1"/>
  <c r="BM158" i="1" s="1"/>
  <c r="BN173" i="1"/>
  <c r="BN174" i="1" s="1"/>
  <c r="BM175" i="1"/>
  <c r="BO173" i="1" l="1"/>
  <c r="BO174" i="1" s="1"/>
  <c r="BN175" i="1"/>
  <c r="BN133" i="1"/>
  <c r="BN134" i="1" s="1"/>
  <c r="BN158" i="1" s="1"/>
  <c r="BO122" i="1"/>
  <c r="BO155" i="1"/>
  <c r="BO156" i="1" s="1"/>
  <c r="BP151" i="1"/>
  <c r="BP155" i="1" l="1"/>
  <c r="BP156" i="1" s="1"/>
  <c r="BQ151" i="1"/>
  <c r="BP173" i="1"/>
  <c r="BP174" i="1" s="1"/>
  <c r="BO175" i="1"/>
  <c r="BO133" i="1"/>
  <c r="BO134" i="1" s="1"/>
  <c r="BO158" i="1" s="1"/>
  <c r="BP122" i="1"/>
  <c r="BQ173" i="1" l="1"/>
  <c r="BQ174" i="1" s="1"/>
  <c r="BP175" i="1"/>
  <c r="BP133" i="1"/>
  <c r="BP134" i="1" s="1"/>
  <c r="BP158" i="1" s="1"/>
  <c r="BQ122" i="1"/>
  <c r="BQ155" i="1"/>
  <c r="BQ156" i="1" s="1"/>
  <c r="BR151" i="1"/>
  <c r="BR122" i="1" l="1"/>
  <c r="BQ133" i="1"/>
  <c r="BQ134" i="1" s="1"/>
  <c r="BQ158" i="1" s="1"/>
  <c r="BR155" i="1"/>
  <c r="BR156" i="1" s="1"/>
  <c r="BS151" i="1"/>
  <c r="BQ175" i="1"/>
  <c r="BR173" i="1"/>
  <c r="BR174" i="1" s="1"/>
  <c r="BR133" i="1" l="1"/>
  <c r="BR134" i="1" s="1"/>
  <c r="BR158" i="1" s="1"/>
  <c r="BS122" i="1"/>
  <c r="BR175" i="1"/>
  <c r="BS173" i="1"/>
  <c r="BS174" i="1" s="1"/>
  <c r="BT151" i="1"/>
  <c r="BS155" i="1"/>
  <c r="BS156" i="1" s="1"/>
  <c r="BT155" i="1" l="1"/>
  <c r="BT156" i="1" s="1"/>
  <c r="BU151" i="1"/>
  <c r="BT173" i="1"/>
  <c r="BT174" i="1" s="1"/>
  <c r="BS175" i="1"/>
  <c r="BT122" i="1"/>
  <c r="BS133" i="1"/>
  <c r="BS134" i="1" s="1"/>
  <c r="BS158" i="1" s="1"/>
  <c r="BU122" i="1" l="1"/>
  <c r="BT133" i="1"/>
  <c r="BT134" i="1" s="1"/>
  <c r="BT158" i="1" s="1"/>
  <c r="BV151" i="1"/>
  <c r="BU155" i="1"/>
  <c r="BU156" i="1" s="1"/>
  <c r="BT175" i="1"/>
  <c r="BU173" i="1"/>
  <c r="BU174" i="1" s="1"/>
  <c r="BV173" i="1" l="1"/>
  <c r="BV174" i="1" s="1"/>
  <c r="BU175" i="1"/>
  <c r="BV155" i="1"/>
  <c r="BV156" i="1" s="1"/>
  <c r="BW151" i="1"/>
  <c r="BV122" i="1"/>
  <c r="BU133" i="1"/>
  <c r="BU134" i="1" s="1"/>
  <c r="BU158" i="1" s="1"/>
  <c r="BV133" i="1" l="1"/>
  <c r="BV134" i="1" s="1"/>
  <c r="BV158" i="1" s="1"/>
  <c r="BW122" i="1"/>
  <c r="BW155" i="1"/>
  <c r="BW156" i="1" s="1"/>
  <c r="BX151" i="1"/>
  <c r="BW173" i="1"/>
  <c r="BW174" i="1" s="1"/>
  <c r="L36" i="5" s="1"/>
  <c r="BV175" i="1"/>
  <c r="BX173" i="1" l="1"/>
  <c r="BX174" i="1" s="1"/>
  <c r="BW175" i="1"/>
  <c r="BX155" i="1"/>
  <c r="BX156" i="1" s="1"/>
  <c r="BY151" i="1"/>
  <c r="BX122" i="1"/>
  <c r="BW133" i="1"/>
  <c r="BW134" i="1" s="1"/>
  <c r="BW158" i="1" s="1"/>
  <c r="BX133" i="1" l="1"/>
  <c r="BX134" i="1" s="1"/>
  <c r="BX158" i="1" s="1"/>
  <c r="BY122" i="1"/>
  <c r="BY155" i="1"/>
  <c r="BY156" i="1" s="1"/>
  <c r="BZ151" i="1"/>
  <c r="BY173" i="1"/>
  <c r="BY174" i="1" s="1"/>
  <c r="BX175" i="1"/>
  <c r="BY175" i="1" l="1"/>
  <c r="BZ173" i="1"/>
  <c r="BZ174" i="1" s="1"/>
  <c r="BZ155" i="1"/>
  <c r="BZ156" i="1" s="1"/>
  <c r="CA151" i="1"/>
  <c r="BZ122" i="1"/>
  <c r="BY133" i="1"/>
  <c r="BY134" i="1" s="1"/>
  <c r="BY158" i="1" s="1"/>
  <c r="CA173" i="1" l="1"/>
  <c r="CA174" i="1" s="1"/>
  <c r="BZ175" i="1"/>
  <c r="BZ133" i="1"/>
  <c r="BZ134" i="1" s="1"/>
  <c r="BZ158" i="1" s="1"/>
  <c r="CA122" i="1"/>
  <c r="CB151" i="1"/>
  <c r="CA155" i="1"/>
  <c r="CA156" i="1" s="1"/>
  <c r="CB155" i="1" l="1"/>
  <c r="CB156" i="1" s="1"/>
  <c r="CC151" i="1"/>
  <c r="CA133" i="1"/>
  <c r="CA134" i="1" s="1"/>
  <c r="CA158" i="1" s="1"/>
  <c r="CB122" i="1"/>
  <c r="CA175" i="1"/>
  <c r="CB173" i="1"/>
  <c r="CB174" i="1" s="1"/>
  <c r="CC173" i="1" l="1"/>
  <c r="CC174" i="1" s="1"/>
  <c r="CB175" i="1"/>
  <c r="CC122" i="1"/>
  <c r="CB133" i="1"/>
  <c r="CB134" i="1" s="1"/>
  <c r="CB158" i="1" s="1"/>
  <c r="CD151" i="1"/>
  <c r="CC155" i="1"/>
  <c r="CC156" i="1" s="1"/>
  <c r="CD155" i="1" l="1"/>
  <c r="CD156" i="1" s="1"/>
  <c r="CE151" i="1"/>
  <c r="CC133" i="1"/>
  <c r="CC134" i="1" s="1"/>
  <c r="CC158" i="1" s="1"/>
  <c r="CD122" i="1"/>
  <c r="CD173" i="1"/>
  <c r="CD174" i="1" s="1"/>
  <c r="CC175" i="1"/>
  <c r="CE173" i="1" l="1"/>
  <c r="CE174" i="1" s="1"/>
  <c r="CD175" i="1"/>
  <c r="CE122" i="1"/>
  <c r="CD133" i="1"/>
  <c r="CD134" i="1" s="1"/>
  <c r="CD158" i="1" s="1"/>
  <c r="CE155" i="1"/>
  <c r="CE156" i="1" s="1"/>
  <c r="CF151" i="1"/>
  <c r="CF122" i="1" l="1"/>
  <c r="CE133" i="1"/>
  <c r="CE134" i="1" s="1"/>
  <c r="CE158" i="1" s="1"/>
  <c r="CF155" i="1"/>
  <c r="CF156" i="1" s="1"/>
  <c r="CG151" i="1"/>
  <c r="CF173" i="1"/>
  <c r="CF174" i="1" s="1"/>
  <c r="CE175" i="1"/>
  <c r="CG173" i="1" l="1"/>
  <c r="CG174" i="1" s="1"/>
  <c r="CF175" i="1"/>
  <c r="CG155" i="1"/>
  <c r="CG156" i="1" s="1"/>
  <c r="CH151" i="1"/>
  <c r="CF133" i="1"/>
  <c r="CF134" i="1" s="1"/>
  <c r="CF158" i="1" s="1"/>
  <c r="CG122" i="1"/>
  <c r="CG175" i="1" l="1"/>
  <c r="CH173" i="1"/>
  <c r="CH174" i="1" s="1"/>
  <c r="CH122" i="1"/>
  <c r="CG133" i="1"/>
  <c r="CG134" i="1" s="1"/>
  <c r="CG158" i="1" s="1"/>
  <c r="CH155" i="1"/>
  <c r="CH156" i="1" s="1"/>
  <c r="CI151" i="1"/>
  <c r="CI122" i="1" l="1"/>
  <c r="CH133" i="1"/>
  <c r="CH134" i="1" s="1"/>
  <c r="CH158" i="1" s="1"/>
  <c r="CI155" i="1"/>
  <c r="CI156" i="1" s="1"/>
  <c r="CJ151" i="1"/>
  <c r="CH175" i="1"/>
  <c r="CI173" i="1"/>
  <c r="CI174" i="1" s="1"/>
  <c r="CJ173" i="1" l="1"/>
  <c r="CJ174" i="1" s="1"/>
  <c r="CI175" i="1"/>
  <c r="CJ155" i="1"/>
  <c r="CJ156" i="1" s="1"/>
  <c r="CK151" i="1"/>
  <c r="CI133" i="1"/>
  <c r="CI134" i="1" s="1"/>
  <c r="CI158" i="1" s="1"/>
  <c r="CJ122" i="1"/>
  <c r="CK122" i="1" l="1"/>
  <c r="CJ133" i="1"/>
  <c r="CJ134" i="1" s="1"/>
  <c r="CJ158" i="1" s="1"/>
  <c r="CK155" i="1"/>
  <c r="CK156" i="1" s="1"/>
  <c r="CL151" i="1"/>
  <c r="CK173" i="1"/>
  <c r="CK174" i="1" s="1"/>
  <c r="CJ175" i="1"/>
  <c r="CK133" i="1" l="1"/>
  <c r="CK134" i="1" s="1"/>
  <c r="CK158" i="1" s="1"/>
  <c r="CL122" i="1"/>
  <c r="CL173" i="1"/>
  <c r="CL174" i="1" s="1"/>
  <c r="CK175" i="1"/>
  <c r="CM151" i="1"/>
  <c r="CL155" i="1"/>
  <c r="CL156" i="1" s="1"/>
  <c r="CL133" i="1" l="1"/>
  <c r="CL134" i="1" s="1"/>
  <c r="CL158" i="1" s="1"/>
  <c r="CM122" i="1"/>
  <c r="CM155" i="1"/>
  <c r="CM156" i="1" s="1"/>
  <c r="CN151" i="1"/>
  <c r="CM173" i="1"/>
  <c r="CM174" i="1" s="1"/>
  <c r="CL175" i="1"/>
  <c r="CM175" i="1" l="1"/>
  <c r="CN173" i="1"/>
  <c r="CN174" i="1" s="1"/>
  <c r="CN155" i="1"/>
  <c r="CN156" i="1" s="1"/>
  <c r="CO151" i="1"/>
  <c r="CN122" i="1"/>
  <c r="CM133" i="1"/>
  <c r="CM134" i="1" s="1"/>
  <c r="CM158" i="1" s="1"/>
  <c r="CN133" i="1" l="1"/>
  <c r="CN134" i="1" s="1"/>
  <c r="CN158" i="1" s="1"/>
  <c r="CO122" i="1"/>
  <c r="CO155" i="1"/>
  <c r="CO156" i="1" s="1"/>
  <c r="CP151" i="1"/>
  <c r="CN175" i="1"/>
  <c r="CO173" i="1"/>
  <c r="CO174" i="1" s="1"/>
  <c r="CO175" i="1" l="1"/>
  <c r="CP173" i="1"/>
  <c r="CP174" i="1" s="1"/>
  <c r="CP122" i="1"/>
  <c r="CO133" i="1"/>
  <c r="CO134" i="1" s="1"/>
  <c r="CO158" i="1" s="1"/>
  <c r="CP155" i="1"/>
  <c r="CP156" i="1" s="1"/>
  <c r="CQ151" i="1"/>
  <c r="CQ173" i="1" l="1"/>
  <c r="CQ174" i="1" s="1"/>
  <c r="CP175" i="1"/>
  <c r="CQ155" i="1"/>
  <c r="CQ156" i="1" s="1"/>
  <c r="CR151" i="1"/>
  <c r="CP133" i="1"/>
  <c r="CP134" i="1" s="1"/>
  <c r="CP158" i="1" s="1"/>
  <c r="CQ122" i="1"/>
  <c r="CR173" i="1" l="1"/>
  <c r="CR174" i="1" s="1"/>
  <c r="CQ175" i="1"/>
  <c r="CR155" i="1"/>
  <c r="CR156" i="1" s="1"/>
  <c r="CS151" i="1"/>
  <c r="CR122" i="1"/>
  <c r="CQ133" i="1"/>
  <c r="CQ134" i="1" s="1"/>
  <c r="CQ158" i="1" s="1"/>
  <c r="CR175" i="1" l="1"/>
  <c r="CS173" i="1"/>
  <c r="CS174" i="1" s="1"/>
  <c r="CR133" i="1"/>
  <c r="CR134" i="1" s="1"/>
  <c r="CR158" i="1" s="1"/>
  <c r="CS122" i="1"/>
  <c r="CS155" i="1"/>
  <c r="CS156" i="1" s="1"/>
  <c r="CT151" i="1"/>
  <c r="CT122" i="1" l="1"/>
  <c r="CS133" i="1"/>
  <c r="CS134" i="1" s="1"/>
  <c r="CS158" i="1" s="1"/>
  <c r="CT155" i="1"/>
  <c r="CT156" i="1" s="1"/>
  <c r="CU151" i="1"/>
  <c r="CS175" i="1"/>
  <c r="CT173" i="1"/>
  <c r="CT174" i="1" s="1"/>
  <c r="CU122" i="1" l="1"/>
  <c r="CT133" i="1"/>
  <c r="CT134" i="1" s="1"/>
  <c r="CT158" i="1" s="1"/>
  <c r="CT175" i="1"/>
  <c r="CU173" i="1"/>
  <c r="CU174" i="1" s="1"/>
  <c r="CU155" i="1"/>
  <c r="CU156" i="1" s="1"/>
  <c r="CV151" i="1"/>
  <c r="CV155" i="1" l="1"/>
  <c r="CV156" i="1" s="1"/>
  <c r="CW151" i="1"/>
  <c r="CU175" i="1"/>
  <c r="CV173" i="1"/>
  <c r="CV174" i="1" s="1"/>
  <c r="CU133" i="1"/>
  <c r="CU134" i="1" s="1"/>
  <c r="CU158" i="1" s="1"/>
  <c r="CV122" i="1"/>
  <c r="CV175" i="1" l="1"/>
  <c r="CW173" i="1"/>
  <c r="CW174" i="1" s="1"/>
  <c r="CW122" i="1"/>
  <c r="CV133" i="1"/>
  <c r="CV134" i="1" s="1"/>
  <c r="CV158" i="1" s="1"/>
  <c r="CW155" i="1"/>
  <c r="CW156" i="1" s="1"/>
  <c r="CX151" i="1"/>
  <c r="CW133" i="1" l="1"/>
  <c r="CW134" i="1" s="1"/>
  <c r="CW158" i="1" s="1"/>
  <c r="CX122" i="1"/>
  <c r="CY151" i="1"/>
  <c r="CX155" i="1"/>
  <c r="CX156" i="1" s="1"/>
  <c r="CX173" i="1"/>
  <c r="CX174" i="1" s="1"/>
  <c r="CW175" i="1"/>
  <c r="CY155" i="1" l="1"/>
  <c r="CY156" i="1" s="1"/>
  <c r="CZ151" i="1"/>
  <c r="CY173" i="1"/>
  <c r="CY174" i="1" s="1"/>
  <c r="CX175" i="1"/>
  <c r="CX133" i="1"/>
  <c r="CX134" i="1" s="1"/>
  <c r="CX158" i="1" s="1"/>
  <c r="CY122" i="1"/>
  <c r="CZ173" i="1" l="1"/>
  <c r="CZ174" i="1" s="1"/>
  <c r="CY175" i="1"/>
  <c r="CZ122" i="1"/>
  <c r="CY133" i="1"/>
  <c r="CY134" i="1" s="1"/>
  <c r="CY158" i="1" s="1"/>
  <c r="CZ155" i="1"/>
  <c r="CZ156" i="1" s="1"/>
  <c r="DA151" i="1"/>
  <c r="DA155" i="1" l="1"/>
  <c r="DA156" i="1" s="1"/>
  <c r="DB151" i="1"/>
  <c r="CZ133" i="1"/>
  <c r="CZ134" i="1" s="1"/>
  <c r="CZ158" i="1" s="1"/>
  <c r="DA122" i="1"/>
  <c r="DA173" i="1"/>
  <c r="DA174" i="1" s="1"/>
  <c r="CZ175" i="1"/>
  <c r="DB173" i="1" l="1"/>
  <c r="DB174" i="1" s="1"/>
  <c r="DA175" i="1"/>
  <c r="DB122" i="1"/>
  <c r="DA133" i="1"/>
  <c r="DA134" i="1" s="1"/>
  <c r="DA158" i="1" s="1"/>
  <c r="DB155" i="1"/>
  <c r="DB156" i="1" s="1"/>
  <c r="DC151" i="1"/>
  <c r="DD151" i="1" l="1"/>
  <c r="DC155" i="1"/>
  <c r="DC156" i="1" s="1"/>
  <c r="DC122" i="1"/>
  <c r="DB133" i="1"/>
  <c r="DB134" i="1" s="1"/>
  <c r="DB158" i="1" s="1"/>
  <c r="DB175" i="1"/>
  <c r="DC173" i="1"/>
  <c r="DC174" i="1" s="1"/>
  <c r="DC175" i="1" l="1"/>
  <c r="DD173" i="1"/>
  <c r="DD174" i="1" s="1"/>
  <c r="DC133" i="1"/>
  <c r="DC134" i="1" s="1"/>
  <c r="DC158" i="1" s="1"/>
  <c r="DD122" i="1"/>
  <c r="DD155" i="1"/>
  <c r="DD156" i="1" s="1"/>
  <c r="DE151" i="1"/>
  <c r="DF151" i="1" l="1"/>
  <c r="DE155" i="1"/>
  <c r="DE156" i="1" s="1"/>
  <c r="DE122" i="1"/>
  <c r="DD133" i="1"/>
  <c r="DD134" i="1" s="1"/>
  <c r="DD158" i="1" s="1"/>
  <c r="DD175" i="1"/>
  <c r="DE173" i="1"/>
  <c r="DE174" i="1" s="1"/>
  <c r="DF122" i="1" l="1"/>
  <c r="DE133" i="1"/>
  <c r="DE134" i="1" s="1"/>
  <c r="DE158" i="1" s="1"/>
  <c r="DE175" i="1"/>
  <c r="DF173" i="1"/>
  <c r="DF174" i="1" s="1"/>
  <c r="DF155" i="1"/>
  <c r="DF156" i="1" s="1"/>
  <c r="DG151" i="1"/>
  <c r="DG155" i="1" s="1"/>
  <c r="DG156" i="1" s="1"/>
  <c r="DG173" i="1" l="1"/>
  <c r="DG174" i="1" s="1"/>
  <c r="DF175" i="1"/>
  <c r="DG122" i="1"/>
  <c r="DG133" i="1" s="1"/>
  <c r="DG134" i="1" s="1"/>
  <c r="DG158" i="1" s="1"/>
  <c r="DF133" i="1"/>
  <c r="DF134" i="1" s="1"/>
  <c r="DF158" i="1" s="1"/>
  <c r="DG1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tc={CCC7538D-2355-416C-8AFF-CC11EF5D4A45}</author>
  </authors>
  <commentList>
    <comment ref="I19" authorId="0" shapeId="0" xr:uid="{CCC7538D-2355-416C-8AFF-CC11EF5D4A45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closer to $15k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tc={50E27788-15FE-4EC4-9024-B35DEBE0CA1B}</author>
    <author>tc={C5C475C1-3117-4D7D-9520-18979528AADE}</author>
    <author>tc={FB01E4C4-9D80-4C18-98EE-5B6EBC55EED5}</author>
    <author>tc={E3297F0B-31AD-479D-A121-525B48D06CC1}</author>
    <author>tc={26B4DB3F-A17D-E84B-A9C0-A7EA443040D9}</author>
    <author>tc={502DE87D-E9C4-7F40-8FE3-CD4A56D8E94E}</author>
    <author>tc={FF368B87-FB45-46B1-A11F-8FAD2BEDDF94}</author>
    <author>tc={CE704105-41F6-4C56-9350-3448E5DD668D}</author>
    <author>tc={735C9239-FB8A-4B36-9D20-C68BC4D2B976}</author>
    <author>tc={701A54C3-1B46-4893-BC62-B2EFF266C055}</author>
    <author>tc={E9A4DEB7-8F9C-D94C-9291-1B8148076C2C}</author>
    <author>tc={C6FCD979-1374-4A1B-A294-11D803D8AB2C}</author>
    <author>tc={652DF29B-C80F-474D-9452-32A45BAD392F}</author>
    <author>tc={973B5C3F-CC1C-478B-AAEB-95C45A193E9C}</author>
  </authors>
  <commentList>
    <comment ref="AN26" authorId="0" shapeId="0" xr:uid="{50E27788-15FE-4EC4-9024-B35DEBE0CA1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O26" authorId="1" shapeId="0" xr:uid="{C5C475C1-3117-4D7D-9520-18979528AAD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P26" authorId="2" shapeId="0" xr:uid="{FB01E4C4-9D80-4C18-98EE-5B6EBC55EED5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Q26" authorId="3" shapeId="0" xr:uid="{E3297F0B-31AD-479D-A121-525B48D06CC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R26" authorId="4" shapeId="0" xr:uid="{26B4DB3F-A17D-E84B-A9C0-A7EA4430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P31" authorId="5" shapeId="0" xr:uid="{502DE87D-E9C4-7F40-8FE3-CD4A56D8E94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some reason this was not being pulled in the Time Last Month report</t>
      </text>
    </comment>
    <comment ref="AO44" authorId="6" shapeId="0" xr:uid="{FF368B87-FB45-46B1-A11F-8FAD2BEDDF94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for Recurring Students</t>
      </text>
    </comment>
    <comment ref="AM64" authorId="7" shapeId="0" xr:uid="{CE704105-41F6-4C56-9350-3448E5DD668D}">
      <text>
        <t>[Threaded comment]
Your version of Excel allows you to read this threaded comment; however, any edits to it will get removed if the file is opened in a newer version of Excel. Learn more: https://go.microsoft.com/fwlink/?linkid=870924
Comment:
    $599 intern expense</t>
      </text>
    </comment>
    <comment ref="S88" authorId="8" shapeId="0" xr:uid="{735C9239-FB8A-4B36-9D20-C68BC4D2B976}">
      <text>
        <t>[Threaded comment]
Your version of Excel allows you to read this threaded comment; however, any edits to it will get removed if the file is opened in a newer version of Excel. Learn more: https://go.microsoft.com/fwlink/?linkid=870924
Comment:
    Tax Advice JMM Group LLC</t>
      </text>
    </comment>
    <comment ref="T88" authorId="9" shapeId="0" xr:uid="{701A54C3-1B46-4893-BC62-B2EFF266C055}">
      <text>
        <t>[Threaded comment]
Your version of Excel allows you to read this threaded comment; however, any edits to it will get removed if the file is opened in a newer version of Excel. Learn more: https://go.microsoft.com/fwlink/?linkid=870924
Comment:
    Offboarding JMM Group LLC</t>
      </text>
    </comment>
    <comment ref="AS137" authorId="10" shapeId="0" xr:uid="{E9A4DEB7-8F9C-D94C-9291-1B8148076C2C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for Cash</t>
      </text>
    </comment>
    <comment ref="AE149" authorId="11" shapeId="0" xr:uid="{C6FCD979-1374-4A1B-A294-11D803D8AB2C}">
      <text>
        <t>[Threaded comment]
Your version of Excel allows you to read this threaded comment; however, any edits to it will get removed if the file is opened in a newer version of Excel. Learn more: https://go.microsoft.com/fwlink/?linkid=870924
Comment:
    $4k Contribution for taxes</t>
      </text>
    </comment>
    <comment ref="AD150" authorId="12" shapeId="0" xr:uid="{652DF29B-C80F-474D-9452-32A45BAD392F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$800 Distribution</t>
      </text>
    </comment>
    <comment ref="AE150" authorId="13" shapeId="0" xr:uid="{973B5C3F-CC1C-478B-AAEB-95C45A193E9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2023 Tax Payment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tc={67D2E087-3C84-4785-B259-0CC55E404C8B}</author>
    <author>tc={D1238F7C-0EDC-4167-877F-EC5127568767}</author>
  </authors>
  <commentList>
    <comment ref="M12" authorId="0" shapeId="0" xr:uid="{67D2E087-3C84-4785-B259-0CC55E404C8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 charges $75 pays her 50
Reply:
    Max about 3 hours per client - Always left (half time hour less)</t>
      </text>
    </comment>
    <comment ref="N13" authorId="1" shapeId="0" xr:uid="{D1238F7C-0EDC-4167-877F-EC5127568767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for overage on SAT/ACT prep hours</t>
      </text>
    </comment>
  </commentList>
</comments>
</file>

<file path=xl/sharedStrings.xml><?xml version="1.0" encoding="utf-8"?>
<sst xmlns="http://schemas.openxmlformats.org/spreadsheetml/2006/main" count="1265" uniqueCount="396">
  <si>
    <t>Total</t>
  </si>
  <si>
    <t>Income</t>
  </si>
  <si>
    <t xml:space="preserve">   50000 Service Income</t>
  </si>
  <si>
    <t xml:space="preserve">      50100 Tutoring Sessions</t>
  </si>
  <si>
    <t xml:space="preserve">      50200 SAT/ACT Prep</t>
  </si>
  <si>
    <t xml:space="preserve">      50400 College Essay Review</t>
  </si>
  <si>
    <t xml:space="preserve">   Total 50000 Service Income</t>
  </si>
  <si>
    <t>Total Income</t>
  </si>
  <si>
    <t>Gross Profit</t>
  </si>
  <si>
    <t>Expenses</t>
  </si>
  <si>
    <t>Total Expenses</t>
  </si>
  <si>
    <t>Net Operating Income</t>
  </si>
  <si>
    <t>Other Income</t>
  </si>
  <si>
    <t xml:space="preserve">   Interest Income</t>
  </si>
  <si>
    <t>Total Other Income</t>
  </si>
  <si>
    <t>Net Other Income</t>
  </si>
  <si>
    <t>Net Income</t>
  </si>
  <si>
    <t>ASSETS</t>
  </si>
  <si>
    <t xml:space="preserve">   Current Assets</t>
  </si>
  <si>
    <t xml:space="preserve">      Bank Accounts</t>
  </si>
  <si>
    <t xml:space="preserve">         10100 Operating - 5974</t>
  </si>
  <si>
    <t xml:space="preserve">         10200 MM - 6659</t>
  </si>
  <si>
    <t xml:space="preserve">         10300 Savings - 6634</t>
  </si>
  <si>
    <t xml:space="preserve">         10400 Cash In Transit</t>
  </si>
  <si>
    <t xml:space="preserve">      Total Bank Accounts</t>
  </si>
  <si>
    <t xml:space="preserve">      Accounts Receivable</t>
  </si>
  <si>
    <t xml:space="preserve">         20100 Accounts Receivable</t>
  </si>
  <si>
    <t xml:space="preserve">      Total Accounts Receivable</t>
  </si>
  <si>
    <t xml:space="preserve">   Total Current Assets</t>
  </si>
  <si>
    <t>TOTAL ASSETS</t>
  </si>
  <si>
    <t>LIABILITIES AND EQUITY</t>
  </si>
  <si>
    <t xml:space="preserve">   Liabilities</t>
  </si>
  <si>
    <t xml:space="preserve">   Total Liabilities</t>
  </si>
  <si>
    <t xml:space="preserve">   Equity</t>
  </si>
  <si>
    <t xml:space="preserve">      40100 Owner Contributions</t>
  </si>
  <si>
    <t xml:space="preserve">      40200 Owner Distributions</t>
  </si>
  <si>
    <t xml:space="preserve">      40300 Retained Earnings</t>
  </si>
  <si>
    <t xml:space="preserve">      Net Income</t>
  </si>
  <si>
    <t xml:space="preserve">   Total Equity</t>
  </si>
  <si>
    <t>TOTAL LIABILITIES AND EQUITY</t>
  </si>
  <si>
    <t>Cash Flow From Operations</t>
  </si>
  <si>
    <t>Change in AR</t>
  </si>
  <si>
    <t>Change in Other Assets/Liabilities</t>
  </si>
  <si>
    <t>Change in Equity</t>
  </si>
  <si>
    <t>Cash Flow From Financing</t>
  </si>
  <si>
    <t>Net change in Cash Flow for the Period</t>
  </si>
  <si>
    <t>Beginning Balance</t>
  </si>
  <si>
    <t>Ending Balance</t>
  </si>
  <si>
    <t>Check</t>
  </si>
  <si>
    <t>Holidays</t>
  </si>
  <si>
    <t>New Years</t>
  </si>
  <si>
    <t>MLK</t>
  </si>
  <si>
    <t>Presidents Day</t>
  </si>
  <si>
    <t>Memorial Day</t>
  </si>
  <si>
    <t>Labor Day</t>
  </si>
  <si>
    <t>4th of July</t>
  </si>
  <si>
    <t>Thanksgiving</t>
  </si>
  <si>
    <t>Black Friday</t>
  </si>
  <si>
    <t>Christmas Eve</t>
  </si>
  <si>
    <t>Christmas</t>
  </si>
  <si>
    <t>Service Income</t>
  </si>
  <si>
    <t>Billing Days</t>
  </si>
  <si>
    <t>Hours / Day</t>
  </si>
  <si>
    <t>Total Bill Hours</t>
  </si>
  <si>
    <t>Realized / Effective Bill Rate</t>
  </si>
  <si>
    <t>Utilization %</t>
  </si>
  <si>
    <t># of Students</t>
  </si>
  <si>
    <t>Net New Students</t>
  </si>
  <si>
    <t>Student</t>
  </si>
  <si>
    <t>Date</t>
  </si>
  <si>
    <t>Hours</t>
  </si>
  <si>
    <t>Rate ($/hr)</t>
  </si>
  <si>
    <t>Coin</t>
  </si>
  <si>
    <t>Billed?</t>
  </si>
  <si>
    <t>Received payment?</t>
  </si>
  <si>
    <t>Topic</t>
  </si>
  <si>
    <t>Tip?</t>
  </si>
  <si>
    <t>Paid via invoice?</t>
  </si>
  <si>
    <t>Totals</t>
  </si>
  <si>
    <t>Abby Owen</t>
  </si>
  <si>
    <t>Yes</t>
  </si>
  <si>
    <t>Math (general homework)</t>
  </si>
  <si>
    <t>No</t>
  </si>
  <si>
    <t>BALANCED</t>
  </si>
  <si>
    <t>Algebra 2</t>
  </si>
  <si>
    <t>YES</t>
  </si>
  <si>
    <t>Emergency Math Lab</t>
  </si>
  <si>
    <t>Logarithmic Functions Review</t>
  </si>
  <si>
    <t>Precalc - Exponentials and Logs</t>
  </si>
  <si>
    <t>Addison O'Connor</t>
  </si>
  <si>
    <t>Choreography Review</t>
  </si>
  <si>
    <t>Caroline Frey</t>
  </si>
  <si>
    <t>TN and CoC Essay Supplement Finalization</t>
  </si>
  <si>
    <t>No - Venmo b/c tip; sent to personal account but transferred accordingly (sent to Eric and Eric venmo'd business acc)</t>
  </si>
  <si>
    <t>Bama Honors Appliation</t>
  </si>
  <si>
    <t>No - venmo b/c tip</t>
  </si>
  <si>
    <t>Claire Cecotti</t>
  </si>
  <si>
    <t>SAT Math, Piecewise Functions Test</t>
  </si>
  <si>
    <t>Elle Mishler</t>
  </si>
  <si>
    <t>Algebra 1</t>
  </si>
  <si>
    <t>Algebra 1 Review</t>
  </si>
  <si>
    <t>Gabby Bagot</t>
  </si>
  <si>
    <t>*Sujay 21 Oct, 23 Oct, 29 Oct, and 30 Oct were all billed together.</t>
  </si>
  <si>
    <t>Julia Cecotti</t>
  </si>
  <si>
    <t>Precalc - piecewise functions</t>
  </si>
  <si>
    <t>Limits and Discontinuity</t>
  </si>
  <si>
    <t>Kathryn Oakford</t>
  </si>
  <si>
    <t>Business Calculus</t>
  </si>
  <si>
    <t>Kaylie Thompson</t>
  </si>
  <si>
    <t>Common App Finalizaiton</t>
  </si>
  <si>
    <t>Maddie Wilson</t>
  </si>
  <si>
    <t>ACT Math</t>
  </si>
  <si>
    <t>No - received via PayPal and Transferred</t>
  </si>
  <si>
    <t>Maddox Rogers</t>
  </si>
  <si>
    <t>College Essay</t>
  </si>
  <si>
    <t>Naura Peters</t>
  </si>
  <si>
    <t>Private lesson</t>
  </si>
  <si>
    <t>Nicolette Batori</t>
  </si>
  <si>
    <t>AP Test Advice, Volunteering advice, SAT Math</t>
  </si>
  <si>
    <t>SAT Math</t>
  </si>
  <si>
    <t>Rohan Skanda</t>
  </si>
  <si>
    <t>AOS Integrated Math + Science</t>
  </si>
  <si>
    <t>Math and Physics Review</t>
  </si>
  <si>
    <t>Sienna Cormier</t>
  </si>
  <si>
    <t>Geometry</t>
  </si>
  <si>
    <t>Sophia Gonzales</t>
  </si>
  <si>
    <t>Yes (folded into next-day invoice)</t>
  </si>
  <si>
    <t>Physics</t>
  </si>
  <si>
    <t>Sujay Penugonda</t>
  </si>
  <si>
    <t>Supplemental Essays</t>
  </si>
  <si>
    <t>No - asked to send via Zelle. Transferred from personal to biz immediately.</t>
  </si>
  <si>
    <t>AOS Math/Science</t>
  </si>
  <si>
    <t>College Supplemental Essays</t>
  </si>
  <si>
    <t>Business Calc</t>
  </si>
  <si>
    <t>Math Practice for Quiz</t>
  </si>
  <si>
    <t>ACT Math, NHS Essay</t>
  </si>
  <si>
    <t>Mckenzie Frey</t>
  </si>
  <si>
    <t>Yes (accounted for in October w Caroline)</t>
  </si>
  <si>
    <t>PR/Project Planning</t>
  </si>
  <si>
    <t>NHS Essay</t>
  </si>
  <si>
    <t>Algebra Review/SAT Math</t>
  </si>
  <si>
    <t>Sam Cormier</t>
  </si>
  <si>
    <t>Adderal form</t>
  </si>
  <si>
    <t>SAT/ACT overview, college talk/prep</t>
  </si>
  <si>
    <t>ACT Science</t>
  </si>
  <si>
    <t>Essay</t>
  </si>
  <si>
    <t>ACT Math, college essay</t>
  </si>
  <si>
    <t>Matthew Aasen</t>
  </si>
  <si>
    <t>2nd read common app</t>
  </si>
  <si>
    <t>Row Labels</t>
  </si>
  <si>
    <t>Grand Total</t>
  </si>
  <si>
    <t>Sum of Hours</t>
  </si>
  <si>
    <t>Sum of Coin</t>
  </si>
  <si>
    <t>DATE</t>
  </si>
  <si>
    <t>TIME</t>
  </si>
  <si>
    <t>MONEY</t>
  </si>
  <si>
    <t>TOTAL EARNINGS FOR THIS PD:</t>
  </si>
  <si>
    <t>Paying through ESTINSTITUTE venmo. Should get tax forms from them.</t>
  </si>
  <si>
    <t>Made xfer of total - venmo tax removal to ensure everything would be viewable on NFCU</t>
  </si>
  <si>
    <t>BILLED</t>
  </si>
  <si>
    <t>TIP</t>
  </si>
  <si>
    <t>BALANCE</t>
  </si>
  <si>
    <t>River Hours</t>
  </si>
  <si>
    <t xml:space="preserve"> </t>
  </si>
  <si>
    <t>AR Days</t>
  </si>
  <si>
    <t>Gross Margin</t>
  </si>
  <si>
    <t>GM %</t>
  </si>
  <si>
    <t>Operating Expenses</t>
  </si>
  <si>
    <t>Net Operating Income (EBITDA)</t>
  </si>
  <si>
    <t>EBITDA %</t>
  </si>
  <si>
    <t>Other Income / (Expense)</t>
  </si>
  <si>
    <t>NI %</t>
  </si>
  <si>
    <t>Operating Cash</t>
  </si>
  <si>
    <t>Cash Inflow (Outflow)</t>
  </si>
  <si>
    <t>Misc.</t>
  </si>
  <si>
    <t>Operating Expense</t>
  </si>
  <si>
    <t>Coverage</t>
  </si>
  <si>
    <t>Properties of logs and exponents; APERT</t>
  </si>
  <si>
    <t>Brayden Wulff</t>
  </si>
  <si>
    <t>Math Analysis</t>
  </si>
  <si>
    <t>QBA</t>
  </si>
  <si>
    <t>Algebra 1 - Absolute Value Functions</t>
  </si>
  <si>
    <t>Algebra 1 - Graphing, Domain, and Range</t>
  </si>
  <si>
    <t>Emma Thacker</t>
  </si>
  <si>
    <t>Algebra 2 Trig</t>
  </si>
  <si>
    <t>Precalc - rational functions, domain/range, holes, asymptotes, graphing, factoring</t>
  </si>
  <si>
    <t>Business Calc (College)</t>
  </si>
  <si>
    <t>Dance</t>
  </si>
  <si>
    <t>SAT Math (Calculator Section)</t>
  </si>
  <si>
    <t>Trig Proofs</t>
  </si>
  <si>
    <t>SAT English</t>
  </si>
  <si>
    <t>SAT Grammar</t>
  </si>
  <si>
    <t>* Billed with 27 Nov invoice</t>
  </si>
  <si>
    <t>SAT Reading Comprehension</t>
  </si>
  <si>
    <t>Difference Quotient, pre-calc</t>
  </si>
  <si>
    <t>AOS Integrated Math and Science</t>
  </si>
  <si>
    <t>Physics - Position and Veloicty</t>
  </si>
  <si>
    <t>Chemistry</t>
  </si>
  <si>
    <t>Physics - Angles, Motion</t>
  </si>
  <si>
    <t>MONTH GROSS</t>
  </si>
  <si>
    <t>***REMAINING BALANCE***</t>
  </si>
  <si>
    <t xml:space="preserve">   61000 Owner Guarenteed Payments</t>
  </si>
  <si>
    <t>Owner Guarenteed Payments</t>
  </si>
  <si>
    <t>General &amp; Admintrative Expenses</t>
  </si>
  <si>
    <t>Total G&amp;A Expenses</t>
  </si>
  <si>
    <t>Peak</t>
  </si>
  <si>
    <t>Trough</t>
  </si>
  <si>
    <t>Shoulder</t>
  </si>
  <si>
    <t>Average</t>
  </si>
  <si>
    <t xml:space="preserve">      70100 Accounts Payable</t>
  </si>
  <si>
    <t>Asynchronous</t>
  </si>
  <si>
    <t>Honors College Essays</t>
  </si>
  <si>
    <t>Venmo for Tip</t>
  </si>
  <si>
    <t>John Surles</t>
  </si>
  <si>
    <t>Advanced Functions - Fundamental Therem of Algebra, Conjugate Theorem</t>
  </si>
  <si>
    <t>Leyla Aggarwal</t>
  </si>
  <si>
    <t>Dance Private</t>
  </si>
  <si>
    <t>Yes (billed with 11-Dec invoice)</t>
  </si>
  <si>
    <t>Physics - Centripetal force and circular motion</t>
  </si>
  <si>
    <t>Physics - Energy</t>
  </si>
  <si>
    <t>YOY Compounded Growth %</t>
  </si>
  <si>
    <t xml:space="preserve">   Other Current Assets</t>
  </si>
  <si>
    <t xml:space="preserve">   Total Other Current Assets</t>
  </si>
  <si>
    <t xml:space="preserve">   70000 Tips/Miscellaneous</t>
  </si>
  <si>
    <t xml:space="preserve">         Undeposited Funds</t>
  </si>
  <si>
    <t>Actual</t>
  </si>
  <si>
    <t>Variance</t>
  </si>
  <si>
    <t>Additions</t>
  </si>
  <si>
    <t>Subtrctions</t>
  </si>
  <si>
    <t>Implied Tenure</t>
  </si>
  <si>
    <t>Average Revenue</t>
  </si>
  <si>
    <t>Lifetime Revenue</t>
  </si>
  <si>
    <t>GM%</t>
  </si>
  <si>
    <t>LTV/CAC</t>
  </si>
  <si>
    <t>Payback</t>
  </si>
  <si>
    <t>T3M CAC</t>
  </si>
  <si>
    <t>T3M LTV</t>
  </si>
  <si>
    <t>T6M Avg Monthly Attrition</t>
  </si>
  <si>
    <t>Hours / Day / Student</t>
  </si>
  <si>
    <t>Forecast</t>
  </si>
  <si>
    <t>Name</t>
  </si>
  <si>
    <t>Position</t>
  </si>
  <si>
    <t>Hourly Rate</t>
  </si>
  <si>
    <t>NOI %</t>
  </si>
  <si>
    <t>Subsititute Tutor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</si>
  <si>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</si>
  <si>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</si>
  <si>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</si>
  <si>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</si>
  <si>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</si>
  <si>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</si>
  <si>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</si>
  <si>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</si>
  <si>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</si>
  <si>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</si>
  <si>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</si>
  <si>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</si>
  <si>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2024 Overview (Rolling Forecast)</t>
  </si>
  <si>
    <t xml:space="preserve">      50500 Interview Prep</t>
  </si>
  <si>
    <t xml:space="preserve">   Computer &amp; Software</t>
  </si>
  <si>
    <t>Donations/Gifts</t>
  </si>
  <si>
    <t>Fees/Subscriptions</t>
  </si>
  <si>
    <t>Finance &amp; Accounting</t>
  </si>
  <si>
    <t>Bank Fees</t>
  </si>
  <si>
    <t>Meals and Entertainment</t>
  </si>
  <si>
    <t>QBO Fees</t>
  </si>
  <si>
    <t>Professional/Legal Fees</t>
  </si>
  <si>
    <t>Utilities</t>
  </si>
  <si>
    <t>60000 G&amp;A Expenses</t>
  </si>
  <si>
    <t xml:space="preserve">   30200 Events/Sponsorships</t>
  </si>
  <si>
    <t>30000 Sales &amp; Marketing Expenses</t>
  </si>
  <si>
    <t>Total Sales &amp; Marketing Expenses</t>
  </si>
  <si>
    <t>Total Operating Expenses</t>
  </si>
  <si>
    <t>Sales &amp; Marketing Expenses</t>
  </si>
  <si>
    <t>Budget</t>
  </si>
  <si>
    <t>Events</t>
  </si>
  <si>
    <t>Variance (Budget)</t>
  </si>
  <si>
    <t>Variance (Forecast)</t>
  </si>
  <si>
    <t>NOI%</t>
  </si>
  <si>
    <t>Cash Distributions</t>
  </si>
  <si>
    <t>Cash Contributions</t>
  </si>
  <si>
    <t>Total Tutoring Hours</t>
  </si>
  <si>
    <t>Total SAT/ACT Prep Hours</t>
  </si>
  <si>
    <t>Total Dance Hours</t>
  </si>
  <si>
    <t xml:space="preserve">         10500 Scholarship Fund</t>
  </si>
  <si>
    <t>Tutoring Bill Rate</t>
  </si>
  <si>
    <t>SAT/ACT Bill Rate</t>
  </si>
  <si>
    <t>Dance Bill Rate</t>
  </si>
  <si>
    <t>Taxes/Licenses</t>
  </si>
  <si>
    <t xml:space="preserve">      50300 Resume Review</t>
  </si>
  <si>
    <t>Total Resume Review</t>
  </si>
  <si>
    <t>Avg. # of Students</t>
  </si>
  <si>
    <t>EOY # of Students</t>
  </si>
  <si>
    <t>QBO Fees as a % of Revenue</t>
  </si>
  <si>
    <t>Tips as a % of Revenue</t>
  </si>
  <si>
    <t>Tips</t>
  </si>
  <si>
    <t>Resume Review Bill Rate</t>
  </si>
  <si>
    <t>College Services Bill Rate</t>
  </si>
  <si>
    <t>Total College Service Hours</t>
  </si>
  <si>
    <t>CAC</t>
  </si>
  <si>
    <t>Accrued Tax Burden</t>
  </si>
  <si>
    <t>Owner Cash Distributions</t>
  </si>
  <si>
    <t xml:space="preserve">Madeline </t>
  </si>
  <si>
    <t>Intern</t>
  </si>
  <si>
    <t>Nvaid</t>
  </si>
  <si>
    <t>Charles</t>
  </si>
  <si>
    <t>Total Contractors Expense</t>
  </si>
  <si>
    <t>Avg. Hours</t>
  </si>
  <si>
    <t>2024 AOP Income</t>
  </si>
  <si>
    <t>2024 AOP Net Income</t>
  </si>
  <si>
    <t>2024 AOP Avg. Students</t>
  </si>
  <si>
    <t>Q1</t>
  </si>
  <si>
    <t>Q2</t>
  </si>
  <si>
    <t>Q3</t>
  </si>
  <si>
    <t>Q4</t>
  </si>
  <si>
    <t>Cheri?</t>
  </si>
  <si>
    <t>Rising Freshmen</t>
  </si>
  <si>
    <t xml:space="preserve">   Total 50000 Subcontractors</t>
  </si>
  <si>
    <t xml:space="preserve">      51000 Subcontractors - Interns</t>
  </si>
  <si>
    <t xml:space="preserve">      51000 Subcontractors - Tutors</t>
  </si>
  <si>
    <t xml:space="preserve">   50000 Subcontractors</t>
  </si>
  <si>
    <t>Total Interns Expense</t>
  </si>
  <si>
    <t>Total Tutors Expense</t>
  </si>
  <si>
    <t>GP %</t>
  </si>
  <si>
    <t>Subcontractors</t>
  </si>
  <si>
    <t>Subcontractor Expenses</t>
  </si>
  <si>
    <t>Gross Proft</t>
  </si>
  <si>
    <t># of Sessions</t>
  </si>
  <si>
    <t>Travel</t>
  </si>
  <si>
    <t>KPIs</t>
  </si>
  <si>
    <t xml:space="preserve">      60100 Travel</t>
  </si>
  <si>
    <t xml:space="preserve">      60200 Computer &amp; Software Expenses</t>
  </si>
  <si>
    <t xml:space="preserve">      60210 Website Services</t>
  </si>
  <si>
    <t xml:space="preserve">      60300 Donations/Gifts</t>
  </si>
  <si>
    <t xml:space="preserve">      60400 Fees/Subscriptions</t>
  </si>
  <si>
    <t xml:space="preserve">      60500 Finance &amp; Accounting</t>
  </si>
  <si>
    <t xml:space="preserve">      60600 Bank Fees</t>
  </si>
  <si>
    <t xml:space="preserve">      60700 Meals and Entertainment</t>
  </si>
  <si>
    <t xml:space="preserve">      60800 QB Fees</t>
  </si>
  <si>
    <t xml:space="preserve">      60900 Professional/Legal Fees</t>
  </si>
  <si>
    <t xml:space="preserve">      61100 Utilities</t>
  </si>
  <si>
    <t xml:space="preserve">      61200 Taxes/Licenses</t>
  </si>
  <si>
    <t>Other Expenses</t>
  </si>
  <si>
    <t xml:space="preserve">   73000 Home Office Deduction</t>
  </si>
  <si>
    <t>Total Other Expenses</t>
  </si>
  <si>
    <t>Total Net Other Income (Expense)</t>
  </si>
  <si>
    <t>Total Revenue</t>
  </si>
  <si>
    <t>Owner Draws</t>
  </si>
  <si>
    <t>Tyler</t>
  </si>
  <si>
    <t>Subsititute Tutor - RESUME REVIEW</t>
  </si>
  <si>
    <t>Subsititute Tutor - SAT/ACT PREP</t>
  </si>
  <si>
    <t>Hours Threshold</t>
  </si>
  <si>
    <t>2025 Annual Operating Plan</t>
  </si>
  <si>
    <t xml:space="preserve">         Prepaid Expenses</t>
  </si>
  <si>
    <t xml:space="preserve">         30100 Cash in Transit</t>
  </si>
  <si>
    <t>2025 Overview (Annual Operating Plan)</t>
  </si>
  <si>
    <t>60000 General &amp; Administrative Expenses</t>
  </si>
  <si>
    <t xml:space="preserve">   Owner Salary</t>
  </si>
  <si>
    <t xml:space="preserve">     Owner Payroll Taxes</t>
  </si>
  <si>
    <t xml:space="preserve">     Owner Benefits</t>
  </si>
  <si>
    <t>Total Owner Payroll Burden</t>
  </si>
  <si>
    <t>Payroll Tax as a % of Salary</t>
  </si>
  <si>
    <t>Benefits as a % of Salary</t>
  </si>
  <si>
    <t>Lauren Est</t>
  </si>
  <si>
    <t>Owner</t>
  </si>
  <si>
    <t>Total Owner Wages</t>
  </si>
  <si>
    <t xml:space="preserve">     Owner Reimbursements</t>
  </si>
  <si>
    <t xml:space="preserve">     Total Accounts Payable</t>
  </si>
  <si>
    <t xml:space="preserve">         Other Current Liabilities</t>
  </si>
  <si>
    <t xml:space="preserve">            90000 Payroll Liablities</t>
  </si>
  <si>
    <t xml:space="preserve">               90100 Payroll Wages Payable</t>
  </si>
  <si>
    <t xml:space="preserve">               90120 Payroll Taxes Payable</t>
  </si>
  <si>
    <t xml:space="preserve">               90140 Reimbursements Payable</t>
  </si>
  <si>
    <t xml:space="preserve">            Total 90000 Payroll Liablities</t>
  </si>
  <si>
    <t xml:space="preserve">         Total Other Current Liabilities</t>
  </si>
  <si>
    <t>2025 Overview (Rolling Forecast)</t>
  </si>
  <si>
    <t xml:space="preserve">         30200 Contractor Receivable</t>
  </si>
  <si>
    <t>Owner Payroll Burden</t>
  </si>
  <si>
    <t>Q1 2025</t>
  </si>
  <si>
    <t>Q2 2025</t>
  </si>
  <si>
    <t>Q3 2025</t>
  </si>
  <si>
    <t>Q4 2025</t>
  </si>
  <si>
    <t xml:space="preserve">         40220 Owners State Taxes</t>
  </si>
  <si>
    <t># of Recurring Students</t>
  </si>
  <si>
    <t xml:space="preserve">         40210 Owners Federal Taxes</t>
  </si>
  <si>
    <t>Owner Cash Distributions/Taxes</t>
  </si>
  <si>
    <t xml:space="preserve">            90900 Accrued Expenses</t>
  </si>
  <si>
    <t>ChanChal</t>
  </si>
  <si>
    <t>Luke</t>
  </si>
  <si>
    <t>Marketing Coordinator</t>
  </si>
  <si>
    <t>2026 Annual Operating Plan</t>
  </si>
  <si>
    <t>Estimated Tax Burden</t>
  </si>
  <si>
    <t>S-Corp Tax Savings</t>
  </si>
  <si>
    <t>Cash Balance</t>
  </si>
  <si>
    <t>Subcontracted Hours</t>
  </si>
  <si>
    <t>Owner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</si>
</sst>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_€"/>
    <numFmt numFmtId="165" formatCode="&quot;$&quot;* #,##0.00\ _€"/>
    <numFmt numFmtId="166" formatCode="m/d/yyyy;@"/>
    <numFmt numFmtId="167" formatCode="_(* #,##0_);_(* \(#,##0\);_(* &quot;-&quot;??_);_(@_)"/>
    <numFmt numFmtId="168" formatCode="_(#,##0.0%_);\(#,##0.0%\);_(&quot;–&quot;_)_%;_(@_)_%"/>
    <numFmt numFmtId="169" formatCode="_(* #,##0.0_);_(* \(#,##0.0\);_(* &quot;-&quot;??_);_(@_)"/>
    <numFmt numFmtId="170" formatCode="[$-409]mmmm;@"/>
    <numFmt numFmtId="171" formatCode="[$-409]mmmm\-yy;@"/>
    <numFmt numFmtId="172" formatCode="_(&quot;$&quot;* #,##0_);_(&quot;$&quot;* \(#,##0\);_(&quot;$&quot;* &quot;-&quot;??_);_(@_)"/>
    <numFmt numFmtId="173" formatCode="_([$$]#,##0_)_%;\([$$]#,##0\)_%;_(&quot;–&quot;_)_%;_(@_)_%"/>
    <numFmt numFmtId="174" formatCode="0.0%"/>
    <numFmt numFmtId="175" formatCode="0.00000"/>
    <numFmt numFmtId="176" formatCode="0.00\ \x"/>
    <numFmt numFmtId="177" formatCode="_(* #\ ##0.00_)&quot;months&quot;;_(* #\ ##0.00_);_(* &quot;-&quot;??_);_(@_)"/>
    <numFmt numFmtId="178" formatCode="[$-409]mmmm\ yyyy;@"/>
    <numFmt numFmtId="179" formatCode="0\ &quot;hours&quot;"/>
  </numFmts>
  <fonts count="6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8"/>
      <color indexed="8"/>
      <name val="Arial"/>
      <family val="2"/>
    </font>
    <font>
      <sz val="8"/>
      <color theme="4"/>
      <name val="Arial"/>
      <family val="2"/>
    </font>
    <font>
      <b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0"/>
      <name val="Times New Roman"/>
      <family val="1"/>
    </font>
    <font>
      <sz val="10"/>
      <color indexed="8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2"/>
      <color indexed="8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9"/>
      <name val="Arial"/>
      <family val="2"/>
    </font>
    <font>
      <b/>
      <sz val="8"/>
      <name val="Arial"/>
      <family val="2"/>
    </font>
    <font>
      <sz val="8"/>
      <color rgb="FF0000FF"/>
      <name val="Arial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8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 style="thin">
        <color indexed="64"/>
      </top>
      <bottom style="medium">
        <color indexed="64"/>
      </bottom>
      <diagonal/>
    </border>
    <border>
      <left style="dotted">
        <color auto="1"/>
      </left>
      <right/>
      <top style="medium">
        <color indexed="64"/>
      </top>
      <bottom/>
      <diagonal/>
    </border>
    <border>
      <left style="dotted">
        <color auto="1"/>
      </left>
      <right/>
      <top style="thin">
        <color indexed="64"/>
      </top>
      <bottom style="thin">
        <color auto="1"/>
      </bottom>
      <diagonal/>
    </border>
    <border>
      <left style="dotted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/>
      <right style="dotted">
        <color auto="1"/>
      </right>
      <top style="thick">
        <color auto="1"/>
      </top>
      <bottom/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/>
      <right style="dotted">
        <color auto="1"/>
      </right>
      <top style="medium">
        <color indexed="64"/>
      </top>
      <bottom/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7" fillId="0" borderId="0"/>
    <xf numFmtId="0" fontId="5" fillId="0" borderId="0"/>
    <xf numFmtId="0" fontId="4" fillId="0" borderId="0"/>
    <xf numFmtId="0" fontId="3" fillId="0" borderId="0"/>
  </cellStyleXfs>
  <cellXfs count="767">
    <xf numFmtId="0" fontId="0" fillId="0" borderId="0" xfId="0"/>
    <xf numFmtId="0" fontId="6" fillId="0" borderId="0" xfId="0" applyFont="1" applyAlignment="1">
      <alignment horizontal="left" wrapText="1"/>
    </xf>
    <xf numFmtId="164" fontId="7" fillId="0" borderId="0" xfId="0" applyNumberFormat="1" applyFont="1" applyAlignment="1">
      <alignment wrapText="1"/>
    </xf>
    <xf numFmtId="0" fontId="0" fillId="0" borderId="2" xfId="0" applyBorder="1"/>
    <xf numFmtId="0" fontId="6" fillId="0" borderId="2" xfId="0" applyFont="1" applyBorder="1" applyAlignment="1">
      <alignment horizontal="left" wrapText="1"/>
    </xf>
    <xf numFmtId="0" fontId="0" fillId="0" borderId="3" xfId="0" applyBorder="1"/>
    <xf numFmtId="0" fontId="6" fillId="0" borderId="3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/>
    </xf>
    <xf numFmtId="44" fontId="0" fillId="0" borderId="0" xfId="0" applyNumberFormat="1"/>
    <xf numFmtId="44" fontId="0" fillId="0" borderId="2" xfId="0" applyNumberFormat="1" applyBorder="1"/>
    <xf numFmtId="0" fontId="14" fillId="0" borderId="0" xfId="0" applyFont="1" applyAlignment="1">
      <alignment horizontal="left" wrapText="1"/>
    </xf>
    <xf numFmtId="166" fontId="10" fillId="2" borderId="0" xfId="0" applyNumberFormat="1" applyFont="1" applyFill="1" applyAlignment="1">
      <alignment horizontal="centerContinuous"/>
    </xf>
    <xf numFmtId="0" fontId="10" fillId="2" borderId="0" xfId="0" applyFont="1" applyFill="1" applyAlignment="1">
      <alignment horizontal="centerContinuous"/>
    </xf>
    <xf numFmtId="166" fontId="0" fillId="0" borderId="0" xfId="0" applyNumberFormat="1" applyAlignment="1">
      <alignment horizontal="left"/>
    </xf>
    <xf numFmtId="167" fontId="20" fillId="0" borderId="0" xfId="1" applyNumberFormat="1" applyFont="1" applyFill="1" applyBorder="1"/>
    <xf numFmtId="167" fontId="19" fillId="2" borderId="0" xfId="1" applyNumberFormat="1" applyFont="1" applyFill="1" applyBorder="1" applyAlignment="1"/>
    <xf numFmtId="167" fontId="19" fillId="2" borderId="8" xfId="1" applyNumberFormat="1" applyFont="1" applyFill="1" applyBorder="1" applyAlignment="1"/>
    <xf numFmtId="167" fontId="22" fillId="0" borderId="0" xfId="1" applyNumberFormat="1" applyFont="1" applyFill="1" applyBorder="1"/>
    <xf numFmtId="167" fontId="22" fillId="2" borderId="0" xfId="1" applyNumberFormat="1" applyFont="1" applyFill="1" applyBorder="1"/>
    <xf numFmtId="167" fontId="22" fillId="2" borderId="8" xfId="1" applyNumberFormat="1" applyFont="1" applyFill="1" applyBorder="1"/>
    <xf numFmtId="43" fontId="19" fillId="0" borderId="0" xfId="1" applyFont="1" applyFill="1" applyBorder="1"/>
    <xf numFmtId="43" fontId="22" fillId="2" borderId="0" xfId="1" applyFont="1" applyFill="1" applyBorder="1"/>
    <xf numFmtId="43" fontId="22" fillId="2" borderId="8" xfId="1" applyFont="1" applyFill="1" applyBorder="1"/>
    <xf numFmtId="167" fontId="19" fillId="2" borderId="0" xfId="1" applyNumberFormat="1" applyFont="1" applyFill="1" applyBorder="1"/>
    <xf numFmtId="167" fontId="19" fillId="2" borderId="8" xfId="1" applyNumberFormat="1" applyFont="1" applyFill="1" applyBorder="1"/>
    <xf numFmtId="44" fontId="19" fillId="0" borderId="0" xfId="2" applyFont="1" applyFill="1" applyBorder="1"/>
    <xf numFmtId="44" fontId="19" fillId="2" borderId="0" xfId="2" applyFont="1" applyFill="1" applyBorder="1"/>
    <xf numFmtId="44" fontId="19" fillId="2" borderId="8" xfId="2" applyFont="1" applyFill="1" applyBorder="1"/>
    <xf numFmtId="0" fontId="0" fillId="4" borderId="0" xfId="0" applyFill="1"/>
    <xf numFmtId="0" fontId="9" fillId="4" borderId="0" xfId="0" applyFont="1" applyFill="1" applyAlignment="1">
      <alignment horizontal="center"/>
    </xf>
    <xf numFmtId="0" fontId="10" fillId="4" borderId="0" xfId="0" applyFont="1" applyFill="1"/>
    <xf numFmtId="0" fontId="9" fillId="4" borderId="0" xfId="0" applyFont="1" applyFill="1"/>
    <xf numFmtId="14" fontId="9" fillId="4" borderId="0" xfId="0" applyNumberFormat="1" applyFont="1" applyFill="1" applyAlignment="1">
      <alignment horizontal="center"/>
    </xf>
    <xf numFmtId="43" fontId="18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43" fontId="23" fillId="2" borderId="0" xfId="0" applyNumberFormat="1" applyFont="1" applyFill="1" applyAlignment="1">
      <alignment horizontal="center" vertical="center" wrapText="1"/>
    </xf>
    <xf numFmtId="0" fontId="5" fillId="0" borderId="0" xfId="5"/>
    <xf numFmtId="0" fontId="10" fillId="0" borderId="0" xfId="5" applyFont="1"/>
    <xf numFmtId="0" fontId="5" fillId="2" borderId="0" xfId="5" applyFill="1"/>
    <xf numFmtId="16" fontId="5" fillId="2" borderId="0" xfId="5" applyNumberFormat="1" applyFill="1"/>
    <xf numFmtId="0" fontId="5" fillId="5" borderId="0" xfId="5" applyFill="1"/>
    <xf numFmtId="16" fontId="5" fillId="0" borderId="0" xfId="5" applyNumberFormat="1"/>
    <xf numFmtId="0" fontId="5" fillId="6" borderId="0" xfId="5" applyFill="1"/>
    <xf numFmtId="16" fontId="5" fillId="6" borderId="0" xfId="5" applyNumberFormat="1" applyFill="1"/>
    <xf numFmtId="0" fontId="5" fillId="7" borderId="0" xfId="5" applyFill="1"/>
    <xf numFmtId="14" fontId="5" fillId="7" borderId="0" xfId="5" applyNumberFormat="1" applyFill="1"/>
    <xf numFmtId="0" fontId="0" fillId="0" borderId="0" xfId="0" pivotButton="1"/>
    <xf numFmtId="0" fontId="0" fillId="0" borderId="0" xfId="0" applyAlignment="1">
      <alignment horizontal="left"/>
    </xf>
    <xf numFmtId="167" fontId="21" fillId="3" borderId="0" xfId="1" applyNumberFormat="1" applyFont="1" applyFill="1" applyBorder="1"/>
    <xf numFmtId="167" fontId="5" fillId="0" borderId="0" xfId="1" applyNumberFormat="1" applyFont="1" applyFill="1" applyBorder="1"/>
    <xf numFmtId="165" fontId="6" fillId="0" borderId="0" xfId="0" applyNumberFormat="1" applyFont="1" applyAlignment="1">
      <alignment horizontal="right" wrapText="1"/>
    </xf>
    <xf numFmtId="0" fontId="9" fillId="4" borderId="8" xfId="0" applyFont="1" applyFill="1" applyBorder="1" applyAlignment="1">
      <alignment horizontal="center"/>
    </xf>
    <xf numFmtId="14" fontId="9" fillId="4" borderId="8" xfId="0" applyNumberFormat="1" applyFont="1" applyFill="1" applyBorder="1" applyAlignment="1">
      <alignment horizontal="center"/>
    </xf>
    <xf numFmtId="44" fontId="12" fillId="0" borderId="3" xfId="0" applyNumberFormat="1" applyFont="1" applyBorder="1"/>
    <xf numFmtId="44" fontId="12" fillId="0" borderId="2" xfId="0" applyNumberFormat="1" applyFont="1" applyBorder="1"/>
    <xf numFmtId="44" fontId="12" fillId="0" borderId="1" xfId="0" applyNumberFormat="1" applyFont="1" applyBorder="1"/>
    <xf numFmtId="44" fontId="12" fillId="0" borderId="0" xfId="0" applyNumberFormat="1" applyFont="1"/>
    <xf numFmtId="0" fontId="28" fillId="0" borderId="0" xfId="0" applyFont="1" applyAlignment="1">
      <alignment horizontal="right" wrapText="1"/>
    </xf>
    <xf numFmtId="2" fontId="0" fillId="0" borderId="2" xfId="3" applyNumberFormat="1" applyFont="1" applyBorder="1"/>
    <xf numFmtId="169" fontId="16" fillId="3" borderId="3" xfId="1" applyNumberFormat="1" applyFont="1" applyFill="1" applyBorder="1"/>
    <xf numFmtId="0" fontId="6" fillId="6" borderId="2" xfId="0" applyFont="1" applyFill="1" applyBorder="1" applyAlignment="1">
      <alignment horizontal="left" wrapText="1"/>
    </xf>
    <xf numFmtId="0" fontId="28" fillId="6" borderId="2" xfId="0" applyFont="1" applyFill="1" applyBorder="1" applyAlignment="1">
      <alignment horizontal="right" wrapText="1"/>
    </xf>
    <xf numFmtId="2" fontId="6" fillId="6" borderId="2" xfId="0" applyNumberFormat="1" applyFont="1" applyFill="1" applyBorder="1" applyAlignment="1">
      <alignment horizontal="right" wrapText="1"/>
    </xf>
    <xf numFmtId="0" fontId="0" fillId="6" borderId="2" xfId="0" applyFill="1" applyBorder="1"/>
    <xf numFmtId="44" fontId="30" fillId="0" borderId="2" xfId="0" applyNumberFormat="1" applyFont="1" applyBorder="1"/>
    <xf numFmtId="0" fontId="6" fillId="4" borderId="0" xfId="0" applyFont="1" applyFill="1" applyAlignment="1">
      <alignment horizontal="left" wrapText="1"/>
    </xf>
    <xf numFmtId="44" fontId="12" fillId="4" borderId="0" xfId="0" applyNumberFormat="1" applyFont="1" applyFill="1"/>
    <xf numFmtId="0" fontId="32" fillId="4" borderId="0" xfId="0" applyFont="1" applyFill="1" applyAlignment="1">
      <alignment horizontal="right" vertical="center"/>
    </xf>
    <xf numFmtId="170" fontId="33" fillId="4" borderId="0" xfId="0" applyNumberFormat="1" applyFont="1" applyFill="1" applyAlignment="1">
      <alignment horizontal="center" vertical="center"/>
    </xf>
    <xf numFmtId="0" fontId="34" fillId="4" borderId="0" xfId="0" applyFont="1" applyFill="1" applyAlignment="1">
      <alignment vertical="center"/>
    </xf>
    <xf numFmtId="171" fontId="33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72" fontId="18" fillId="2" borderId="2" xfId="2" applyNumberFormat="1" applyFont="1" applyFill="1" applyBorder="1" applyAlignment="1">
      <alignment horizontal="right"/>
    </xf>
    <xf numFmtId="172" fontId="0" fillId="0" borderId="0" xfId="2" applyNumberFormat="1" applyFont="1" applyBorder="1" applyAlignment="1">
      <alignment horizontal="right"/>
    </xf>
    <xf numFmtId="173" fontId="0" fillId="0" borderId="0" xfId="0" applyNumberFormat="1"/>
    <xf numFmtId="172" fontId="34" fillId="0" borderId="0" xfId="2" applyNumberFormat="1" applyFont="1"/>
    <xf numFmtId="0" fontId="12" fillId="2" borderId="2" xfId="0" applyFont="1" applyFill="1" applyBorder="1" applyAlignment="1">
      <alignment horizontal="right"/>
    </xf>
    <xf numFmtId="172" fontId="12" fillId="2" borderId="2" xfId="2" applyNumberFormat="1" applyFont="1" applyFill="1" applyBorder="1" applyAlignment="1"/>
    <xf numFmtId="172" fontId="0" fillId="0" borderId="0" xfId="2" applyNumberFormat="1" applyFont="1" applyAlignment="1"/>
    <xf numFmtId="0" fontId="36" fillId="0" borderId="0" xfId="0" applyFont="1" applyAlignment="1">
      <alignment horizontal="right"/>
    </xf>
    <xf numFmtId="168" fontId="36" fillId="0" borderId="0" xfId="0" applyNumberFormat="1" applyFont="1"/>
    <xf numFmtId="0" fontId="9" fillId="4" borderId="4" xfId="0" applyFont="1" applyFill="1" applyBorder="1" applyAlignment="1">
      <alignment horizontal="right"/>
    </xf>
    <xf numFmtId="44" fontId="9" fillId="4" borderId="4" xfId="2" applyFont="1" applyFill="1" applyBorder="1" applyAlignment="1">
      <alignment horizontal="right"/>
    </xf>
    <xf numFmtId="0" fontId="9" fillId="4" borderId="9" xfId="0" applyFont="1" applyFill="1" applyBorder="1" applyAlignment="1">
      <alignment horizontal="right"/>
    </xf>
    <xf numFmtId="44" fontId="9" fillId="4" borderId="9" xfId="0" applyNumberFormat="1" applyFont="1" applyFill="1" applyBorder="1" applyAlignment="1">
      <alignment horizontal="right"/>
    </xf>
    <xf numFmtId="172" fontId="33" fillId="10" borderId="2" xfId="2" applyNumberFormat="1" applyFont="1" applyFill="1" applyBorder="1" applyAlignment="1">
      <alignment horizontal="right"/>
    </xf>
    <xf numFmtId="172" fontId="33" fillId="10" borderId="2" xfId="2" applyNumberFormat="1" applyFont="1" applyFill="1" applyBorder="1"/>
    <xf numFmtId="0" fontId="35" fillId="10" borderId="0" xfId="0" applyFont="1" applyFill="1" applyAlignment="1">
      <alignment horizontal="right"/>
    </xf>
    <xf numFmtId="168" fontId="35" fillId="10" borderId="0" xfId="0" applyNumberFormat="1" applyFont="1" applyFill="1" applyAlignment="1">
      <alignment horizontal="right"/>
    </xf>
    <xf numFmtId="14" fontId="11" fillId="0" borderId="0" xfId="0" applyNumberFormat="1" applyFon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167" fontId="0" fillId="0" borderId="0" xfId="1" applyNumberFormat="1" applyFont="1" applyBorder="1"/>
    <xf numFmtId="172" fontId="18" fillId="2" borderId="2" xfId="2" applyNumberFormat="1" applyFont="1" applyFill="1" applyBorder="1"/>
    <xf numFmtId="172" fontId="12" fillId="2" borderId="2" xfId="2" applyNumberFormat="1" applyFont="1" applyFill="1" applyBorder="1"/>
    <xf numFmtId="0" fontId="34" fillId="0" borderId="7" xfId="0" applyFont="1" applyBorder="1"/>
    <xf numFmtId="0" fontId="34" fillId="0" borderId="8" xfId="0" applyFont="1" applyBorder="1"/>
    <xf numFmtId="0" fontId="34" fillId="0" borderId="0" xfId="0" applyFon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43" fontId="18" fillId="2" borderId="0" xfId="0" applyNumberFormat="1" applyFont="1" applyFill="1" applyAlignment="1">
      <alignment horizontal="center" vertical="center"/>
    </xf>
    <xf numFmtId="169" fontId="20" fillId="3" borderId="0" xfId="1" applyNumberFormat="1" applyFont="1" applyFill="1" applyBorder="1" applyAlignment="1">
      <alignment horizontal="center" vertical="center"/>
    </xf>
    <xf numFmtId="43" fontId="0" fillId="0" borderId="0" xfId="1" applyFont="1"/>
    <xf numFmtId="43" fontId="6" fillId="0" borderId="0" xfId="1" applyFont="1" applyAlignment="1">
      <alignment horizontal="left" wrapText="1"/>
    </xf>
    <xf numFmtId="43" fontId="0" fillId="0" borderId="0" xfId="1" applyFont="1" applyBorder="1"/>
    <xf numFmtId="0" fontId="0" fillId="0" borderId="12" xfId="0" applyBorder="1"/>
    <xf numFmtId="0" fontId="4" fillId="0" borderId="0" xfId="6"/>
    <xf numFmtId="0" fontId="10" fillId="0" borderId="0" xfId="6" applyFont="1"/>
    <xf numFmtId="16" fontId="4" fillId="5" borderId="0" xfId="6" applyNumberFormat="1" applyFill="1"/>
    <xf numFmtId="0" fontId="4" fillId="5" borderId="0" xfId="6" applyFill="1"/>
    <xf numFmtId="0" fontId="4" fillId="11" borderId="0" xfId="6" applyFill="1"/>
    <xf numFmtId="16" fontId="4" fillId="11" borderId="0" xfId="6" applyNumberFormat="1" applyFill="1"/>
    <xf numFmtId="0" fontId="4" fillId="12" borderId="0" xfId="6" applyFill="1"/>
    <xf numFmtId="16" fontId="4" fillId="12" borderId="0" xfId="6" applyNumberFormat="1" applyFill="1"/>
    <xf numFmtId="16" fontId="4" fillId="0" borderId="0" xfId="6" applyNumberFormat="1"/>
    <xf numFmtId="0" fontId="27" fillId="0" borderId="0" xfId="6" applyFont="1"/>
    <xf numFmtId="0" fontId="4" fillId="8" borderId="0" xfId="6" applyFill="1"/>
    <xf numFmtId="0" fontId="4" fillId="9" borderId="0" xfId="6" applyFill="1"/>
    <xf numFmtId="43" fontId="0" fillId="0" borderId="0" xfId="1" applyFont="1" applyAlignment="1">
      <alignment horizontal="right" vertical="center"/>
    </xf>
    <xf numFmtId="9" fontId="38" fillId="0" borderId="0" xfId="3" applyFont="1" applyBorder="1"/>
    <xf numFmtId="174" fontId="0" fillId="0" borderId="0" xfId="3" applyNumberFormat="1" applyFont="1"/>
    <xf numFmtId="43" fontId="0" fillId="0" borderId="0" xfId="1" applyFon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44" fontId="0" fillId="0" borderId="1" xfId="0" applyNumberFormat="1" applyBorder="1"/>
    <xf numFmtId="0" fontId="3" fillId="0" borderId="0" xfId="7"/>
    <xf numFmtId="0" fontId="10" fillId="0" borderId="0" xfId="7" applyFont="1"/>
    <xf numFmtId="0" fontId="3" fillId="2" borderId="0" xfId="7" applyFill="1"/>
    <xf numFmtId="0" fontId="10" fillId="2" borderId="0" xfId="7" applyFont="1" applyFill="1"/>
    <xf numFmtId="16" fontId="3" fillId="2" borderId="0" xfId="7" applyNumberFormat="1" applyFill="1"/>
    <xf numFmtId="169" fontId="16" fillId="3" borderId="14" xfId="1" applyNumberFormat="1" applyFont="1" applyFill="1" applyBorder="1"/>
    <xf numFmtId="0" fontId="24" fillId="2" borderId="15" xfId="0" applyFont="1" applyFill="1" applyBorder="1"/>
    <xf numFmtId="43" fontId="18" fillId="2" borderId="2" xfId="0" applyNumberFormat="1" applyFont="1" applyFill="1" applyBorder="1" applyAlignment="1">
      <alignment vertical="center"/>
    </xf>
    <xf numFmtId="167" fontId="20" fillId="0" borderId="2" xfId="1" applyNumberFormat="1" applyFont="1" applyFill="1" applyBorder="1"/>
    <xf numFmtId="167" fontId="21" fillId="3" borderId="2" xfId="1" applyNumberFormat="1" applyFont="1" applyFill="1" applyBorder="1"/>
    <xf numFmtId="167" fontId="19" fillId="2" borderId="2" xfId="1" applyNumberFormat="1" applyFont="1" applyFill="1" applyBorder="1" applyAlignment="1"/>
    <xf numFmtId="167" fontId="19" fillId="2" borderId="16" xfId="1" applyNumberFormat="1" applyFont="1" applyFill="1" applyBorder="1" applyAlignment="1"/>
    <xf numFmtId="170" fontId="33" fillId="4" borderId="12" xfId="0" applyNumberFormat="1" applyFont="1" applyFill="1" applyBorder="1" applyAlignment="1">
      <alignment horizontal="center" vertical="center"/>
    </xf>
    <xf numFmtId="14" fontId="11" fillId="0" borderId="12" xfId="0" applyNumberFormat="1" applyFont="1" applyBorder="1"/>
    <xf numFmtId="167" fontId="0" fillId="0" borderId="12" xfId="0" applyNumberFormat="1" applyBorder="1" applyAlignment="1">
      <alignment horizontal="right" vertical="center"/>
    </xf>
    <xf numFmtId="172" fontId="18" fillId="2" borderId="13" xfId="2" applyNumberFormat="1" applyFont="1" applyFill="1" applyBorder="1" applyAlignment="1">
      <alignment horizontal="right"/>
    </xf>
    <xf numFmtId="173" fontId="0" fillId="0" borderId="12" xfId="0" applyNumberFormat="1" applyBorder="1"/>
    <xf numFmtId="172" fontId="33" fillId="10" borderId="13" xfId="2" applyNumberFormat="1" applyFont="1" applyFill="1" applyBorder="1"/>
    <xf numFmtId="168" fontId="35" fillId="10" borderId="12" xfId="0" applyNumberFormat="1" applyFont="1" applyFill="1" applyBorder="1" applyAlignment="1">
      <alignment horizontal="right"/>
    </xf>
    <xf numFmtId="172" fontId="12" fillId="2" borderId="13" xfId="2" applyNumberFormat="1" applyFont="1" applyFill="1" applyBorder="1" applyAlignment="1"/>
    <xf numFmtId="168" fontId="36" fillId="0" borderId="12" xfId="0" applyNumberFormat="1" applyFont="1" applyBorder="1"/>
    <xf numFmtId="43" fontId="0" fillId="0" borderId="12" xfId="1" applyFont="1" applyBorder="1" applyAlignment="1">
      <alignment horizontal="right" vertical="center"/>
    </xf>
    <xf numFmtId="44" fontId="9" fillId="4" borderId="17" xfId="2" applyFont="1" applyFill="1" applyBorder="1" applyAlignment="1">
      <alignment horizontal="right"/>
    </xf>
    <xf numFmtId="44" fontId="9" fillId="4" borderId="18" xfId="0" applyNumberFormat="1" applyFont="1" applyFill="1" applyBorder="1" applyAlignment="1">
      <alignment horizontal="right"/>
    </xf>
    <xf numFmtId="43" fontId="7" fillId="0" borderId="0" xfId="1" applyFont="1" applyBorder="1" applyAlignment="1">
      <alignment horizontal="right" wrapText="1"/>
    </xf>
    <xf numFmtId="44" fontId="9" fillId="4" borderId="5" xfId="2" applyFont="1" applyFill="1" applyBorder="1" applyAlignment="1">
      <alignment horizontal="right"/>
    </xf>
    <xf numFmtId="44" fontId="9" fillId="4" borderId="10" xfId="0" applyNumberFormat="1" applyFont="1" applyFill="1" applyBorder="1" applyAlignment="1">
      <alignment horizontal="right"/>
    </xf>
    <xf numFmtId="14" fontId="9" fillId="4" borderId="10" xfId="0" applyNumberFormat="1" applyFont="1" applyFill="1" applyBorder="1" applyAlignment="1">
      <alignment horizontal="center"/>
    </xf>
    <xf numFmtId="43" fontId="0" fillId="0" borderId="0" xfId="0" applyNumberFormat="1"/>
    <xf numFmtId="0" fontId="11" fillId="4" borderId="0" xfId="0" applyFont="1" applyFill="1" applyAlignment="1">
      <alignment horizontal="center"/>
    </xf>
    <xf numFmtId="43" fontId="12" fillId="0" borderId="0" xfId="1" applyFont="1" applyBorder="1" applyAlignment="1">
      <alignment horizontal="right" vertical="center"/>
    </xf>
    <xf numFmtId="0" fontId="0" fillId="0" borderId="26" xfId="0" applyBorder="1"/>
    <xf numFmtId="174" fontId="19" fillId="0" borderId="0" xfId="3" applyNumberFormat="1" applyFont="1" applyFill="1" applyBorder="1"/>
    <xf numFmtId="10" fontId="19" fillId="0" borderId="0" xfId="3" applyNumberFormat="1" applyFont="1" applyFill="1" applyBorder="1"/>
    <xf numFmtId="169" fontId="16" fillId="3" borderId="2" xfId="1" applyNumberFormat="1" applyFont="1" applyFill="1" applyBorder="1"/>
    <xf numFmtId="169" fontId="16" fillId="3" borderId="16" xfId="1" applyNumberFormat="1" applyFont="1" applyFill="1" applyBorder="1"/>
    <xf numFmtId="2" fontId="0" fillId="0" borderId="0" xfId="3" applyNumberFormat="1" applyFont="1"/>
    <xf numFmtId="175" fontId="0" fillId="0" borderId="0" xfId="0" applyNumberFormat="1"/>
    <xf numFmtId="1" fontId="19" fillId="0" borderId="0" xfId="2" applyNumberFormat="1" applyFont="1" applyFill="1" applyBorder="1"/>
    <xf numFmtId="1" fontId="19" fillId="2" borderId="0" xfId="2" applyNumberFormat="1" applyFont="1" applyFill="1" applyBorder="1"/>
    <xf numFmtId="1" fontId="19" fillId="2" borderId="8" xfId="2" applyNumberFormat="1" applyFont="1" applyFill="1" applyBorder="1"/>
    <xf numFmtId="174" fontId="19" fillId="2" borderId="0" xfId="3" applyNumberFormat="1" applyFont="1" applyFill="1" applyBorder="1"/>
    <xf numFmtId="174" fontId="19" fillId="2" borderId="8" xfId="3" applyNumberFormat="1" applyFont="1" applyFill="1" applyBorder="1"/>
    <xf numFmtId="176" fontId="19" fillId="0" borderId="0" xfId="3" applyNumberFormat="1" applyFont="1" applyFill="1" applyBorder="1"/>
    <xf numFmtId="176" fontId="19" fillId="0" borderId="0" xfId="2" applyNumberFormat="1" applyFont="1" applyFill="1" applyBorder="1"/>
    <xf numFmtId="176" fontId="19" fillId="2" borderId="0" xfId="2" applyNumberFormat="1" applyFont="1" applyFill="1" applyBorder="1"/>
    <xf numFmtId="176" fontId="19" fillId="2" borderId="8" xfId="2" applyNumberFormat="1" applyFont="1" applyFill="1" applyBorder="1"/>
    <xf numFmtId="177" fontId="19" fillId="2" borderId="0" xfId="2" applyNumberFormat="1" applyFont="1" applyFill="1" applyBorder="1"/>
    <xf numFmtId="177" fontId="19" fillId="2" borderId="8" xfId="2" applyNumberFormat="1" applyFont="1" applyFill="1" applyBorder="1"/>
    <xf numFmtId="0" fontId="0" fillId="0" borderId="19" xfId="0" applyBorder="1"/>
    <xf numFmtId="43" fontId="0" fillId="0" borderId="19" xfId="1" applyFont="1" applyBorder="1"/>
    <xf numFmtId="170" fontId="33" fillId="4" borderId="28" xfId="0" applyNumberFormat="1" applyFont="1" applyFill="1" applyBorder="1" applyAlignment="1">
      <alignment horizontal="center" vertical="center"/>
    </xf>
    <xf numFmtId="14" fontId="11" fillId="0" borderId="28" xfId="0" applyNumberFormat="1" applyFont="1" applyBorder="1"/>
    <xf numFmtId="167" fontId="0" fillId="0" borderId="28" xfId="0" applyNumberFormat="1" applyBorder="1" applyAlignment="1">
      <alignment horizontal="right" vertical="center"/>
    </xf>
    <xf numFmtId="172" fontId="18" fillId="2" borderId="29" xfId="2" applyNumberFormat="1" applyFont="1" applyFill="1" applyBorder="1" applyAlignment="1">
      <alignment horizontal="right"/>
    </xf>
    <xf numFmtId="173" fontId="0" fillId="0" borderId="28" xfId="0" applyNumberFormat="1" applyBorder="1"/>
    <xf numFmtId="172" fontId="33" fillId="10" borderId="29" xfId="2" applyNumberFormat="1" applyFont="1" applyFill="1" applyBorder="1"/>
    <xf numFmtId="168" fontId="35" fillId="10" borderId="28" xfId="0" applyNumberFormat="1" applyFont="1" applyFill="1" applyBorder="1" applyAlignment="1">
      <alignment horizontal="right"/>
    </xf>
    <xf numFmtId="0" fontId="0" fillId="0" borderId="28" xfId="0" applyBorder="1"/>
    <xf numFmtId="172" fontId="12" fillId="2" borderId="29" xfId="2" applyNumberFormat="1" applyFont="1" applyFill="1" applyBorder="1" applyAlignment="1"/>
    <xf numFmtId="168" fontId="36" fillId="0" borderId="28" xfId="0" applyNumberFormat="1" applyFont="1" applyBorder="1"/>
    <xf numFmtId="43" fontId="0" fillId="0" borderId="28" xfId="1" applyFont="1" applyBorder="1" applyAlignment="1">
      <alignment horizontal="right" vertical="center"/>
    </xf>
    <xf numFmtId="44" fontId="9" fillId="4" borderId="31" xfId="2" applyFont="1" applyFill="1" applyBorder="1" applyAlignment="1">
      <alignment horizontal="right"/>
    </xf>
    <xf numFmtId="44" fontId="9" fillId="4" borderId="30" xfId="0" applyNumberFormat="1" applyFont="1" applyFill="1" applyBorder="1" applyAlignment="1">
      <alignment horizontal="right"/>
    </xf>
    <xf numFmtId="0" fontId="31" fillId="3" borderId="0" xfId="0" applyFont="1" applyFill="1"/>
    <xf numFmtId="2" fontId="0" fillId="0" borderId="0" xfId="3" applyNumberFormat="1" applyFont="1" applyBorder="1"/>
    <xf numFmtId="167" fontId="12" fillId="0" borderId="28" xfId="0" applyNumberFormat="1" applyFont="1" applyBorder="1" applyAlignment="1">
      <alignment horizontal="right" vertical="center"/>
    </xf>
    <xf numFmtId="173" fontId="12" fillId="0" borderId="28" xfId="0" applyNumberFormat="1" applyFont="1" applyBorder="1"/>
    <xf numFmtId="0" fontId="12" fillId="0" borderId="28" xfId="0" applyFont="1" applyBorder="1"/>
    <xf numFmtId="168" fontId="13" fillId="0" borderId="28" xfId="0" applyNumberFormat="1" applyFont="1" applyBorder="1"/>
    <xf numFmtId="43" fontId="12" fillId="0" borderId="28" xfId="1" applyFont="1" applyBorder="1" applyAlignment="1">
      <alignment horizontal="right" vertical="center"/>
    </xf>
    <xf numFmtId="0" fontId="11" fillId="0" borderId="0" xfId="0" applyFont="1"/>
    <xf numFmtId="167" fontId="12" fillId="7" borderId="28" xfId="0" applyNumberFormat="1" applyFont="1" applyFill="1" applyBorder="1" applyAlignment="1">
      <alignment horizontal="right" vertical="center"/>
    </xf>
    <xf numFmtId="172" fontId="18" fillId="7" borderId="29" xfId="2" applyNumberFormat="1" applyFont="1" applyFill="1" applyBorder="1" applyAlignment="1">
      <alignment horizontal="right"/>
    </xf>
    <xf numFmtId="173" fontId="12" fillId="7" borderId="28" xfId="0" applyNumberFormat="1" applyFont="1" applyFill="1" applyBorder="1"/>
    <xf numFmtId="172" fontId="40" fillId="7" borderId="29" xfId="2" applyNumberFormat="1" applyFont="1" applyFill="1" applyBorder="1"/>
    <xf numFmtId="168" fontId="41" fillId="7" borderId="28" xfId="0" applyNumberFormat="1" applyFont="1" applyFill="1" applyBorder="1" applyAlignment="1">
      <alignment horizontal="right"/>
    </xf>
    <xf numFmtId="0" fontId="18" fillId="7" borderId="28" xfId="0" applyFont="1" applyFill="1" applyBorder="1"/>
    <xf numFmtId="167" fontId="18" fillId="7" borderId="28" xfId="0" applyNumberFormat="1" applyFont="1" applyFill="1" applyBorder="1" applyAlignment="1">
      <alignment horizontal="right" vertical="center"/>
    </xf>
    <xf numFmtId="172" fontId="18" fillId="7" borderId="29" xfId="2" applyNumberFormat="1" applyFont="1" applyFill="1" applyBorder="1" applyAlignment="1"/>
    <xf numFmtId="168" fontId="41" fillId="7" borderId="28" xfId="0" applyNumberFormat="1" applyFont="1" applyFill="1" applyBorder="1"/>
    <xf numFmtId="43" fontId="18" fillId="7" borderId="28" xfId="1" applyFont="1" applyFill="1" applyBorder="1" applyAlignment="1">
      <alignment horizontal="right" vertical="center"/>
    </xf>
    <xf numFmtId="168" fontId="16" fillId="7" borderId="28" xfId="0" applyNumberFormat="1" applyFont="1" applyFill="1" applyBorder="1" applyAlignment="1">
      <alignment horizontal="right"/>
    </xf>
    <xf numFmtId="0" fontId="22" fillId="0" borderId="28" xfId="0" applyFont="1" applyBorder="1"/>
    <xf numFmtId="44" fontId="9" fillId="4" borderId="32" xfId="2" applyFont="1" applyFill="1" applyBorder="1" applyAlignment="1">
      <alignment horizontal="right"/>
    </xf>
    <xf numFmtId="44" fontId="31" fillId="3" borderId="0" xfId="0" applyNumberFormat="1" applyFont="1" applyFill="1"/>
    <xf numFmtId="167" fontId="18" fillId="2" borderId="0" xfId="1" applyNumberFormat="1" applyFont="1" applyFill="1" applyBorder="1" applyAlignment="1">
      <alignment horizontal="right"/>
    </xf>
    <xf numFmtId="172" fontId="0" fillId="0" borderId="0" xfId="0" applyNumberFormat="1"/>
    <xf numFmtId="1" fontId="0" fillId="2" borderId="34" xfId="0" applyNumberFormat="1" applyFill="1" applyBorder="1"/>
    <xf numFmtId="1" fontId="0" fillId="2" borderId="33" xfId="0" applyNumberFormat="1" applyFill="1" applyBorder="1"/>
    <xf numFmtId="2" fontId="0" fillId="2" borderId="33" xfId="0" applyNumberFormat="1" applyFill="1" applyBorder="1"/>
    <xf numFmtId="0" fontId="0" fillId="2" borderId="33" xfId="0" applyFill="1" applyBorder="1"/>
    <xf numFmtId="44" fontId="0" fillId="2" borderId="33" xfId="2" applyFont="1" applyFill="1" applyBorder="1" applyAlignment="1"/>
    <xf numFmtId="10" fontId="0" fillId="2" borderId="35" xfId="3" applyNumberFormat="1" applyFont="1" applyFill="1" applyBorder="1" applyAlignment="1"/>
    <xf numFmtId="44" fontId="0" fillId="0" borderId="33" xfId="2" applyFont="1" applyBorder="1" applyAlignment="1"/>
    <xf numFmtId="44" fontId="0" fillId="0" borderId="0" xfId="2" applyFont="1" applyBorder="1" applyAlignment="1"/>
    <xf numFmtId="44" fontId="0" fillId="0" borderId="37" xfId="0" applyNumberFormat="1" applyBorder="1"/>
    <xf numFmtId="44" fontId="0" fillId="0" borderId="33" xfId="0" applyNumberFormat="1" applyBorder="1"/>
    <xf numFmtId="44" fontId="0" fillId="0" borderId="38" xfId="0" applyNumberFormat="1" applyBorder="1"/>
    <xf numFmtId="0" fontId="32" fillId="4" borderId="39" xfId="0" applyFont="1" applyFill="1" applyBorder="1" applyAlignment="1">
      <alignment horizontal="right" vertical="center"/>
    </xf>
    <xf numFmtId="170" fontId="33" fillId="4" borderId="2" xfId="0" applyNumberFormat="1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vertical="center"/>
    </xf>
    <xf numFmtId="171" fontId="33" fillId="4" borderId="16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right"/>
    </xf>
    <xf numFmtId="0" fontId="0" fillId="0" borderId="40" xfId="0" applyBorder="1" applyAlignment="1">
      <alignment horizontal="right" vertical="center"/>
    </xf>
    <xf numFmtId="167" fontId="0" fillId="0" borderId="19" xfId="0" applyNumberFormat="1" applyBorder="1" applyAlignment="1">
      <alignment horizontal="right" vertical="center"/>
    </xf>
    <xf numFmtId="172" fontId="18" fillId="2" borderId="39" xfId="2" applyNumberFormat="1" applyFont="1" applyFill="1" applyBorder="1" applyAlignment="1">
      <alignment horizontal="right"/>
    </xf>
    <xf numFmtId="172" fontId="18" fillId="2" borderId="16" xfId="2" applyNumberFormat="1" applyFont="1" applyFill="1" applyBorder="1" applyAlignment="1">
      <alignment horizontal="right"/>
    </xf>
    <xf numFmtId="172" fontId="18" fillId="2" borderId="40" xfId="2" applyNumberFormat="1" applyFont="1" applyFill="1" applyBorder="1" applyAlignment="1">
      <alignment horizontal="right"/>
    </xf>
    <xf numFmtId="173" fontId="0" fillId="0" borderId="19" xfId="0" applyNumberFormat="1" applyBorder="1"/>
    <xf numFmtId="172" fontId="33" fillId="10" borderId="39" xfId="2" applyNumberFormat="1" applyFont="1" applyFill="1" applyBorder="1" applyAlignment="1">
      <alignment horizontal="right"/>
    </xf>
    <xf numFmtId="172" fontId="34" fillId="0" borderId="0" xfId="2" applyNumberFormat="1" applyFont="1" applyBorder="1"/>
    <xf numFmtId="172" fontId="33" fillId="10" borderId="16" xfId="2" applyNumberFormat="1" applyFont="1" applyFill="1" applyBorder="1"/>
    <xf numFmtId="0" fontId="35" fillId="10" borderId="40" xfId="0" applyFont="1" applyFill="1" applyBorder="1" applyAlignment="1">
      <alignment horizontal="right"/>
    </xf>
    <xf numFmtId="168" fontId="35" fillId="10" borderId="19" xfId="0" applyNumberFormat="1" applyFont="1" applyFill="1" applyBorder="1" applyAlignment="1">
      <alignment horizontal="right"/>
    </xf>
    <xf numFmtId="0" fontId="12" fillId="2" borderId="39" xfId="0" applyFont="1" applyFill="1" applyBorder="1" applyAlignment="1">
      <alignment horizontal="right"/>
    </xf>
    <xf numFmtId="172" fontId="0" fillId="0" borderId="0" xfId="2" applyNumberFormat="1" applyFont="1" applyBorder="1" applyAlignment="1"/>
    <xf numFmtId="172" fontId="12" fillId="2" borderId="16" xfId="2" applyNumberFormat="1" applyFont="1" applyFill="1" applyBorder="1" applyAlignment="1"/>
    <xf numFmtId="0" fontId="36" fillId="0" borderId="40" xfId="0" applyFont="1" applyBorder="1" applyAlignment="1">
      <alignment horizontal="right"/>
    </xf>
    <xf numFmtId="168" fontId="36" fillId="0" borderId="19" xfId="0" applyNumberFormat="1" applyFont="1" applyBorder="1"/>
    <xf numFmtId="0" fontId="9" fillId="4" borderId="41" xfId="0" applyFont="1" applyFill="1" applyBorder="1" applyAlignment="1">
      <alignment horizontal="right"/>
    </xf>
    <xf numFmtId="0" fontId="9" fillId="4" borderId="42" xfId="0" applyFont="1" applyFill="1" applyBorder="1" applyAlignment="1">
      <alignment horizontal="right"/>
    </xf>
    <xf numFmtId="44" fontId="9" fillId="4" borderId="1" xfId="0" applyNumberFormat="1" applyFont="1" applyFill="1" applyBorder="1" applyAlignment="1">
      <alignment horizontal="right"/>
    </xf>
    <xf numFmtId="44" fontId="9" fillId="4" borderId="43" xfId="0" applyNumberFormat="1" applyFont="1" applyFill="1" applyBorder="1" applyAlignment="1">
      <alignment horizontal="right"/>
    </xf>
    <xf numFmtId="0" fontId="0" fillId="0" borderId="1" xfId="0" applyBorder="1"/>
    <xf numFmtId="0" fontId="0" fillId="0" borderId="44" xfId="0" applyBorder="1"/>
    <xf numFmtId="0" fontId="43" fillId="4" borderId="20" xfId="0" applyFont="1" applyFill="1" applyBorder="1" applyAlignment="1">
      <alignment horizontal="center"/>
    </xf>
    <xf numFmtId="0" fontId="44" fillId="0" borderId="0" xfId="0" applyFont="1"/>
    <xf numFmtId="0" fontId="47" fillId="2" borderId="21" xfId="0" applyFont="1" applyFill="1" applyBorder="1" applyAlignment="1">
      <alignment vertical="center"/>
    </xf>
    <xf numFmtId="0" fontId="50" fillId="2" borderId="23" xfId="0" applyFont="1" applyFill="1" applyBorder="1"/>
    <xf numFmtId="0" fontId="46" fillId="0" borderId="0" xfId="0" applyFont="1" applyAlignment="1">
      <alignment horizontal="center" wrapText="1"/>
    </xf>
    <xf numFmtId="172" fontId="18" fillId="2" borderId="0" xfId="2" applyNumberFormat="1" applyFont="1" applyFill="1" applyBorder="1" applyAlignment="1">
      <alignment horizontal="right"/>
    </xf>
    <xf numFmtId="0" fontId="43" fillId="4" borderId="45" xfId="0" applyFont="1" applyFill="1" applyBorder="1" applyAlignment="1">
      <alignment horizontal="center"/>
    </xf>
    <xf numFmtId="0" fontId="45" fillId="4" borderId="21" xfId="0" applyFont="1" applyFill="1" applyBorder="1" applyAlignment="1">
      <alignment vertical="center" wrapText="1"/>
    </xf>
    <xf numFmtId="0" fontId="43" fillId="4" borderId="46" xfId="0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14" fontId="43" fillId="4" borderId="12" xfId="0" applyNumberFormat="1" applyFont="1" applyFill="1" applyBorder="1" applyAlignment="1">
      <alignment horizontal="center"/>
    </xf>
    <xf numFmtId="44" fontId="0" fillId="0" borderId="34" xfId="0" applyNumberFormat="1" applyBorder="1"/>
    <xf numFmtId="44" fontId="0" fillId="2" borderId="37" xfId="0" applyNumberFormat="1" applyFill="1" applyBorder="1"/>
    <xf numFmtId="174" fontId="0" fillId="2" borderId="34" xfId="3" applyNumberFormat="1" applyFont="1" applyFill="1" applyBorder="1"/>
    <xf numFmtId="170" fontId="33" fillId="4" borderId="29" xfId="0" applyNumberFormat="1" applyFont="1" applyFill="1" applyBorder="1" applyAlignment="1">
      <alignment horizontal="center" vertical="center"/>
    </xf>
    <xf numFmtId="44" fontId="9" fillId="4" borderId="62" xfId="0" applyNumberFormat="1" applyFont="1" applyFill="1" applyBorder="1" applyAlignment="1">
      <alignment horizontal="right"/>
    </xf>
    <xf numFmtId="172" fontId="35" fillId="10" borderId="0" xfId="2" applyNumberFormat="1" applyFont="1" applyFill="1" applyBorder="1" applyAlignment="1">
      <alignment horizontal="right"/>
    </xf>
    <xf numFmtId="172" fontId="35" fillId="10" borderId="19" xfId="2" applyNumberFormat="1" applyFont="1" applyFill="1" applyBorder="1" applyAlignment="1">
      <alignment horizontal="right"/>
    </xf>
    <xf numFmtId="167" fontId="12" fillId="0" borderId="0" xfId="0" applyNumberFormat="1" applyFont="1" applyAlignment="1">
      <alignment horizontal="right" vertical="center"/>
    </xf>
    <xf numFmtId="173" fontId="12" fillId="0" borderId="0" xfId="0" applyNumberFormat="1" applyFont="1"/>
    <xf numFmtId="0" fontId="12" fillId="0" borderId="0" xfId="0" applyFont="1"/>
    <xf numFmtId="168" fontId="13" fillId="0" borderId="0" xfId="0" applyNumberFormat="1" applyFont="1"/>
    <xf numFmtId="44" fontId="9" fillId="4" borderId="63" xfId="0" applyNumberFormat="1" applyFont="1" applyFill="1" applyBorder="1" applyAlignment="1">
      <alignment horizontal="right"/>
    </xf>
    <xf numFmtId="14" fontId="43" fillId="4" borderId="20" xfId="0" applyNumberFormat="1" applyFont="1" applyFill="1" applyBorder="1" applyAlignment="1">
      <alignment horizontal="center"/>
    </xf>
    <xf numFmtId="14" fontId="43" fillId="4" borderId="65" xfId="0" applyNumberFormat="1" applyFont="1" applyFill="1" applyBorder="1" applyAlignment="1">
      <alignment horizontal="center"/>
    </xf>
    <xf numFmtId="14" fontId="43" fillId="4" borderId="64" xfId="0" applyNumberFormat="1" applyFont="1" applyFill="1" applyBorder="1" applyAlignment="1">
      <alignment horizontal="center"/>
    </xf>
    <xf numFmtId="43" fontId="20" fillId="3" borderId="0" xfId="1" applyFont="1" applyFill="1" applyBorder="1"/>
    <xf numFmtId="1" fontId="0" fillId="2" borderId="12" xfId="0" applyNumberFormat="1" applyFill="1" applyBorder="1"/>
    <xf numFmtId="2" fontId="0" fillId="2" borderId="12" xfId="0" applyNumberFormat="1" applyFill="1" applyBorder="1"/>
    <xf numFmtId="0" fontId="0" fillId="2" borderId="12" xfId="0" applyFill="1" applyBorder="1"/>
    <xf numFmtId="44" fontId="0" fillId="2" borderId="12" xfId="2" applyFont="1" applyFill="1" applyBorder="1" applyAlignment="1"/>
    <xf numFmtId="10" fontId="0" fillId="2" borderId="66" xfId="3" applyNumberFormat="1" applyFont="1" applyFill="1" applyBorder="1" applyAlignment="1"/>
    <xf numFmtId="44" fontId="0" fillId="0" borderId="12" xfId="2" applyFont="1" applyBorder="1" applyAlignment="1"/>
    <xf numFmtId="44" fontId="0" fillId="0" borderId="68" xfId="0" applyNumberFormat="1" applyBorder="1"/>
    <xf numFmtId="44" fontId="0" fillId="0" borderId="12" xfId="0" applyNumberFormat="1" applyBorder="1"/>
    <xf numFmtId="44" fontId="0" fillId="0" borderId="13" xfId="0" applyNumberFormat="1" applyBorder="1"/>
    <xf numFmtId="44" fontId="0" fillId="2" borderId="68" xfId="0" applyNumberFormat="1" applyFill="1" applyBorder="1"/>
    <xf numFmtId="0" fontId="45" fillId="4" borderId="0" xfId="0" applyFont="1" applyFill="1" applyAlignment="1">
      <alignment vertical="center" wrapText="1"/>
    </xf>
    <xf numFmtId="0" fontId="0" fillId="4" borderId="5" xfId="0" applyFill="1" applyBorder="1"/>
    <xf numFmtId="0" fontId="9" fillId="4" borderId="5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0" fontId="9" fillId="4" borderId="76" xfId="0" applyFont="1" applyFill="1" applyBorder="1" applyAlignment="1">
      <alignment horizontal="center"/>
    </xf>
    <xf numFmtId="0" fontId="11" fillId="4" borderId="19" xfId="0" applyFont="1" applyFill="1" applyBorder="1" applyAlignment="1">
      <alignment horizontal="center"/>
    </xf>
    <xf numFmtId="14" fontId="9" fillId="4" borderId="19" xfId="0" applyNumberFormat="1" applyFont="1" applyFill="1" applyBorder="1" applyAlignment="1">
      <alignment horizontal="center"/>
    </xf>
    <xf numFmtId="44" fontId="12" fillId="0" borderId="16" xfId="0" applyNumberFormat="1" applyFont="1" applyBorder="1"/>
    <xf numFmtId="44" fontId="12" fillId="0" borderId="19" xfId="0" applyNumberFormat="1" applyFont="1" applyBorder="1"/>
    <xf numFmtId="44" fontId="12" fillId="0" borderId="14" xfId="0" applyNumberFormat="1" applyFont="1" applyBorder="1"/>
    <xf numFmtId="44" fontId="12" fillId="4" borderId="19" xfId="0" applyNumberFormat="1" applyFont="1" applyFill="1" applyBorder="1"/>
    <xf numFmtId="2" fontId="6" fillId="6" borderId="16" xfId="0" applyNumberFormat="1" applyFont="1" applyFill="1" applyBorder="1" applyAlignment="1">
      <alignment horizontal="right" wrapText="1"/>
    </xf>
    <xf numFmtId="0" fontId="0" fillId="4" borderId="19" xfId="0" applyFill="1" applyBorder="1"/>
    <xf numFmtId="44" fontId="0" fillId="0" borderId="16" xfId="0" applyNumberFormat="1" applyBorder="1"/>
    <xf numFmtId="44" fontId="0" fillId="0" borderId="19" xfId="0" applyNumberFormat="1" applyBorder="1"/>
    <xf numFmtId="44" fontId="0" fillId="0" borderId="44" xfId="0" applyNumberFormat="1" applyBorder="1"/>
    <xf numFmtId="170" fontId="33" fillId="4" borderId="16" xfId="0" applyNumberFormat="1" applyFont="1" applyFill="1" applyBorder="1" applyAlignment="1">
      <alignment horizontal="center" vertical="center"/>
    </xf>
    <xf numFmtId="44" fontId="9" fillId="4" borderId="76" xfId="2" applyFont="1" applyFill="1" applyBorder="1" applyAlignment="1">
      <alignment horizontal="right"/>
    </xf>
    <xf numFmtId="44" fontId="9" fillId="4" borderId="44" xfId="0" applyNumberFormat="1" applyFont="1" applyFill="1" applyBorder="1" applyAlignment="1">
      <alignment horizontal="right"/>
    </xf>
    <xf numFmtId="169" fontId="21" fillId="3" borderId="0" xfId="1" applyNumberFormat="1" applyFont="1" applyFill="1" applyBorder="1"/>
    <xf numFmtId="174" fontId="0" fillId="2" borderId="13" xfId="3" applyNumberFormat="1" applyFont="1" applyFill="1" applyBorder="1"/>
    <xf numFmtId="43" fontId="22" fillId="2" borderId="46" xfId="1" applyFont="1" applyFill="1" applyBorder="1" applyAlignment="1">
      <alignment horizontal="center"/>
    </xf>
    <xf numFmtId="170" fontId="33" fillId="4" borderId="39" xfId="0" applyNumberFormat="1" applyFont="1" applyFill="1" applyBorder="1" applyAlignment="1">
      <alignment horizontal="center" vertical="center"/>
    </xf>
    <xf numFmtId="167" fontId="18" fillId="2" borderId="19" xfId="1" applyNumberFormat="1" applyFont="1" applyFill="1" applyBorder="1" applyAlignment="1">
      <alignment horizontal="right"/>
    </xf>
    <xf numFmtId="1" fontId="31" fillId="3" borderId="0" xfId="0" applyNumberFormat="1" applyFont="1" applyFill="1"/>
    <xf numFmtId="44" fontId="30" fillId="0" borderId="16" xfId="0" applyNumberFormat="1" applyFont="1" applyBorder="1"/>
    <xf numFmtId="167" fontId="19" fillId="2" borderId="19" xfId="1" applyNumberFormat="1" applyFont="1" applyFill="1" applyBorder="1" applyAlignment="1"/>
    <xf numFmtId="167" fontId="22" fillId="2" borderId="19" xfId="1" applyNumberFormat="1" applyFont="1" applyFill="1" applyBorder="1"/>
    <xf numFmtId="43" fontId="22" fillId="2" borderId="19" xfId="1" applyFont="1" applyFill="1" applyBorder="1"/>
    <xf numFmtId="167" fontId="19" fillId="2" borderId="19" xfId="1" applyNumberFormat="1" applyFont="1" applyFill="1" applyBorder="1"/>
    <xf numFmtId="44" fontId="19" fillId="2" borderId="19" xfId="2" applyFont="1" applyFill="1" applyBorder="1"/>
    <xf numFmtId="174" fontId="19" fillId="2" borderId="19" xfId="3" applyNumberFormat="1" applyFont="1" applyFill="1" applyBorder="1"/>
    <xf numFmtId="1" fontId="19" fillId="2" borderId="19" xfId="2" applyNumberFormat="1" applyFont="1" applyFill="1" applyBorder="1"/>
    <xf numFmtId="176" fontId="19" fillId="2" borderId="19" xfId="2" applyNumberFormat="1" applyFont="1" applyFill="1" applyBorder="1"/>
    <xf numFmtId="177" fontId="19" fillId="2" borderId="19" xfId="2" applyNumberFormat="1" applyFont="1" applyFill="1" applyBorder="1"/>
    <xf numFmtId="172" fontId="18" fillId="0" borderId="19" xfId="2" applyNumberFormat="1" applyFont="1" applyFill="1" applyBorder="1" applyAlignment="1">
      <alignment horizontal="right"/>
    </xf>
    <xf numFmtId="167" fontId="18" fillId="2" borderId="0" xfId="1" applyNumberFormat="1" applyFont="1" applyFill="1" applyBorder="1"/>
    <xf numFmtId="0" fontId="32" fillId="4" borderId="4" xfId="0" applyFont="1" applyFill="1" applyBorder="1" applyAlignment="1">
      <alignment horizontal="right" vertical="center"/>
    </xf>
    <xf numFmtId="0" fontId="33" fillId="4" borderId="5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36" fillId="0" borderId="7" xfId="0" applyFont="1" applyBorder="1" applyAlignment="1">
      <alignment horizontal="left"/>
    </xf>
    <xf numFmtId="0" fontId="33" fillId="0" borderId="0" xfId="0" applyFont="1" applyAlignment="1">
      <alignment horizontal="center"/>
    </xf>
    <xf numFmtId="0" fontId="33" fillId="0" borderId="8" xfId="0" applyFont="1" applyBorder="1" applyAlignment="1">
      <alignment horizontal="center"/>
    </xf>
    <xf numFmtId="0" fontId="0" fillId="0" borderId="7" xfId="0" applyBorder="1" applyAlignment="1">
      <alignment horizontal="right" vertical="center"/>
    </xf>
    <xf numFmtId="167" fontId="0" fillId="0" borderId="8" xfId="1" applyNumberFormat="1" applyFont="1" applyBorder="1"/>
    <xf numFmtId="172" fontId="18" fillId="2" borderId="79" xfId="2" applyNumberFormat="1" applyFont="1" applyFill="1" applyBorder="1" applyAlignment="1">
      <alignment horizontal="right"/>
    </xf>
    <xf numFmtId="172" fontId="18" fillId="2" borderId="80" xfId="2" applyNumberFormat="1" applyFont="1" applyFill="1" applyBorder="1"/>
    <xf numFmtId="172" fontId="18" fillId="2" borderId="7" xfId="2" applyNumberFormat="1" applyFont="1" applyFill="1" applyBorder="1" applyAlignment="1">
      <alignment horizontal="right"/>
    </xf>
    <xf numFmtId="167" fontId="18" fillId="2" borderId="8" xfId="1" applyNumberFormat="1" applyFont="1" applyFill="1" applyBorder="1"/>
    <xf numFmtId="0" fontId="37" fillId="0" borderId="7" xfId="0" applyFont="1" applyBorder="1" applyAlignment="1">
      <alignment horizontal="right" vertical="top"/>
    </xf>
    <xf numFmtId="9" fontId="38" fillId="0" borderId="8" xfId="3" applyFont="1" applyBorder="1"/>
    <xf numFmtId="0" fontId="0" fillId="0" borderId="7" xfId="0" applyBorder="1" applyAlignment="1">
      <alignment horizontal="right"/>
    </xf>
    <xf numFmtId="172" fontId="33" fillId="10" borderId="79" xfId="2" applyNumberFormat="1" applyFont="1" applyFill="1" applyBorder="1" applyAlignment="1">
      <alignment horizontal="right"/>
    </xf>
    <xf numFmtId="172" fontId="33" fillId="10" borderId="80" xfId="2" applyNumberFormat="1" applyFont="1" applyFill="1" applyBorder="1"/>
    <xf numFmtId="0" fontId="35" fillId="10" borderId="7" xfId="0" applyFont="1" applyFill="1" applyBorder="1" applyAlignment="1">
      <alignment horizontal="right"/>
    </xf>
    <xf numFmtId="168" fontId="35" fillId="10" borderId="8" xfId="0" applyNumberFormat="1" applyFont="1" applyFill="1" applyBorder="1" applyAlignment="1">
      <alignment horizontal="right"/>
    </xf>
    <xf numFmtId="173" fontId="0" fillId="0" borderId="8" xfId="0" applyNumberFormat="1" applyBorder="1"/>
    <xf numFmtId="172" fontId="12" fillId="2" borderId="79" xfId="2" applyNumberFormat="1" applyFont="1" applyFill="1" applyBorder="1" applyAlignment="1">
      <alignment horizontal="right"/>
    </xf>
    <xf numFmtId="172" fontId="12" fillId="2" borderId="80" xfId="2" applyNumberFormat="1" applyFont="1" applyFill="1" applyBorder="1"/>
    <xf numFmtId="0" fontId="36" fillId="0" borderId="7" xfId="0" applyFont="1" applyBorder="1" applyAlignment="1">
      <alignment horizontal="right"/>
    </xf>
    <xf numFmtId="168" fontId="36" fillId="0" borderId="8" xfId="0" applyNumberFormat="1" applyFont="1" applyBorder="1"/>
    <xf numFmtId="0" fontId="35" fillId="10" borderId="9" xfId="0" applyFont="1" applyFill="1" applyBorder="1" applyAlignment="1">
      <alignment horizontal="right"/>
    </xf>
    <xf numFmtId="168" fontId="35" fillId="10" borderId="10" xfId="0" applyNumberFormat="1" applyFont="1" applyFill="1" applyBorder="1" applyAlignment="1">
      <alignment horizontal="right"/>
    </xf>
    <xf numFmtId="168" fontId="35" fillId="10" borderId="11" xfId="0" applyNumberFormat="1" applyFont="1" applyFill="1" applyBorder="1" applyAlignment="1">
      <alignment horizontal="right"/>
    </xf>
    <xf numFmtId="43" fontId="29" fillId="3" borderId="0" xfId="1" applyFont="1" applyFill="1" applyAlignment="1">
      <alignment horizontal="right" wrapText="1"/>
    </xf>
    <xf numFmtId="0" fontId="0" fillId="7" borderId="3" xfId="0" applyFill="1" applyBorder="1"/>
    <xf numFmtId="0" fontId="6" fillId="7" borderId="3" xfId="0" applyFont="1" applyFill="1" applyBorder="1" applyAlignment="1">
      <alignment horizontal="left" wrapText="1"/>
    </xf>
    <xf numFmtId="44" fontId="12" fillId="7" borderId="3" xfId="0" applyNumberFormat="1" applyFont="1" applyFill="1" applyBorder="1"/>
    <xf numFmtId="10" fontId="12" fillId="7" borderId="3" xfId="3" applyNumberFormat="1" applyFont="1" applyFill="1" applyBorder="1"/>
    <xf numFmtId="10" fontId="12" fillId="7" borderId="14" xfId="3" applyNumberFormat="1" applyFont="1" applyFill="1" applyBorder="1"/>
    <xf numFmtId="44" fontId="54" fillId="0" borderId="0" xfId="2" applyFont="1" applyFill="1" applyBorder="1"/>
    <xf numFmtId="174" fontId="54" fillId="0" borderId="0" xfId="3" applyNumberFormat="1" applyFont="1" applyFill="1" applyBorder="1"/>
    <xf numFmtId="174" fontId="30" fillId="0" borderId="0" xfId="3" applyNumberFormat="1" applyFont="1" applyFill="1" applyBorder="1"/>
    <xf numFmtId="174" fontId="30" fillId="2" borderId="0" xfId="3" applyNumberFormat="1" applyFont="1" applyFill="1" applyBorder="1"/>
    <xf numFmtId="174" fontId="30" fillId="2" borderId="19" xfId="3" applyNumberFormat="1" applyFont="1" applyFill="1" applyBorder="1"/>
    <xf numFmtId="174" fontId="30" fillId="2" borderId="8" xfId="3" applyNumberFormat="1" applyFont="1" applyFill="1" applyBorder="1"/>
    <xf numFmtId="168" fontId="19" fillId="0" borderId="0" xfId="2" applyNumberFormat="1" applyFont="1" applyFill="1" applyBorder="1"/>
    <xf numFmtId="0" fontId="9" fillId="0" borderId="0" xfId="0" applyFont="1" applyAlignment="1">
      <alignment horizontal="right"/>
    </xf>
    <xf numFmtId="44" fontId="0" fillId="0" borderId="0" xfId="2" applyFont="1"/>
    <xf numFmtId="167" fontId="0" fillId="0" borderId="0" xfId="1" applyNumberFormat="1" applyFont="1"/>
    <xf numFmtId="0" fontId="24" fillId="2" borderId="2" xfId="0" applyFont="1" applyFill="1" applyBorder="1"/>
    <xf numFmtId="0" fontId="25" fillId="2" borderId="2" xfId="0" applyFont="1" applyFill="1" applyBorder="1" applyAlignment="1">
      <alignment horizontal="left"/>
    </xf>
    <xf numFmtId="0" fontId="26" fillId="2" borderId="2" xfId="0" applyFont="1" applyFill="1" applyBorder="1"/>
    <xf numFmtId="168" fontId="25" fillId="2" borderId="2" xfId="0" applyNumberFormat="1" applyFont="1" applyFill="1" applyBorder="1"/>
    <xf numFmtId="168" fontId="25" fillId="2" borderId="16" xfId="0" applyNumberFormat="1" applyFont="1" applyFill="1" applyBorder="1"/>
    <xf numFmtId="168" fontId="25" fillId="2" borderId="80" xfId="0" applyNumberFormat="1" applyFont="1" applyFill="1" applyBorder="1"/>
    <xf numFmtId="0" fontId="24" fillId="2" borderId="3" xfId="0" applyFont="1" applyFill="1" applyBorder="1"/>
    <xf numFmtId="0" fontId="25" fillId="2" borderId="3" xfId="0" applyFont="1" applyFill="1" applyBorder="1" applyAlignment="1">
      <alignment horizontal="left"/>
    </xf>
    <xf numFmtId="0" fontId="26" fillId="2" borderId="3" xfId="0" applyFont="1" applyFill="1" applyBorder="1"/>
    <xf numFmtId="168" fontId="25" fillId="2" borderId="3" xfId="0" applyNumberFormat="1" applyFont="1" applyFill="1" applyBorder="1"/>
    <xf numFmtId="44" fontId="56" fillId="2" borderId="3" xfId="2" applyFont="1" applyFill="1" applyBorder="1"/>
    <xf numFmtId="168" fontId="25" fillId="2" borderId="14" xfId="0" applyNumberFormat="1" applyFont="1" applyFill="1" applyBorder="1"/>
    <xf numFmtId="44" fontId="56" fillId="2" borderId="14" xfId="2" applyFont="1" applyFill="1" applyBorder="1"/>
    <xf numFmtId="167" fontId="18" fillId="7" borderId="28" xfId="1" applyNumberFormat="1" applyFont="1" applyFill="1" applyBorder="1" applyAlignment="1">
      <alignment horizontal="right"/>
    </xf>
    <xf numFmtId="44" fontId="22" fillId="0" borderId="50" xfId="0" applyNumberFormat="1" applyFont="1" applyBorder="1" applyAlignment="1">
      <alignment horizontal="center"/>
    </xf>
    <xf numFmtId="44" fontId="22" fillId="0" borderId="46" xfId="0" applyNumberFormat="1" applyFont="1" applyBorder="1" applyAlignment="1">
      <alignment horizontal="center"/>
    </xf>
    <xf numFmtId="174" fontId="22" fillId="2" borderId="47" xfId="0" applyNumberFormat="1" applyFont="1" applyFill="1" applyBorder="1" applyAlignment="1">
      <alignment horizontal="center"/>
    </xf>
    <xf numFmtId="44" fontId="22" fillId="0" borderId="51" xfId="0" applyNumberFormat="1" applyFont="1" applyBorder="1" applyAlignment="1">
      <alignment horizontal="center"/>
    </xf>
    <xf numFmtId="170" fontId="33" fillId="4" borderId="82" xfId="0" applyNumberFormat="1" applyFont="1" applyFill="1" applyBorder="1" applyAlignment="1">
      <alignment horizontal="center" vertical="center"/>
    </xf>
    <xf numFmtId="14" fontId="11" fillId="0" borderId="83" xfId="0" applyNumberFormat="1" applyFont="1" applyBorder="1"/>
    <xf numFmtId="167" fontId="12" fillId="7" borderId="83" xfId="0" applyNumberFormat="1" applyFont="1" applyFill="1" applyBorder="1" applyAlignment="1">
      <alignment horizontal="right" vertical="center"/>
    </xf>
    <xf numFmtId="172" fontId="18" fillId="7" borderId="82" xfId="2" applyNumberFormat="1" applyFont="1" applyFill="1" applyBorder="1" applyAlignment="1">
      <alignment horizontal="right"/>
    </xf>
    <xf numFmtId="173" fontId="12" fillId="7" borderId="83" xfId="0" applyNumberFormat="1" applyFont="1" applyFill="1" applyBorder="1"/>
    <xf numFmtId="172" fontId="40" fillId="7" borderId="82" xfId="2" applyNumberFormat="1" applyFont="1" applyFill="1" applyBorder="1"/>
    <xf numFmtId="0" fontId="18" fillId="7" borderId="83" xfId="0" applyFont="1" applyFill="1" applyBorder="1"/>
    <xf numFmtId="167" fontId="18" fillId="7" borderId="83" xfId="0" applyNumberFormat="1" applyFont="1" applyFill="1" applyBorder="1" applyAlignment="1">
      <alignment horizontal="right" vertical="center"/>
    </xf>
    <xf numFmtId="172" fontId="18" fillId="7" borderId="82" xfId="2" applyNumberFormat="1" applyFont="1" applyFill="1" applyBorder="1" applyAlignment="1"/>
    <xf numFmtId="168" fontId="41" fillId="7" borderId="83" xfId="0" applyNumberFormat="1" applyFont="1" applyFill="1" applyBorder="1"/>
    <xf numFmtId="43" fontId="18" fillId="7" borderId="83" xfId="1" applyFont="1" applyFill="1" applyBorder="1" applyAlignment="1">
      <alignment horizontal="right" vertical="center"/>
    </xf>
    <xf numFmtId="168" fontId="16" fillId="7" borderId="83" xfId="0" applyNumberFormat="1" applyFont="1" applyFill="1" applyBorder="1" applyAlignment="1">
      <alignment horizontal="right"/>
    </xf>
    <xf numFmtId="0" fontId="0" fillId="0" borderId="83" xfId="0" applyBorder="1"/>
    <xf numFmtId="44" fontId="30" fillId="4" borderId="84" xfId="2" applyFont="1" applyFill="1" applyBorder="1" applyAlignment="1">
      <alignment horizontal="right"/>
    </xf>
    <xf numFmtId="168" fontId="25" fillId="2" borderId="81" xfId="0" applyNumberFormat="1" applyFont="1" applyFill="1" applyBorder="1"/>
    <xf numFmtId="43" fontId="0" fillId="0" borderId="12" xfId="1" applyFont="1" applyBorder="1"/>
    <xf numFmtId="43" fontId="0" fillId="0" borderId="33" xfId="1" applyFont="1" applyBorder="1"/>
    <xf numFmtId="43" fontId="6" fillId="0" borderId="67" xfId="1" applyFont="1" applyBorder="1" applyAlignment="1">
      <alignment wrapText="1"/>
    </xf>
    <xf numFmtId="43" fontId="6" fillId="0" borderId="36" xfId="1" applyFont="1" applyBorder="1" applyAlignment="1">
      <alignment wrapText="1"/>
    </xf>
    <xf numFmtId="43" fontId="0" fillId="0" borderId="12" xfId="1" applyFont="1" applyBorder="1" applyAlignment="1"/>
    <xf numFmtId="43" fontId="0" fillId="0" borderId="33" xfId="1" applyFont="1" applyBorder="1" applyAlignment="1"/>
    <xf numFmtId="0" fontId="0" fillId="2" borderId="13" xfId="0" applyFill="1" applyBorder="1"/>
    <xf numFmtId="44" fontId="0" fillId="0" borderId="69" xfId="2" applyFont="1" applyBorder="1" applyAlignment="1"/>
    <xf numFmtId="43" fontId="48" fillId="2" borderId="16" xfId="0" applyNumberFormat="1" applyFont="1" applyFill="1" applyBorder="1" applyAlignment="1">
      <alignment horizontal="right"/>
    </xf>
    <xf numFmtId="0" fontId="49" fillId="2" borderId="19" xfId="0" applyFont="1" applyFill="1" applyBorder="1" applyAlignment="1">
      <alignment horizontal="right"/>
    </xf>
    <xf numFmtId="43" fontId="48" fillId="2" borderId="19" xfId="0" applyNumberFormat="1" applyFont="1" applyFill="1" applyBorder="1" applyAlignment="1">
      <alignment horizontal="right"/>
    </xf>
    <xf numFmtId="0" fontId="48" fillId="2" borderId="19" xfId="0" applyFont="1" applyFill="1" applyBorder="1" applyAlignment="1">
      <alignment horizontal="right"/>
    </xf>
    <xf numFmtId="0" fontId="51" fillId="2" borderId="77" xfId="0" applyFont="1" applyFill="1" applyBorder="1" applyAlignment="1">
      <alignment horizontal="right"/>
    </xf>
    <xf numFmtId="174" fontId="0" fillId="2" borderId="68" xfId="3" applyNumberFormat="1" applyFont="1" applyFill="1" applyBorder="1"/>
    <xf numFmtId="174" fontId="0" fillId="2" borderId="37" xfId="3" applyNumberFormat="1" applyFont="1" applyFill="1" applyBorder="1"/>
    <xf numFmtId="174" fontId="22" fillId="2" borderId="50" xfId="0" applyNumberFormat="1" applyFont="1" applyFill="1" applyBorder="1" applyAlignment="1">
      <alignment horizontal="center"/>
    </xf>
    <xf numFmtId="43" fontId="42" fillId="0" borderId="0" xfId="1" applyFont="1" applyFill="1"/>
    <xf numFmtId="43" fontId="42" fillId="0" borderId="19" xfId="1" applyFont="1" applyFill="1" applyBorder="1"/>
    <xf numFmtId="43" fontId="59" fillId="0" borderId="0" xfId="1" applyFont="1" applyFill="1" applyAlignment="1">
      <alignment horizontal="right" wrapText="1"/>
    </xf>
    <xf numFmtId="0" fontId="0" fillId="0" borderId="40" xfId="0" applyBorder="1"/>
    <xf numFmtId="0" fontId="0" fillId="0" borderId="70" xfId="0" applyBorder="1"/>
    <xf numFmtId="172" fontId="31" fillId="6" borderId="40" xfId="2" applyNumberFormat="1" applyFont="1" applyFill="1" applyBorder="1"/>
    <xf numFmtId="172" fontId="0" fillId="0" borderId="0" xfId="2" applyNumberFormat="1" applyFont="1" applyBorder="1"/>
    <xf numFmtId="172" fontId="0" fillId="0" borderId="70" xfId="2" applyNumberFormat="1" applyFont="1" applyBorder="1"/>
    <xf numFmtId="172" fontId="0" fillId="0" borderId="40" xfId="2" applyNumberFormat="1" applyFont="1" applyBorder="1"/>
    <xf numFmtId="172" fontId="0" fillId="0" borderId="87" xfId="2" applyNumberFormat="1" applyFont="1" applyBorder="1"/>
    <xf numFmtId="172" fontId="0" fillId="0" borderId="26" xfId="2" applyNumberFormat="1" applyFont="1" applyBorder="1"/>
    <xf numFmtId="172" fontId="0" fillId="0" borderId="75" xfId="2" applyNumberFormat="1" applyFont="1" applyBorder="1"/>
    <xf numFmtId="0" fontId="0" fillId="0" borderId="88" xfId="0" applyBorder="1"/>
    <xf numFmtId="0" fontId="0" fillId="0" borderId="20" xfId="0" applyBorder="1"/>
    <xf numFmtId="14" fontId="0" fillId="0" borderId="89" xfId="0" applyNumberFormat="1" applyBorder="1"/>
    <xf numFmtId="0" fontId="0" fillId="0" borderId="21" xfId="0" applyBorder="1"/>
    <xf numFmtId="0" fontId="0" fillId="0" borderId="61" xfId="0" applyBorder="1"/>
    <xf numFmtId="0" fontId="0" fillId="0" borderId="26" xfId="0" applyBorder="1" applyAlignment="1">
      <alignment horizontal="right"/>
    </xf>
    <xf numFmtId="14" fontId="0" fillId="0" borderId="20" xfId="0" applyNumberFormat="1" applyBorder="1"/>
    <xf numFmtId="14" fontId="0" fillId="0" borderId="78" xfId="0" applyNumberFormat="1" applyBorder="1"/>
    <xf numFmtId="172" fontId="18" fillId="2" borderId="42" xfId="2" applyNumberFormat="1" applyFont="1" applyFill="1" applyBorder="1" applyAlignment="1">
      <alignment horizontal="right"/>
    </xf>
    <xf numFmtId="167" fontId="18" fillId="2" borderId="1" xfId="1" applyNumberFormat="1" applyFont="1" applyFill="1" applyBorder="1" applyAlignment="1">
      <alignment horizontal="right"/>
    </xf>
    <xf numFmtId="167" fontId="18" fillId="2" borderId="44" xfId="1" applyNumberFormat="1" applyFont="1" applyFill="1" applyBorder="1" applyAlignment="1">
      <alignment horizontal="right"/>
    </xf>
    <xf numFmtId="172" fontId="18" fillId="2" borderId="90" xfId="2" applyNumberFormat="1" applyFont="1" applyFill="1" applyBorder="1" applyAlignment="1">
      <alignment horizontal="right"/>
    </xf>
    <xf numFmtId="0" fontId="35" fillId="10" borderId="42" xfId="0" applyFont="1" applyFill="1" applyBorder="1" applyAlignment="1">
      <alignment horizontal="right"/>
    </xf>
    <xf numFmtId="168" fontId="35" fillId="10" borderId="1" xfId="0" applyNumberFormat="1" applyFont="1" applyFill="1" applyBorder="1" applyAlignment="1">
      <alignment horizontal="right"/>
    </xf>
    <xf numFmtId="168" fontId="35" fillId="10" borderId="44" xfId="0" applyNumberFormat="1" applyFont="1" applyFill="1" applyBorder="1" applyAlignment="1">
      <alignment horizontal="right"/>
    </xf>
    <xf numFmtId="172" fontId="33" fillId="10" borderId="91" xfId="2" applyNumberFormat="1" applyFont="1" applyFill="1" applyBorder="1"/>
    <xf numFmtId="168" fontId="35" fillId="10" borderId="92" xfId="0" applyNumberFormat="1" applyFont="1" applyFill="1" applyBorder="1" applyAlignment="1">
      <alignment horizontal="right"/>
    </xf>
    <xf numFmtId="0" fontId="12" fillId="2" borderId="93" xfId="0" applyFont="1" applyFill="1" applyBorder="1" applyAlignment="1">
      <alignment horizontal="right"/>
    </xf>
    <xf numFmtId="172" fontId="12" fillId="2" borderId="3" xfId="2" applyNumberFormat="1" applyFont="1" applyFill="1" applyBorder="1" applyAlignment="1"/>
    <xf numFmtId="172" fontId="12" fillId="2" borderId="14" xfId="2" applyNumberFormat="1" applyFont="1" applyFill="1" applyBorder="1" applyAlignment="1"/>
    <xf numFmtId="172" fontId="12" fillId="2" borderId="90" xfId="2" applyNumberFormat="1" applyFont="1" applyFill="1" applyBorder="1" applyAlignment="1"/>
    <xf numFmtId="172" fontId="39" fillId="10" borderId="1" xfId="2" applyNumberFormat="1" applyFont="1" applyFill="1" applyBorder="1" applyAlignment="1">
      <alignment horizontal="right"/>
    </xf>
    <xf numFmtId="172" fontId="39" fillId="10" borderId="44" xfId="2" applyNumberFormat="1" applyFont="1" applyFill="1" applyBorder="1" applyAlignment="1">
      <alignment horizontal="right"/>
    </xf>
    <xf numFmtId="168" fontId="35" fillId="10" borderId="94" xfId="0" applyNumberFormat="1" applyFont="1" applyFill="1" applyBorder="1" applyAlignment="1">
      <alignment horizontal="right"/>
    </xf>
    <xf numFmtId="172" fontId="35" fillId="10" borderId="94" xfId="2" applyNumberFormat="1" applyFont="1" applyFill="1" applyBorder="1" applyAlignment="1">
      <alignment horizontal="right"/>
    </xf>
    <xf numFmtId="172" fontId="58" fillId="10" borderId="92" xfId="2" applyNumberFormat="1" applyFont="1" applyFill="1" applyBorder="1" applyAlignment="1">
      <alignment horizontal="right"/>
    </xf>
    <xf numFmtId="43" fontId="22" fillId="2" borderId="47" xfId="1" applyFont="1" applyFill="1" applyBorder="1" applyAlignment="1">
      <alignment horizontal="center"/>
    </xf>
    <xf numFmtId="44" fontId="22" fillId="2" borderId="46" xfId="0" applyNumberFormat="1" applyFont="1" applyFill="1" applyBorder="1" applyAlignment="1">
      <alignment horizontal="center"/>
    </xf>
    <xf numFmtId="10" fontId="22" fillId="2" borderId="48" xfId="3" applyNumberFormat="1" applyFont="1" applyFill="1" applyBorder="1" applyAlignment="1">
      <alignment horizontal="center"/>
    </xf>
    <xf numFmtId="44" fontId="60" fillId="0" borderId="49" xfId="0" applyNumberFormat="1" applyFont="1" applyBorder="1" applyAlignment="1">
      <alignment horizontal="center" wrapText="1"/>
    </xf>
    <xf numFmtId="44" fontId="22" fillId="0" borderId="47" xfId="0" applyNumberFormat="1" applyFont="1" applyBorder="1" applyAlignment="1">
      <alignment horizontal="center"/>
    </xf>
    <xf numFmtId="44" fontId="22" fillId="0" borderId="0" xfId="2" applyFont="1" applyFill="1" applyBorder="1"/>
    <xf numFmtId="172" fontId="31" fillId="6" borderId="0" xfId="2" applyNumberFormat="1" applyFont="1" applyFill="1" applyBorder="1"/>
    <xf numFmtId="44" fontId="2" fillId="0" borderId="0" xfId="2" applyFont="1" applyFill="1" applyBorder="1"/>
    <xf numFmtId="167" fontId="22" fillId="2" borderId="12" xfId="1" applyNumberFormat="1" applyFont="1" applyFill="1" applyBorder="1" applyAlignment="1">
      <alignment horizontal="center"/>
    </xf>
    <xf numFmtId="167" fontId="18" fillId="7" borderId="85" xfId="1" applyNumberFormat="1" applyFont="1" applyFill="1" applyBorder="1" applyAlignment="1">
      <alignment horizontal="right"/>
    </xf>
    <xf numFmtId="167" fontId="18" fillId="2" borderId="62" xfId="1" applyNumberFormat="1" applyFont="1" applyFill="1" applyBorder="1" applyAlignment="1">
      <alignment horizontal="right"/>
    </xf>
    <xf numFmtId="168" fontId="39" fillId="10" borderId="1" xfId="0" applyNumberFormat="1" applyFont="1" applyFill="1" applyBorder="1" applyAlignment="1">
      <alignment horizontal="right"/>
    </xf>
    <xf numFmtId="168" fontId="41" fillId="7" borderId="85" xfId="0" applyNumberFormat="1" applyFont="1" applyFill="1" applyBorder="1" applyAlignment="1">
      <alignment horizontal="right"/>
    </xf>
    <xf numFmtId="168" fontId="39" fillId="10" borderId="62" xfId="0" applyNumberFormat="1" applyFont="1" applyFill="1" applyBorder="1" applyAlignment="1">
      <alignment horizontal="right"/>
    </xf>
    <xf numFmtId="0" fontId="0" fillId="4" borderId="4" xfId="0" applyFill="1" applyBorder="1"/>
    <xf numFmtId="0" fontId="0" fillId="4" borderId="7" xfId="0" applyFill="1" applyBorder="1"/>
    <xf numFmtId="0" fontId="9" fillId="4" borderId="7" xfId="0" applyFont="1" applyFill="1" applyBorder="1"/>
    <xf numFmtId="0" fontId="6" fillId="0" borderId="7" xfId="0" applyFont="1" applyBorder="1" applyAlignment="1">
      <alignment horizontal="left" wrapText="1"/>
    </xf>
    <xf numFmtId="0" fontId="6" fillId="0" borderId="79" xfId="0" applyFont="1" applyBorder="1" applyAlignment="1">
      <alignment horizontal="left" wrapText="1"/>
    </xf>
    <xf numFmtId="43" fontId="6" fillId="0" borderId="7" xfId="1" applyFont="1" applyBorder="1" applyAlignment="1">
      <alignment horizontal="left" wrapText="1"/>
    </xf>
    <xf numFmtId="0" fontId="6" fillId="0" borderId="97" xfId="0" applyFont="1" applyBorder="1" applyAlignment="1">
      <alignment horizontal="left" wrapText="1"/>
    </xf>
    <xf numFmtId="43" fontId="19" fillId="2" borderId="95" xfId="0" applyNumberFormat="1" applyFont="1" applyFill="1" applyBorder="1" applyAlignment="1">
      <alignment horizontal="right"/>
    </xf>
    <xf numFmtId="0" fontId="15" fillId="2" borderId="97" xfId="0" applyFont="1" applyFill="1" applyBorder="1" applyAlignment="1">
      <alignment horizontal="right"/>
    </xf>
    <xf numFmtId="43" fontId="19" fillId="2" borderId="97" xfId="0" applyNumberFormat="1" applyFont="1" applyFill="1" applyBorder="1" applyAlignment="1">
      <alignment horizontal="right"/>
    </xf>
    <xf numFmtId="0" fontId="19" fillId="2" borderId="97" xfId="0" applyFont="1" applyFill="1" applyBorder="1" applyAlignment="1">
      <alignment horizontal="right"/>
    </xf>
    <xf numFmtId="0" fontId="6" fillId="0" borderId="95" xfId="0" applyFont="1" applyBorder="1" applyAlignment="1">
      <alignment horizontal="right" wrapText="1"/>
    </xf>
    <xf numFmtId="0" fontId="6" fillId="7" borderId="96" xfId="0" applyFont="1" applyFill="1" applyBorder="1" applyAlignment="1">
      <alignment horizontal="right" wrapText="1"/>
    </xf>
    <xf numFmtId="9" fontId="0" fillId="0" borderId="0" xfId="3" applyFont="1"/>
    <xf numFmtId="9" fontId="19" fillId="0" borderId="0" xfId="3" applyFont="1" applyFill="1" applyBorder="1"/>
    <xf numFmtId="170" fontId="32" fillId="4" borderId="2" xfId="0" applyNumberFormat="1" applyFont="1" applyFill="1" applyBorder="1" applyAlignment="1">
      <alignment horizontal="center" vertical="center"/>
    </xf>
    <xf numFmtId="172" fontId="22" fillId="2" borderId="2" xfId="2" applyNumberFormat="1" applyFont="1" applyFill="1" applyBorder="1" applyAlignment="1">
      <alignment horizontal="right"/>
    </xf>
    <xf numFmtId="167" fontId="22" fillId="2" borderId="0" xfId="1" applyNumberFormat="1" applyFont="1" applyFill="1" applyBorder="1" applyAlignment="1">
      <alignment horizontal="right"/>
    </xf>
    <xf numFmtId="167" fontId="22" fillId="2" borderId="1" xfId="1" applyNumberFormat="1" applyFont="1" applyFill="1" applyBorder="1" applyAlignment="1">
      <alignment horizontal="right"/>
    </xf>
    <xf numFmtId="172" fontId="32" fillId="10" borderId="2" xfId="2" applyNumberFormat="1" applyFont="1" applyFill="1" applyBorder="1"/>
    <xf numFmtId="172" fontId="8" fillId="2" borderId="3" xfId="2" applyNumberFormat="1" applyFont="1" applyFill="1" applyBorder="1" applyAlignment="1"/>
    <xf numFmtId="43" fontId="8" fillId="0" borderId="0" xfId="1" applyFont="1" applyBorder="1" applyAlignment="1">
      <alignment horizontal="right" vertical="center"/>
    </xf>
    <xf numFmtId="44" fontId="11" fillId="4" borderId="5" xfId="2" applyFont="1" applyFill="1" applyBorder="1" applyAlignment="1">
      <alignment horizontal="right"/>
    </xf>
    <xf numFmtId="44" fontId="11" fillId="4" borderId="1" xfId="0" applyNumberFormat="1" applyFont="1" applyFill="1" applyBorder="1" applyAlignment="1">
      <alignment horizontal="right"/>
    </xf>
    <xf numFmtId="44" fontId="9" fillId="4" borderId="98" xfId="2" applyFont="1" applyFill="1" applyBorder="1" applyAlignment="1">
      <alignment horizontal="right"/>
    </xf>
    <xf numFmtId="44" fontId="9" fillId="4" borderId="99" xfId="0" applyNumberFormat="1" applyFont="1" applyFill="1" applyBorder="1" applyAlignment="1">
      <alignment horizontal="right"/>
    </xf>
    <xf numFmtId="44" fontId="9" fillId="4" borderId="85" xfId="0" applyNumberFormat="1" applyFont="1" applyFill="1" applyBorder="1" applyAlignment="1">
      <alignment horizontal="right"/>
    </xf>
    <xf numFmtId="44" fontId="22" fillId="2" borderId="50" xfId="0" applyNumberFormat="1" applyFont="1" applyFill="1" applyBorder="1" applyAlignment="1">
      <alignment horizontal="center"/>
    </xf>
    <xf numFmtId="44" fontId="6" fillId="6" borderId="2" xfId="2" applyFont="1" applyFill="1" applyBorder="1" applyAlignment="1">
      <alignment horizontal="right" wrapText="1"/>
    </xf>
    <xf numFmtId="44" fontId="6" fillId="6" borderId="16" xfId="2" applyFont="1" applyFill="1" applyBorder="1" applyAlignment="1">
      <alignment horizontal="right" wrapText="1"/>
    </xf>
    <xf numFmtId="9" fontId="0" fillId="0" borderId="0" xfId="3" applyFont="1" applyBorder="1"/>
    <xf numFmtId="179" fontId="0" fillId="0" borderId="0" xfId="0" applyNumberFormat="1"/>
    <xf numFmtId="169" fontId="19" fillId="2" borderId="0" xfId="1" applyNumberFormat="1" applyFont="1" applyFill="1" applyBorder="1"/>
    <xf numFmtId="0" fontId="11" fillId="4" borderId="8" xfId="0" applyFont="1" applyFill="1" applyBorder="1" applyAlignment="1">
      <alignment horizontal="center"/>
    </xf>
    <xf numFmtId="43" fontId="0" fillId="0" borderId="8" xfId="1" applyFont="1" applyBorder="1"/>
    <xf numFmtId="44" fontId="12" fillId="0" borderId="80" xfId="0" applyNumberFormat="1" applyFont="1" applyBorder="1"/>
    <xf numFmtId="10" fontId="12" fillId="7" borderId="81" xfId="3" applyNumberFormat="1" applyFont="1" applyFill="1" applyBorder="1"/>
    <xf numFmtId="44" fontId="12" fillId="0" borderId="8" xfId="0" applyNumberFormat="1" applyFont="1" applyBorder="1"/>
    <xf numFmtId="167" fontId="21" fillId="3" borderId="80" xfId="1" applyNumberFormat="1" applyFont="1" applyFill="1" applyBorder="1"/>
    <xf numFmtId="167" fontId="5" fillId="0" borderId="8" xfId="1" applyNumberFormat="1" applyFont="1" applyFill="1" applyBorder="1"/>
    <xf numFmtId="167" fontId="21" fillId="3" borderId="8" xfId="1" applyNumberFormat="1" applyFont="1" applyFill="1" applyBorder="1"/>
    <xf numFmtId="167" fontId="20" fillId="0" borderId="8" xfId="1" applyNumberFormat="1" applyFont="1" applyFill="1" applyBorder="1"/>
    <xf numFmtId="167" fontId="22" fillId="0" borderId="8" xfId="1" applyNumberFormat="1" applyFont="1" applyFill="1" applyBorder="1"/>
    <xf numFmtId="43" fontId="19" fillId="0" borderId="8" xfId="1" applyFont="1" applyFill="1" applyBorder="1"/>
    <xf numFmtId="169" fontId="22" fillId="2" borderId="8" xfId="1" applyNumberFormat="1" applyFont="1" applyFill="1" applyBorder="1"/>
    <xf numFmtId="169" fontId="21" fillId="3" borderId="8" xfId="1" applyNumberFormat="1" applyFont="1" applyFill="1" applyBorder="1"/>
    <xf numFmtId="44" fontId="19" fillId="0" borderId="8" xfId="2" applyFont="1" applyFill="1" applyBorder="1"/>
    <xf numFmtId="44" fontId="22" fillId="0" borderId="8" xfId="2" applyFont="1" applyFill="1" applyBorder="1"/>
    <xf numFmtId="44" fontId="2" fillId="0" borderId="8" xfId="2" applyFont="1" applyFill="1" applyBorder="1"/>
    <xf numFmtId="9" fontId="19" fillId="0" borderId="8" xfId="3" applyFont="1" applyFill="1" applyBorder="1"/>
    <xf numFmtId="174" fontId="19" fillId="0" borderId="8" xfId="3" applyNumberFormat="1" applyFont="1" applyFill="1" applyBorder="1"/>
    <xf numFmtId="1" fontId="19" fillId="0" borderId="8" xfId="2" applyNumberFormat="1" applyFont="1" applyFill="1" applyBorder="1"/>
    <xf numFmtId="174" fontId="30" fillId="0" borderId="8" xfId="3" applyNumberFormat="1" applyFont="1" applyFill="1" applyBorder="1"/>
    <xf numFmtId="176" fontId="19" fillId="0" borderId="8" xfId="2" applyNumberFormat="1" applyFont="1" applyFill="1" applyBorder="1"/>
    <xf numFmtId="43" fontId="42" fillId="0" borderId="0" xfId="1" applyFont="1" applyBorder="1"/>
    <xf numFmtId="43" fontId="42" fillId="0" borderId="19" xfId="1" applyFont="1" applyBorder="1"/>
    <xf numFmtId="43" fontId="22" fillId="0" borderId="0" xfId="1" applyFont="1" applyBorder="1"/>
    <xf numFmtId="43" fontId="22" fillId="0" borderId="19" xfId="1" applyFont="1" applyBorder="1"/>
    <xf numFmtId="0" fontId="6" fillId="7" borderId="0" xfId="0" applyFont="1" applyFill="1" applyAlignment="1">
      <alignment horizontal="left" wrapText="1"/>
    </xf>
    <xf numFmtId="174" fontId="12" fillId="7" borderId="0" xfId="3" applyNumberFormat="1" applyFont="1" applyFill="1" applyBorder="1"/>
    <xf numFmtId="174" fontId="12" fillId="7" borderId="19" xfId="3" applyNumberFormat="1" applyFont="1" applyFill="1" applyBorder="1"/>
    <xf numFmtId="174" fontId="21" fillId="3" borderId="0" xfId="3" applyNumberFormat="1" applyFont="1" applyFill="1" applyBorder="1"/>
    <xf numFmtId="170" fontId="33" fillId="4" borderId="13" xfId="0" applyNumberFormat="1" applyFont="1" applyFill="1" applyBorder="1" applyAlignment="1">
      <alignment horizontal="center" vertical="center"/>
    </xf>
    <xf numFmtId="167" fontId="18" fillId="2" borderId="12" xfId="1" applyNumberFormat="1" applyFont="1" applyFill="1" applyBorder="1" applyAlignment="1">
      <alignment horizontal="right"/>
    </xf>
    <xf numFmtId="167" fontId="18" fillId="2" borderId="100" xfId="1" applyNumberFormat="1" applyFont="1" applyFill="1" applyBorder="1" applyAlignment="1">
      <alignment horizontal="right"/>
    </xf>
    <xf numFmtId="168" fontId="35" fillId="10" borderId="100" xfId="0" applyNumberFormat="1" applyFont="1" applyFill="1" applyBorder="1" applyAlignment="1">
      <alignment horizontal="right"/>
    </xf>
    <xf numFmtId="172" fontId="12" fillId="2" borderId="68" xfId="2" applyNumberFormat="1" applyFont="1" applyFill="1" applyBorder="1" applyAlignment="1"/>
    <xf numFmtId="172" fontId="35" fillId="10" borderId="12" xfId="2" applyNumberFormat="1" applyFont="1" applyFill="1" applyBorder="1" applyAlignment="1">
      <alignment horizontal="right"/>
    </xf>
    <xf numFmtId="172" fontId="39" fillId="10" borderId="100" xfId="2" applyNumberFormat="1" applyFont="1" applyFill="1" applyBorder="1" applyAlignment="1">
      <alignment horizontal="right"/>
    </xf>
    <xf numFmtId="0" fontId="63" fillId="11" borderId="36" xfId="0" applyFont="1" applyFill="1" applyBorder="1" applyAlignment="1">
      <alignment horizontal="center" vertical="center"/>
    </xf>
    <xf numFmtId="0" fontId="63" fillId="11" borderId="33" xfId="0" applyFont="1" applyFill="1" applyBorder="1" applyAlignment="1">
      <alignment horizontal="center"/>
    </xf>
    <xf numFmtId="167" fontId="1" fillId="11" borderId="33" xfId="1" applyNumberFormat="1" applyFont="1" applyFill="1" applyBorder="1"/>
    <xf numFmtId="172" fontId="10" fillId="11" borderId="34" xfId="2" applyNumberFormat="1" applyFont="1" applyFill="1" applyBorder="1"/>
    <xf numFmtId="167" fontId="10" fillId="11" borderId="33" xfId="1" applyNumberFormat="1" applyFont="1" applyFill="1" applyBorder="1"/>
    <xf numFmtId="9" fontId="64" fillId="11" borderId="33" xfId="3" applyFont="1" applyFill="1" applyBorder="1"/>
    <xf numFmtId="0" fontId="1" fillId="11" borderId="33" xfId="0" applyFont="1" applyFill="1" applyBorder="1"/>
    <xf numFmtId="172" fontId="63" fillId="11" borderId="34" xfId="2" applyNumberFormat="1" applyFont="1" applyFill="1" applyBorder="1"/>
    <xf numFmtId="168" fontId="65" fillId="11" borderId="33" xfId="0" applyNumberFormat="1" applyFont="1" applyFill="1" applyBorder="1" applyAlignment="1">
      <alignment horizontal="right"/>
    </xf>
    <xf numFmtId="173" fontId="1" fillId="11" borderId="33" xfId="0" applyNumberFormat="1" applyFont="1" applyFill="1" applyBorder="1"/>
    <xf numFmtId="168" fontId="65" fillId="11" borderId="33" xfId="0" applyNumberFormat="1" applyFont="1" applyFill="1" applyBorder="1"/>
    <xf numFmtId="168" fontId="65" fillId="11" borderId="101" xfId="0" applyNumberFormat="1" applyFont="1" applyFill="1" applyBorder="1" applyAlignment="1">
      <alignment horizontal="right"/>
    </xf>
    <xf numFmtId="0" fontId="9" fillId="4" borderId="6" xfId="0" applyFont="1" applyFill="1" applyBorder="1" applyAlignment="1">
      <alignment horizontal="center"/>
    </xf>
    <xf numFmtId="169" fontId="19" fillId="2" borderId="8" xfId="1" applyNumberFormat="1" applyFont="1" applyFill="1" applyBorder="1"/>
    <xf numFmtId="172" fontId="66" fillId="10" borderId="92" xfId="2" applyNumberFormat="1" applyFont="1" applyFill="1" applyBorder="1" applyAlignment="1">
      <alignment horizontal="right"/>
    </xf>
    <xf numFmtId="169" fontId="22" fillId="2" borderId="0" xfId="1" applyNumberFormat="1" applyFont="1" applyFill="1" applyBorder="1"/>
    <xf numFmtId="174" fontId="12" fillId="7" borderId="8" xfId="3" applyNumberFormat="1" applyFont="1" applyFill="1" applyBorder="1"/>
    <xf numFmtId="44" fontId="56" fillId="2" borderId="81" xfId="2" applyFont="1" applyFill="1" applyBorder="1"/>
    <xf numFmtId="44" fontId="12" fillId="0" borderId="81" xfId="0" applyNumberFormat="1" applyFont="1" applyBorder="1"/>
    <xf numFmtId="44" fontId="12" fillId="4" borderId="8" xfId="0" applyNumberFormat="1" applyFont="1" applyFill="1" applyBorder="1"/>
    <xf numFmtId="2" fontId="6" fillId="6" borderId="80" xfId="0" applyNumberFormat="1" applyFont="1" applyFill="1" applyBorder="1" applyAlignment="1">
      <alignment horizontal="right" wrapText="1"/>
    </xf>
    <xf numFmtId="165" fontId="6" fillId="0" borderId="8" xfId="0" applyNumberFormat="1" applyFont="1" applyBorder="1" applyAlignment="1">
      <alignment horizontal="right" wrapText="1"/>
    </xf>
    <xf numFmtId="164" fontId="7" fillId="0" borderId="8" xfId="0" applyNumberFormat="1" applyFont="1" applyBorder="1" applyAlignment="1">
      <alignment wrapText="1"/>
    </xf>
    <xf numFmtId="44" fontId="6" fillId="6" borderId="80" xfId="2" applyFont="1" applyFill="1" applyBorder="1" applyAlignment="1">
      <alignment horizontal="right" wrapText="1"/>
    </xf>
    <xf numFmtId="0" fontId="0" fillId="4" borderId="8" xfId="0" applyFill="1" applyBorder="1"/>
    <xf numFmtId="44" fontId="0" fillId="0" borderId="80" xfId="0" applyNumberFormat="1" applyBorder="1"/>
    <xf numFmtId="44" fontId="0" fillId="0" borderId="8" xfId="0" applyNumberFormat="1" applyBorder="1"/>
    <xf numFmtId="44" fontId="0" fillId="0" borderId="102" xfId="0" applyNumberFormat="1" applyBorder="1"/>
    <xf numFmtId="0" fontId="0" fillId="0" borderId="80" xfId="0" applyBorder="1"/>
    <xf numFmtId="44" fontId="18" fillId="0" borderId="2" xfId="0" applyNumberFormat="1" applyFont="1" applyBorder="1"/>
    <xf numFmtId="44" fontId="9" fillId="4" borderId="67" xfId="2" applyFont="1" applyFill="1" applyBorder="1" applyAlignment="1">
      <alignment horizontal="right"/>
    </xf>
    <xf numFmtId="44" fontId="9" fillId="4" borderId="100" xfId="0" applyNumberFormat="1" applyFont="1" applyFill="1" applyBorder="1" applyAlignment="1">
      <alignment horizontal="right"/>
    </xf>
    <xf numFmtId="169" fontId="21" fillId="12" borderId="0" xfId="1" applyNumberFormat="1" applyFont="1" applyFill="1" applyBorder="1"/>
    <xf numFmtId="44" fontId="18" fillId="0" borderId="16" xfId="0" applyNumberFormat="1" applyFont="1" applyBorder="1"/>
    <xf numFmtId="167" fontId="21" fillId="3" borderId="16" xfId="1" applyNumberFormat="1" applyFont="1" applyFill="1" applyBorder="1"/>
    <xf numFmtId="167" fontId="21" fillId="3" borderId="19" xfId="1" applyNumberFormat="1" applyFont="1" applyFill="1" applyBorder="1"/>
    <xf numFmtId="167" fontId="5" fillId="0" borderId="19" xfId="1" applyNumberFormat="1" applyFont="1" applyFill="1" applyBorder="1"/>
    <xf numFmtId="167" fontId="20" fillId="0" borderId="19" xfId="1" applyNumberFormat="1" applyFont="1" applyFill="1" applyBorder="1"/>
    <xf numFmtId="167" fontId="22" fillId="0" borderId="19" xfId="1" applyNumberFormat="1" applyFont="1" applyFill="1" applyBorder="1"/>
    <xf numFmtId="43" fontId="19" fillId="0" borderId="19" xfId="1" applyFont="1" applyFill="1" applyBorder="1"/>
    <xf numFmtId="169" fontId="22" fillId="2" borderId="19" xfId="1" applyNumberFormat="1" applyFont="1" applyFill="1" applyBorder="1"/>
    <xf numFmtId="169" fontId="21" fillId="3" borderId="19" xfId="1" applyNumberFormat="1" applyFont="1" applyFill="1" applyBorder="1"/>
    <xf numFmtId="44" fontId="19" fillId="0" borderId="19" xfId="2" applyFont="1" applyFill="1" applyBorder="1"/>
    <xf numFmtId="44" fontId="22" fillId="0" borderId="19" xfId="2" applyFont="1" applyFill="1" applyBorder="1"/>
    <xf numFmtId="44" fontId="2" fillId="0" borderId="19" xfId="2" applyFont="1" applyFill="1" applyBorder="1"/>
    <xf numFmtId="9" fontId="19" fillId="0" borderId="19" xfId="3" applyFont="1" applyFill="1" applyBorder="1"/>
    <xf numFmtId="174" fontId="19" fillId="0" borderId="19" xfId="3" applyNumberFormat="1" applyFont="1" applyFill="1" applyBorder="1"/>
    <xf numFmtId="174" fontId="30" fillId="0" borderId="19" xfId="3" applyNumberFormat="1" applyFont="1" applyFill="1" applyBorder="1"/>
    <xf numFmtId="176" fontId="19" fillId="0" borderId="19" xfId="2" applyNumberFormat="1" applyFont="1" applyFill="1" applyBorder="1"/>
    <xf numFmtId="164" fontId="7" fillId="0" borderId="19" xfId="0" applyNumberFormat="1" applyFont="1" applyBorder="1" applyAlignment="1">
      <alignment wrapText="1"/>
    </xf>
    <xf numFmtId="165" fontId="6" fillId="0" borderId="19" xfId="0" applyNumberFormat="1" applyFont="1" applyBorder="1" applyAlignment="1">
      <alignment horizontal="right" wrapText="1"/>
    </xf>
    <xf numFmtId="14" fontId="67" fillId="0" borderId="0" xfId="0" applyNumberFormat="1" applyFont="1"/>
    <xf numFmtId="44" fontId="67" fillId="0" borderId="0" xfId="2" applyFont="1" applyBorder="1"/>
    <xf numFmtId="44" fontId="67" fillId="0" borderId="55" xfId="2" applyFont="1" applyBorder="1"/>
    <xf numFmtId="43" fontId="67" fillId="0" borderId="0" xfId="1" applyFont="1" applyBorder="1"/>
    <xf numFmtId="43" fontId="67" fillId="0" borderId="12" xfId="1" applyFont="1" applyBorder="1"/>
    <xf numFmtId="43" fontId="67" fillId="0" borderId="33" xfId="1" applyFont="1" applyBorder="1"/>
    <xf numFmtId="1" fontId="67" fillId="2" borderId="2" xfId="0" applyNumberFormat="1" applyFont="1" applyFill="1" applyBorder="1"/>
    <xf numFmtId="1" fontId="67" fillId="2" borderId="56" xfId="0" applyNumberFormat="1" applyFont="1" applyFill="1" applyBorder="1"/>
    <xf numFmtId="0" fontId="67" fillId="2" borderId="2" xfId="0" applyFont="1" applyFill="1" applyBorder="1"/>
    <xf numFmtId="0" fontId="67" fillId="2" borderId="13" xfId="0" applyFont="1" applyFill="1" applyBorder="1"/>
    <xf numFmtId="0" fontId="67" fillId="2" borderId="34" xfId="0" applyFont="1" applyFill="1" applyBorder="1"/>
    <xf numFmtId="1" fontId="67" fillId="2" borderId="0" xfId="0" applyNumberFormat="1" applyFont="1" applyFill="1"/>
    <xf numFmtId="1" fontId="67" fillId="2" borderId="55" xfId="0" applyNumberFormat="1" applyFont="1" applyFill="1" applyBorder="1"/>
    <xf numFmtId="43" fontId="67" fillId="2" borderId="0" xfId="1" applyFont="1" applyFill="1" applyBorder="1" applyAlignment="1">
      <alignment horizontal="center"/>
    </xf>
    <xf numFmtId="167" fontId="67" fillId="2" borderId="12" xfId="1" applyNumberFormat="1" applyFont="1" applyFill="1" applyBorder="1" applyAlignment="1">
      <alignment horizontal="center"/>
    </xf>
    <xf numFmtId="167" fontId="67" fillId="2" borderId="33" xfId="1" applyNumberFormat="1" applyFont="1" applyFill="1" applyBorder="1" applyAlignment="1">
      <alignment horizontal="center"/>
    </xf>
    <xf numFmtId="167" fontId="67" fillId="2" borderId="0" xfId="1" applyNumberFormat="1" applyFont="1" applyFill="1" applyBorder="1" applyAlignment="1">
      <alignment horizontal="center"/>
    </xf>
    <xf numFmtId="2" fontId="67" fillId="2" borderId="0" xfId="0" applyNumberFormat="1" applyFont="1" applyFill="1"/>
    <xf numFmtId="1" fontId="67" fillId="2" borderId="12" xfId="0" applyNumberFormat="1" applyFont="1" applyFill="1" applyBorder="1"/>
    <xf numFmtId="1" fontId="67" fillId="2" borderId="33" xfId="0" applyNumberFormat="1" applyFont="1" applyFill="1" applyBorder="1"/>
    <xf numFmtId="2" fontId="67" fillId="2" borderId="55" xfId="0" applyNumberFormat="1" applyFont="1" applyFill="1" applyBorder="1"/>
    <xf numFmtId="2" fontId="67" fillId="2" borderId="12" xfId="0" applyNumberFormat="1" applyFont="1" applyFill="1" applyBorder="1"/>
    <xf numFmtId="2" fontId="67" fillId="2" borderId="33" xfId="0" applyNumberFormat="1" applyFont="1" applyFill="1" applyBorder="1"/>
    <xf numFmtId="0" fontId="67" fillId="2" borderId="0" xfId="0" applyFont="1" applyFill="1"/>
    <xf numFmtId="0" fontId="67" fillId="2" borderId="55" xfId="0" applyFont="1" applyFill="1" applyBorder="1"/>
    <xf numFmtId="44" fontId="67" fillId="2" borderId="0" xfId="2" applyFont="1" applyFill="1" applyBorder="1"/>
    <xf numFmtId="44" fontId="67" fillId="2" borderId="55" xfId="2" applyFont="1" applyFill="1" applyBorder="1" applyAlignment="1"/>
    <xf numFmtId="44" fontId="67" fillId="2" borderId="0" xfId="2" applyFont="1" applyFill="1" applyBorder="1" applyAlignment="1"/>
    <xf numFmtId="44" fontId="67" fillId="2" borderId="12" xfId="2" applyFont="1" applyFill="1" applyBorder="1" applyAlignment="1"/>
    <xf numFmtId="44" fontId="67" fillId="2" borderId="33" xfId="2" applyFont="1" applyFill="1" applyBorder="1" applyAlignment="1"/>
    <xf numFmtId="0" fontId="67" fillId="2" borderId="12" xfId="0" applyFont="1" applyFill="1" applyBorder="1"/>
    <xf numFmtId="0" fontId="67" fillId="2" borderId="33" xfId="0" applyFont="1" applyFill="1" applyBorder="1"/>
    <xf numFmtId="10" fontId="67" fillId="2" borderId="15" xfId="3" applyNumberFormat="1" applyFont="1" applyFill="1" applyBorder="1"/>
    <xf numFmtId="10" fontId="67" fillId="2" borderId="57" xfId="3" applyNumberFormat="1" applyFont="1" applyFill="1" applyBorder="1" applyAlignment="1"/>
    <xf numFmtId="10" fontId="67" fillId="2" borderId="15" xfId="3" applyNumberFormat="1" applyFont="1" applyFill="1" applyBorder="1" applyAlignment="1"/>
    <xf numFmtId="10" fontId="67" fillId="2" borderId="66" xfId="3" applyNumberFormat="1" applyFont="1" applyFill="1" applyBorder="1" applyAlignment="1"/>
    <xf numFmtId="10" fontId="67" fillId="2" borderId="35" xfId="3" applyNumberFormat="1" applyFont="1" applyFill="1" applyBorder="1" applyAlignment="1"/>
    <xf numFmtId="0" fontId="68" fillId="0" borderId="5" xfId="0" applyFont="1" applyBorder="1" applyAlignment="1">
      <alignment wrapText="1"/>
    </xf>
    <xf numFmtId="0" fontId="68" fillId="0" borderId="58" xfId="0" applyFont="1" applyBorder="1" applyAlignment="1">
      <alignment wrapText="1"/>
    </xf>
    <xf numFmtId="43" fontId="68" fillId="0" borderId="5" xfId="1" applyFont="1" applyBorder="1" applyAlignment="1">
      <alignment wrapText="1"/>
    </xf>
    <xf numFmtId="43" fontId="68" fillId="0" borderId="67" xfId="1" applyFont="1" applyBorder="1" applyAlignment="1">
      <alignment wrapText="1"/>
    </xf>
    <xf numFmtId="43" fontId="68" fillId="0" borderId="36" xfId="1" applyFont="1" applyBorder="1" applyAlignment="1">
      <alignment wrapText="1"/>
    </xf>
    <xf numFmtId="44" fontId="67" fillId="0" borderId="55" xfId="2" applyFont="1" applyBorder="1" applyAlignment="1"/>
    <xf numFmtId="44" fontId="67" fillId="0" borderId="0" xfId="2" applyFont="1" applyBorder="1" applyAlignment="1"/>
    <xf numFmtId="43" fontId="67" fillId="0" borderId="0" xfId="1" applyFont="1" applyBorder="1" applyAlignment="1"/>
    <xf numFmtId="43" fontId="67" fillId="0" borderId="12" xfId="1" applyFont="1" applyBorder="1" applyAlignment="1"/>
    <xf numFmtId="43" fontId="67" fillId="0" borderId="33" xfId="1" applyFont="1" applyBorder="1" applyAlignment="1"/>
    <xf numFmtId="44" fontId="67" fillId="0" borderId="3" xfId="0" applyNumberFormat="1" applyFont="1" applyBorder="1"/>
    <xf numFmtId="44" fontId="67" fillId="0" borderId="59" xfId="0" applyNumberFormat="1" applyFont="1" applyBorder="1"/>
    <xf numFmtId="44" fontId="67" fillId="0" borderId="68" xfId="0" applyNumberFormat="1" applyFont="1" applyBorder="1"/>
    <xf numFmtId="44" fontId="67" fillId="0" borderId="37" xfId="0" applyNumberFormat="1" applyFont="1" applyBorder="1"/>
    <xf numFmtId="44" fontId="67" fillId="2" borderId="3" xfId="0" applyNumberFormat="1" applyFont="1" applyFill="1" applyBorder="1"/>
    <xf numFmtId="44" fontId="67" fillId="2" borderId="59" xfId="0" applyNumberFormat="1" applyFont="1" applyFill="1" applyBorder="1"/>
    <xf numFmtId="174" fontId="67" fillId="2" borderId="3" xfId="3" applyNumberFormat="1" applyFont="1" applyFill="1" applyBorder="1"/>
    <xf numFmtId="174" fontId="67" fillId="2" borderId="68" xfId="3" applyNumberFormat="1" applyFont="1" applyFill="1" applyBorder="1"/>
    <xf numFmtId="174" fontId="67" fillId="2" borderId="37" xfId="3" applyNumberFormat="1" applyFont="1" applyFill="1" applyBorder="1"/>
    <xf numFmtId="0" fontId="68" fillId="0" borderId="0" xfId="0" applyFont="1" applyAlignment="1">
      <alignment wrapText="1"/>
    </xf>
    <xf numFmtId="44" fontId="67" fillId="0" borderId="0" xfId="0" applyNumberFormat="1" applyFont="1"/>
    <xf numFmtId="44" fontId="67" fillId="0" borderId="55" xfId="0" applyNumberFormat="1" applyFont="1" applyBorder="1"/>
    <xf numFmtId="44" fontId="67" fillId="0" borderId="12" xfId="0" applyNumberFormat="1" applyFont="1" applyBorder="1"/>
    <xf numFmtId="44" fontId="67" fillId="0" borderId="33" xfId="0" applyNumberFormat="1" applyFont="1" applyBorder="1"/>
    <xf numFmtId="44" fontId="67" fillId="2" borderId="2" xfId="0" applyNumberFormat="1" applyFont="1" applyFill="1" applyBorder="1"/>
    <xf numFmtId="44" fontId="67" fillId="2" borderId="56" xfId="0" applyNumberFormat="1" applyFont="1" applyFill="1" applyBorder="1"/>
    <xf numFmtId="174" fontId="67" fillId="2" borderId="2" xfId="3" applyNumberFormat="1" applyFont="1" applyFill="1" applyBorder="1"/>
    <xf numFmtId="174" fontId="67" fillId="2" borderId="13" xfId="3" applyNumberFormat="1" applyFont="1" applyFill="1" applyBorder="1"/>
    <xf numFmtId="174" fontId="67" fillId="2" borderId="34" xfId="3" applyNumberFormat="1" applyFont="1" applyFill="1" applyBorder="1"/>
    <xf numFmtId="44" fontId="67" fillId="0" borderId="12" xfId="2" applyFont="1" applyBorder="1" applyAlignment="1"/>
    <xf numFmtId="44" fontId="67" fillId="0" borderId="33" xfId="2" applyFont="1" applyBorder="1" applyAlignment="1"/>
    <xf numFmtId="44" fontId="67" fillId="0" borderId="2" xfId="0" applyNumberFormat="1" applyFont="1" applyBorder="1"/>
    <xf numFmtId="44" fontId="67" fillId="0" borderId="56" xfId="0" applyNumberFormat="1" applyFont="1" applyBorder="1"/>
    <xf numFmtId="44" fontId="67" fillId="0" borderId="13" xfId="0" applyNumberFormat="1" applyFont="1" applyBorder="1"/>
    <xf numFmtId="44" fontId="67" fillId="0" borderId="34" xfId="0" applyNumberFormat="1" applyFont="1" applyBorder="1"/>
    <xf numFmtId="44" fontId="67" fillId="2" borderId="68" xfId="0" applyNumberFormat="1" applyFont="1" applyFill="1" applyBorder="1"/>
    <xf numFmtId="44" fontId="67" fillId="2" borderId="37" xfId="0" applyNumberFormat="1" applyFont="1" applyFill="1" applyBorder="1"/>
    <xf numFmtId="44" fontId="67" fillId="0" borderId="26" xfId="0" applyNumberFormat="1" applyFont="1" applyBorder="1"/>
    <xf numFmtId="44" fontId="67" fillId="0" borderId="60" xfId="0" applyNumberFormat="1" applyFont="1" applyBorder="1"/>
    <xf numFmtId="44" fontId="67" fillId="0" borderId="26" xfId="2" applyFont="1" applyBorder="1" applyAlignment="1"/>
    <xf numFmtId="44" fontId="67" fillId="0" borderId="69" xfId="2" applyFont="1" applyBorder="1" applyAlignment="1"/>
    <xf numFmtId="44" fontId="67" fillId="0" borderId="38" xfId="2" applyFont="1" applyBorder="1" applyAlignment="1"/>
    <xf numFmtId="174" fontId="67" fillId="2" borderId="59" xfId="3" applyNumberFormat="1" applyFont="1" applyFill="1" applyBorder="1"/>
    <xf numFmtId="43" fontId="68" fillId="0" borderId="0" xfId="1" applyFont="1" applyAlignment="1">
      <alignment wrapText="1"/>
    </xf>
    <xf numFmtId="174" fontId="67" fillId="2" borderId="56" xfId="3" applyNumberFormat="1" applyFont="1" applyFill="1" applyBorder="1"/>
    <xf numFmtId="43" fontId="67" fillId="0" borderId="70" xfId="1" applyFont="1" applyBorder="1"/>
    <xf numFmtId="1" fontId="67" fillId="2" borderId="13" xfId="0" applyNumberFormat="1" applyFont="1" applyFill="1" applyBorder="1"/>
    <xf numFmtId="1" fontId="67" fillId="2" borderId="34" xfId="0" applyNumberFormat="1" applyFont="1" applyFill="1" applyBorder="1"/>
    <xf numFmtId="1" fontId="67" fillId="2" borderId="71" xfId="0" applyNumberFormat="1" applyFont="1" applyFill="1" applyBorder="1"/>
    <xf numFmtId="167" fontId="67" fillId="2" borderId="70" xfId="1" applyNumberFormat="1" applyFont="1" applyFill="1" applyBorder="1" applyAlignment="1">
      <alignment horizontal="center"/>
    </xf>
    <xf numFmtId="43" fontId="67" fillId="2" borderId="33" xfId="1" applyFont="1" applyFill="1" applyBorder="1" applyAlignment="1">
      <alignment horizontal="center"/>
    </xf>
    <xf numFmtId="1" fontId="67" fillId="2" borderId="70" xfId="0" applyNumberFormat="1" applyFont="1" applyFill="1" applyBorder="1"/>
    <xf numFmtId="2" fontId="67" fillId="2" borderId="70" xfId="0" applyNumberFormat="1" applyFont="1" applyFill="1" applyBorder="1"/>
    <xf numFmtId="0" fontId="67" fillId="2" borderId="70" xfId="0" applyFont="1" applyFill="1" applyBorder="1"/>
    <xf numFmtId="44" fontId="67" fillId="2" borderId="70" xfId="2" applyFont="1" applyFill="1" applyBorder="1" applyAlignment="1"/>
    <xf numFmtId="10" fontId="67" fillId="2" borderId="72" xfId="3" applyNumberFormat="1" applyFont="1" applyFill="1" applyBorder="1" applyAlignment="1"/>
    <xf numFmtId="43" fontId="68" fillId="0" borderId="73" xfId="1" applyFont="1" applyBorder="1" applyAlignment="1">
      <alignment wrapText="1"/>
    </xf>
    <xf numFmtId="43" fontId="67" fillId="0" borderId="70" xfId="1" applyFont="1" applyBorder="1" applyAlignment="1"/>
    <xf numFmtId="44" fontId="67" fillId="0" borderId="74" xfId="0" applyNumberFormat="1" applyFont="1" applyBorder="1"/>
    <xf numFmtId="174" fontId="67" fillId="2" borderId="74" xfId="3" applyNumberFormat="1" applyFont="1" applyFill="1" applyBorder="1"/>
    <xf numFmtId="43" fontId="68" fillId="0" borderId="12" xfId="1" applyFont="1" applyBorder="1" applyAlignment="1">
      <alignment wrapText="1"/>
    </xf>
    <xf numFmtId="43" fontId="68" fillId="0" borderId="33" xfId="1" applyFont="1" applyBorder="1" applyAlignment="1">
      <alignment wrapText="1"/>
    </xf>
    <xf numFmtId="43" fontId="68" fillId="0" borderId="70" xfId="1" applyFont="1" applyBorder="1" applyAlignment="1">
      <alignment wrapText="1"/>
    </xf>
    <xf numFmtId="44" fontId="67" fillId="0" borderId="70" xfId="0" applyNumberFormat="1" applyFont="1" applyBorder="1"/>
    <xf numFmtId="174" fontId="67" fillId="2" borderId="71" xfId="3" applyNumberFormat="1" applyFont="1" applyFill="1" applyBorder="1"/>
    <xf numFmtId="44" fontId="67" fillId="0" borderId="70" xfId="2" applyFont="1" applyBorder="1" applyAlignment="1"/>
    <xf numFmtId="44" fontId="67" fillId="0" borderId="71" xfId="0" applyNumberFormat="1" applyFont="1" applyBorder="1"/>
    <xf numFmtId="44" fontId="67" fillId="2" borderId="74" xfId="0" applyNumberFormat="1" applyFont="1" applyFill="1" applyBorder="1"/>
    <xf numFmtId="44" fontId="67" fillId="0" borderId="69" xfId="0" applyNumberFormat="1" applyFont="1" applyBorder="1"/>
    <xf numFmtId="44" fontId="67" fillId="0" borderId="38" xfId="0" applyNumberFormat="1" applyFont="1" applyBorder="1"/>
    <xf numFmtId="44" fontId="67" fillId="0" borderId="75" xfId="0" applyNumberFormat="1" applyFont="1" applyBorder="1"/>
    <xf numFmtId="43" fontId="0" fillId="0" borderId="0" xfId="1" applyFont="1" applyFill="1" applyBorder="1"/>
    <xf numFmtId="43" fontId="0" fillId="0" borderId="19" xfId="1" applyFont="1" applyFill="1" applyBorder="1"/>
    <xf numFmtId="172" fontId="31" fillId="6" borderId="70" xfId="2" applyNumberFormat="1" applyFont="1" applyFill="1" applyBorder="1"/>
    <xf numFmtId="172" fontId="31" fillId="12" borderId="70" xfId="2" applyNumberFormat="1" applyFont="1" applyFill="1" applyBorder="1"/>
    <xf numFmtId="10" fontId="55" fillId="3" borderId="3" xfId="3" applyNumberFormat="1" applyFont="1" applyFill="1" applyBorder="1"/>
    <xf numFmtId="169" fontId="21" fillId="3" borderId="2" xfId="1" applyNumberFormat="1" applyFont="1" applyFill="1" applyBorder="1"/>
    <xf numFmtId="43" fontId="21" fillId="3" borderId="0" xfId="1" applyFont="1" applyFill="1" applyBorder="1"/>
    <xf numFmtId="168" fontId="25" fillId="2" borderId="103" xfId="0" applyNumberFormat="1" applyFont="1" applyFill="1" applyBorder="1"/>
    <xf numFmtId="43" fontId="42" fillId="0" borderId="0" xfId="1" applyFont="1" applyFill="1" applyBorder="1"/>
    <xf numFmtId="164" fontId="59" fillId="3" borderId="0" xfId="0" applyNumberFormat="1" applyFont="1" applyFill="1" applyAlignment="1">
      <alignment horizontal="right" wrapText="1"/>
    </xf>
    <xf numFmtId="164" fontId="62" fillId="3" borderId="0" xfId="0" applyNumberFormat="1" applyFont="1" applyFill="1" applyAlignment="1">
      <alignment horizontal="right" wrapText="1"/>
    </xf>
    <xf numFmtId="174" fontId="53" fillId="3" borderId="3" xfId="3" applyNumberFormat="1" applyFont="1" applyFill="1" applyBorder="1"/>
    <xf numFmtId="44" fontId="57" fillId="2" borderId="3" xfId="2" applyFont="1" applyFill="1" applyBorder="1"/>
    <xf numFmtId="43" fontId="0" fillId="12" borderId="0" xfId="1" applyFont="1" applyFill="1" applyBorder="1"/>
    <xf numFmtId="44" fontId="61" fillId="3" borderId="2" xfId="2" applyFont="1" applyFill="1" applyBorder="1"/>
    <xf numFmtId="1" fontId="19" fillId="12" borderId="19" xfId="2" applyNumberFormat="1" applyFont="1" applyFill="1" applyBorder="1"/>
    <xf numFmtId="44" fontId="19" fillId="12" borderId="19" xfId="2" applyFont="1" applyFill="1" applyBorder="1"/>
    <xf numFmtId="177" fontId="19" fillId="0" borderId="0" xfId="2" applyNumberFormat="1" applyFont="1" applyFill="1" applyBorder="1"/>
    <xf numFmtId="177" fontId="19" fillId="0" borderId="8" xfId="2" applyNumberFormat="1" applyFont="1" applyFill="1" applyBorder="1"/>
    <xf numFmtId="177" fontId="19" fillId="0" borderId="19" xfId="2" applyNumberFormat="1" applyFont="1" applyFill="1" applyBorder="1"/>
    <xf numFmtId="0" fontId="25" fillId="2" borderId="104" xfId="0" applyFont="1" applyFill="1" applyBorder="1" applyAlignment="1">
      <alignment horizontal="left"/>
    </xf>
    <xf numFmtId="0" fontId="26" fillId="2" borderId="103" xfId="0" applyFont="1" applyFill="1" applyBorder="1"/>
    <xf numFmtId="168" fontId="25" fillId="2" borderId="105" xfId="0" applyNumberFormat="1" applyFont="1" applyFill="1" applyBorder="1"/>
    <xf numFmtId="168" fontId="25" fillId="2" borderId="106" xfId="0" applyNumberFormat="1" applyFont="1" applyFill="1" applyBorder="1"/>
    <xf numFmtId="14" fontId="9" fillId="4" borderId="0" xfId="0" applyNumberFormat="1" applyFont="1" applyFill="1"/>
    <xf numFmtId="44" fontId="30" fillId="0" borderId="80" xfId="0" applyNumberFormat="1" applyFont="1" applyBorder="1"/>
    <xf numFmtId="167" fontId="19" fillId="2" borderId="80" xfId="1" applyNumberFormat="1" applyFont="1" applyFill="1" applyBorder="1" applyAlignment="1"/>
    <xf numFmtId="169" fontId="16" fillId="3" borderId="81" xfId="1" applyNumberFormat="1" applyFont="1" applyFill="1" applyBorder="1"/>
    <xf numFmtId="169" fontId="16" fillId="3" borderId="80" xfId="1" applyNumberFormat="1" applyFont="1" applyFill="1" applyBorder="1"/>
    <xf numFmtId="44" fontId="0" fillId="0" borderId="70" xfId="0" applyNumberFormat="1" applyBorder="1"/>
    <xf numFmtId="174" fontId="19" fillId="12" borderId="0" xfId="3" applyNumberFormat="1" applyFont="1" applyFill="1" applyBorder="1"/>
    <xf numFmtId="174" fontId="19" fillId="12" borderId="19" xfId="3" applyNumberFormat="1" applyFont="1" applyFill="1" applyBorder="1"/>
    <xf numFmtId="172" fontId="35" fillId="10" borderId="0" xfId="2" applyNumberFormat="1" applyFont="1" applyFill="1" applyAlignment="1">
      <alignment horizontal="right"/>
    </xf>
    <xf numFmtId="0" fontId="25" fillId="0" borderId="9" xfId="0" applyFont="1" applyBorder="1" applyAlignment="1">
      <alignment horizontal="right"/>
    </xf>
    <xf numFmtId="172" fontId="24" fillId="0" borderId="10" xfId="2" applyNumberFormat="1" applyFont="1" applyBorder="1"/>
    <xf numFmtId="172" fontId="24" fillId="0" borderId="11" xfId="2" applyNumberFormat="1" applyFont="1" applyBorder="1"/>
    <xf numFmtId="0" fontId="52" fillId="0" borderId="0" xfId="0" applyFont="1" applyAlignment="1">
      <alignment horizontal="center"/>
    </xf>
    <xf numFmtId="0" fontId="46" fillId="0" borderId="22" xfId="0" applyFont="1" applyBorder="1" applyAlignment="1">
      <alignment horizontal="center" wrapText="1"/>
    </xf>
    <xf numFmtId="0" fontId="46" fillId="0" borderId="16" xfId="0" applyFont="1" applyBorder="1" applyAlignment="1">
      <alignment horizontal="center" wrapText="1"/>
    </xf>
    <xf numFmtId="0" fontId="46" fillId="2" borderId="25" xfId="0" applyFont="1" applyFill="1" applyBorder="1" applyAlignment="1">
      <alignment horizontal="right" wrapText="1"/>
    </xf>
    <xf numFmtId="0" fontId="46" fillId="2" borderId="14" xfId="0" applyFont="1" applyFill="1" applyBorder="1" applyAlignment="1">
      <alignment horizontal="right" wrapText="1"/>
    </xf>
    <xf numFmtId="0" fontId="46" fillId="0" borderId="61" xfId="0" applyFont="1" applyBorder="1" applyAlignment="1">
      <alignment horizontal="center" wrapText="1"/>
    </xf>
    <xf numFmtId="0" fontId="46" fillId="0" borderId="86" xfId="0" applyFont="1" applyBorder="1" applyAlignment="1">
      <alignment horizontal="center" wrapText="1"/>
    </xf>
    <xf numFmtId="0" fontId="46" fillId="0" borderId="21" xfId="0" applyFont="1" applyBorder="1" applyAlignment="1">
      <alignment horizontal="center" wrapText="1"/>
    </xf>
    <xf numFmtId="0" fontId="46" fillId="0" borderId="19" xfId="0" applyFont="1" applyBorder="1" applyAlignment="1">
      <alignment horizontal="center" wrapText="1"/>
    </xf>
    <xf numFmtId="0" fontId="46" fillId="0" borderId="25" xfId="0" applyFont="1" applyBorder="1" applyAlignment="1">
      <alignment horizontal="center" wrapText="1"/>
    </xf>
    <xf numFmtId="0" fontId="46" fillId="0" borderId="14" xfId="0" applyFont="1" applyBorder="1" applyAlignment="1">
      <alignment horizontal="center" wrapText="1"/>
    </xf>
    <xf numFmtId="0" fontId="46" fillId="2" borderId="22" xfId="0" applyFont="1" applyFill="1" applyBorder="1" applyAlignment="1">
      <alignment horizontal="right" wrapText="1"/>
    </xf>
    <xf numFmtId="0" fontId="46" fillId="2" borderId="16" xfId="0" applyFont="1" applyFill="1" applyBorder="1" applyAlignment="1">
      <alignment horizontal="right" wrapText="1"/>
    </xf>
    <xf numFmtId="0" fontId="46" fillId="0" borderId="27" xfId="0" applyFont="1" applyBorder="1" applyAlignment="1">
      <alignment horizontal="center" wrapText="1"/>
    </xf>
    <xf numFmtId="0" fontId="46" fillId="0" borderId="44" xfId="0" applyFont="1" applyBorder="1" applyAlignment="1">
      <alignment horizontal="center" wrapText="1"/>
    </xf>
    <xf numFmtId="178" fontId="33" fillId="4" borderId="52" xfId="0" applyNumberFormat="1" applyFont="1" applyFill="1" applyBorder="1" applyAlignment="1">
      <alignment horizontal="center"/>
    </xf>
    <xf numFmtId="178" fontId="33" fillId="4" borderId="53" xfId="0" applyNumberFormat="1" applyFont="1" applyFill="1" applyBorder="1" applyAlignment="1">
      <alignment horizontal="center"/>
    </xf>
    <xf numFmtId="178" fontId="33" fillId="4" borderId="54" xfId="0" applyNumberFormat="1" applyFont="1" applyFill="1" applyBorder="1" applyAlignment="1">
      <alignment horizontal="center"/>
    </xf>
    <xf numFmtId="0" fontId="46" fillId="0" borderId="27" xfId="0" applyFont="1" applyBorder="1" applyAlignment="1">
      <alignment horizontal="center" vertical="center" wrapText="1"/>
    </xf>
    <xf numFmtId="0" fontId="46" fillId="0" borderId="44" xfId="0" applyFont="1" applyBorder="1" applyAlignment="1">
      <alignment horizontal="center" vertical="center" wrapText="1"/>
    </xf>
    <xf numFmtId="43" fontId="47" fillId="2" borderId="22" xfId="0" applyNumberFormat="1" applyFont="1" applyFill="1" applyBorder="1" applyAlignment="1">
      <alignment horizontal="right" vertical="center" textRotation="90"/>
    </xf>
    <xf numFmtId="43" fontId="47" fillId="2" borderId="21" xfId="0" applyNumberFormat="1" applyFont="1" applyFill="1" applyBorder="1" applyAlignment="1">
      <alignment horizontal="right" vertical="center" textRotation="90"/>
    </xf>
    <xf numFmtId="0" fontId="46" fillId="0" borderId="24" xfId="0" applyFont="1" applyBorder="1" applyAlignment="1">
      <alignment horizontal="center" wrapText="1"/>
    </xf>
    <xf numFmtId="0" fontId="46" fillId="0" borderId="76" xfId="0" applyFont="1" applyBorder="1" applyAlignment="1">
      <alignment horizontal="center" wrapText="1"/>
    </xf>
  </cellXfs>
  <cellStyles count="8">
    <cellStyle name="Comma" xfId="1" builtinId="3"/>
    <cellStyle name="Currency" xfId="2" builtinId="4"/>
    <cellStyle name="Normal" xfId="0" builtinId="0"/>
    <cellStyle name="Normal 2" xfId="4" xr:uid="{A5ED2F32-1B1B-4422-89AC-06B905178AB4}"/>
    <cellStyle name="Normal 3" xfId="5" xr:uid="{EEF0F66D-CCB6-4A89-A2B1-11A2C0430C60}"/>
    <cellStyle name="Normal 4" xfId="6" xr:uid="{5015E43E-9714-4930-A17C-691DE01CF2AC}"/>
    <cellStyle name="Normal 5" xfId="7" xr:uid="{B2BE4F6B-0336-47F0-90E9-D8419412B55F}"/>
    <cellStyle name="Percent" xfId="3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Cash</a:t>
            </a:r>
            <a:r>
              <a:rPr lang="en-US" b="0" baseline="0"/>
              <a:t> Position - Student Count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586593560621682E-2"/>
          <c:y val="7.8882915510537846E-2"/>
          <c:w val="0.89119345895470237"/>
          <c:h val="0.68670443737093045"/>
        </c:manualLayout>
      </c:layout>
      <c:areaChart>
        <c:grouping val="standard"/>
        <c:varyColors val="0"/>
        <c:ser>
          <c:idx val="5"/>
          <c:order val="1"/>
          <c:tx>
            <c:v>Expenses</c:v>
          </c:tx>
          <c:spPr>
            <a:solidFill>
              <a:schemeClr val="accent3">
                <a:shade val="86000"/>
              </a:schemeClr>
            </a:solidFill>
          </c:spPr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('Monthly Detail'!$K$97:$N$97,'Monthly Detail'!$T$97:$AM$97)</c:f>
            </c:numRef>
          </c:val>
          <c:extLst>
            <c:ext xmlns:c16="http://schemas.microsoft.com/office/drawing/2014/chart" uri="{C3380CC4-5D6E-409C-BE32-E72D297353CC}">
              <c16:uniqueId val="{00000009-B93C-4B32-A5CD-C473B209565A}"/>
            </c:ext>
          </c:extLst>
        </c:ser>
        <c:ser>
          <c:idx val="1"/>
          <c:order val="3"/>
          <c:tx>
            <c:v>Cash Balance</c:v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'Monthly Detail'!$AH$174:$AY$174</c:f>
              <c:numCache>
                <c:formatCode>_("$"* #,##0.00_);_("$"* \(#,##0.00\);_("$"* "-"??_);_(@_)</c:formatCode>
                <c:ptCount val="9"/>
                <c:pt idx="0">
                  <c:v>1331.5300000000013</c:v>
                </c:pt>
                <c:pt idx="1">
                  <c:v>557.08000000001061</c:v>
                </c:pt>
                <c:pt idx="2">
                  <c:v>1059.5000000000034</c:v>
                </c:pt>
                <c:pt idx="3">
                  <c:v>3158.8300000000054</c:v>
                </c:pt>
                <c:pt idx="4">
                  <c:v>3999.4700000000043</c:v>
                </c:pt>
                <c:pt idx="5">
                  <c:v>6133.2000000000007</c:v>
                </c:pt>
                <c:pt idx="6">
                  <c:v>10262.870000000006</c:v>
                </c:pt>
                <c:pt idx="7">
                  <c:v>31672.692830222069</c:v>
                </c:pt>
                <c:pt idx="8">
                  <c:v>33443.47195465042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245648"/>
        <c:axId val="2026246064"/>
      </c:areaChart>
      <c:barChart>
        <c:barDir val="col"/>
        <c:grouping val="stacked"/>
        <c:varyColors val="0"/>
        <c:ser>
          <c:idx val="4"/>
          <c:order val="0"/>
          <c:tx>
            <c:v>Total Income</c:v>
          </c:tx>
          <c:spPr>
            <a:solidFill>
              <a:schemeClr val="bg2">
                <a:lumMod val="75000"/>
              </a:schemeClr>
            </a:solidFill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B93C-4B32-A5CD-C473B209565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B93C-4B32-A5CD-C473B209565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B93C-4B32-A5CD-C473B209565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B93C-4B32-A5CD-C473B209565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B93C-4B32-A5CD-C473B209565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B93C-4B32-A5CD-C473B209565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0-D989-4236-9F53-E4F43D2199A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39E9-4893-BB40-24E831E39D1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1-370D-439E-AB50-6937D155F8F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2-370D-439E-AB50-6937D155F8F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3-370D-439E-AB50-6937D155F8F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E040-4FEC-B115-3582A862DDB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7-3CB3-4BAE-982A-47CAFE468B2C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C-9CF3-4D9D-AC6C-F238D5D67FB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1-2876-47AF-A9E2-0EC979915108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8-D076-4D4D-924C-A9152617A372}"/>
              </c:ext>
            </c:extLst>
          </c:dPt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'Monthly Detail'!$AH$14:$AY$14</c:f>
              <c:numCache>
                <c:formatCode>_("$"* #,##0.00_);_("$"* \(#,##0.00\);_("$"* "-"??_);_(@_)</c:formatCode>
                <c:ptCount val="9"/>
                <c:pt idx="0">
                  <c:v>3756.25</c:v>
                </c:pt>
                <c:pt idx="1">
                  <c:v>6044.5</c:v>
                </c:pt>
                <c:pt idx="2">
                  <c:v>6916</c:v>
                </c:pt>
                <c:pt idx="3">
                  <c:v>14930</c:v>
                </c:pt>
                <c:pt idx="4">
                  <c:v>20457</c:v>
                </c:pt>
                <c:pt idx="5">
                  <c:v>28307.5</c:v>
                </c:pt>
                <c:pt idx="6">
                  <c:v>39363.130000000005</c:v>
                </c:pt>
                <c:pt idx="7">
                  <c:v>12782.236961036549</c:v>
                </c:pt>
                <c:pt idx="8">
                  <c:v>11778.54027171923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245648"/>
        <c:axId val="2026246064"/>
      </c:barChart>
      <c:barChart>
        <c:barDir val="col"/>
        <c:grouping val="stacked"/>
        <c:varyColors val="0"/>
        <c:ser>
          <c:idx val="7"/>
          <c:order val="2"/>
          <c:tx>
            <c:v>EBITDA</c:v>
          </c:tx>
          <c:spPr>
            <a:solidFill>
              <a:schemeClr val="bg2"/>
            </a:solidFill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B93C-4B32-A5CD-C473B209565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B93C-4B32-A5CD-C473B209565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B93C-4B32-A5CD-C473B209565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B93C-4B32-A5CD-C473B209565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B93C-4B32-A5CD-C473B209565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B93C-4B32-A5CD-C473B209565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D989-4236-9F53-E4F43D2199A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39E9-4893-BB40-24E831E39D1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370D-439E-AB50-6937D155F8F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370D-439E-AB50-6937D155F8F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0-370D-439E-AB50-6937D155F8F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1-E040-4FEC-B115-3582A862DDB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6-3CB3-4BAE-982A-47CAFE468B2C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D-9CF3-4D9D-AC6C-F238D5D67FB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0-2876-47AF-A9E2-0EC979915108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A-D076-4D4D-924C-A9152617A372}"/>
              </c:ext>
            </c:extLst>
          </c:dPt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'Monthly Detail'!$AH$99:$AY$99</c:f>
              <c:numCache>
                <c:formatCode>_("$"* #,##0.00_);_("$"* \(#,##0.00\);_("$"* "-"??_);_(@_)</c:formatCode>
                <c:ptCount val="9"/>
                <c:pt idx="0">
                  <c:v>-24.739999999999782</c:v>
                </c:pt>
                <c:pt idx="1">
                  <c:v>2096.14</c:v>
                </c:pt>
                <c:pt idx="2">
                  <c:v>2763.62</c:v>
                </c:pt>
                <c:pt idx="3">
                  <c:v>3837.1100000000006</c:v>
                </c:pt>
                <c:pt idx="4">
                  <c:v>2124.9599999999991</c:v>
                </c:pt>
                <c:pt idx="5">
                  <c:v>10712.559999999998</c:v>
                </c:pt>
                <c:pt idx="6">
                  <c:v>14161.900000000005</c:v>
                </c:pt>
                <c:pt idx="7">
                  <c:v>4012.8640615437644</c:v>
                </c:pt>
                <c:pt idx="8">
                  <c:v>2405.8780638602693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245648"/>
        <c:axId val="2026246064"/>
      </c:barChart>
      <c:lineChart>
        <c:grouping val="standard"/>
        <c:varyColors val="0"/>
        <c:ser>
          <c:idx val="0"/>
          <c:order val="4"/>
          <c:tx>
            <c:strRef>
              <c:f>'Monthly Detail'!$C$17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B93C-4B32-A5CD-C473B209565A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B93C-4B32-A5CD-C473B209565A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B93C-4B32-A5CD-C473B209565A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B93C-4B32-A5CD-C473B209565A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B93C-4B32-A5CD-C473B209565A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D989-4236-9F53-E4F43D2199A9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39E9-4893-BB40-24E831E39D19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34-370D-439E-AB50-6937D155F8FB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35-370D-439E-AB50-6937D155F8FB}"/>
              </c:ext>
            </c:extLst>
          </c:dPt>
          <c:dPt>
            <c:idx val="10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36-370D-439E-AB50-6937D155F8FB}"/>
              </c:ext>
            </c:extLst>
          </c:dPt>
          <c:dPt>
            <c:idx val="1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E040-4FEC-B115-3582A862DDBB}"/>
              </c:ext>
            </c:extLst>
          </c:dPt>
          <c:dPt>
            <c:idx val="1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48-3CB3-4BAE-982A-47CAFE468B2C}"/>
              </c:ext>
            </c:extLst>
          </c:dPt>
          <c:dPt>
            <c:idx val="1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46-E582-463D-AF83-519163D87F9E}"/>
              </c:ext>
            </c:extLst>
          </c:dPt>
          <c:dPt>
            <c:idx val="1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52-2876-47AF-A9E2-0EC979915108}"/>
              </c:ext>
            </c:extLst>
          </c:dPt>
          <c:dPt>
            <c:idx val="1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59-D076-4D4D-924C-A9152617A372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'Monthly Detail'!$AH$17:$AY$17</c:f>
              <c:numCache>
                <c:formatCode>_(* #,##0_);_(* \(#,##0\);_(* "-"??_);_(@_)</c:formatCode>
                <c:ptCount val="9"/>
                <c:pt idx="0">
                  <c:v>23</c:v>
                </c:pt>
                <c:pt idx="1">
                  <c:v>20</c:v>
                </c:pt>
                <c:pt idx="2">
                  <c:v>25</c:v>
                </c:pt>
                <c:pt idx="3">
                  <c:v>35</c:v>
                </c:pt>
                <c:pt idx="4">
                  <c:v>48</c:v>
                </c:pt>
                <c:pt idx="5">
                  <c:v>57</c:v>
                </c:pt>
                <c:pt idx="6">
                  <c:v>67</c:v>
                </c:pt>
                <c:pt idx="7">
                  <c:v>62</c:v>
                </c:pt>
                <c:pt idx="8">
                  <c:v>37.6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516912"/>
        <c:axId val="900006399"/>
      </c:lineChart>
      <c:dateAx>
        <c:axId val="202624564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6064"/>
        <c:crosses val="autoZero"/>
        <c:auto val="1"/>
        <c:lblOffset val="100"/>
        <c:baseTimeUnit val="months"/>
        <c:majorUnit val="3"/>
      </c:dateAx>
      <c:valAx>
        <c:axId val="2026246064"/>
        <c:scaling>
          <c:orientation val="minMax"/>
        </c:scaling>
        <c:delete val="0"/>
        <c:axPos val="l"/>
        <c:numFmt formatCode="&quot;$&quot;* #,##0_€;[Red]\(&quot;$&quot;* #,##0_€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5648"/>
        <c:crosses val="autoZero"/>
        <c:crossBetween val="between"/>
      </c:valAx>
      <c:valAx>
        <c:axId val="90000639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154516912"/>
        <c:crosses val="max"/>
        <c:crossBetween val="between"/>
      </c:valAx>
      <c:dateAx>
        <c:axId val="11545169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00006399"/>
        <c:crosses val="autoZero"/>
        <c:auto val="1"/>
        <c:lblOffset val="100"/>
        <c:baseTimeUnit val="months"/>
      </c:date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'2025 AOP'!$B$36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AOP'!$C$36:$N$36</c:f>
              <c:numCache>
                <c:formatCode>_("$"* #,##0.00_);_("$"* \(#,##0.00\);_("$"* "-"??_);_(@_)</c:formatCode>
                <c:ptCount val="12"/>
                <c:pt idx="0">
                  <c:v>5910.4919725383306</c:v>
                </c:pt>
                <c:pt idx="1">
                  <c:v>11084.272361042324</c:v>
                </c:pt>
                <c:pt idx="2">
                  <c:v>13626.640747999701</c:v>
                </c:pt>
                <c:pt idx="3">
                  <c:v>16286.344773842786</c:v>
                </c:pt>
                <c:pt idx="4">
                  <c:v>18578.005705878626</c:v>
                </c:pt>
                <c:pt idx="5">
                  <c:v>19238.673723690408</c:v>
                </c:pt>
                <c:pt idx="6">
                  <c:v>21452.661713757698</c:v>
                </c:pt>
                <c:pt idx="7">
                  <c:v>26002.178211082912</c:v>
                </c:pt>
                <c:pt idx="8">
                  <c:v>32304.328083873392</c:v>
                </c:pt>
                <c:pt idx="9">
                  <c:v>39688.855915124463</c:v>
                </c:pt>
                <c:pt idx="10">
                  <c:v>44161.646649811548</c:v>
                </c:pt>
                <c:pt idx="11">
                  <c:v>45353.466864734175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1-40B1-A5BB-E481DB43CA5E}"/>
            </c:ext>
          </c:extLst>
        </c:ser>
        <c:ser>
          <c:idx val="4"/>
          <c:order val="1"/>
          <c:tx>
            <c:strRef>
              <c:f>'2025 AOP'!$B$37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</c:spPr>
          <c:val>
            <c:numRef>
              <c:f>'2025 AOP'!$C$37:$N$37</c:f>
              <c:numCache>
                <c:formatCode>_("$"* #,##0.00_);_("$"* \(#,##0.00\);_("$"* "-"??_);_(@_)</c:formatCode>
                <c:ptCount val="12"/>
                <c:pt idx="0">
                  <c:v>1691.5452984802259</c:v>
                </c:pt>
                <c:pt idx="1">
                  <c:v>5173.7803885039939</c:v>
                </c:pt>
                <c:pt idx="2">
                  <c:v>2542.3683869573779</c:v>
                </c:pt>
                <c:pt idx="3">
                  <c:v>2659.7040258430852</c:v>
                </c:pt>
                <c:pt idx="4">
                  <c:v>2291.6609320358393</c:v>
                </c:pt>
                <c:pt idx="5">
                  <c:v>660.6680178117831</c:v>
                </c:pt>
                <c:pt idx="6">
                  <c:v>2213.9879900672904</c:v>
                </c:pt>
                <c:pt idx="7">
                  <c:v>4549.516497325214</c:v>
                </c:pt>
                <c:pt idx="8">
                  <c:v>6302.1498727904818</c:v>
                </c:pt>
                <c:pt idx="9">
                  <c:v>7384.5278312510727</c:v>
                </c:pt>
                <c:pt idx="10">
                  <c:v>4472.7907346870816</c:v>
                </c:pt>
                <c:pt idx="11">
                  <c:v>1191.8202149226308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1-40B1-A5BB-E481DB43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3"/>
          <c:order val="2"/>
          <c:tx>
            <c:strRef>
              <c:f>'2025 AOP'!$B$12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6B1-40B1-A5BB-E481DB43CA5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6B1-40B1-A5BB-E481DB43CA5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6B1-40B1-A5BB-E481DB43CA5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6B1-40B1-A5BB-E481DB43CA5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06B1-40B1-A5BB-E481DB43CA5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06B1-40B1-A5BB-E481DB43CA5E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B1-40B1-A5BB-E481DB43CA5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06B1-40B1-A5BB-E481DB43CA5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06B1-40B1-A5BB-E481DB43CA5E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06B1-40B1-A5BB-E481DB43CA5E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06B1-40B1-A5BB-E481DB43CA5E}"/>
              </c:ext>
            </c:extLst>
          </c:dPt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AOP'!$C$12:$N$12</c:f>
              <c:numCache>
                <c:formatCode>_(* #,##0_);_(* \(#,##0\);_(* "-"??_);_(@_)</c:formatCode>
                <c:ptCount val="12"/>
                <c:pt idx="0">
                  <c:v>7677.1321022727261</c:v>
                </c:pt>
                <c:pt idx="1">
                  <c:v>12691.952380952382</c:v>
                </c:pt>
                <c:pt idx="2">
                  <c:v>7473.9</c:v>
                </c:pt>
                <c:pt idx="3">
                  <c:v>9831.9705882352919</c:v>
                </c:pt>
                <c:pt idx="4">
                  <c:v>10732.472826086954</c:v>
                </c:pt>
                <c:pt idx="5">
                  <c:v>5809.4312499999978</c:v>
                </c:pt>
                <c:pt idx="6">
                  <c:v>10858.899999999998</c:v>
                </c:pt>
                <c:pt idx="7">
                  <c:v>15862.284688995209</c:v>
                </c:pt>
                <c:pt idx="8">
                  <c:v>12122.448979591834</c:v>
                </c:pt>
                <c:pt idx="9">
                  <c:v>15626.953124999996</c:v>
                </c:pt>
                <c:pt idx="10">
                  <c:v>8797.3169856459317</c:v>
                </c:pt>
                <c:pt idx="11">
                  <c:v>6287.4785318559543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6B1-40B1-A5BB-E481DB43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0"/>
          <c:order val="3"/>
          <c:tx>
            <c:strRef>
              <c:f>'2025 AOP'!$B$15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A-06B1-40B1-A5BB-E481DB43CA5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C-06B1-40B1-A5BB-E481DB43CA5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E-06B1-40B1-A5BB-E481DB43CA5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0-06B1-40B1-A5BB-E481DB43CA5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2-06B1-40B1-A5BB-E481DB43CA5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4-06B1-40B1-A5BB-E481DB43CA5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6-06B1-40B1-A5BB-E481DB43CA5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8-06B1-40B1-A5BB-E481DB43CA5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2A-06B1-40B1-A5BB-E481DB43CA5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C-06B1-40B1-A5BB-E481DB43CA5E}"/>
              </c:ext>
            </c:extLst>
          </c:dPt>
          <c:val>
            <c:numRef>
              <c:f>'2025 AOP'!$C$15:$N$15</c:f>
              <c:numCache>
                <c:formatCode>_(* #,##0_);_(* \(#,##0\);_(* "-"??_);_(@_)</c:formatCode>
                <c:ptCount val="12"/>
                <c:pt idx="0">
                  <c:v>34.799999999999997</c:v>
                </c:pt>
                <c:pt idx="1">
                  <c:v>35.799999999999997</c:v>
                </c:pt>
                <c:pt idx="2">
                  <c:v>33.599999999999994</c:v>
                </c:pt>
                <c:pt idx="3">
                  <c:v>32.399999999999991</c:v>
                </c:pt>
                <c:pt idx="4">
                  <c:v>33.399999999999991</c:v>
                </c:pt>
                <c:pt idx="5">
                  <c:v>29.199999999999989</c:v>
                </c:pt>
                <c:pt idx="6">
                  <c:v>31.199999999999989</c:v>
                </c:pt>
                <c:pt idx="7">
                  <c:v>37.199999999999989</c:v>
                </c:pt>
                <c:pt idx="8">
                  <c:v>43.199999999999989</c:v>
                </c:pt>
                <c:pt idx="9">
                  <c:v>44.999999999999986</c:v>
                </c:pt>
                <c:pt idx="10">
                  <c:v>43.599999999999987</c:v>
                </c:pt>
                <c:pt idx="11">
                  <c:v>42.199999999999989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6B1-40B1-A5BB-E481DB43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74879"/>
        <c:axId val="1637885439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63788543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637874879"/>
        <c:crosses val="max"/>
        <c:crossBetween val="between"/>
      </c:valAx>
      <c:catAx>
        <c:axId val="16378748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37885439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'2023 Overview'!$B$29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Lbl>
              <c:idx val="11"/>
              <c:layout>
                <c:manualLayout>
                  <c:x val="2.1380336403600147E-3"/>
                  <c:y val="-6.718692447224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B2-4A63-A64D-58B388678D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'2023 Overview'!$C$29:$N$29</c:f>
              <c:numCache>
                <c:formatCode>_("$"* #,##0.00_);_("$"* \(#,##0.00\);_("$"* "-"??_);_(@_)</c:formatCode>
                <c:ptCount val="12"/>
                <c:pt idx="0">
                  <c:v>169.96000000000117</c:v>
                </c:pt>
                <c:pt idx="1">
                  <c:v>212.95000000000118</c:v>
                </c:pt>
                <c:pt idx="2">
                  <c:v>127.39000000000124</c:v>
                </c:pt>
                <c:pt idx="3">
                  <c:v>395.42000000000144</c:v>
                </c:pt>
                <c:pt idx="4">
                  <c:v>300.21000000000186</c:v>
                </c:pt>
                <c:pt idx="5">
                  <c:v>433.57000000000198</c:v>
                </c:pt>
                <c:pt idx="6">
                  <c:v>566.72999999999774</c:v>
                </c:pt>
                <c:pt idx="7">
                  <c:v>503.449999999998</c:v>
                </c:pt>
                <c:pt idx="8">
                  <c:v>741.17999999999756</c:v>
                </c:pt>
                <c:pt idx="9">
                  <c:v>653.29999999999927</c:v>
                </c:pt>
                <c:pt idx="10">
                  <c:v>727.48999999999887</c:v>
                </c:pt>
                <c:pt idx="11">
                  <c:v>997.01999999999884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8-43BA-843B-9620D8EB0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418911"/>
        <c:axId val="1908237535"/>
      </c:barChart>
      <c:lineChart>
        <c:grouping val="standard"/>
        <c:varyColors val="0"/>
        <c:ser>
          <c:idx val="1"/>
          <c:order val="1"/>
          <c:tx>
            <c:strRef>
              <c:f>'2023 Overview'!$B$30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'2023 Overview'!$C$30:$N$30</c:f>
              <c:numCache>
                <c:formatCode>_("$"* #,##0.00_);_("$"* \(#,##0.00\);_("$"* "-"??_);_(@_)</c:formatCode>
                <c:ptCount val="12"/>
                <c:pt idx="0">
                  <c:v>225.86000000000104</c:v>
                </c:pt>
                <c:pt idx="1">
                  <c:v>42.990000000000009</c:v>
                </c:pt>
                <c:pt idx="2">
                  <c:v>-85.559999999999945</c:v>
                </c:pt>
                <c:pt idx="3">
                  <c:v>268.0300000000002</c:v>
                </c:pt>
                <c:pt idx="4">
                  <c:v>-95.209999999999582</c:v>
                </c:pt>
                <c:pt idx="5">
                  <c:v>133.36000000000013</c:v>
                </c:pt>
                <c:pt idx="6">
                  <c:v>133.15999999999576</c:v>
                </c:pt>
                <c:pt idx="7">
                  <c:v>-63.279999999999745</c:v>
                </c:pt>
                <c:pt idx="8">
                  <c:v>237.72999999999956</c:v>
                </c:pt>
                <c:pt idx="9">
                  <c:v>-87.87999999999829</c:v>
                </c:pt>
                <c:pt idx="10">
                  <c:v>74.1899999999996</c:v>
                </c:pt>
                <c:pt idx="11">
                  <c:v>269.52999999999997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8-43BA-843B-9620D8EB0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18911"/>
        <c:axId val="1908237535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'2026 AOP'!$B$36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'2026 AOP'!$C$36:$N$36</c:f>
              <c:numCache>
                <c:formatCode>_("$"* #,##0.00_);_("$"* \(#,##0.00\);_("$"* "-"??_);_(@_)</c:formatCode>
                <c:ptCount val="12"/>
                <c:pt idx="0">
                  <c:v>34481.555928780064</c:v>
                </c:pt>
                <c:pt idx="1">
                  <c:v>33113.497952619</c:v>
                </c:pt>
                <c:pt idx="2">
                  <c:v>35905.299272422752</c:v>
                </c:pt>
                <c:pt idx="3">
                  <c:v>32138.613897397932</c:v>
                </c:pt>
                <c:pt idx="4">
                  <c:v>31827.965600358417</c:v>
                </c:pt>
                <c:pt idx="5">
                  <c:v>32486.464243393882</c:v>
                </c:pt>
                <c:pt idx="6">
                  <c:v>34013.013831535616</c:v>
                </c:pt>
                <c:pt idx="7">
                  <c:v>34081.717091194951</c:v>
                </c:pt>
                <c:pt idx="8">
                  <c:v>36859.227007487578</c:v>
                </c:pt>
                <c:pt idx="9">
                  <c:v>46693.424127902908</c:v>
                </c:pt>
                <c:pt idx="10">
                  <c:v>49669.198727617804</c:v>
                </c:pt>
                <c:pt idx="11">
                  <c:v>51151.723136391331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B-48A3-A5DD-F9829922D4A3}"/>
            </c:ext>
          </c:extLst>
        </c:ser>
        <c:ser>
          <c:idx val="4"/>
          <c:order val="1"/>
          <c:tx>
            <c:strRef>
              <c:f>'2026 AOP'!$B$37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</c:spPr>
          <c:val>
            <c:numRef>
              <c:f>'2026 AOP'!$C$37:$N$37</c:f>
              <c:numCache>
                <c:formatCode>_("$"* #,##0.00_);_("$"* \(#,##0.00\);_("$"* "-"??_);_(@_)</c:formatCode>
                <c:ptCount val="12"/>
                <c:pt idx="0">
                  <c:v>1038.0839741296406</c:v>
                </c:pt>
                <c:pt idx="1">
                  <c:v>-1368.0579761610657</c:v>
                </c:pt>
                <c:pt idx="2">
                  <c:v>2791.8013198037502</c:v>
                </c:pt>
                <c:pt idx="3">
                  <c:v>-3766.6853750248201</c:v>
                </c:pt>
                <c:pt idx="4">
                  <c:v>-310.648297039515</c:v>
                </c:pt>
                <c:pt idx="5">
                  <c:v>658.49864303546701</c:v>
                </c:pt>
                <c:pt idx="6">
                  <c:v>1526.5495881417351</c:v>
                </c:pt>
                <c:pt idx="7">
                  <c:v>68.703259659331252</c:v>
                </c:pt>
                <c:pt idx="8">
                  <c:v>2777.5099162926294</c:v>
                </c:pt>
                <c:pt idx="9">
                  <c:v>9834.1971204153269</c:v>
                </c:pt>
                <c:pt idx="10">
                  <c:v>2975.7745997148986</c:v>
                </c:pt>
                <c:pt idx="11">
                  <c:v>1482.5244087735236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B-48A3-A5DD-F9829922D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3"/>
          <c:order val="2"/>
          <c:tx>
            <c:strRef>
              <c:f>'2026 AOP'!$B$12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A1B-48A3-A5DD-F9829922D4A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A1B-48A3-A5DD-F9829922D4A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A1B-48A3-A5DD-F9829922D4A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A1B-48A3-A5DD-F9829922D4A3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8A1B-48A3-A5DD-F9829922D4A3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A1B-48A3-A5DD-F9829922D4A3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A1B-48A3-A5DD-F9829922D4A3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8A1B-48A3-A5DD-F9829922D4A3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8A1B-48A3-A5DD-F9829922D4A3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8A1B-48A3-A5DD-F9829922D4A3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8A1B-48A3-A5DD-F9829922D4A3}"/>
              </c:ext>
            </c:extLst>
          </c:dPt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'2026 AOP'!$C$12:$N$12</c:f>
              <c:numCache>
                <c:formatCode>_(* #,##0_);_(* \(#,##0\);_(* "-"??_);_(@_)</c:formatCode>
                <c:ptCount val="12"/>
                <c:pt idx="0">
                  <c:v>15019.842391304348</c:v>
                </c:pt>
                <c:pt idx="1">
                  <c:v>15669.749999999996</c:v>
                </c:pt>
                <c:pt idx="2">
                  <c:v>17176.342857142852</c:v>
                </c:pt>
                <c:pt idx="3">
                  <c:v>8151.254347826085</c:v>
                </c:pt>
                <c:pt idx="4">
                  <c:v>14732.786249999996</c:v>
                </c:pt>
                <c:pt idx="5">
                  <c:v>12995.51314285714</c:v>
                </c:pt>
                <c:pt idx="6">
                  <c:v>19731.24896103896</c:v>
                </c:pt>
                <c:pt idx="7">
                  <c:v>21100.5</c:v>
                </c:pt>
                <c:pt idx="8">
                  <c:v>29721.023684210519</c:v>
                </c:pt>
                <c:pt idx="9">
                  <c:v>34737.84295911745</c:v>
                </c:pt>
                <c:pt idx="10">
                  <c:v>16315.454292714925</c:v>
                </c:pt>
                <c:pt idx="11">
                  <c:v>23177.178947368418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A1B-48A3-A5DD-F9829922D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0"/>
          <c:order val="3"/>
          <c:tx>
            <c:strRef>
              <c:f>'2026 AOP'!$B$15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9-8A1B-48A3-A5DD-F9829922D4A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B-8A1B-48A3-A5DD-F9829922D4A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D-8A1B-48A3-A5DD-F9829922D4A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F-8A1B-48A3-A5DD-F9829922D4A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1-8A1B-48A3-A5DD-F9829922D4A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3-8A1B-48A3-A5DD-F9829922D4A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5-8A1B-48A3-A5DD-F9829922D4A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7-8A1B-48A3-A5DD-F9829922D4A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29-8A1B-48A3-A5DD-F9829922D4A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A-8A1B-48A3-A5DD-F9829922D4A3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'2026 AOP'!$C$15:$N$15</c:f>
              <c:numCache>
                <c:formatCode>_(* #,##0_);_(* \(#,##0\);_(* "-"??_);_(@_)</c:formatCode>
                <c:ptCount val="12"/>
                <c:pt idx="0">
                  <c:v>40.36</c:v>
                </c:pt>
                <c:pt idx="1">
                  <c:v>49.16</c:v>
                </c:pt>
                <c:pt idx="2">
                  <c:v>49.919999999999995</c:v>
                </c:pt>
                <c:pt idx="3">
                  <c:v>48.679999999999993</c:v>
                </c:pt>
                <c:pt idx="4">
                  <c:v>51.47999999999999</c:v>
                </c:pt>
                <c:pt idx="5">
                  <c:v>45.239999999999988</c:v>
                </c:pt>
                <c:pt idx="6">
                  <c:v>45.039999999999992</c:v>
                </c:pt>
                <c:pt idx="7">
                  <c:v>51.839999999999989</c:v>
                </c:pt>
                <c:pt idx="8">
                  <c:v>61.639999999999986</c:v>
                </c:pt>
                <c:pt idx="9">
                  <c:v>66.399999999999977</c:v>
                </c:pt>
                <c:pt idx="10">
                  <c:v>68.119999999999976</c:v>
                </c:pt>
                <c:pt idx="11">
                  <c:v>67.839999999999975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A1B-48A3-A5DD-F9829922D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74879"/>
        <c:axId val="1637885439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63788543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637874879"/>
        <c:crosses val="max"/>
        <c:crossBetween val="between"/>
      </c:valAx>
      <c:catAx>
        <c:axId val="16378748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37885439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'2025 Overview (Rolling)'!$B$36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(Rolling)'!$C$36:$N$36</c:f>
              <c:numCache>
                <c:formatCode>_("$"* #,##0.00_);_("$"* \(#,##0.00\);_("$"* "-"??_);_(@_)</c:formatCode>
                <c:ptCount val="12"/>
                <c:pt idx="0">
                  <c:v>3823.5900000000011</c:v>
                </c:pt>
                <c:pt idx="1">
                  <c:v>494.25000000000091</c:v>
                </c:pt>
                <c:pt idx="2">
                  <c:v>985.19000000000108</c:v>
                </c:pt>
                <c:pt idx="3">
                  <c:v>1331.5300000000013</c:v>
                </c:pt>
                <c:pt idx="4">
                  <c:v>557.08000000001061</c:v>
                </c:pt>
                <c:pt idx="5">
                  <c:v>1059.5000000000034</c:v>
                </c:pt>
                <c:pt idx="6">
                  <c:v>3158.8300000000054</c:v>
                </c:pt>
                <c:pt idx="7">
                  <c:v>3999.4700000000043</c:v>
                </c:pt>
                <c:pt idx="8">
                  <c:v>6133.2000000000007</c:v>
                </c:pt>
                <c:pt idx="9">
                  <c:v>10262.870000000006</c:v>
                </c:pt>
                <c:pt idx="10">
                  <c:v>31672.692830222069</c:v>
                </c:pt>
                <c:pt idx="11">
                  <c:v>33443.47195465042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5-44EE-9DD7-2240D07068FA}"/>
            </c:ext>
          </c:extLst>
        </c:ser>
        <c:ser>
          <c:idx val="4"/>
          <c:order val="1"/>
          <c:tx>
            <c:strRef>
              <c:f>'2025 Overview (Rolling)'!$B$37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</c:spPr>
          <c:val>
            <c:numRef>
              <c:f>'2025 Overview (Rolling)'!$C$37:$N$37</c:f>
              <c:numCache>
                <c:formatCode>_("$"* #,##0.00_);_("$"* \(#,##0.00\);_("$"* "-"??_);_(@_)</c:formatCode>
                <c:ptCount val="12"/>
                <c:pt idx="0">
                  <c:v>3530.76</c:v>
                </c:pt>
                <c:pt idx="1">
                  <c:v>-3329.34</c:v>
                </c:pt>
                <c:pt idx="2">
                  <c:v>490.94000000000017</c:v>
                </c:pt>
                <c:pt idx="3">
                  <c:v>346.34000000000026</c:v>
                </c:pt>
                <c:pt idx="4">
                  <c:v>-774.44999999999072</c:v>
                </c:pt>
                <c:pt idx="5">
                  <c:v>502.4199999999928</c:v>
                </c:pt>
                <c:pt idx="6">
                  <c:v>2099.3300000000017</c:v>
                </c:pt>
                <c:pt idx="7">
                  <c:v>840.63999999999896</c:v>
                </c:pt>
                <c:pt idx="8">
                  <c:v>2133.7299999999959</c:v>
                </c:pt>
                <c:pt idx="9">
                  <c:v>4129.6700000000055</c:v>
                </c:pt>
                <c:pt idx="10">
                  <c:v>21409.822830222063</c:v>
                </c:pt>
                <c:pt idx="11">
                  <c:v>1770.779124428351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5-44EE-9DD7-2240D0706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3"/>
          <c:order val="2"/>
          <c:tx>
            <c:strRef>
              <c:f>'2025 Overview (Rolling)'!$B$12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A5-44EE-9DD7-2240D07068F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A5-44EE-9DD7-2240D07068F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A5-44EE-9DD7-2240D07068F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A5-44EE-9DD7-2240D07068F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A5-44EE-9DD7-2240D07068F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1A5-44EE-9DD7-2240D07068F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1A5-44EE-9DD7-2240D07068F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1A5-44EE-9DD7-2240D07068F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1A5-44EE-9DD7-2240D07068F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1A5-44EE-9DD7-2240D07068FA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31A5-44EE-9DD7-2240D07068FA}"/>
              </c:ext>
            </c:extLst>
          </c:dPt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(Rolling)'!$C$12:$N$12</c:f>
              <c:numCache>
                <c:formatCode>_(* #,##0_);_(* \(#,##0\);_(* "-"??_);_(@_)</c:formatCode>
                <c:ptCount val="12"/>
                <c:pt idx="0">
                  <c:v>6477.5</c:v>
                </c:pt>
                <c:pt idx="1">
                  <c:v>8052.5</c:v>
                </c:pt>
                <c:pt idx="2">
                  <c:v>7630</c:v>
                </c:pt>
                <c:pt idx="3">
                  <c:v>3756.25</c:v>
                </c:pt>
                <c:pt idx="4">
                  <c:v>6032.5</c:v>
                </c:pt>
                <c:pt idx="5">
                  <c:v>6822.5</c:v>
                </c:pt>
                <c:pt idx="6">
                  <c:v>14855</c:v>
                </c:pt>
                <c:pt idx="7">
                  <c:v>20412.5</c:v>
                </c:pt>
                <c:pt idx="8">
                  <c:v>28257.5</c:v>
                </c:pt>
                <c:pt idx="9">
                  <c:v>39333.760000000002</c:v>
                </c:pt>
                <c:pt idx="10">
                  <c:v>12728.271531100479</c:v>
                </c:pt>
                <c:pt idx="11">
                  <c:v>11728.812356979408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1A5-44EE-9DD7-2240D0706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0"/>
          <c:order val="3"/>
          <c:tx>
            <c:strRef>
              <c:f>'2025 Overview (Rolling)'!$B$15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31A5-44EE-9DD7-2240D07068FA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31A5-44EE-9DD7-2240D07068FA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31A5-44EE-9DD7-2240D07068FA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31A5-44EE-9DD7-2240D07068FA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31A5-44EE-9DD7-2240D07068FA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31A5-44EE-9DD7-2240D07068FA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31A5-44EE-9DD7-2240D07068FA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31A5-44EE-9DD7-2240D07068FA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31A5-44EE-9DD7-2240D07068F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C-31A5-44EE-9DD7-2240D07068FA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'2025 Overview (Rolling)'!$C$15:$N$15</c:f>
              <c:numCache>
                <c:formatCode>_(* #,##0_);_(* \(#,##0\);_(* "-"??_);_(@_)</c:formatCode>
                <c:ptCount val="12"/>
                <c:pt idx="0">
                  <c:v>24</c:v>
                </c:pt>
                <c:pt idx="1">
                  <c:v>28</c:v>
                </c:pt>
                <c:pt idx="2">
                  <c:v>24</c:v>
                </c:pt>
                <c:pt idx="3">
                  <c:v>23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48</c:v>
                </c:pt>
                <c:pt idx="8">
                  <c:v>57</c:v>
                </c:pt>
                <c:pt idx="9">
                  <c:v>67</c:v>
                </c:pt>
                <c:pt idx="10">
                  <c:v>62</c:v>
                </c:pt>
                <c:pt idx="11">
                  <c:v>37.6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31A5-44EE-9DD7-2240D0706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74879"/>
        <c:axId val="1637885439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63788543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637874879"/>
        <c:crosses val="max"/>
        <c:crossBetween val="between"/>
      </c:valAx>
      <c:catAx>
        <c:axId val="16378748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37885439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'2025 Overview (Budget)'!$B$32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(Budget)'!$C$32:$N$32</c:f>
              <c:numCache>
                <c:formatCode>_("$"* #,##0.00_);_("$"* \(#,##0.00\);_("$"* "-"??_);_(@_)</c:formatCode>
                <c:ptCount val="12"/>
                <c:pt idx="0">
                  <c:v>3823.5900000000011</c:v>
                </c:pt>
                <c:pt idx="1">
                  <c:v>494.25000000000091</c:v>
                </c:pt>
                <c:pt idx="2">
                  <c:v>985.19000000000108</c:v>
                </c:pt>
                <c:pt idx="3">
                  <c:v>1331.5300000000013</c:v>
                </c:pt>
                <c:pt idx="4">
                  <c:v>557.08000000001061</c:v>
                </c:pt>
                <c:pt idx="5">
                  <c:v>1059.5000000000034</c:v>
                </c:pt>
                <c:pt idx="6">
                  <c:v>3158.8300000000054</c:v>
                </c:pt>
                <c:pt idx="7">
                  <c:v>3999.4700000000043</c:v>
                </c:pt>
                <c:pt idx="8">
                  <c:v>6133.2000000000007</c:v>
                </c:pt>
                <c:pt idx="9">
                  <c:v>10262.870000000006</c:v>
                </c:pt>
                <c:pt idx="10">
                  <c:v>36536.590043550263</c:v>
                </c:pt>
                <c:pt idx="11">
                  <c:v>38730.025353412595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038-4434-9D99-9254E94B4A43}"/>
            </c:ext>
          </c:extLst>
        </c:ser>
        <c:ser>
          <c:idx val="5"/>
          <c:order val="1"/>
          <c:tx>
            <c:strRef>
              <c:f>'2025 Overview (Budget)'!$B$33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  <a:effectLst/>
          </c:spPr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(Budget)'!$C$33:$N$33</c:f>
              <c:numCache>
                <c:formatCode>_("$"* #,##0.00_);_("$"* \(#,##0.00\);_("$"* "-"??_);_(@_)</c:formatCode>
                <c:ptCount val="12"/>
                <c:pt idx="0">
                  <c:v>3530.76</c:v>
                </c:pt>
                <c:pt idx="1">
                  <c:v>-3329.34</c:v>
                </c:pt>
                <c:pt idx="2">
                  <c:v>490.94000000000017</c:v>
                </c:pt>
                <c:pt idx="3">
                  <c:v>346.34000000000026</c:v>
                </c:pt>
                <c:pt idx="4">
                  <c:v>-774.44999999999072</c:v>
                </c:pt>
                <c:pt idx="5">
                  <c:v>502.4199999999928</c:v>
                </c:pt>
                <c:pt idx="6">
                  <c:v>2099.3300000000017</c:v>
                </c:pt>
                <c:pt idx="7">
                  <c:v>840.63999999999896</c:v>
                </c:pt>
                <c:pt idx="8">
                  <c:v>2133.7299999999959</c:v>
                </c:pt>
                <c:pt idx="9">
                  <c:v>4129.6700000000055</c:v>
                </c:pt>
                <c:pt idx="10">
                  <c:v>1814.0563377699918</c:v>
                </c:pt>
                <c:pt idx="11">
                  <c:v>2193.4353098623324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038-4434-9D99-9254E94B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6"/>
          <c:order val="2"/>
          <c:tx>
            <c:strRef>
              <c:f>'2025 Overview (Budget)'!$B$12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03D-48C3-AD49-5236454D660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3D-48C3-AD49-5236454D66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03D-48C3-AD49-5236454D66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3D-48C3-AD49-5236454D66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03D-48C3-AD49-5236454D660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3D-48C3-AD49-5236454D660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2FA-44C2-9797-2C7C41224D4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95DD-409D-B3D5-325F3F3417A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CAE-4D75-8298-6A5DD8CC75B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ACAE-4D75-8298-6A5DD8CC75B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ACAE-4D75-8298-6A5DD8CC75BB}"/>
              </c:ext>
            </c:extLst>
          </c:dPt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(Budget)'!$C$12:$N$12</c:f>
              <c:numCache>
                <c:formatCode>_(* #,##0_);_(* \(#,##0\);_(* "-"??_);_(@_)</c:formatCode>
                <c:ptCount val="12"/>
                <c:pt idx="0">
                  <c:v>6477.5</c:v>
                </c:pt>
                <c:pt idx="1">
                  <c:v>8052.5</c:v>
                </c:pt>
                <c:pt idx="2">
                  <c:v>7630</c:v>
                </c:pt>
                <c:pt idx="3">
                  <c:v>3756.25</c:v>
                </c:pt>
                <c:pt idx="4">
                  <c:v>6032.5</c:v>
                </c:pt>
                <c:pt idx="5">
                  <c:v>6822.5</c:v>
                </c:pt>
                <c:pt idx="6">
                  <c:v>14855</c:v>
                </c:pt>
                <c:pt idx="7">
                  <c:v>20412.5</c:v>
                </c:pt>
                <c:pt idx="8">
                  <c:v>28257.5</c:v>
                </c:pt>
                <c:pt idx="9">
                  <c:v>39333.760000000002</c:v>
                </c:pt>
                <c:pt idx="10">
                  <c:v>8797.3169856459317</c:v>
                </c:pt>
                <c:pt idx="11">
                  <c:v>6287.4785318559543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038-4434-9D99-9254E94B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7"/>
          <c:order val="3"/>
          <c:tx>
            <c:strRef>
              <c:f>'2025 Overview (Budget)'!$B$15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03D-48C3-AD49-5236454D6603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03D-48C3-AD49-5236454D6603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C03D-48C3-AD49-5236454D6603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03D-48C3-AD49-5236454D6603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C03D-48C3-AD49-5236454D6603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72FA-44C2-9797-2C7C41224D45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5DD-409D-B3D5-325F3F3417A3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ACAE-4D75-8298-6A5DD8CC75BB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ACAE-4D75-8298-6A5DD8CC75BB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0-ACAE-4D75-8298-6A5DD8CC75BB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'2025 Overview (Budget)'!$C$15:$N$15</c:f>
              <c:numCache>
                <c:formatCode>_(* #,##0_);_(* \(#,##0\);_(* "-"??_);_(@_)</c:formatCode>
                <c:ptCount val="12"/>
                <c:pt idx="0">
                  <c:v>24</c:v>
                </c:pt>
                <c:pt idx="1">
                  <c:v>28</c:v>
                </c:pt>
                <c:pt idx="2">
                  <c:v>24</c:v>
                </c:pt>
                <c:pt idx="3">
                  <c:v>23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48</c:v>
                </c:pt>
                <c:pt idx="8">
                  <c:v>57</c:v>
                </c:pt>
                <c:pt idx="9">
                  <c:v>67</c:v>
                </c:pt>
                <c:pt idx="10">
                  <c:v>43.599999999999987</c:v>
                </c:pt>
                <c:pt idx="11">
                  <c:v>42.199999999999989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038-4434-9D99-9254E94B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784431"/>
        <c:axId val="1073801231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073801231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073784431"/>
        <c:crosses val="max"/>
        <c:crossBetween val="between"/>
      </c:valAx>
      <c:catAx>
        <c:axId val="1073784431"/>
        <c:scaling>
          <c:orientation val="minMax"/>
        </c:scaling>
        <c:delete val="1"/>
        <c:axPos val="b"/>
        <c:majorTickMark val="out"/>
        <c:minorTickMark val="none"/>
        <c:tickLblPos val="nextTo"/>
        <c:crossAx val="1073801231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'2024 Overview (Rolling)'!$B$36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 (Rolling)'!$C$36:$N$36</c:f>
              <c:numCache>
                <c:formatCode>_("$"* #,##0.00_);_("$"* \(#,##0.00\);_("$"* "-"??_);_(@_)</c:formatCode>
                <c:ptCount val="12"/>
                <c:pt idx="0">
                  <c:v>1291.7799999999991</c:v>
                </c:pt>
                <c:pt idx="1">
                  <c:v>551.31999999999903</c:v>
                </c:pt>
                <c:pt idx="2">
                  <c:v>177.78999999999928</c:v>
                </c:pt>
                <c:pt idx="3">
                  <c:v>1342.9899999999991</c:v>
                </c:pt>
                <c:pt idx="4">
                  <c:v>1278.089999999999</c:v>
                </c:pt>
                <c:pt idx="5">
                  <c:v>1615.6999999999991</c:v>
                </c:pt>
                <c:pt idx="6">
                  <c:v>3158.9800000000023</c:v>
                </c:pt>
                <c:pt idx="7">
                  <c:v>3192.6000000000031</c:v>
                </c:pt>
                <c:pt idx="8">
                  <c:v>4237.5200000000032</c:v>
                </c:pt>
                <c:pt idx="9">
                  <c:v>5429.6700000000046</c:v>
                </c:pt>
                <c:pt idx="10">
                  <c:v>3714.4000000000042</c:v>
                </c:pt>
                <c:pt idx="11">
                  <c:v>292.83000000000084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20-409A-AE4F-420159AD250F}"/>
            </c:ext>
          </c:extLst>
        </c:ser>
        <c:ser>
          <c:idx val="4"/>
          <c:order val="1"/>
          <c:tx>
            <c:strRef>
              <c:f>'2024 Overview (Rolling)'!$B$37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</c:spPr>
          <c:val>
            <c:numRef>
              <c:f>'2024 Overview (Rolling)'!$C$37:$N$37</c:f>
              <c:numCache>
                <c:formatCode>_("$"* #,##0.00_);_("$"* \(#,##0.00\);_("$"* "-"??_);_(@_)</c:formatCode>
                <c:ptCount val="12"/>
                <c:pt idx="0">
                  <c:v>294.76000000000022</c:v>
                </c:pt>
                <c:pt idx="1">
                  <c:v>-740.46</c:v>
                </c:pt>
                <c:pt idx="2">
                  <c:v>-373.52999999999975</c:v>
                </c:pt>
                <c:pt idx="3">
                  <c:v>1165.1999999999998</c:v>
                </c:pt>
                <c:pt idx="4">
                  <c:v>-64.900000000000091</c:v>
                </c:pt>
                <c:pt idx="5">
                  <c:v>337.61000000000013</c:v>
                </c:pt>
                <c:pt idx="6">
                  <c:v>1543.2800000000034</c:v>
                </c:pt>
                <c:pt idx="7">
                  <c:v>33.6200000000008</c:v>
                </c:pt>
                <c:pt idx="8">
                  <c:v>1044.92</c:v>
                </c:pt>
                <c:pt idx="9">
                  <c:v>1192.1500000000015</c:v>
                </c:pt>
                <c:pt idx="10">
                  <c:v>-1715.2700000000004</c:v>
                </c:pt>
                <c:pt idx="11">
                  <c:v>-3421.5700000000033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20-409A-AE4F-420159AD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3"/>
          <c:order val="2"/>
          <c:tx>
            <c:strRef>
              <c:f>'2024 Overview (Rolling)'!$B$12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EF2-4EDC-A90F-CA117A97E45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EF2-4EDC-A90F-CA117A97E45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EF2-4EDC-A90F-CA117A97E45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EF2-4EDC-A90F-CA117A97E45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EF2-4EDC-A90F-CA117A97E45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EF2-4EDC-A90F-CA117A97E45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E22-4A9B-A1B6-EC6275AC10DB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5F01-4AEE-97BE-37FE30AD05E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B75B-457E-B943-A27AA4A2206F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B75B-457E-B943-A27AA4A2206F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B75B-457E-B943-A27AA4A2206F}"/>
              </c:ext>
            </c:extLst>
          </c:dPt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 (Rolling)'!$C$12:$N$12</c:f>
              <c:numCache>
                <c:formatCode>_(* #,##0_);_(* \(#,##0\);_(* "-"??_);_(@_)</c:formatCode>
                <c:ptCount val="12"/>
                <c:pt idx="0">
                  <c:v>2885</c:v>
                </c:pt>
                <c:pt idx="1">
                  <c:v>4357.5</c:v>
                </c:pt>
                <c:pt idx="2">
                  <c:v>3467.5</c:v>
                </c:pt>
                <c:pt idx="3">
                  <c:v>4000</c:v>
                </c:pt>
                <c:pt idx="4">
                  <c:v>5370</c:v>
                </c:pt>
                <c:pt idx="5">
                  <c:v>4296.26</c:v>
                </c:pt>
                <c:pt idx="6">
                  <c:v>9031.27</c:v>
                </c:pt>
                <c:pt idx="7">
                  <c:v>14073.76</c:v>
                </c:pt>
                <c:pt idx="8">
                  <c:v>9897.5</c:v>
                </c:pt>
                <c:pt idx="9">
                  <c:v>17386.25</c:v>
                </c:pt>
                <c:pt idx="10">
                  <c:v>9563.75</c:v>
                </c:pt>
                <c:pt idx="11">
                  <c:v>5160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20-409A-AE4F-420159AD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0"/>
          <c:order val="3"/>
          <c:tx>
            <c:strRef>
              <c:f>'2024 Overview (Rolling)'!$B$15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6-6EF2-4EDC-A90F-CA117A97E45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7-6EF2-4EDC-A90F-CA117A97E45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8-6EF2-4EDC-A90F-CA117A97E45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6EF2-4EDC-A90F-CA117A97E45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A-6EF2-4EDC-A90F-CA117A97E45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7-3E22-4A9B-A1B6-EC6275AC10D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A-5F01-4AEE-97BE-37FE30AD05E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E-B75B-457E-B943-A27AA4A2206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F-B75B-457E-B943-A27AA4A2206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0-B75B-457E-B943-A27AA4A2206F}"/>
              </c:ext>
            </c:extLst>
          </c:dPt>
          <c:val>
            <c:numRef>
              <c:f>'2024 Overview (Rolling)'!$C$15:$N$15</c:f>
              <c:numCache>
                <c:formatCode>_(* #,##0_);_(* \(#,##0\);_(* "-"??_);_(@_)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20</c:v>
                </c:pt>
                <c:pt idx="3">
                  <c:v>17</c:v>
                </c:pt>
                <c:pt idx="4">
                  <c:v>20</c:v>
                </c:pt>
                <c:pt idx="5">
                  <c:v>24</c:v>
                </c:pt>
                <c:pt idx="6">
                  <c:v>30</c:v>
                </c:pt>
                <c:pt idx="7">
                  <c:v>38</c:v>
                </c:pt>
                <c:pt idx="8">
                  <c:v>42</c:v>
                </c:pt>
                <c:pt idx="9">
                  <c:v>48</c:v>
                </c:pt>
                <c:pt idx="10">
                  <c:v>44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20-409A-AE4F-420159AD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74879"/>
        <c:axId val="1637885439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63788543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637874879"/>
        <c:crosses val="max"/>
        <c:crossBetween val="between"/>
      </c:valAx>
      <c:catAx>
        <c:axId val="16378748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37885439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'2024 AOP'!$B$31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Lbl>
              <c:idx val="3"/>
              <c:layout>
                <c:manualLayout>
                  <c:x val="4.2760672807200294E-3"/>
                  <c:y val="-6.718692447224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2F-44A8-899B-C46B10C35ACC}"/>
                </c:ext>
              </c:extLst>
            </c:dLbl>
            <c:dLbl>
              <c:idx val="11"/>
              <c:layout>
                <c:manualLayout>
                  <c:x val="2.1380336403600147E-3"/>
                  <c:y val="-6.718692447224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2F-44A8-899B-C46B10C35A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'2024 AOP'!$C$31:$N$31</c:f>
              <c:numCache>
                <c:formatCode>_("$"* #,##0.00_);_("$"* \(#,##0.00\);_("$"* "-"??_);_(@_)</c:formatCode>
                <c:ptCount val="12"/>
                <c:pt idx="0">
                  <c:v>583.93523734582391</c:v>
                </c:pt>
                <c:pt idx="1">
                  <c:v>3316.6412282455376</c:v>
                </c:pt>
                <c:pt idx="2">
                  <c:v>5497.8005183445657</c:v>
                </c:pt>
                <c:pt idx="3">
                  <c:v>8902.7836486269971</c:v>
                </c:pt>
                <c:pt idx="4">
                  <c:v>15222.718101502005</c:v>
                </c:pt>
                <c:pt idx="5">
                  <c:v>20447.590030793574</c:v>
                </c:pt>
                <c:pt idx="6">
                  <c:v>26375.12213383965</c:v>
                </c:pt>
                <c:pt idx="7">
                  <c:v>28510.127406483367</c:v>
                </c:pt>
                <c:pt idx="8">
                  <c:v>33013.079542775929</c:v>
                </c:pt>
                <c:pt idx="9">
                  <c:v>34722.533705780268</c:v>
                </c:pt>
                <c:pt idx="10">
                  <c:v>36536.590043550263</c:v>
                </c:pt>
                <c:pt idx="11">
                  <c:v>38730.025353412595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F-44A8-899B-C46B10C35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418911"/>
        <c:axId val="1908237535"/>
      </c:barChart>
      <c:lineChart>
        <c:grouping val="standard"/>
        <c:varyColors val="0"/>
        <c:ser>
          <c:idx val="1"/>
          <c:order val="1"/>
          <c:tx>
            <c:strRef>
              <c:f>'2024 AOP'!$B$32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 AOP'!$C$32:$N$32</c:f>
              <c:numCache>
                <c:formatCode>_("$"* #,##0.00_);_("$"* \(#,##0.00\);_("$"* "-"??_);_(@_)</c:formatCode>
                <c:ptCount val="12"/>
                <c:pt idx="0">
                  <c:v>-413.08476265417585</c:v>
                </c:pt>
                <c:pt idx="1">
                  <c:v>2732.7059908997135</c:v>
                </c:pt>
                <c:pt idx="2">
                  <c:v>2181.1592900990277</c:v>
                </c:pt>
                <c:pt idx="3">
                  <c:v>3404.9831302824314</c:v>
                </c:pt>
                <c:pt idx="4">
                  <c:v>6319.934452875008</c:v>
                </c:pt>
                <c:pt idx="5">
                  <c:v>5224.8719292915684</c:v>
                </c:pt>
                <c:pt idx="6">
                  <c:v>5927.5321030460782</c:v>
                </c:pt>
                <c:pt idx="7">
                  <c:v>2135.005272643717</c:v>
                </c:pt>
                <c:pt idx="8">
                  <c:v>4502.9521362925589</c:v>
                </c:pt>
                <c:pt idx="9">
                  <c:v>1709.4541630043368</c:v>
                </c:pt>
                <c:pt idx="10">
                  <c:v>1814.0563377699918</c:v>
                </c:pt>
                <c:pt idx="11">
                  <c:v>2193.4353098623324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F-44A8-899B-C46B10C35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18911"/>
        <c:axId val="1908237535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Actual/Forecast vs</a:t>
            </a:r>
            <a:r>
              <a:rPr lang="en-US" baseline="0"/>
              <a:t> AOP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AOP Total Income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('Quarterly Overview'!$C$37,'Quarterly Overview'!$D$37,'Quarterly Overview'!$F$37,'Quarterly Overview'!$H$37)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Overview'!$C$38,'Quarterly Overview'!$D$38,'Quarterly Overview'!$F$38,'Quarterly Overview'!$H$38)</c:f>
              <c:numCache>
                <c:formatCode>_("$"* #,##0.00_);_("$"* \(#,##0.00\);_("$"* "-"??_);_(@_)</c:formatCode>
                <c:ptCount val="4"/>
                <c:pt idx="0">
                  <c:v>27893.465793950309</c:v>
                </c:pt>
                <c:pt idx="1">
                  <c:v>26421.692374480412</c:v>
                </c:pt>
                <c:pt idx="2">
                  <c:v>38914.059938518738</c:v>
                </c:pt>
                <c:pt idx="3">
                  <c:v>30767.431226639746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7-43B8-B02D-AEF0D403B2BE}"/>
            </c:ext>
          </c:extLst>
        </c:ser>
        <c:ser>
          <c:idx val="2"/>
          <c:order val="2"/>
          <c:tx>
            <c:v>Rolling Forecast Total Income</c:v>
          </c:tx>
          <c:spPr>
            <a:solidFill>
              <a:schemeClr val="bg2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A7-43B8-B02D-AEF0D403B2B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5A7-43B8-B02D-AEF0D403B2B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5A7-43B8-B02D-AEF0D403B2BE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5A7-43B8-B02D-AEF0D403B2BE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5A7-43B8-B02D-AEF0D403B2BE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5A7-43B8-B02D-AEF0D403B2BE}"/>
              </c:ext>
            </c:extLst>
          </c:dPt>
          <c:cat>
            <c:strRef>
              <c:f>('Quarterly Overview'!$C$37,'Quarterly Overview'!$D$37,'Quarterly Overview'!$F$37,'Quarterly Overview'!$H$37)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Overview'!$C$14,'Quarterly Overview'!$D$14,'Quarterly Overview'!$F$14,'Quarterly Overview'!$H$14)</c:f>
              <c:numCache>
                <c:formatCode>_("$"* #,##0_);_("$"* \(#,##0\);_("$"* "-"??_);_(@_)</c:formatCode>
                <c:ptCount val="4"/>
                <c:pt idx="0">
                  <c:v>22379.99</c:v>
                </c:pt>
                <c:pt idx="1">
                  <c:v>16716.75</c:v>
                </c:pt>
                <c:pt idx="2">
                  <c:v>63694.5</c:v>
                </c:pt>
                <c:pt idx="3">
                  <c:v>63923.907232755788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A7-43B8-B02D-AEF0D403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</c:barChart>
      <c:lineChart>
        <c:grouping val="standard"/>
        <c:varyColors val="0"/>
        <c:ser>
          <c:idx val="1"/>
          <c:order val="1"/>
          <c:tx>
            <c:v>2025 AOP # of Students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472843450479233E-2"/>
                  <c:y val="-2.8368794326241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7A-45C1-8DE9-40590AEA04CE}"/>
                </c:ext>
              </c:extLst>
            </c:dLbl>
            <c:dLbl>
              <c:idx val="1"/>
              <c:layout>
                <c:manualLayout>
                  <c:x val="-3.6208732694355698E-2"/>
                  <c:y val="-3.5460992907801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7A-45C1-8DE9-40590AEA04CE}"/>
                </c:ext>
              </c:extLst>
            </c:dLbl>
            <c:dLbl>
              <c:idx val="2"/>
              <c:layout>
                <c:manualLayout>
                  <c:x val="7.7410978911675024E-3"/>
                  <c:y val="5.3766082172266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7A-45C1-8DE9-40590AEA04CE}"/>
                </c:ext>
              </c:extLst>
            </c:dLbl>
            <c:dLbl>
              <c:idx val="3"/>
              <c:layout>
                <c:manualLayout>
                  <c:x val="-1.3207663201769904E-2"/>
                  <c:y val="2.3437552896314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F86-445C-A3B1-4C07024CD1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('Quarterly Overview'!$C$37,'Quarterly Overview'!$D$37,'Quarterly Overview'!$F$37,'Quarterly Overview'!$H$37)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Overview'!$C$40,'Quarterly Overview'!$D$40,'Quarterly Overview'!$F$40,'Quarterly Overview'!$H$40)</c:f>
              <c:numCache>
                <c:formatCode>_(* #,##0_);_(* \(#,##0\);_(* "-"??_);_(@_)</c:formatCode>
                <c:ptCount val="4"/>
                <c:pt idx="0">
                  <c:v>34.733333333333327</c:v>
                </c:pt>
                <c:pt idx="1">
                  <c:v>31.666666666666657</c:v>
                </c:pt>
                <c:pt idx="2">
                  <c:v>37.199999999999989</c:v>
                </c:pt>
                <c:pt idx="3">
                  <c:v>43.599999999999987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A7-43B8-B02D-AEF0D403B2BE}"/>
            </c:ext>
          </c:extLst>
        </c:ser>
        <c:ser>
          <c:idx val="3"/>
          <c:order val="3"/>
          <c:tx>
            <c:v>Rolling Forecast # of Students</c:v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A7-43B8-B02D-AEF0D403B2BE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A7-43B8-B02D-AEF0D403B2BE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75A7-43B8-B02D-AEF0D403B2B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75A7-43B8-B02D-AEF0D403B2BE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75A7-43B8-B02D-AEF0D403B2BE}"/>
              </c:ext>
            </c:extLst>
          </c:dPt>
          <c:dLbls>
            <c:dLbl>
              <c:idx val="0"/>
              <c:layout>
                <c:manualLayout>
                  <c:x val="-1.2428482410921657E-2"/>
                  <c:y val="2.0198929679244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7A-45C1-8DE9-40590AEA04CE}"/>
                </c:ext>
              </c:extLst>
            </c:dLbl>
            <c:dLbl>
              <c:idx val="1"/>
              <c:layout>
                <c:manualLayout>
                  <c:x val="-1.2528731488681638E-2"/>
                  <c:y val="-6.305893581484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5A7-43B8-B02D-AEF0D403B2BE}"/>
                </c:ext>
              </c:extLst>
            </c:dLbl>
            <c:dLbl>
              <c:idx val="2"/>
              <c:layout>
                <c:manualLayout>
                  <c:x val="-6.4926075555821361E-2"/>
                  <c:y val="-2.77434652316334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5A7-43B8-B02D-AEF0D403B2BE}"/>
                </c:ext>
              </c:extLst>
            </c:dLbl>
            <c:dLbl>
              <c:idx val="3"/>
              <c:layout>
                <c:manualLayout>
                  <c:x val="-1.7387575910282799E-2"/>
                  <c:y val="-5.46774221941763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5A7-43B8-B02D-AEF0D403B2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('Quarterly Overview'!$C$37,'Quarterly Overview'!$D$37,'Quarterly Overview'!$F$37,'Quarterly Overview'!$H$37)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Overview'!$C$15,'Quarterly Overview'!$D$15,'Quarterly Overview'!$F$15,'Quarterly Overview'!$H$15)</c:f>
              <c:numCache>
                <c:formatCode>_(* #,##0_);_(* \(#,##0\);_(* "-"??_);_(@_)</c:formatCode>
                <c:ptCount val="4"/>
                <c:pt idx="0">
                  <c:v>25.333333333333332</c:v>
                </c:pt>
                <c:pt idx="1">
                  <c:v>22.666666666666668</c:v>
                </c:pt>
                <c:pt idx="2">
                  <c:v>46.666666666666664</c:v>
                </c:pt>
                <c:pt idx="3">
                  <c:v>55.533333333333331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5A7-43B8-B02D-AEF0D403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Actual/Forecast vs</a:t>
            </a:r>
            <a:r>
              <a:rPr lang="en-US" baseline="0"/>
              <a:t> AOP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AOP Total Income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AOP'!$C$14:$N$14</c:f>
              <c:numCache>
                <c:formatCode>_("$"* #,##0_);_("$"* \(#,##0\);_("$"* "-"??_);_(@_)</c:formatCode>
                <c:ptCount val="12"/>
                <c:pt idx="0">
                  <c:v>7691.051288679153</c:v>
                </c:pt>
                <c:pt idx="1">
                  <c:v>12714.963793117566</c:v>
                </c:pt>
                <c:pt idx="2">
                  <c:v>7487.4507121535908</c:v>
                </c:pt>
                <c:pt idx="3">
                  <c:v>9849.7966500428829</c:v>
                </c:pt>
                <c:pt idx="4">
                  <c:v>10751.931562484624</c:v>
                </c:pt>
                <c:pt idx="5">
                  <c:v>5819.9641619529039</c:v>
                </c:pt>
                <c:pt idx="6">
                  <c:v>10878.587957853946</c:v>
                </c:pt>
                <c:pt idx="7">
                  <c:v>15891.044139070656</c:v>
                </c:pt>
                <c:pt idx="8">
                  <c:v>12144.427841594141</c:v>
                </c:pt>
                <c:pt idx="9">
                  <c:v>15655.285902215979</c:v>
                </c:pt>
                <c:pt idx="10">
                  <c:v>8813.267146899947</c:v>
                </c:pt>
                <c:pt idx="11">
                  <c:v>6298.8781775238203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1-4CA9-910E-D9EAA0CC8270}"/>
            </c:ext>
          </c:extLst>
        </c:ser>
        <c:ser>
          <c:idx val="2"/>
          <c:order val="2"/>
          <c:tx>
            <c:v>Rolling Forecast Total Income</c:v>
          </c:tx>
          <c:spPr>
            <a:solidFill>
              <a:schemeClr val="bg2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381-4CA9-910E-D9EAA0CC82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381-4CA9-910E-D9EAA0CC82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381-4CA9-910E-D9EAA0CC82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381-4CA9-910E-D9EAA0CC827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381-4CA9-910E-D9EAA0CC827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381-4CA9-910E-D9EAA0CC827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381-4CA9-910E-D9EAA0CC827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381-4CA9-910E-D9EAA0CC827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9A51-4103-B0B7-29E1E58627B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A51-4103-B0B7-29E1E58627BD}"/>
              </c:ext>
            </c:extLst>
          </c:dPt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 (Rolling)'!$C$14:$N$14</c:f>
              <c:numCache>
                <c:formatCode>_("$"* #,##0_);_("$"* \(#,##0\);_("$"* "-"??_);_(@_)</c:formatCode>
                <c:ptCount val="12"/>
                <c:pt idx="0">
                  <c:v>6585.5</c:v>
                </c:pt>
                <c:pt idx="1">
                  <c:v>8112.12</c:v>
                </c:pt>
                <c:pt idx="2">
                  <c:v>7682.37</c:v>
                </c:pt>
                <c:pt idx="3">
                  <c:v>3756.25</c:v>
                </c:pt>
                <c:pt idx="4">
                  <c:v>6044.5</c:v>
                </c:pt>
                <c:pt idx="5">
                  <c:v>6916</c:v>
                </c:pt>
                <c:pt idx="6">
                  <c:v>14930</c:v>
                </c:pt>
                <c:pt idx="7">
                  <c:v>20457</c:v>
                </c:pt>
                <c:pt idx="8">
                  <c:v>28307.5</c:v>
                </c:pt>
                <c:pt idx="9">
                  <c:v>39363.130000000005</c:v>
                </c:pt>
                <c:pt idx="10">
                  <c:v>12782.236961036549</c:v>
                </c:pt>
                <c:pt idx="11">
                  <c:v>11778.54027171923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381-4CA9-910E-D9EAA0CC8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</c:barChart>
      <c:lineChart>
        <c:grouping val="standard"/>
        <c:varyColors val="0"/>
        <c:ser>
          <c:idx val="1"/>
          <c:order val="1"/>
          <c:tx>
            <c:v>2025 AOP # of Students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4.8997483775063287E-4"/>
                  <c:y val="3.4440639354949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1697-4CBB-9838-FAE20A437D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AOP'!$C$15:$N$15</c:f>
              <c:numCache>
                <c:formatCode>_(* #,##0_);_(* \(#,##0\);_(* "-"??_);_(@_)</c:formatCode>
                <c:ptCount val="12"/>
                <c:pt idx="0">
                  <c:v>34.799999999999997</c:v>
                </c:pt>
                <c:pt idx="1">
                  <c:v>35.799999999999997</c:v>
                </c:pt>
                <c:pt idx="2">
                  <c:v>33.599999999999994</c:v>
                </c:pt>
                <c:pt idx="3">
                  <c:v>32.399999999999991</c:v>
                </c:pt>
                <c:pt idx="4">
                  <c:v>33.399999999999991</c:v>
                </c:pt>
                <c:pt idx="5">
                  <c:v>29.199999999999989</c:v>
                </c:pt>
                <c:pt idx="6">
                  <c:v>31.199999999999989</c:v>
                </c:pt>
                <c:pt idx="7">
                  <c:v>37.199999999999989</c:v>
                </c:pt>
                <c:pt idx="8">
                  <c:v>43.199999999999989</c:v>
                </c:pt>
                <c:pt idx="9">
                  <c:v>44.999999999999986</c:v>
                </c:pt>
                <c:pt idx="10">
                  <c:v>43.599999999999987</c:v>
                </c:pt>
                <c:pt idx="11">
                  <c:v>42.199999999999989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381-4CA9-910E-D9EAA0CC8270}"/>
            </c:ext>
          </c:extLst>
        </c:ser>
        <c:ser>
          <c:idx val="3"/>
          <c:order val="3"/>
          <c:tx>
            <c:v>Rolling Forecast # of Students</c:v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7381-4CA9-910E-D9EAA0CC8270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7381-4CA9-910E-D9EAA0CC8270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7381-4CA9-910E-D9EAA0CC8270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7381-4CA9-910E-D9EAA0CC827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7381-4CA9-910E-D9EAA0CC8270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7381-4CA9-910E-D9EAA0CC8270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7381-4CA9-910E-D9EAA0CC827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9A51-4103-B0B7-29E1E58627BD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9A51-4103-B0B7-29E1E58627BD}"/>
              </c:ext>
            </c:extLst>
          </c:dPt>
          <c:dLbls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309876741627206E-2"/>
                      <c:h val="3.01070741199177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A-7381-4CA9-910E-D9EAA0CC8270}"/>
                </c:ext>
              </c:extLst>
            </c:dLbl>
            <c:dLbl>
              <c:idx val="5"/>
              <c:layout>
                <c:manualLayout>
                  <c:x val="-2.0470280224644276E-2"/>
                  <c:y val="-5.68328833003198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6818375971058125E-2"/>
                      <c:h val="3.22598799378500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C-7381-4CA9-910E-D9EAA0CC8270}"/>
                </c:ext>
              </c:extLst>
            </c:dLbl>
            <c:dLbl>
              <c:idx val="6"/>
              <c:layout>
                <c:manualLayout>
                  <c:x val="-4.3703033444914406E-2"/>
                  <c:y val="-4.92445190475120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81-4CA9-910E-D9EAA0CC8270}"/>
                </c:ext>
              </c:extLst>
            </c:dLbl>
            <c:dLbl>
              <c:idx val="7"/>
              <c:layout>
                <c:manualLayout>
                  <c:x val="-3.9073062879861134E-2"/>
                  <c:y val="-2.5981017848950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81-4CA9-910E-D9EAA0CC82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 (Rolling)'!$C$15:$N$15</c:f>
              <c:numCache>
                <c:formatCode>_(* #,##0_);_(* \(#,##0\);_(* "-"??_);_(@_)</c:formatCode>
                <c:ptCount val="12"/>
                <c:pt idx="0">
                  <c:v>24</c:v>
                </c:pt>
                <c:pt idx="1">
                  <c:v>28</c:v>
                </c:pt>
                <c:pt idx="2">
                  <c:v>24</c:v>
                </c:pt>
                <c:pt idx="3">
                  <c:v>23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48</c:v>
                </c:pt>
                <c:pt idx="8">
                  <c:v>57</c:v>
                </c:pt>
                <c:pt idx="9">
                  <c:v>67</c:v>
                </c:pt>
                <c:pt idx="10">
                  <c:v>62</c:v>
                </c:pt>
                <c:pt idx="11">
                  <c:v>37.6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381-4CA9-910E-D9EAA0CC8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192406</xdr:colOff>
      <xdr:row>9</xdr:row>
      <xdr:rowOff>114300</xdr:rowOff>
    </xdr:from>
    <xdr:to>
      <xdr:col>27</xdr:col>
      <xdr:colOff>310515</xdr:colOff>
      <xdr:row>35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496BC6-3F52-4783-97CC-3D635E81F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185824</xdr:colOff>
      <xdr:row>2</xdr:row>
      <xdr:rowOff>166775</xdr:rowOff>
    </xdr:from>
    <xdr:to>
      <xdr:col>2</xdr:col>
      <xdr:colOff>615835</xdr:colOff>
      <xdr:row>8</xdr:row>
      <xdr:rowOff>71661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E8F563-0E8F-41C6-B006-5DDBEC236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733" y="547775"/>
          <a:ext cx="1049540" cy="1001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848847</xdr:colOff>
      <xdr:row>0</xdr:row>
      <xdr:rowOff>45721</xdr:rowOff>
    </xdr:from>
    <xdr:to>
      <xdr:col>8</xdr:col>
      <xdr:colOff>192616</xdr:colOff>
      <xdr:row>6</xdr:row>
      <xdr:rowOff>111227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4FCAF-F756-4C79-8159-226FDAEE3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687" y="45721"/>
          <a:ext cx="1248769" cy="1162786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37</xdr:row>
      <xdr:rowOff>177950</xdr:rowOff>
    </xdr:from>
    <xdr:to>
      <xdr:col>16</xdr:col>
      <xdr:colOff>8565</xdr:colOff>
      <xdr:row>57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0F3CD7-64C2-4471-BA61-5EA6B3BB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7</xdr:col>
      <xdr:colOff>190500</xdr:colOff>
      <xdr:row>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AE5CA-9AD6-43C2-BB21-0A9E75E6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6" y="76201"/>
          <a:ext cx="1552574" cy="1552574"/>
        </a:xfrm>
        <a:prstGeom prst="rect">
          <a:avLst/>
        </a:prstGeom>
      </xdr:spPr>
    </xdr:pic>
    <xdr:clientData/>
  </xdr:twoCellAnchor>
  <xdr:twoCellAnchor>
    <xdr:from>
      <xdr:col>0</xdr:col>
      <xdr:colOff>594360</xdr:colOff>
      <xdr:row>30</xdr:row>
      <xdr:rowOff>64770</xdr:rowOff>
    </xdr:from>
    <xdr:to>
      <xdr:col>14</xdr:col>
      <xdr:colOff>15240</xdr:colOff>
      <xdr:row>47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2A01E-0B04-4EF9-CEB7-4AFF06298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848847</xdr:colOff>
      <xdr:row>0</xdr:row>
      <xdr:rowOff>45721</xdr:rowOff>
    </xdr:from>
    <xdr:to>
      <xdr:col>8</xdr:col>
      <xdr:colOff>192616</xdr:colOff>
      <xdr:row>6</xdr:row>
      <xdr:rowOff>111227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86615-08EB-473A-828D-8CCF92200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687" y="45721"/>
          <a:ext cx="1248769" cy="1162786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37</xdr:row>
      <xdr:rowOff>177950</xdr:rowOff>
    </xdr:from>
    <xdr:to>
      <xdr:col>16</xdr:col>
      <xdr:colOff>8565</xdr:colOff>
      <xdr:row>57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D3357C-06CE-41A1-92EE-461424D65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848847</xdr:colOff>
      <xdr:row>0</xdr:row>
      <xdr:rowOff>45721</xdr:rowOff>
    </xdr:from>
    <xdr:to>
      <xdr:col>8</xdr:col>
      <xdr:colOff>192616</xdr:colOff>
      <xdr:row>6</xdr:row>
      <xdr:rowOff>111227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4D06D-3D86-458C-98AD-DC8C33A17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2522" y="45721"/>
          <a:ext cx="1201144" cy="1208506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37</xdr:row>
      <xdr:rowOff>177950</xdr:rowOff>
    </xdr:from>
    <xdr:to>
      <xdr:col>16</xdr:col>
      <xdr:colOff>8565</xdr:colOff>
      <xdr:row>57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130FDA-FE35-4F81-B0E3-408DCC97C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837545</xdr:colOff>
      <xdr:row>0</xdr:row>
      <xdr:rowOff>0</xdr:rowOff>
    </xdr:from>
    <xdr:to>
      <xdr:col>8</xdr:col>
      <xdr:colOff>82384</xdr:colOff>
      <xdr:row>6</xdr:row>
      <xdr:rowOff>147729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1386A-6343-41EF-B545-42E1F7B03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5709" y="0"/>
          <a:ext cx="1318478" cy="1271991"/>
        </a:xfrm>
        <a:prstGeom prst="rect">
          <a:avLst/>
        </a:prstGeom>
      </xdr:spPr>
    </xdr:pic>
    <xdr:clientData/>
  </xdr:twoCellAnchor>
  <xdr:twoCellAnchor>
    <xdr:from>
      <xdr:col>0</xdr:col>
      <xdr:colOff>603884</xdr:colOff>
      <xdr:row>33</xdr:row>
      <xdr:rowOff>81915</xdr:rowOff>
    </xdr:from>
    <xdr:to>
      <xdr:col>16</xdr:col>
      <xdr:colOff>9525</xdr:colOff>
      <xdr:row>50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0A7A23-4236-4D55-94DE-E86D62B1E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862454</xdr:colOff>
      <xdr:row>0</xdr:row>
      <xdr:rowOff>18507</xdr:rowOff>
    </xdr:from>
    <xdr:to>
      <xdr:col>8</xdr:col>
      <xdr:colOff>138187</xdr:colOff>
      <xdr:row>6</xdr:row>
      <xdr:rowOff>84013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DC5F8-3088-4F80-9EA8-6B20A97D1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7490" y="18507"/>
          <a:ext cx="1194340" cy="1208506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37</xdr:row>
      <xdr:rowOff>177950</xdr:rowOff>
    </xdr:from>
    <xdr:to>
      <xdr:col>16</xdr:col>
      <xdr:colOff>8565</xdr:colOff>
      <xdr:row>57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026F9-39AC-4358-ABF9-DF86A8EA2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6</xdr:col>
      <xdr:colOff>803089</xdr:colOff>
      <xdr:row>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0B40-B191-4B32-9170-AACCCB7A0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736" y="76201"/>
          <a:ext cx="1594484" cy="1491614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180976</xdr:colOff>
      <xdr:row>0</xdr:row>
      <xdr:rowOff>76201</xdr:rowOff>
    </xdr:from>
    <xdr:to>
      <xdr:col>6</xdr:col>
      <xdr:colOff>803089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46A424-79DE-4C68-8EDF-B6CE634E1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736" y="76201"/>
          <a:ext cx="1594484" cy="1491614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32</xdr:row>
      <xdr:rowOff>144780</xdr:rowOff>
    </xdr:from>
    <xdr:to>
      <xdr:col>14</xdr:col>
      <xdr:colOff>69075</xdr:colOff>
      <xdr:row>49</xdr:row>
      <xdr:rowOff>60218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3D4C0E-BF01-41EE-A154-B191349EC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112396</xdr:colOff>
      <xdr:row>0</xdr:row>
      <xdr:rowOff>15241</xdr:rowOff>
    </xdr:from>
    <xdr:to>
      <xdr:col>6</xdr:col>
      <xdr:colOff>470302</xdr:colOff>
      <xdr:row>8</xdr:row>
      <xdr:rowOff>41910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6A3A1-30D5-4DA7-9D5E-8B659971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316" y="15241"/>
          <a:ext cx="1621154" cy="1489709"/>
        </a:xfrm>
        <a:prstGeom prst="rect">
          <a:avLst/>
        </a:prstGeom>
      </xdr:spPr>
    </xdr:pic>
    <xdr:clientData/>
  </xdr:twoCellAnchor>
  <xdr:twoCellAnchor>
    <xdr:from>
      <xdr:col>11</xdr:col>
      <xdr:colOff>483220</xdr:colOff>
      <xdr:row>8</xdr:row>
      <xdr:rowOff>148684</xdr:rowOff>
    </xdr:from>
    <xdr:to>
      <xdr:col>21</xdr:col>
      <xdr:colOff>364738</xdr:colOff>
      <xdr:row>33</xdr:row>
      <xdr:rowOff>10455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310E380F-EFE8-4922-99EC-A9D4BC8BB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11</xdr:col>
      <xdr:colOff>173354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11C83-253A-2B45-EF80-D8361530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6" y="76201"/>
          <a:ext cx="1552574" cy="1552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398584</xdr:colOff>
      <xdr:row>4</xdr:row>
      <xdr:rowOff>121865</xdr:rowOff>
    </xdr:from>
    <xdr:to>
      <xdr:col>77</xdr:col>
      <xdr:colOff>43803</xdr:colOff>
      <xdr:row>12</xdr:row>
      <xdr:rowOff>117669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DECFE-BFED-4143-B650-A0987E74D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8969" y="895588"/>
          <a:ext cx="1737544" cy="15508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18317</xdr:colOff>
      <xdr:row>50</xdr:row>
      <xdr:rowOff>109308</xdr:rowOff>
    </xdr:from>
    <xdr:to>
      <xdr:col>81</xdr:col>
      <xdr:colOff>1325217</xdr:colOff>
      <xdr:row>82</xdr:row>
      <xdr:rowOff>182217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32B1E9F-C6C4-4039-BFC8-2F8A53A98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Work\JMM%20Group%20LLC\Current%20Clients\Week%201\03%20-%20Est%20Institute%20LLC\EI%20-%20SHARED\Est%20Institute%20LLC\03%20-%20EI%20FFM\2025.07_EI_FFM_08.06.xlsx" TargetMode="External"/><Relationship Id="rId1" Type="http://schemas.openxmlformats.org/officeDocument/2006/relationships/externalLinkPath" Target="file:///J:\My%20Drive\Work\JMM%20Group%20LLC\Current%20Clients\Week%201\03%20-%20Est%20Institute%20LLC\EI%20-%20SHARED\Est%20Institute%20LLC\03%20-%20EI%20FFM\2025.07_EI_FFM_08.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Annual Summary"/>
      <sheetName val="2025 AOP"/>
      <sheetName val="2023 Overview"/>
      <sheetName val="2025 Overview (Rolling)"/>
      <sheetName val="2025 Overview (Budget)"/>
      <sheetName val="2024 Overview (Rolling)"/>
      <sheetName val="2024 AOP"/>
      <sheetName val="Quarterly Overview"/>
      <sheetName val="2022 Overview"/>
      <sheetName val="2"/>
      <sheetName val="Monthly Detail"/>
      <sheetName val="3"/>
      <sheetName val="October"/>
      <sheetName val="September"/>
      <sheetName val="August"/>
      <sheetName val="People Plan"/>
      <sheetName val="Actual vs. Forecast"/>
      <sheetName val="Holidays"/>
      <sheetName val="December"/>
      <sheetName val="November"/>
      <sheetName val="Ri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D4">
            <v>44592</v>
          </cell>
          <cell r="E4">
            <v>44620</v>
          </cell>
          <cell r="F4">
            <v>44651</v>
          </cell>
          <cell r="G4">
            <v>44681</v>
          </cell>
          <cell r="H4">
            <v>44712</v>
          </cell>
          <cell r="I4">
            <v>44742</v>
          </cell>
          <cell r="J4">
            <v>44773</v>
          </cell>
          <cell r="K4">
            <v>44804</v>
          </cell>
          <cell r="L4">
            <v>44834</v>
          </cell>
          <cell r="M4">
            <v>44865</v>
          </cell>
          <cell r="N4">
            <v>44895</v>
          </cell>
          <cell r="O4">
            <v>44926</v>
          </cell>
          <cell r="P4">
            <v>44957</v>
          </cell>
          <cell r="Q4">
            <v>44985</v>
          </cell>
          <cell r="R4">
            <v>45016</v>
          </cell>
          <cell r="S4">
            <v>45046</v>
          </cell>
          <cell r="T4">
            <v>45077</v>
          </cell>
          <cell r="U4">
            <v>45107</v>
          </cell>
          <cell r="V4">
            <v>45138</v>
          </cell>
          <cell r="W4">
            <v>45169</v>
          </cell>
          <cell r="X4">
            <v>45199</v>
          </cell>
          <cell r="Y4">
            <v>45230</v>
          </cell>
          <cell r="Z4">
            <v>45260</v>
          </cell>
          <cell r="AA4">
            <v>45291</v>
          </cell>
          <cell r="AB4">
            <v>45322</v>
          </cell>
          <cell r="AC4">
            <v>45351</v>
          </cell>
          <cell r="AD4">
            <v>45382</v>
          </cell>
          <cell r="AE4">
            <v>45412</v>
          </cell>
          <cell r="AF4">
            <v>45443</v>
          </cell>
          <cell r="AG4">
            <v>45473</v>
          </cell>
          <cell r="AH4">
            <v>45504</v>
          </cell>
          <cell r="AI4">
            <v>45535</v>
          </cell>
          <cell r="AJ4">
            <v>45565</v>
          </cell>
          <cell r="AK4">
            <v>45596</v>
          </cell>
          <cell r="AL4">
            <v>45626</v>
          </cell>
          <cell r="AM4">
            <v>45657</v>
          </cell>
          <cell r="AN4">
            <v>45688</v>
          </cell>
          <cell r="AO4">
            <v>45716</v>
          </cell>
          <cell r="AP4">
            <v>45747</v>
          </cell>
          <cell r="AQ4">
            <v>45777</v>
          </cell>
          <cell r="AR4">
            <v>45808</v>
          </cell>
          <cell r="AS4">
            <v>45838</v>
          </cell>
          <cell r="AT4">
            <v>45869</v>
          </cell>
          <cell r="AU4">
            <v>45900</v>
          </cell>
          <cell r="AV4">
            <v>45930</v>
          </cell>
          <cell r="AW4">
            <v>45961</v>
          </cell>
          <cell r="AX4">
            <v>45991</v>
          </cell>
          <cell r="AY4">
            <v>46022</v>
          </cell>
          <cell r="AZ4">
            <v>46053</v>
          </cell>
          <cell r="BA4">
            <v>46081</v>
          </cell>
          <cell r="BB4">
            <v>46112</v>
          </cell>
          <cell r="BC4">
            <v>46142</v>
          </cell>
          <cell r="BD4">
            <v>46173</v>
          </cell>
          <cell r="BE4">
            <v>46203</v>
          </cell>
          <cell r="BF4">
            <v>46234</v>
          </cell>
          <cell r="BG4">
            <v>46265</v>
          </cell>
          <cell r="BH4">
            <v>46295</v>
          </cell>
          <cell r="BI4">
            <v>46326</v>
          </cell>
          <cell r="BJ4">
            <v>46356</v>
          </cell>
          <cell r="BK4">
            <v>46387</v>
          </cell>
          <cell r="BL4">
            <v>46418</v>
          </cell>
          <cell r="BM4">
            <v>46446</v>
          </cell>
          <cell r="BN4">
            <v>46477</v>
          </cell>
          <cell r="BO4">
            <v>46507</v>
          </cell>
          <cell r="BP4">
            <v>46538</v>
          </cell>
          <cell r="BQ4">
            <v>46568</v>
          </cell>
          <cell r="BR4">
            <v>46599</v>
          </cell>
          <cell r="BS4">
            <v>46630</v>
          </cell>
          <cell r="BT4">
            <v>46660</v>
          </cell>
          <cell r="BU4">
            <v>46691</v>
          </cell>
          <cell r="BV4">
            <v>46721</v>
          </cell>
          <cell r="BW4">
            <v>46752</v>
          </cell>
          <cell r="BX4">
            <v>46783</v>
          </cell>
          <cell r="BY4">
            <v>46812</v>
          </cell>
          <cell r="BZ4">
            <v>46843</v>
          </cell>
          <cell r="CA4">
            <v>46873</v>
          </cell>
          <cell r="CB4">
            <v>46904</v>
          </cell>
          <cell r="CC4">
            <v>46934</v>
          </cell>
          <cell r="CD4">
            <v>46965</v>
          </cell>
          <cell r="CE4">
            <v>46996</v>
          </cell>
          <cell r="CF4">
            <v>47026</v>
          </cell>
          <cell r="CG4">
            <v>47057</v>
          </cell>
          <cell r="CH4">
            <v>47087</v>
          </cell>
          <cell r="CI4">
            <v>47118</v>
          </cell>
          <cell r="CJ4">
            <v>47149</v>
          </cell>
          <cell r="CK4">
            <v>47177</v>
          </cell>
          <cell r="CL4">
            <v>47208</v>
          </cell>
          <cell r="CM4">
            <v>47238</v>
          </cell>
          <cell r="CN4">
            <v>47269</v>
          </cell>
          <cell r="CO4">
            <v>47299</v>
          </cell>
          <cell r="CP4">
            <v>47330</v>
          </cell>
          <cell r="CQ4">
            <v>47361</v>
          </cell>
          <cell r="CR4">
            <v>47391</v>
          </cell>
          <cell r="CS4">
            <v>47422</v>
          </cell>
          <cell r="CT4">
            <v>47452</v>
          </cell>
          <cell r="CU4">
            <v>47483</v>
          </cell>
          <cell r="CV4">
            <v>47514</v>
          </cell>
          <cell r="CW4">
            <v>47542</v>
          </cell>
          <cell r="CX4">
            <v>47573</v>
          </cell>
          <cell r="CY4">
            <v>47603</v>
          </cell>
          <cell r="CZ4">
            <v>47634</v>
          </cell>
          <cell r="DA4">
            <v>47664</v>
          </cell>
          <cell r="DB4">
            <v>47695</v>
          </cell>
          <cell r="DC4">
            <v>47726</v>
          </cell>
          <cell r="DD4">
            <v>47756</v>
          </cell>
          <cell r="DE4">
            <v>47787</v>
          </cell>
          <cell r="DF4">
            <v>47817</v>
          </cell>
          <cell r="DG4">
            <v>47848</v>
          </cell>
        </row>
        <row r="14">
          <cell r="B14" t="str">
            <v>Total Income</v>
          </cell>
          <cell r="C14" t="str">
            <v>Total Revenue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375</v>
          </cell>
          <cell r="L14">
            <v>1075</v>
          </cell>
          <cell r="M14">
            <v>3765</v>
          </cell>
          <cell r="N14">
            <v>2090</v>
          </cell>
          <cell r="O14">
            <v>2032.5</v>
          </cell>
          <cell r="P14">
            <v>1545.99</v>
          </cell>
          <cell r="Q14">
            <v>1255.75</v>
          </cell>
          <cell r="R14">
            <v>1206.75</v>
          </cell>
          <cell r="S14">
            <v>1957.41</v>
          </cell>
          <cell r="T14">
            <v>2486.9299999999998</v>
          </cell>
          <cell r="U14">
            <v>2043.43</v>
          </cell>
          <cell r="V14">
            <v>2835.5</v>
          </cell>
          <cell r="W14">
            <v>7078.66</v>
          </cell>
          <cell r="X14">
            <v>8756.09</v>
          </cell>
          <cell r="Y14">
            <v>8196.3700000000008</v>
          </cell>
          <cell r="Z14">
            <v>4938.12</v>
          </cell>
          <cell r="AA14">
            <v>2144.5</v>
          </cell>
          <cell r="AB14">
            <v>3002</v>
          </cell>
          <cell r="AC14">
            <v>4357.5</v>
          </cell>
          <cell r="AD14">
            <v>3479.5</v>
          </cell>
          <cell r="AE14">
            <v>4018</v>
          </cell>
          <cell r="AF14">
            <v>5420.08</v>
          </cell>
          <cell r="AG14">
            <v>4308.26</v>
          </cell>
          <cell r="AH14">
            <v>9060.8900000000012</v>
          </cell>
          <cell r="AI14">
            <v>14111.26</v>
          </cell>
          <cell r="AJ14">
            <v>9897.5</v>
          </cell>
          <cell r="AK14">
            <v>17405.75</v>
          </cell>
          <cell r="AL14">
            <v>9573.5</v>
          </cell>
          <cell r="AM14">
            <v>5194</v>
          </cell>
          <cell r="AN14">
            <v>6585.5</v>
          </cell>
          <cell r="AO14">
            <v>8112.12</v>
          </cell>
          <cell r="AP14">
            <v>7682.37</v>
          </cell>
          <cell r="AQ14">
            <v>3756.25</v>
          </cell>
          <cell r="AR14">
            <v>6044.5</v>
          </cell>
          <cell r="AS14">
            <v>6916</v>
          </cell>
          <cell r="AT14">
            <v>14930</v>
          </cell>
          <cell r="AU14">
            <v>17228.12892164422</v>
          </cell>
          <cell r="AV14">
            <v>12136.734132406653</v>
          </cell>
          <cell r="AW14">
            <v>15648.27876867807</v>
          </cell>
          <cell r="AX14">
            <v>8808.0596213501212</v>
          </cell>
          <cell r="AY14">
            <v>9856.0556521362669</v>
          </cell>
          <cell r="AZ14">
            <v>13132.057758509623</v>
          </cell>
          <cell r="BA14">
            <v>14910.523906402243</v>
          </cell>
          <cell r="BB14">
            <v>17619.886695387399</v>
          </cell>
          <cell r="BC14">
            <v>7812.2071194254695</v>
          </cell>
          <cell r="BD14">
            <v>14317.990251150253</v>
          </cell>
          <cell r="BE14">
            <v>9262.9361296165862</v>
          </cell>
          <cell r="BF14">
            <v>14803.365179452212</v>
          </cell>
          <cell r="BG14">
            <v>24057.967192236261</v>
          </cell>
          <cell r="BH14">
            <v>17465.607165426121</v>
          </cell>
          <cell r="BI14">
            <v>21583.204373102933</v>
          </cell>
          <cell r="BJ14">
            <v>14547.504923004066</v>
          </cell>
          <cell r="BK14">
            <v>15493.004306516776</v>
          </cell>
          <cell r="BL14">
            <v>17680.807042219571</v>
          </cell>
          <cell r="BM14">
            <v>20841.794167255321</v>
          </cell>
          <cell r="BN14">
            <v>26094.730867892507</v>
          </cell>
          <cell r="BO14">
            <v>11200.84615611516</v>
          </cell>
          <cell r="BP14">
            <v>20449.896542055387</v>
          </cell>
          <cell r="BQ14">
            <v>13148.930985058214</v>
          </cell>
          <cell r="BR14">
            <v>19972.425717024118</v>
          </cell>
          <cell r="BS14">
            <v>35417.469819441307</v>
          </cell>
          <cell r="BT14">
            <v>24643.779780667184</v>
          </cell>
          <cell r="BU14">
            <v>28868.522978411784</v>
          </cell>
          <cell r="BV14">
            <v>21455.404954150785</v>
          </cell>
          <cell r="BW14">
            <v>21710.767415064445</v>
          </cell>
          <cell r="BX14">
            <v>24775.063622960784</v>
          </cell>
          <cell r="BY14">
            <v>30775.782493038118</v>
          </cell>
          <cell r="BZ14">
            <v>36352.027228421204</v>
          </cell>
          <cell r="CA14">
            <v>14209.950313164829</v>
          </cell>
          <cell r="CB14">
            <v>31140.87094126195</v>
          </cell>
          <cell r="CC14">
            <v>18260.559412503768</v>
          </cell>
          <cell r="CD14">
            <v>26418.207461034646</v>
          </cell>
          <cell r="CE14">
            <v>51778.951685811204</v>
          </cell>
          <cell r="CF14">
            <v>33170.140851465454</v>
          </cell>
          <cell r="CG14">
            <v>42768.155191829101</v>
          </cell>
          <cell r="CH14">
            <v>30603.122837765681</v>
          </cell>
          <cell r="CI14">
            <v>28099.333062650407</v>
          </cell>
          <cell r="CJ14">
            <v>38552.964191528372</v>
          </cell>
          <cell r="CK14">
            <v>41495.526881293503</v>
          </cell>
          <cell r="CL14">
            <v>49437.521971544273</v>
          </cell>
          <cell r="CM14">
            <v>21050.477349007444</v>
          </cell>
          <cell r="CN14">
            <v>44100.372527509186</v>
          </cell>
          <cell r="CO14">
            <v>24693.03157355525</v>
          </cell>
          <cell r="CP14">
            <v>39267.465314249057</v>
          </cell>
          <cell r="CQ14">
            <v>72925.729392856621</v>
          </cell>
          <cell r="CR14">
            <v>44452.65417340953</v>
          </cell>
          <cell r="CS14">
            <v>63183.837598229773</v>
          </cell>
          <cell r="CT14">
            <v>43013.046540121519</v>
          </cell>
          <cell r="CU14">
            <v>39639.441317108969</v>
          </cell>
          <cell r="CV14">
            <v>54238.399499325773</v>
          </cell>
          <cell r="CW14">
            <v>58445.09018536083</v>
          </cell>
          <cell r="CX14">
            <v>66155.294628125979</v>
          </cell>
          <cell r="CY14">
            <v>30980.791902630706</v>
          </cell>
          <cell r="CZ14">
            <v>61884.279598439251</v>
          </cell>
          <cell r="DA14">
            <v>32938.985933081509</v>
          </cell>
          <cell r="DB14">
            <v>57564.028807487914</v>
          </cell>
          <cell r="DC14">
            <v>97884.123030114541</v>
          </cell>
          <cell r="DD14">
            <v>65259.187202174355</v>
          </cell>
          <cell r="DE14">
            <v>88345.599217745388</v>
          </cell>
          <cell r="DF14">
            <v>57547.36850839149</v>
          </cell>
          <cell r="DG14">
            <v>58305.02027252617</v>
          </cell>
        </row>
        <row r="17">
          <cell r="C17" t="str">
            <v># of Students</v>
          </cell>
          <cell r="E17">
            <v>12</v>
          </cell>
          <cell r="F17">
            <v>8</v>
          </cell>
          <cell r="G17">
            <v>7</v>
          </cell>
          <cell r="H17">
            <v>10</v>
          </cell>
          <cell r="I17">
            <v>13</v>
          </cell>
          <cell r="J17">
            <v>11</v>
          </cell>
          <cell r="K17">
            <v>5</v>
          </cell>
          <cell r="L17">
            <v>9</v>
          </cell>
          <cell r="M17">
            <v>17</v>
          </cell>
          <cell r="N17">
            <v>11</v>
          </cell>
          <cell r="O17">
            <v>7</v>
          </cell>
          <cell r="P17">
            <v>12</v>
          </cell>
          <cell r="Q17">
            <v>10</v>
          </cell>
          <cell r="R17">
            <v>10</v>
          </cell>
          <cell r="S17">
            <v>7</v>
          </cell>
          <cell r="T17">
            <v>9</v>
          </cell>
          <cell r="U17">
            <v>13</v>
          </cell>
          <cell r="V17">
            <v>8</v>
          </cell>
          <cell r="W17">
            <v>19</v>
          </cell>
          <cell r="X17">
            <v>29</v>
          </cell>
          <cell r="Y17">
            <v>32</v>
          </cell>
          <cell r="Z17">
            <v>32</v>
          </cell>
          <cell r="AA17">
            <v>19</v>
          </cell>
          <cell r="AB17">
            <v>16</v>
          </cell>
          <cell r="AC17">
            <v>15</v>
          </cell>
          <cell r="AD17">
            <v>20</v>
          </cell>
          <cell r="AE17">
            <v>17</v>
          </cell>
          <cell r="AF17">
            <v>20</v>
          </cell>
          <cell r="AG17">
            <v>24</v>
          </cell>
          <cell r="AH17">
            <v>30</v>
          </cell>
          <cell r="AI17">
            <v>38</v>
          </cell>
          <cell r="AJ17">
            <v>42</v>
          </cell>
          <cell r="AK17">
            <v>48</v>
          </cell>
          <cell r="AL17">
            <v>44</v>
          </cell>
          <cell r="AM17">
            <v>23</v>
          </cell>
          <cell r="AN17">
            <v>24</v>
          </cell>
          <cell r="AO17">
            <v>28</v>
          </cell>
          <cell r="AP17">
            <v>24</v>
          </cell>
          <cell r="AQ17">
            <v>23</v>
          </cell>
          <cell r="AR17">
            <v>20</v>
          </cell>
          <cell r="AS17">
            <v>25</v>
          </cell>
          <cell r="AT17">
            <v>35</v>
          </cell>
          <cell r="AU17">
            <v>36</v>
          </cell>
          <cell r="AV17">
            <v>43</v>
          </cell>
          <cell r="AW17">
            <v>44.8</v>
          </cell>
          <cell r="AX17">
            <v>43.4</v>
          </cell>
          <cell r="AY17">
            <v>42</v>
          </cell>
          <cell r="AZ17">
            <v>45.72</v>
          </cell>
          <cell r="BA17">
            <v>54.319999999999993</v>
          </cell>
          <cell r="BB17">
            <v>53.039999999999992</v>
          </cell>
          <cell r="BC17">
            <v>49.759999999999991</v>
          </cell>
          <cell r="BD17">
            <v>52.359999999999985</v>
          </cell>
          <cell r="BE17">
            <v>45.079999999999984</v>
          </cell>
          <cell r="BF17">
            <v>45.679999999999978</v>
          </cell>
          <cell r="BG17">
            <v>53.279999999999973</v>
          </cell>
          <cell r="BH17">
            <v>61.879999999999967</v>
          </cell>
          <cell r="BI17">
            <v>64.599999999999966</v>
          </cell>
          <cell r="BJ17">
            <v>61.439999999999962</v>
          </cell>
          <cell r="BK17">
            <v>60.279999999999959</v>
          </cell>
          <cell r="BL17">
            <v>64.487999999999957</v>
          </cell>
          <cell r="BM17">
            <v>75.927999999999955</v>
          </cell>
          <cell r="BN17">
            <v>75.135999999999953</v>
          </cell>
          <cell r="BO17">
            <v>71.343999999999951</v>
          </cell>
          <cell r="BP17">
            <v>74.783999999999949</v>
          </cell>
          <cell r="BQ17">
            <v>63.991999999999948</v>
          </cell>
          <cell r="BR17">
            <v>64.431999999999945</v>
          </cell>
          <cell r="BS17">
            <v>74.871999999999943</v>
          </cell>
          <cell r="BT17">
            <v>87.311999999999941</v>
          </cell>
          <cell r="BU17">
            <v>90.519999999999939</v>
          </cell>
          <cell r="BV17">
            <v>86.495999999999938</v>
          </cell>
          <cell r="BW17">
            <v>84.471999999999937</v>
          </cell>
          <cell r="BX17">
            <v>90.363199999999921</v>
          </cell>
          <cell r="BY17">
            <v>106.77919999999992</v>
          </cell>
          <cell r="BZ17">
            <v>104.67039999999992</v>
          </cell>
          <cell r="CA17">
            <v>99.561599999999913</v>
          </cell>
          <cell r="CB17">
            <v>103.97759999999991</v>
          </cell>
          <cell r="CC17">
            <v>88.868799999999908</v>
          </cell>
          <cell r="CD17">
            <v>89.284799999999905</v>
          </cell>
          <cell r="CE17">
            <v>104.7007999999999</v>
          </cell>
          <cell r="CF17">
            <v>123.1167999999999</v>
          </cell>
          <cell r="CG17">
            <v>128.0079999999999</v>
          </cell>
          <cell r="CH17">
            <v>123.37439999999989</v>
          </cell>
          <cell r="CI17">
            <v>119.74079999999989</v>
          </cell>
          <cell r="CJ17">
            <v>128.38847999999987</v>
          </cell>
          <cell r="CK17">
            <v>151.17087999999984</v>
          </cell>
          <cell r="CL17">
            <v>148.81855999999982</v>
          </cell>
          <cell r="CM17">
            <v>140.4662399999998</v>
          </cell>
          <cell r="CN17">
            <v>147.2486399999998</v>
          </cell>
          <cell r="CO17">
            <v>125.89631999999978</v>
          </cell>
          <cell r="CP17">
            <v>126.67871999999976</v>
          </cell>
          <cell r="CQ17">
            <v>147.46111999999974</v>
          </cell>
          <cell r="CR17">
            <v>173.24351999999971</v>
          </cell>
          <cell r="CS17">
            <v>180.89119999999969</v>
          </cell>
          <cell r="CT17">
            <v>173.40415999999968</v>
          </cell>
          <cell r="CU17">
            <v>168.91711999999967</v>
          </cell>
          <cell r="CV17">
            <v>180.62387199999966</v>
          </cell>
          <cell r="CW17">
            <v>212.91923199999962</v>
          </cell>
          <cell r="CX17">
            <v>208.62598399999962</v>
          </cell>
          <cell r="CY17">
            <v>197.33273599999961</v>
          </cell>
          <cell r="CZ17">
            <v>206.62809599999957</v>
          </cell>
          <cell r="DA17">
            <v>176.33484799999957</v>
          </cell>
          <cell r="DB17">
            <v>177.63020799999953</v>
          </cell>
          <cell r="DC17">
            <v>206.92556799999949</v>
          </cell>
          <cell r="DD17">
            <v>242.22092799999945</v>
          </cell>
          <cell r="DE17">
            <v>252.92767999999944</v>
          </cell>
          <cell r="DF17">
            <v>243.04582399999941</v>
          </cell>
          <cell r="DG17">
            <v>237.16396799999939</v>
          </cell>
        </row>
        <row r="19">
          <cell r="C19" t="str">
            <v>Net New Students</v>
          </cell>
          <cell r="E19">
            <v>12</v>
          </cell>
          <cell r="F19">
            <v>-4</v>
          </cell>
          <cell r="G19">
            <v>-1</v>
          </cell>
          <cell r="H19">
            <v>3</v>
          </cell>
          <cell r="I19">
            <v>3</v>
          </cell>
          <cell r="J19">
            <v>-2</v>
          </cell>
          <cell r="K19">
            <v>-6</v>
          </cell>
          <cell r="L19">
            <v>4</v>
          </cell>
          <cell r="M19">
            <v>8</v>
          </cell>
          <cell r="N19">
            <v>-6</v>
          </cell>
          <cell r="O19">
            <v>-4</v>
          </cell>
          <cell r="P19">
            <v>5</v>
          </cell>
          <cell r="Q19">
            <v>-2</v>
          </cell>
          <cell r="R19">
            <v>0</v>
          </cell>
          <cell r="S19">
            <v>-3</v>
          </cell>
          <cell r="T19">
            <v>2</v>
          </cell>
          <cell r="U19">
            <v>4</v>
          </cell>
          <cell r="V19">
            <v>-5</v>
          </cell>
          <cell r="W19">
            <v>11</v>
          </cell>
          <cell r="X19">
            <v>10</v>
          </cell>
          <cell r="Y19">
            <v>3</v>
          </cell>
          <cell r="Z19">
            <v>0</v>
          </cell>
          <cell r="AA19">
            <v>-13</v>
          </cell>
          <cell r="AB19">
            <v>-3</v>
          </cell>
          <cell r="AC19">
            <v>-1</v>
          </cell>
          <cell r="AD19">
            <v>5</v>
          </cell>
          <cell r="AE19">
            <v>-3</v>
          </cell>
          <cell r="AF19">
            <v>3</v>
          </cell>
          <cell r="AG19">
            <v>4</v>
          </cell>
          <cell r="AH19">
            <v>6</v>
          </cell>
          <cell r="AI19">
            <v>8</v>
          </cell>
          <cell r="AJ19">
            <v>4</v>
          </cell>
          <cell r="AK19">
            <v>6</v>
          </cell>
          <cell r="AL19">
            <v>-4</v>
          </cell>
          <cell r="AM19">
            <v>-21</v>
          </cell>
          <cell r="AN19">
            <v>1</v>
          </cell>
          <cell r="AO19">
            <v>4</v>
          </cell>
          <cell r="AP19">
            <v>-4</v>
          </cell>
          <cell r="AQ19">
            <v>-1</v>
          </cell>
          <cell r="AR19">
            <v>-3</v>
          </cell>
          <cell r="AS19">
            <v>5</v>
          </cell>
          <cell r="AT19">
            <v>10</v>
          </cell>
          <cell r="AU19">
            <v>1</v>
          </cell>
          <cell r="AV19">
            <v>7</v>
          </cell>
          <cell r="AW19">
            <v>1.7999999999999989</v>
          </cell>
          <cell r="AX19">
            <v>-1.4000000000000004</v>
          </cell>
          <cell r="AY19">
            <v>-1.4000000000000004</v>
          </cell>
          <cell r="AZ19">
            <v>3.7199999999999971</v>
          </cell>
          <cell r="BA19">
            <v>8.5999999999999979</v>
          </cell>
          <cell r="BB19">
            <v>-1.2800000000000029</v>
          </cell>
          <cell r="BC19">
            <v>-3.2800000000000029</v>
          </cell>
          <cell r="BD19">
            <v>2.5999999999999979</v>
          </cell>
          <cell r="BE19">
            <v>-7.2800000000000029</v>
          </cell>
          <cell r="BF19">
            <v>0.59999999999999787</v>
          </cell>
          <cell r="BG19">
            <v>7.5999999999999979</v>
          </cell>
          <cell r="BH19">
            <v>8.5999999999999979</v>
          </cell>
          <cell r="BI19">
            <v>2.7199999999999971</v>
          </cell>
          <cell r="BJ19">
            <v>-3.160000000000001</v>
          </cell>
          <cell r="BK19">
            <v>-1.160000000000001</v>
          </cell>
          <cell r="BL19">
            <v>4.2079999999999949</v>
          </cell>
          <cell r="BM19">
            <v>11.439999999999994</v>
          </cell>
          <cell r="BN19">
            <v>-0.79200000000000514</v>
          </cell>
          <cell r="BO19">
            <v>-3.7920000000000051</v>
          </cell>
          <cell r="BP19">
            <v>3.4399999999999942</v>
          </cell>
          <cell r="BQ19">
            <v>-10.792000000000005</v>
          </cell>
          <cell r="BR19">
            <v>0.43999999999999417</v>
          </cell>
          <cell r="BS19">
            <v>10.439999999999994</v>
          </cell>
          <cell r="BT19">
            <v>12.439999999999994</v>
          </cell>
          <cell r="BU19">
            <v>3.2079999999999949</v>
          </cell>
          <cell r="BV19">
            <v>-4.0240000000000027</v>
          </cell>
          <cell r="BW19">
            <v>-2.0240000000000027</v>
          </cell>
          <cell r="BX19">
            <v>5.8911999999999907</v>
          </cell>
          <cell r="BY19">
            <v>16.41599999999999</v>
          </cell>
          <cell r="BZ19">
            <v>-2.1088000000000093</v>
          </cell>
          <cell r="CA19">
            <v>-5.1088000000000093</v>
          </cell>
          <cell r="CB19">
            <v>4.4159999999999897</v>
          </cell>
          <cell r="CC19">
            <v>-15.108800000000009</v>
          </cell>
          <cell r="CD19">
            <v>0.41599999999998971</v>
          </cell>
          <cell r="CE19">
            <v>15.41599999999999</v>
          </cell>
          <cell r="CF19">
            <v>18.41599999999999</v>
          </cell>
          <cell r="CG19">
            <v>4.8911999999999907</v>
          </cell>
          <cell r="CH19">
            <v>-4.6336000000000048</v>
          </cell>
          <cell r="CI19">
            <v>-3.6336000000000048</v>
          </cell>
          <cell r="CJ19">
            <v>8.6476799999999869</v>
          </cell>
          <cell r="CK19">
            <v>22.782399999999981</v>
          </cell>
          <cell r="CL19">
            <v>-2.3523200000000131</v>
          </cell>
          <cell r="CM19">
            <v>-8.3523200000000131</v>
          </cell>
          <cell r="CN19">
            <v>6.7823999999999813</v>
          </cell>
          <cell r="CO19">
            <v>-21.352320000000013</v>
          </cell>
          <cell r="CP19">
            <v>0.78239999999998133</v>
          </cell>
          <cell r="CQ19">
            <v>20.782399999999981</v>
          </cell>
          <cell r="CR19">
            <v>25.782399999999981</v>
          </cell>
          <cell r="CS19">
            <v>7.6476799999999869</v>
          </cell>
          <cell r="CT19">
            <v>-7.4870400000000075</v>
          </cell>
          <cell r="CU19">
            <v>-4.4870400000000075</v>
          </cell>
          <cell r="CV19">
            <v>11.70675199999998</v>
          </cell>
          <cell r="CW19">
            <v>32.295359999999974</v>
          </cell>
          <cell r="CX19">
            <v>-4.2932480000000197</v>
          </cell>
          <cell r="CY19">
            <v>-11.29324800000002</v>
          </cell>
          <cell r="CZ19">
            <v>9.2953599999999739</v>
          </cell>
          <cell r="DA19">
            <v>-30.29324800000002</v>
          </cell>
          <cell r="DB19">
            <v>1.2953599999999739</v>
          </cell>
          <cell r="DC19">
            <v>29.295359999999974</v>
          </cell>
          <cell r="DD19">
            <v>35.295359999999974</v>
          </cell>
          <cell r="DE19">
            <v>10.70675199999998</v>
          </cell>
          <cell r="DF19">
            <v>-9.8818560000000133</v>
          </cell>
          <cell r="DG19">
            <v>-5.8818560000000133</v>
          </cell>
        </row>
        <row r="22">
          <cell r="C22" t="str">
            <v># of Sessions</v>
          </cell>
          <cell r="P22">
            <v>21</v>
          </cell>
          <cell r="Q22">
            <v>22</v>
          </cell>
          <cell r="R22">
            <v>20</v>
          </cell>
          <cell r="S22">
            <v>16</v>
          </cell>
          <cell r="T22">
            <v>25</v>
          </cell>
          <cell r="U22">
            <v>22</v>
          </cell>
          <cell r="V22">
            <v>23</v>
          </cell>
          <cell r="W22">
            <v>70</v>
          </cell>
          <cell r="X22">
            <v>110</v>
          </cell>
          <cell r="Y22">
            <v>114</v>
          </cell>
          <cell r="Z22">
            <v>73</v>
          </cell>
          <cell r="AA22">
            <v>31</v>
          </cell>
          <cell r="AB22">
            <v>34</v>
          </cell>
          <cell r="AC22">
            <v>56</v>
          </cell>
          <cell r="AD22">
            <v>36</v>
          </cell>
          <cell r="AE22">
            <v>49</v>
          </cell>
          <cell r="AF22">
            <v>76</v>
          </cell>
          <cell r="AG22">
            <v>45</v>
          </cell>
          <cell r="AH22">
            <v>118</v>
          </cell>
          <cell r="AI22">
            <v>169</v>
          </cell>
          <cell r="AJ22">
            <v>125</v>
          </cell>
          <cell r="AK22">
            <v>173</v>
          </cell>
          <cell r="AL22">
            <v>90</v>
          </cell>
          <cell r="AM22">
            <v>50</v>
          </cell>
          <cell r="AN22">
            <v>56</v>
          </cell>
          <cell r="AO22">
            <v>66</v>
          </cell>
          <cell r="AP22">
            <v>73</v>
          </cell>
          <cell r="AQ22">
            <v>37</v>
          </cell>
          <cell r="AR22">
            <v>62</v>
          </cell>
          <cell r="AS22">
            <v>51</v>
          </cell>
          <cell r="AT22">
            <v>120</v>
          </cell>
          <cell r="AU22">
            <v>77.666666666666671</v>
          </cell>
          <cell r="AV22">
            <v>56.147678118759352</v>
          </cell>
          <cell r="AW22">
            <v>72.222882103716216</v>
          </cell>
          <cell r="AX22">
            <v>40.551245251160829</v>
          </cell>
          <cell r="AY22">
            <v>46.28236019601006</v>
          </cell>
          <cell r="AZ22">
            <v>62.260994771841595</v>
          </cell>
          <cell r="BA22">
            <v>71.604072454387676</v>
          </cell>
          <cell r="BB22">
            <v>85.030814893431682</v>
          </cell>
          <cell r="BC22">
            <v>37.752049277401525</v>
          </cell>
          <cell r="BD22">
            <v>69.177284947235094</v>
          </cell>
          <cell r="BE22">
            <v>43.491306459546905</v>
          </cell>
          <cell r="BF22">
            <v>69.683449677916443</v>
          </cell>
          <cell r="BG22">
            <v>108.45647412410294</v>
          </cell>
          <cell r="BH22">
            <v>80.800426092763388</v>
          </cell>
          <cell r="BI22">
            <v>99.614868056872496</v>
          </cell>
          <cell r="BJ22">
            <v>66.974959898691395</v>
          </cell>
          <cell r="BK22">
            <v>72.752511870925346</v>
          </cell>
          <cell r="BL22">
            <v>83.827276353870303</v>
          </cell>
          <cell r="BM22">
            <v>100.08751865457927</v>
          </cell>
          <cell r="BN22">
            <v>125.92908617866125</v>
          </cell>
          <cell r="BO22">
            <v>54.127455861071816</v>
          </cell>
          <cell r="BP22">
            <v>98.803553810046395</v>
          </cell>
          <cell r="BQ22">
            <v>61.736816392176685</v>
          </cell>
          <cell r="BR22">
            <v>94.015617768450895</v>
          </cell>
          <cell r="BS22">
            <v>159.66660309741559</v>
          </cell>
          <cell r="BT22">
            <v>114.00851330011889</v>
          </cell>
          <cell r="BU22">
            <v>133.23944201144812</v>
          </cell>
          <cell r="BV22">
            <v>98.778099338680121</v>
          </cell>
          <cell r="BW22">
            <v>101.95006938886537</v>
          </cell>
          <cell r="BX22">
            <v>117.46217805824418</v>
          </cell>
          <cell r="BY22">
            <v>147.79302010479799</v>
          </cell>
          <cell r="BZ22">
            <v>175.42919268998804</v>
          </cell>
          <cell r="CA22">
            <v>68.668781594141663</v>
          </cell>
          <cell r="CB22">
            <v>150.45693318834941</v>
          </cell>
          <cell r="CC22">
            <v>85.736916936383764</v>
          </cell>
          <cell r="CD22">
            <v>124.35765840236377</v>
          </cell>
          <cell r="CE22">
            <v>233.42631107659091</v>
          </cell>
          <cell r="CF22">
            <v>153.45366977340905</v>
          </cell>
          <cell r="CG22">
            <v>197.39164133473889</v>
          </cell>
          <cell r="CH22">
            <v>140.89309030533269</v>
          </cell>
          <cell r="CI22">
            <v>131.9496865656761</v>
          </cell>
          <cell r="CJ22">
            <v>182.78520747537155</v>
          </cell>
          <cell r="CK22">
            <v>199.2719190816189</v>
          </cell>
          <cell r="CL22">
            <v>238.57774185646764</v>
          </cell>
          <cell r="CM22">
            <v>101.72524179709642</v>
          </cell>
          <cell r="CN22">
            <v>213.07068821126188</v>
          </cell>
          <cell r="CO22">
            <v>115.93863852165111</v>
          </cell>
          <cell r="CP22">
            <v>184.84259558785391</v>
          </cell>
          <cell r="CQ22">
            <v>328.75876085782033</v>
          </cell>
          <cell r="CR22">
            <v>205.64950099621205</v>
          </cell>
          <cell r="CS22">
            <v>291.61794221427965</v>
          </cell>
          <cell r="CT22">
            <v>198.02688381220358</v>
          </cell>
          <cell r="CU22">
            <v>186.14007121696764</v>
          </cell>
          <cell r="CV22">
            <v>257.15213637956396</v>
          </cell>
          <cell r="CW22">
            <v>280.66796971760965</v>
          </cell>
          <cell r="CX22">
            <v>319.25509561972456</v>
          </cell>
          <cell r="CY22">
            <v>149.71292551279049</v>
          </cell>
          <cell r="CZ22">
            <v>298.9935297093586</v>
          </cell>
          <cell r="DA22">
            <v>154.65501560590477</v>
          </cell>
          <cell r="DB22">
            <v>270.96947592919884</v>
          </cell>
          <cell r="DC22">
            <v>441.27447559252079</v>
          </cell>
          <cell r="DD22">
            <v>301.90591615052233</v>
          </cell>
          <cell r="DE22">
            <v>407.74924137067899</v>
          </cell>
          <cell r="DF22">
            <v>264.94115097565719</v>
          </cell>
          <cell r="DG22">
            <v>273.79045378095401</v>
          </cell>
        </row>
        <row r="25">
          <cell r="C25" t="str">
            <v>Hours / Day / Student</v>
          </cell>
          <cell r="E25">
            <v>4.3859649122807015E-3</v>
          </cell>
          <cell r="F25">
            <v>5.434782608695652E-3</v>
          </cell>
          <cell r="G25">
            <v>6.8027210884353739E-3</v>
          </cell>
          <cell r="H25">
            <v>4.7619047619047615E-3</v>
          </cell>
          <cell r="I25">
            <v>3.4965034965034965E-3</v>
          </cell>
          <cell r="J25">
            <v>4.5454545454545461E-3</v>
          </cell>
          <cell r="K25">
            <v>6.5217391304347824E-2</v>
          </cell>
          <cell r="L25">
            <v>0.10846560846560846</v>
          </cell>
          <cell r="M25">
            <v>0.16036414565826332</v>
          </cell>
          <cell r="N25">
            <v>0.13419913419913421</v>
          </cell>
          <cell r="O25">
            <v>0.10204081632653061</v>
          </cell>
          <cell r="P25">
            <v>0.10448412698412697</v>
          </cell>
          <cell r="Q25">
            <v>0.1118421052631579</v>
          </cell>
          <cell r="R25">
            <v>9.1304347826086957E-2</v>
          </cell>
          <cell r="S25">
            <v>0.13035714285714287</v>
          </cell>
          <cell r="T25">
            <v>0.21338383838383837</v>
          </cell>
          <cell r="U25">
            <v>0.14685314685314685</v>
          </cell>
          <cell r="V25">
            <v>0.19843749999999999</v>
          </cell>
          <cell r="W25">
            <v>0.19279176201372997</v>
          </cell>
          <cell r="X25">
            <v>0.22500000000000001</v>
          </cell>
          <cell r="Y25">
            <v>0.19353693181818182</v>
          </cell>
          <cell r="Z25">
            <v>0.13125000000000001</v>
          </cell>
          <cell r="AA25">
            <v>9.5567867036011084E-2</v>
          </cell>
          <cell r="AB25">
            <v>0.12784090909090909</v>
          </cell>
          <cell r="AC25">
            <v>0.2365079365079365</v>
          </cell>
          <cell r="AD25">
            <v>0.14345238095238094</v>
          </cell>
          <cell r="AE25">
            <v>0.18649732620320855</v>
          </cell>
          <cell r="AF25">
            <v>0.19456521739130433</v>
          </cell>
          <cell r="AG25">
            <v>0.12395833333333334</v>
          </cell>
          <cell r="AH25">
            <v>0.20568181818181819</v>
          </cell>
          <cell r="AI25">
            <v>0.26525119617224879</v>
          </cell>
          <cell r="AJ25">
            <v>0.16241496598639454</v>
          </cell>
          <cell r="AK25">
            <v>0.19180253623188406</v>
          </cell>
          <cell r="AL25">
            <v>0.14204545454545456</v>
          </cell>
          <cell r="AM25">
            <v>0.14359267734553777</v>
          </cell>
          <cell r="AN25">
            <v>0.1693840579710145</v>
          </cell>
          <cell r="AO25">
            <v>0.18035714285714285</v>
          </cell>
          <cell r="AP25">
            <v>0.19940476190476189</v>
          </cell>
          <cell r="AQ25">
            <v>9.4367588932806321E-2</v>
          </cell>
          <cell r="AR25">
            <v>0.17215909090909093</v>
          </cell>
          <cell r="AS25">
            <v>0.12</v>
          </cell>
          <cell r="AT25">
            <v>0.18149350649350651</v>
          </cell>
          <cell r="AU25">
            <v>0.26525119617224879</v>
          </cell>
          <cell r="AV25">
            <v>0.16241496598639454</v>
          </cell>
          <cell r="AW25">
            <v>0.19180253623188406</v>
          </cell>
          <cell r="AX25">
            <v>0.14204545454545456</v>
          </cell>
          <cell r="AY25">
            <v>0.14359267734553777</v>
          </cell>
          <cell r="AZ25">
            <v>0.1693840579710145</v>
          </cell>
          <cell r="BA25">
            <v>0.18035714285714285</v>
          </cell>
          <cell r="BB25">
            <v>0.19940476190476189</v>
          </cell>
          <cell r="BC25">
            <v>9.4367588932806321E-2</v>
          </cell>
          <cell r="BD25">
            <v>0.17215909090909093</v>
          </cell>
          <cell r="BE25">
            <v>0.12</v>
          </cell>
          <cell r="BF25">
            <v>0.18149350649350651</v>
          </cell>
          <cell r="BG25">
            <v>0.26525119617224879</v>
          </cell>
          <cell r="BH25">
            <v>0.16241496598639454</v>
          </cell>
          <cell r="BI25">
            <v>0.19180253623188406</v>
          </cell>
          <cell r="BJ25">
            <v>0.14204545454545456</v>
          </cell>
          <cell r="BK25">
            <v>0.14359267734553777</v>
          </cell>
          <cell r="BL25">
            <v>0.1693840579710145</v>
          </cell>
          <cell r="BM25">
            <v>0.18035714285714285</v>
          </cell>
          <cell r="BN25">
            <v>0.19940476190476189</v>
          </cell>
          <cell r="BO25">
            <v>9.4367588932806321E-2</v>
          </cell>
          <cell r="BP25">
            <v>0.17215909090909093</v>
          </cell>
          <cell r="BQ25">
            <v>0.12</v>
          </cell>
          <cell r="BR25">
            <v>0.18149350649350651</v>
          </cell>
          <cell r="BS25">
            <v>0.26525119617224879</v>
          </cell>
          <cell r="BT25">
            <v>0.16241496598639454</v>
          </cell>
          <cell r="BU25">
            <v>0.19180253623188406</v>
          </cell>
          <cell r="BV25">
            <v>0.14204545454545456</v>
          </cell>
          <cell r="BW25">
            <v>0.14359267734553777</v>
          </cell>
          <cell r="BX25">
            <v>0.1693840579710145</v>
          </cell>
          <cell r="BY25">
            <v>0.18035714285714285</v>
          </cell>
          <cell r="BZ25">
            <v>0.19940476190476189</v>
          </cell>
          <cell r="CA25">
            <v>9.4367588932806321E-2</v>
          </cell>
          <cell r="CB25">
            <v>0.17215909090909093</v>
          </cell>
          <cell r="CC25">
            <v>0.12</v>
          </cell>
          <cell r="CD25">
            <v>0.18149350649350651</v>
          </cell>
          <cell r="CE25">
            <v>0.26525119617224879</v>
          </cell>
          <cell r="CF25">
            <v>0.16241496598639454</v>
          </cell>
          <cell r="CG25">
            <v>0.19180253623188406</v>
          </cell>
          <cell r="CH25">
            <v>0.14204545454545456</v>
          </cell>
          <cell r="CI25">
            <v>0.14359267734553777</v>
          </cell>
          <cell r="CJ25">
            <v>0.1693840579710145</v>
          </cell>
          <cell r="CK25">
            <v>0.18035714285714285</v>
          </cell>
          <cell r="CL25">
            <v>0.19940476190476189</v>
          </cell>
          <cell r="CM25">
            <v>9.4367588932806321E-2</v>
          </cell>
          <cell r="CN25">
            <v>0.17215909090909093</v>
          </cell>
          <cell r="CO25">
            <v>0.12</v>
          </cell>
          <cell r="CP25">
            <v>0.18149350649350651</v>
          </cell>
          <cell r="CQ25">
            <v>0.26525119617224879</v>
          </cell>
          <cell r="CR25">
            <v>0.16241496598639454</v>
          </cell>
          <cell r="CS25">
            <v>0.19180253623188406</v>
          </cell>
          <cell r="CT25">
            <v>0.14204545454545456</v>
          </cell>
          <cell r="CU25">
            <v>0.14359267734553777</v>
          </cell>
          <cell r="CV25">
            <v>0.1693840579710145</v>
          </cell>
          <cell r="CW25">
            <v>0.18035714285714285</v>
          </cell>
          <cell r="CX25">
            <v>0.19940476190476189</v>
          </cell>
          <cell r="CY25">
            <v>9.4367588932806321E-2</v>
          </cell>
          <cell r="CZ25">
            <v>0.17215909090909093</v>
          </cell>
          <cell r="DA25">
            <v>0.12</v>
          </cell>
          <cell r="DB25">
            <v>0.18149350649350651</v>
          </cell>
          <cell r="DC25">
            <v>0.26525119617224879</v>
          </cell>
          <cell r="DD25">
            <v>0.16241496598639454</v>
          </cell>
          <cell r="DE25">
            <v>0.19180253623188406</v>
          </cell>
          <cell r="DF25">
            <v>0.14204545454545456</v>
          </cell>
          <cell r="DG25">
            <v>0.14359267734553777</v>
          </cell>
        </row>
        <row r="26">
          <cell r="C26" t="str">
            <v>Total Bill Hours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7.5</v>
          </cell>
          <cell r="L26">
            <v>20.5</v>
          </cell>
          <cell r="M26">
            <v>57.25</v>
          </cell>
          <cell r="N26">
            <v>31</v>
          </cell>
          <cell r="O26">
            <v>15</v>
          </cell>
          <cell r="P26">
            <v>26.33</v>
          </cell>
          <cell r="Q26">
            <v>21.25</v>
          </cell>
          <cell r="R26">
            <v>21</v>
          </cell>
          <cell r="S26">
            <v>18.25</v>
          </cell>
          <cell r="T26">
            <v>42.25</v>
          </cell>
          <cell r="U26">
            <v>42</v>
          </cell>
          <cell r="V26">
            <v>31.75</v>
          </cell>
          <cell r="W26">
            <v>84.25</v>
          </cell>
          <cell r="X26">
            <v>130.5</v>
          </cell>
          <cell r="Y26">
            <v>136.25</v>
          </cell>
          <cell r="Z26">
            <v>84</v>
          </cell>
          <cell r="AA26">
            <v>34.5</v>
          </cell>
          <cell r="AB26">
            <v>45</v>
          </cell>
          <cell r="AC26">
            <v>74.5</v>
          </cell>
          <cell r="AD26">
            <v>60.25</v>
          </cell>
          <cell r="AE26">
            <v>69.75</v>
          </cell>
          <cell r="AF26">
            <v>89.5</v>
          </cell>
          <cell r="AG26">
            <v>59.5</v>
          </cell>
          <cell r="AH26">
            <v>135.75</v>
          </cell>
          <cell r="AI26">
            <v>221.75</v>
          </cell>
          <cell r="AJ26">
            <v>143.25</v>
          </cell>
          <cell r="AK26">
            <v>211.75</v>
          </cell>
          <cell r="AL26">
            <v>118.75</v>
          </cell>
          <cell r="AM26">
            <v>62.75</v>
          </cell>
          <cell r="AN26">
            <v>93.5</v>
          </cell>
          <cell r="AO26">
            <v>101</v>
          </cell>
          <cell r="AP26">
            <v>100.5</v>
          </cell>
          <cell r="AQ26">
            <v>47.75</v>
          </cell>
          <cell r="AR26">
            <v>75.75</v>
          </cell>
          <cell r="AS26">
            <v>63</v>
          </cell>
          <cell r="AT26">
            <v>139.75</v>
          </cell>
          <cell r="AU26">
            <v>212.52990430622009</v>
          </cell>
          <cell r="AV26">
            <v>153.64455782312925</v>
          </cell>
          <cell r="AW26">
            <v>197.63333333333333</v>
          </cell>
          <cell r="AX26">
            <v>110.96590909090909</v>
          </cell>
          <cell r="AY26">
            <v>126.64874141876432</v>
          </cell>
          <cell r="AZ26">
            <v>170.3732608695652</v>
          </cell>
          <cell r="BA26">
            <v>195.93999999999997</v>
          </cell>
          <cell r="BB26">
            <v>232.68142857142854</v>
          </cell>
          <cell r="BC26">
            <v>103.30608695652171</v>
          </cell>
          <cell r="BD26">
            <v>189.29924999999997</v>
          </cell>
          <cell r="BE26">
            <v>119.01119999999996</v>
          </cell>
          <cell r="BF26">
            <v>190.68433766233758</v>
          </cell>
          <cell r="BG26">
            <v>296.7842583732056</v>
          </cell>
          <cell r="BH26">
            <v>221.10523809523795</v>
          </cell>
          <cell r="BI26">
            <v>272.58976449275349</v>
          </cell>
          <cell r="BJ26">
            <v>183.27272727272717</v>
          </cell>
          <cell r="BK26">
            <v>199.08263157894726</v>
          </cell>
          <cell r="BL26">
            <v>229.38802173913029</v>
          </cell>
          <cell r="BM26">
            <v>273.88314285714267</v>
          </cell>
          <cell r="BN26">
            <v>344.59695238095213</v>
          </cell>
          <cell r="BO26">
            <v>148.11634782608684</v>
          </cell>
          <cell r="BP26">
            <v>270.36965454545441</v>
          </cell>
          <cell r="BQ26">
            <v>168.93887999999987</v>
          </cell>
          <cell r="BR26">
            <v>257.26777142857122</v>
          </cell>
          <cell r="BS26">
            <v>436.91752631578913</v>
          </cell>
          <cell r="BT26">
            <v>311.97706122448955</v>
          </cell>
          <cell r="BU26">
            <v>364.60127717391282</v>
          </cell>
          <cell r="BV26">
            <v>270.29999999999984</v>
          </cell>
          <cell r="BW26">
            <v>278.97989473684191</v>
          </cell>
          <cell r="BX26">
            <v>321.42779565217364</v>
          </cell>
          <cell r="BY26">
            <v>404.42621999999972</v>
          </cell>
          <cell r="BZ26">
            <v>480.05085238095194</v>
          </cell>
          <cell r="CA26">
            <v>187.90776284584962</v>
          </cell>
          <cell r="CB26">
            <v>411.71584909090876</v>
          </cell>
          <cell r="CC26">
            <v>234.61363199999974</v>
          </cell>
          <cell r="CD26">
            <v>340.29683999999969</v>
          </cell>
          <cell r="CE26">
            <v>638.75628612440119</v>
          </cell>
          <cell r="CF26">
            <v>419.91622857142818</v>
          </cell>
          <cell r="CG26">
            <v>540.14969927536185</v>
          </cell>
          <cell r="CH26">
            <v>385.54499999999973</v>
          </cell>
          <cell r="CI26">
            <v>361.07194324942759</v>
          </cell>
          <cell r="CJ26">
            <v>500.18011999999953</v>
          </cell>
          <cell r="CK26">
            <v>545.29495999999949</v>
          </cell>
          <cell r="CL26">
            <v>652.85284952380869</v>
          </cell>
          <cell r="CM26">
            <v>278.36466830039484</v>
          </cell>
          <cell r="CN26">
            <v>583.05441599999926</v>
          </cell>
          <cell r="CO26">
            <v>317.25872639999938</v>
          </cell>
          <cell r="CP26">
            <v>505.81003199999907</v>
          </cell>
          <cell r="CQ26">
            <v>899.62748478468734</v>
          </cell>
          <cell r="CR26">
            <v>562.74680816326429</v>
          </cell>
          <cell r="CS26">
            <v>797.99399166666524</v>
          </cell>
          <cell r="CT26">
            <v>541.88799999999901</v>
          </cell>
          <cell r="CU26">
            <v>509.3604917162462</v>
          </cell>
          <cell r="CV26">
            <v>703.68050133333202</v>
          </cell>
          <cell r="CW26">
            <v>768.03008685714155</v>
          </cell>
          <cell r="CX26">
            <v>873.62130799999841</v>
          </cell>
          <cell r="CY26">
            <v>409.67991930434704</v>
          </cell>
          <cell r="CZ26">
            <v>818.17681876363474</v>
          </cell>
          <cell r="DA26">
            <v>423.20363519999893</v>
          </cell>
          <cell r="DB26">
            <v>741.49077410908899</v>
          </cell>
          <cell r="DC26">
            <v>1207.5195974736812</v>
          </cell>
          <cell r="DD26">
            <v>826.14637942856939</v>
          </cell>
          <cell r="DE26">
            <v>1115.7799216666642</v>
          </cell>
          <cell r="DF26">
            <v>724.99464545454384</v>
          </cell>
          <cell r="DG26">
            <v>749.21020097024984</v>
          </cell>
        </row>
        <row r="27">
          <cell r="C27" t="str">
            <v>River Hours</v>
          </cell>
          <cell r="L27">
            <v>3.75</v>
          </cell>
          <cell r="M27">
            <v>14.75</v>
          </cell>
          <cell r="N27">
            <v>13.5</v>
          </cell>
          <cell r="O27">
            <v>14</v>
          </cell>
          <cell r="P27">
            <v>14</v>
          </cell>
          <cell r="Q27">
            <v>14</v>
          </cell>
          <cell r="R27">
            <v>5.5</v>
          </cell>
          <cell r="S27">
            <v>4.5</v>
          </cell>
          <cell r="T27">
            <v>5</v>
          </cell>
          <cell r="U27">
            <v>25.75</v>
          </cell>
          <cell r="V27">
            <v>11.75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</row>
        <row r="33">
          <cell r="C33" t="str">
            <v>Realized / Effective Bill Rate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50</v>
          </cell>
          <cell r="L33">
            <v>44.329896907216494</v>
          </cell>
          <cell r="M33">
            <v>52.291666666666664</v>
          </cell>
          <cell r="N33">
            <v>46.966292134831463</v>
          </cell>
          <cell r="O33">
            <v>70.08620689655173</v>
          </cell>
          <cell r="P33">
            <v>58.71591340676035</v>
          </cell>
          <cell r="Q33">
            <v>59.094117647058823</v>
          </cell>
          <cell r="R33">
            <v>57.464285714285715</v>
          </cell>
          <cell r="S33">
            <v>46.329230769230769</v>
          </cell>
          <cell r="T33">
            <v>58.862248520710054</v>
          </cell>
          <cell r="U33">
            <v>48.65309523809524</v>
          </cell>
          <cell r="V33">
            <v>53.5</v>
          </cell>
          <cell r="W33">
            <v>67.096303317535543</v>
          </cell>
          <cell r="X33">
            <v>67.096475095785436</v>
          </cell>
          <cell r="Y33">
            <v>60.156844036697251</v>
          </cell>
          <cell r="Z33">
            <v>58.787142857142854</v>
          </cell>
          <cell r="AA33">
            <v>62.159420289855071</v>
          </cell>
          <cell r="AB33">
            <v>66.711111111111109</v>
          </cell>
          <cell r="AC33">
            <v>58.489932885906043</v>
          </cell>
          <cell r="AD33">
            <v>57.751037344398341</v>
          </cell>
          <cell r="AE33">
            <v>57.605734767025091</v>
          </cell>
          <cell r="AF33">
            <v>60.559553072625697</v>
          </cell>
          <cell r="AG33">
            <v>72.407731092436975</v>
          </cell>
          <cell r="AH33">
            <v>66.746887661141812</v>
          </cell>
          <cell r="AI33">
            <v>63.635896279594135</v>
          </cell>
          <cell r="AJ33">
            <v>69.092495636998251</v>
          </cell>
          <cell r="AK33">
            <v>82.199527744982291</v>
          </cell>
          <cell r="AL33">
            <v>80.618947368421047</v>
          </cell>
          <cell r="AM33">
            <v>82.772908366533869</v>
          </cell>
          <cell r="AN33">
            <v>70.433155080213908</v>
          </cell>
          <cell r="AO33">
            <v>80.318019801980199</v>
          </cell>
          <cell r="AP33">
            <v>76.441492537313437</v>
          </cell>
          <cell r="AQ33">
            <v>78.66492146596859</v>
          </cell>
          <cell r="AR33">
            <v>79.795379537953792</v>
          </cell>
          <cell r="AS33">
            <v>109.77777777777777</v>
          </cell>
          <cell r="AT33">
            <v>106.83363148479428</v>
          </cell>
          <cell r="AU33">
            <v>81.062140303895134</v>
          </cell>
          <cell r="AV33">
            <v>78.992281304086788</v>
          </cell>
          <cell r="AW33">
            <v>79.178337503852603</v>
          </cell>
          <cell r="AX33">
            <v>79.376266940994441</v>
          </cell>
          <cell r="AY33">
            <v>77.821978661021191</v>
          </cell>
          <cell r="AZ33">
            <v>77.078161746069398</v>
          </cell>
          <cell r="BA33">
            <v>76.097396684710858</v>
          </cell>
          <cell r="BB33">
            <v>75.725367527466616</v>
          </cell>
          <cell r="BC33">
            <v>75.621943968445748</v>
          </cell>
          <cell r="BD33">
            <v>75.636803902552472</v>
          </cell>
          <cell r="BE33">
            <v>77.832473999225186</v>
          </cell>
          <cell r="BF33">
            <v>77.632832150409243</v>
          </cell>
          <cell r="BG33">
            <v>81.062140303895148</v>
          </cell>
          <cell r="BH33">
            <v>78.992281304086788</v>
          </cell>
          <cell r="BI33">
            <v>79.178337503852603</v>
          </cell>
          <cell r="BJ33">
            <v>79.376266940994455</v>
          </cell>
          <cell r="BK33">
            <v>77.821978661021191</v>
          </cell>
          <cell r="BL33">
            <v>77.078161746069412</v>
          </cell>
          <cell r="BM33">
            <v>76.097396684710858</v>
          </cell>
          <cell r="BN33">
            <v>75.725367527466602</v>
          </cell>
          <cell r="BO33">
            <v>75.621943968445748</v>
          </cell>
          <cell r="BP33">
            <v>75.636803902552458</v>
          </cell>
          <cell r="BQ33">
            <v>77.832473999225186</v>
          </cell>
          <cell r="BR33">
            <v>77.632832150409229</v>
          </cell>
          <cell r="BS33">
            <v>81.062140303895163</v>
          </cell>
          <cell r="BT33">
            <v>78.992281304086788</v>
          </cell>
          <cell r="BU33">
            <v>79.178337503852617</v>
          </cell>
          <cell r="BV33">
            <v>79.376266940994441</v>
          </cell>
          <cell r="BW33">
            <v>77.821978661021177</v>
          </cell>
          <cell r="BX33">
            <v>77.078161746069412</v>
          </cell>
          <cell r="BY33">
            <v>76.097396684710844</v>
          </cell>
          <cell r="BZ33">
            <v>75.725367527466602</v>
          </cell>
          <cell r="CA33">
            <v>75.621943968445734</v>
          </cell>
          <cell r="CB33">
            <v>75.636803902552472</v>
          </cell>
          <cell r="CC33">
            <v>77.832473999225201</v>
          </cell>
          <cell r="CD33">
            <v>77.632832150409243</v>
          </cell>
          <cell r="CE33">
            <v>81.062140303895148</v>
          </cell>
          <cell r="CF33">
            <v>78.992281304086774</v>
          </cell>
          <cell r="CG33">
            <v>79.178337503852632</v>
          </cell>
          <cell r="CH33">
            <v>79.376266940994441</v>
          </cell>
          <cell r="CI33">
            <v>77.821978661021191</v>
          </cell>
          <cell r="CJ33">
            <v>77.078161746069412</v>
          </cell>
          <cell r="CK33">
            <v>76.097396684710858</v>
          </cell>
          <cell r="CL33">
            <v>75.725367527466616</v>
          </cell>
          <cell r="CM33">
            <v>75.621943968445748</v>
          </cell>
          <cell r="CN33">
            <v>75.636803902552458</v>
          </cell>
          <cell r="CO33">
            <v>77.832473999225186</v>
          </cell>
          <cell r="CP33">
            <v>77.632832150409243</v>
          </cell>
          <cell r="CQ33">
            <v>81.062140303895148</v>
          </cell>
          <cell r="CR33">
            <v>78.992281304086774</v>
          </cell>
          <cell r="CS33">
            <v>79.178337503852617</v>
          </cell>
          <cell r="CT33">
            <v>79.376266940994441</v>
          </cell>
          <cell r="CU33">
            <v>77.821978661021177</v>
          </cell>
          <cell r="CV33">
            <v>77.078161746069412</v>
          </cell>
          <cell r="CW33">
            <v>76.097396684710844</v>
          </cell>
          <cell r="CX33">
            <v>75.725367527466602</v>
          </cell>
          <cell r="CY33">
            <v>75.621943968445748</v>
          </cell>
          <cell r="CZ33">
            <v>75.636803902552472</v>
          </cell>
          <cell r="DA33">
            <v>77.832473999225215</v>
          </cell>
          <cell r="DB33">
            <v>77.632832150409229</v>
          </cell>
          <cell r="DC33">
            <v>81.062140303895148</v>
          </cell>
          <cell r="DD33">
            <v>78.992281304086774</v>
          </cell>
          <cell r="DE33">
            <v>79.178337503852632</v>
          </cell>
          <cell r="DF33">
            <v>79.376266940994441</v>
          </cell>
          <cell r="DG33">
            <v>77.821978661021177</v>
          </cell>
        </row>
        <row r="49">
          <cell r="C49" t="str">
            <v>Utilization %</v>
          </cell>
          <cell r="E49">
            <v>5.4824561403508769E-4</v>
          </cell>
          <cell r="F49">
            <v>6.793478260869565E-4</v>
          </cell>
          <cell r="G49">
            <v>8.5034013605442174E-4</v>
          </cell>
          <cell r="H49">
            <v>5.9523809523809518E-4</v>
          </cell>
          <cell r="I49">
            <v>4.3706293706293706E-4</v>
          </cell>
          <cell r="J49">
            <v>5.6818181818181826E-4</v>
          </cell>
          <cell r="K49">
            <v>8.152173913043478E-3</v>
          </cell>
          <cell r="L49">
            <v>1.3558201058201057E-2</v>
          </cell>
          <cell r="M49">
            <v>2.0045518207282915E-2</v>
          </cell>
          <cell r="N49">
            <v>1.6774891774891776E-2</v>
          </cell>
          <cell r="O49">
            <v>1.2755102040816327E-2</v>
          </cell>
          <cell r="P49">
            <v>1.3060515873015871E-2</v>
          </cell>
          <cell r="Q49">
            <v>1.3980263157894737E-2</v>
          </cell>
          <cell r="R49">
            <v>1.141304347826087E-2</v>
          </cell>
          <cell r="S49">
            <v>1.6294642857142858E-2</v>
          </cell>
          <cell r="T49">
            <v>2.6672979797979796E-2</v>
          </cell>
          <cell r="U49">
            <v>1.8356643356643356E-2</v>
          </cell>
          <cell r="V49">
            <v>2.4804687499999999E-2</v>
          </cell>
          <cell r="W49">
            <v>2.4098970251716246E-2</v>
          </cell>
          <cell r="X49">
            <v>2.8125000000000001E-2</v>
          </cell>
          <cell r="Y49">
            <v>2.4192116477272728E-2</v>
          </cell>
          <cell r="Z49">
            <v>1.6406250000000001E-2</v>
          </cell>
          <cell r="AA49">
            <v>1.1945983379501385E-2</v>
          </cell>
          <cell r="AB49">
            <v>1.5980113636363636E-2</v>
          </cell>
          <cell r="AC49">
            <v>2.9563492063492063E-2</v>
          </cell>
          <cell r="AD49">
            <v>1.7931547619047618E-2</v>
          </cell>
          <cell r="AE49">
            <v>2.3312165775401069E-2</v>
          </cell>
          <cell r="AF49">
            <v>2.4320652173913042E-2</v>
          </cell>
          <cell r="AG49">
            <v>1.5494791666666667E-2</v>
          </cell>
          <cell r="AH49">
            <v>2.5710227272727273E-2</v>
          </cell>
          <cell r="AI49">
            <v>3.3156399521531099E-2</v>
          </cell>
          <cell r="AJ49">
            <v>2.0301870748299318E-2</v>
          </cell>
          <cell r="AK49">
            <v>2.3975317028985508E-2</v>
          </cell>
          <cell r="AL49">
            <v>1.775568181818182E-2</v>
          </cell>
          <cell r="AM49">
            <v>1.7949084668192221E-2</v>
          </cell>
          <cell r="AN49">
            <v>2.1173007246376812E-2</v>
          </cell>
          <cell r="AO49">
            <v>2.2544642857142857E-2</v>
          </cell>
          <cell r="AP49">
            <v>2.4925595238095236E-2</v>
          </cell>
          <cell r="AQ49">
            <v>1.179594861660079E-2</v>
          </cell>
          <cell r="AR49">
            <v>2.1519886363636366E-2</v>
          </cell>
          <cell r="AS49">
            <v>1.4999999999999999E-2</v>
          </cell>
          <cell r="AT49">
            <v>2.2686688311688314E-2</v>
          </cell>
          <cell r="AU49">
            <v>3.3156399521531099E-2</v>
          </cell>
          <cell r="AV49">
            <v>2.0301870748299318E-2</v>
          </cell>
          <cell r="AW49">
            <v>2.3975317028985508E-2</v>
          </cell>
          <cell r="AX49">
            <v>1.775568181818182E-2</v>
          </cell>
          <cell r="AY49">
            <v>1.7949084668192221E-2</v>
          </cell>
          <cell r="AZ49">
            <v>2.1173007246376812E-2</v>
          </cell>
          <cell r="BA49">
            <v>2.2544642857142857E-2</v>
          </cell>
          <cell r="BB49">
            <v>2.4925595238095236E-2</v>
          </cell>
          <cell r="BC49">
            <v>1.179594861660079E-2</v>
          </cell>
          <cell r="BD49">
            <v>2.1519886363636366E-2</v>
          </cell>
          <cell r="BE49">
            <v>1.4999999999999999E-2</v>
          </cell>
          <cell r="BF49">
            <v>2.2686688311688314E-2</v>
          </cell>
          <cell r="BG49">
            <v>3.3156399521531099E-2</v>
          </cell>
          <cell r="BH49">
            <v>2.0301870748299318E-2</v>
          </cell>
          <cell r="BI49">
            <v>2.3975317028985508E-2</v>
          </cell>
          <cell r="BJ49">
            <v>1.775568181818182E-2</v>
          </cell>
          <cell r="BK49">
            <v>1.7949084668192221E-2</v>
          </cell>
          <cell r="BL49">
            <v>2.1173007246376812E-2</v>
          </cell>
          <cell r="BM49">
            <v>2.2544642857142857E-2</v>
          </cell>
          <cell r="BN49">
            <v>2.4925595238095236E-2</v>
          </cell>
          <cell r="BO49">
            <v>1.179594861660079E-2</v>
          </cell>
          <cell r="BP49">
            <v>2.1519886363636366E-2</v>
          </cell>
          <cell r="BQ49">
            <v>1.4999999999999999E-2</v>
          </cell>
          <cell r="BR49">
            <v>2.2686688311688314E-2</v>
          </cell>
          <cell r="BS49">
            <v>3.3156399521531099E-2</v>
          </cell>
          <cell r="BT49">
            <v>2.0301870748299318E-2</v>
          </cell>
          <cell r="BU49">
            <v>2.3975317028985508E-2</v>
          </cell>
          <cell r="BV49">
            <v>1.775568181818182E-2</v>
          </cell>
          <cell r="BW49">
            <v>1.7949084668192221E-2</v>
          </cell>
          <cell r="BX49">
            <v>2.1173007246376812E-2</v>
          </cell>
          <cell r="BY49">
            <v>2.2544642857142857E-2</v>
          </cell>
          <cell r="BZ49">
            <v>2.4925595238095236E-2</v>
          </cell>
          <cell r="CA49">
            <v>1.179594861660079E-2</v>
          </cell>
          <cell r="CB49">
            <v>2.1519886363636366E-2</v>
          </cell>
          <cell r="CC49">
            <v>1.4999999999999999E-2</v>
          </cell>
          <cell r="CD49">
            <v>2.2686688311688314E-2</v>
          </cell>
          <cell r="CE49">
            <v>3.3156399521531099E-2</v>
          </cell>
          <cell r="CF49">
            <v>2.0301870748299318E-2</v>
          </cell>
          <cell r="CG49">
            <v>2.3975317028985508E-2</v>
          </cell>
          <cell r="CH49">
            <v>1.775568181818182E-2</v>
          </cell>
          <cell r="CI49">
            <v>1.7949084668192221E-2</v>
          </cell>
          <cell r="CJ49">
            <v>2.1173007246376812E-2</v>
          </cell>
          <cell r="CK49">
            <v>2.2544642857142857E-2</v>
          </cell>
          <cell r="CL49">
            <v>2.4925595238095236E-2</v>
          </cell>
          <cell r="CM49">
            <v>1.179594861660079E-2</v>
          </cell>
          <cell r="CN49">
            <v>2.1519886363636366E-2</v>
          </cell>
          <cell r="CO49">
            <v>1.4999999999999999E-2</v>
          </cell>
          <cell r="CP49">
            <v>2.2686688311688314E-2</v>
          </cell>
          <cell r="CQ49">
            <v>3.3156399521531099E-2</v>
          </cell>
          <cell r="CR49">
            <v>2.0301870748299318E-2</v>
          </cell>
          <cell r="CS49">
            <v>2.3975317028985508E-2</v>
          </cell>
          <cell r="CT49">
            <v>1.775568181818182E-2</v>
          </cell>
          <cell r="CU49">
            <v>1.7949084668192221E-2</v>
          </cell>
          <cell r="CV49">
            <v>2.1173007246376812E-2</v>
          </cell>
          <cell r="CW49">
            <v>2.2544642857142857E-2</v>
          </cell>
          <cell r="CX49">
            <v>2.4925595238095236E-2</v>
          </cell>
          <cell r="CY49">
            <v>1.179594861660079E-2</v>
          </cell>
          <cell r="CZ49">
            <v>2.1519886363636366E-2</v>
          </cell>
          <cell r="DA49">
            <v>1.4999999999999999E-2</v>
          </cell>
          <cell r="DB49">
            <v>2.2686688311688314E-2</v>
          </cell>
          <cell r="DC49">
            <v>3.3156399521531099E-2</v>
          </cell>
          <cell r="DD49">
            <v>2.0301870748299318E-2</v>
          </cell>
          <cell r="DE49">
            <v>2.3975317028985508E-2</v>
          </cell>
          <cell r="DF49">
            <v>1.775568181818182E-2</v>
          </cell>
          <cell r="DG49">
            <v>1.7949084668192221E-2</v>
          </cell>
        </row>
        <row r="69">
          <cell r="B69" t="str">
            <v xml:space="preserve">   30200 Events/Sponsorships</v>
          </cell>
          <cell r="AC69">
            <v>1179.44</v>
          </cell>
          <cell r="AE69">
            <v>2400</v>
          </cell>
          <cell r="AG69">
            <v>665.56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</row>
        <row r="83">
          <cell r="B83" t="str">
            <v xml:space="preserve">      60200 Computer &amp; Software Expenses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12</v>
          </cell>
          <cell r="M83">
            <v>271.2</v>
          </cell>
          <cell r="N83">
            <v>12</v>
          </cell>
          <cell r="O83">
            <v>12</v>
          </cell>
          <cell r="P83">
            <v>12</v>
          </cell>
          <cell r="Q83">
            <v>12</v>
          </cell>
          <cell r="R83">
            <v>12</v>
          </cell>
          <cell r="S83">
            <v>12</v>
          </cell>
          <cell r="T83">
            <v>53</v>
          </cell>
          <cell r="U83">
            <v>156</v>
          </cell>
          <cell r="V83">
            <v>12</v>
          </cell>
          <cell r="W83">
            <v>12</v>
          </cell>
          <cell r="X83">
            <v>240.91</v>
          </cell>
          <cell r="Y83">
            <v>352.91</v>
          </cell>
          <cell r="Z83">
            <v>28.91</v>
          </cell>
          <cell r="AA83">
            <v>28.91</v>
          </cell>
          <cell r="AB83">
            <v>78.91</v>
          </cell>
          <cell r="AC83">
            <v>28.91</v>
          </cell>
          <cell r="AD83">
            <v>86.19</v>
          </cell>
          <cell r="AE83">
            <v>12</v>
          </cell>
          <cell r="AF83">
            <v>154.47</v>
          </cell>
          <cell r="AG83">
            <v>310.12</v>
          </cell>
          <cell r="AH83">
            <v>1251.1300000000001</v>
          </cell>
          <cell r="AI83">
            <v>14.81</v>
          </cell>
          <cell r="AJ83">
            <v>76.75</v>
          </cell>
          <cell r="AK83">
            <v>90.81</v>
          </cell>
          <cell r="AL83">
            <v>100.41</v>
          </cell>
          <cell r="AM83">
            <v>107.82</v>
          </cell>
          <cell r="AN83">
            <v>218.17</v>
          </cell>
          <cell r="AO83">
            <v>118.63</v>
          </cell>
          <cell r="AP83">
            <v>118.81</v>
          </cell>
          <cell r="AQ83">
            <v>202.32</v>
          </cell>
          <cell r="AR83">
            <v>241.38</v>
          </cell>
          <cell r="AS83">
            <v>433.68</v>
          </cell>
          <cell r="AT83">
            <v>209.45</v>
          </cell>
          <cell r="AU83">
            <v>150</v>
          </cell>
          <cell r="AV83">
            <v>150</v>
          </cell>
          <cell r="AW83">
            <v>150</v>
          </cell>
          <cell r="AX83">
            <v>150</v>
          </cell>
          <cell r="AY83">
            <v>150</v>
          </cell>
          <cell r="AZ83">
            <v>191.89</v>
          </cell>
          <cell r="BA83">
            <v>191.89</v>
          </cell>
          <cell r="BB83">
            <v>191.89</v>
          </cell>
          <cell r="BC83">
            <v>191.89</v>
          </cell>
          <cell r="BD83">
            <v>191.89</v>
          </cell>
          <cell r="BE83">
            <v>191.89</v>
          </cell>
          <cell r="BF83">
            <v>191.89</v>
          </cell>
          <cell r="BG83">
            <v>191.89</v>
          </cell>
          <cell r="BH83">
            <v>191.89</v>
          </cell>
          <cell r="BI83">
            <v>191.89</v>
          </cell>
          <cell r="BJ83">
            <v>191.89</v>
          </cell>
          <cell r="BK83">
            <v>191.89</v>
          </cell>
          <cell r="BL83">
            <v>230.26799999999997</v>
          </cell>
          <cell r="BM83">
            <v>230.26799999999997</v>
          </cell>
          <cell r="BN83">
            <v>230.26799999999997</v>
          </cell>
          <cell r="BO83">
            <v>230.26799999999997</v>
          </cell>
          <cell r="BP83">
            <v>230.26799999999997</v>
          </cell>
          <cell r="BQ83">
            <v>230.26799999999997</v>
          </cell>
          <cell r="BR83">
            <v>230.26799999999997</v>
          </cell>
          <cell r="BS83">
            <v>230.26799999999997</v>
          </cell>
          <cell r="BT83">
            <v>230.26799999999997</v>
          </cell>
          <cell r="BU83">
            <v>230.26799999999997</v>
          </cell>
          <cell r="BV83">
            <v>230.26799999999997</v>
          </cell>
          <cell r="BW83">
            <v>230.26799999999997</v>
          </cell>
          <cell r="BX83">
            <v>276.32159999999999</v>
          </cell>
          <cell r="BY83">
            <v>276.32159999999999</v>
          </cell>
          <cell r="BZ83">
            <v>276.32159999999999</v>
          </cell>
          <cell r="CA83">
            <v>276.32159999999999</v>
          </cell>
          <cell r="CB83">
            <v>276.32159999999999</v>
          </cell>
          <cell r="CC83">
            <v>276.32159999999999</v>
          </cell>
          <cell r="CD83">
            <v>276.32159999999999</v>
          </cell>
          <cell r="CE83">
            <v>276.32159999999999</v>
          </cell>
          <cell r="CF83">
            <v>276.32159999999999</v>
          </cell>
          <cell r="CG83">
            <v>276.32159999999999</v>
          </cell>
          <cell r="CH83">
            <v>276.32159999999999</v>
          </cell>
          <cell r="CI83">
            <v>276.32159999999999</v>
          </cell>
          <cell r="CJ83">
            <v>331.58591999999999</v>
          </cell>
          <cell r="CK83">
            <v>331.58591999999999</v>
          </cell>
          <cell r="CL83">
            <v>331.58591999999999</v>
          </cell>
          <cell r="CM83">
            <v>331.58591999999999</v>
          </cell>
          <cell r="CN83">
            <v>331.58591999999999</v>
          </cell>
          <cell r="CO83">
            <v>331.58591999999999</v>
          </cell>
          <cell r="CP83">
            <v>331.58591999999999</v>
          </cell>
          <cell r="CQ83">
            <v>331.58591999999999</v>
          </cell>
          <cell r="CR83">
            <v>331.58591999999999</v>
          </cell>
          <cell r="CS83">
            <v>331.58591999999999</v>
          </cell>
          <cell r="CT83">
            <v>331.58591999999999</v>
          </cell>
          <cell r="CU83">
            <v>331.58591999999999</v>
          </cell>
          <cell r="CV83">
            <v>397.90310399999998</v>
          </cell>
          <cell r="CW83">
            <v>397.90310399999998</v>
          </cell>
          <cell r="CX83">
            <v>397.90310399999998</v>
          </cell>
          <cell r="CY83">
            <v>397.90310399999998</v>
          </cell>
          <cell r="CZ83">
            <v>397.90310399999998</v>
          </cell>
          <cell r="DA83">
            <v>397.90310399999998</v>
          </cell>
          <cell r="DB83">
            <v>397.90310399999998</v>
          </cell>
          <cell r="DC83">
            <v>397.90310399999998</v>
          </cell>
          <cell r="DD83">
            <v>397.90310399999998</v>
          </cell>
          <cell r="DE83">
            <v>397.90310399999998</v>
          </cell>
          <cell r="DF83">
            <v>397.90310399999998</v>
          </cell>
          <cell r="DG83">
            <v>397.90310399999998</v>
          </cell>
        </row>
        <row r="84">
          <cell r="B84" t="str">
            <v xml:space="preserve">      60300 Donations/Gifts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50</v>
          </cell>
          <cell r="N84">
            <v>250</v>
          </cell>
          <cell r="O84">
            <v>0</v>
          </cell>
          <cell r="X84">
            <v>150</v>
          </cell>
          <cell r="Z84">
            <v>430</v>
          </cell>
          <cell r="AD84">
            <v>50</v>
          </cell>
          <cell r="AF84">
            <v>141.19</v>
          </cell>
          <cell r="AJ84">
            <v>80</v>
          </cell>
          <cell r="AK84">
            <v>65</v>
          </cell>
          <cell r="AL84">
            <v>387.9</v>
          </cell>
          <cell r="AM84">
            <v>45</v>
          </cell>
          <cell r="AN84">
            <v>485</v>
          </cell>
          <cell r="AO84">
            <v>424</v>
          </cell>
          <cell r="AP84">
            <v>152.63</v>
          </cell>
          <cell r="AR84">
            <v>346.05</v>
          </cell>
          <cell r="AS84">
            <v>100</v>
          </cell>
          <cell r="AT84">
            <v>79.040000000000006</v>
          </cell>
          <cell r="AU84">
            <v>100</v>
          </cell>
          <cell r="AV84">
            <v>100</v>
          </cell>
          <cell r="AW84">
            <v>50</v>
          </cell>
          <cell r="AX84">
            <v>50</v>
          </cell>
          <cell r="AY84">
            <v>50</v>
          </cell>
          <cell r="AZ84">
            <v>50</v>
          </cell>
          <cell r="BA84">
            <v>50</v>
          </cell>
          <cell r="BB84">
            <v>50</v>
          </cell>
          <cell r="BC84">
            <v>50</v>
          </cell>
          <cell r="BD84">
            <v>50</v>
          </cell>
          <cell r="BE84">
            <v>50</v>
          </cell>
          <cell r="BF84">
            <v>50</v>
          </cell>
          <cell r="BG84">
            <v>50</v>
          </cell>
          <cell r="BH84">
            <v>50</v>
          </cell>
          <cell r="BI84">
            <v>50</v>
          </cell>
          <cell r="BJ84">
            <v>50</v>
          </cell>
          <cell r="BK84">
            <v>50</v>
          </cell>
          <cell r="BL84">
            <v>50</v>
          </cell>
          <cell r="BM84">
            <v>50</v>
          </cell>
          <cell r="BN84">
            <v>50</v>
          </cell>
          <cell r="BO84">
            <v>50</v>
          </cell>
          <cell r="BP84">
            <v>50</v>
          </cell>
          <cell r="BQ84">
            <v>50</v>
          </cell>
          <cell r="BR84">
            <v>50</v>
          </cell>
          <cell r="BS84">
            <v>50</v>
          </cell>
          <cell r="BT84">
            <v>50</v>
          </cell>
          <cell r="BU84">
            <v>50</v>
          </cell>
          <cell r="BV84">
            <v>50</v>
          </cell>
          <cell r="BW84">
            <v>50</v>
          </cell>
          <cell r="BX84">
            <v>50</v>
          </cell>
          <cell r="BY84">
            <v>50</v>
          </cell>
          <cell r="BZ84">
            <v>50</v>
          </cell>
          <cell r="CA84">
            <v>50</v>
          </cell>
          <cell r="CB84">
            <v>50</v>
          </cell>
          <cell r="CC84">
            <v>50</v>
          </cell>
          <cell r="CD84">
            <v>50</v>
          </cell>
          <cell r="CE84">
            <v>50</v>
          </cell>
          <cell r="CF84">
            <v>50</v>
          </cell>
          <cell r="CG84">
            <v>50</v>
          </cell>
          <cell r="CH84">
            <v>50</v>
          </cell>
          <cell r="CI84">
            <v>50</v>
          </cell>
          <cell r="CJ84">
            <v>50</v>
          </cell>
          <cell r="CK84">
            <v>50</v>
          </cell>
          <cell r="CL84">
            <v>50</v>
          </cell>
          <cell r="CM84">
            <v>50</v>
          </cell>
          <cell r="CN84">
            <v>50</v>
          </cell>
          <cell r="CO84">
            <v>50</v>
          </cell>
          <cell r="CP84">
            <v>50</v>
          </cell>
          <cell r="CQ84">
            <v>50</v>
          </cell>
          <cell r="CR84">
            <v>50</v>
          </cell>
          <cell r="CS84">
            <v>50</v>
          </cell>
          <cell r="CT84">
            <v>50</v>
          </cell>
          <cell r="CU84">
            <v>50</v>
          </cell>
          <cell r="CV84">
            <v>50</v>
          </cell>
          <cell r="CW84">
            <v>50</v>
          </cell>
          <cell r="CX84">
            <v>50</v>
          </cell>
          <cell r="CY84">
            <v>50</v>
          </cell>
          <cell r="CZ84">
            <v>50</v>
          </cell>
          <cell r="DA84">
            <v>50</v>
          </cell>
          <cell r="DB84">
            <v>50</v>
          </cell>
          <cell r="DC84">
            <v>50</v>
          </cell>
          <cell r="DD84">
            <v>50</v>
          </cell>
          <cell r="DE84">
            <v>50</v>
          </cell>
          <cell r="DF84">
            <v>50</v>
          </cell>
          <cell r="DG84">
            <v>50</v>
          </cell>
        </row>
        <row r="85">
          <cell r="B85" t="str">
            <v xml:space="preserve">      60400 Fees/Subscriptions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</v>
          </cell>
          <cell r="M85">
            <v>19</v>
          </cell>
          <cell r="N85">
            <v>0</v>
          </cell>
          <cell r="O85">
            <v>0</v>
          </cell>
          <cell r="Y85">
            <v>13.86</v>
          </cell>
          <cell r="AI85">
            <v>42.58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</row>
        <row r="86">
          <cell r="B86" t="str">
            <v xml:space="preserve">      60500 Finance &amp; Accounting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279.60000000000002</v>
          </cell>
          <cell r="N86">
            <v>75</v>
          </cell>
          <cell r="O86">
            <v>75</v>
          </cell>
          <cell r="P86">
            <v>75</v>
          </cell>
          <cell r="Q86">
            <v>75</v>
          </cell>
          <cell r="S86">
            <v>75</v>
          </cell>
          <cell r="T86">
            <v>165</v>
          </cell>
          <cell r="U86">
            <v>225</v>
          </cell>
          <cell r="V86">
            <v>75</v>
          </cell>
          <cell r="W86">
            <v>75</v>
          </cell>
          <cell r="X86">
            <v>225</v>
          </cell>
          <cell r="Y86">
            <v>75</v>
          </cell>
          <cell r="Z86">
            <v>75</v>
          </cell>
          <cell r="AA86">
            <v>225</v>
          </cell>
          <cell r="AB86">
            <v>75</v>
          </cell>
          <cell r="AC86">
            <v>112.5</v>
          </cell>
          <cell r="AD86">
            <v>225</v>
          </cell>
          <cell r="AE86">
            <v>75</v>
          </cell>
          <cell r="AF86">
            <v>75</v>
          </cell>
          <cell r="AG86">
            <v>225</v>
          </cell>
          <cell r="AH86">
            <v>185</v>
          </cell>
          <cell r="AI86">
            <v>207.5</v>
          </cell>
          <cell r="AJ86">
            <v>208.75</v>
          </cell>
          <cell r="AK86">
            <v>350</v>
          </cell>
          <cell r="AL86">
            <v>241.25</v>
          </cell>
          <cell r="AM86">
            <v>140</v>
          </cell>
          <cell r="AN86">
            <v>711.25</v>
          </cell>
          <cell r="AO86">
            <v>412.5</v>
          </cell>
          <cell r="AP86">
            <v>1155.73</v>
          </cell>
          <cell r="AQ86">
            <v>415</v>
          </cell>
          <cell r="AR86">
            <v>356.25</v>
          </cell>
          <cell r="AS86">
            <v>281.25</v>
          </cell>
          <cell r="AT86">
            <v>450</v>
          </cell>
          <cell r="AU86">
            <v>500</v>
          </cell>
          <cell r="AV86">
            <v>325</v>
          </cell>
          <cell r="AW86">
            <v>500</v>
          </cell>
          <cell r="AX86">
            <v>325</v>
          </cell>
          <cell r="AY86">
            <v>325</v>
          </cell>
          <cell r="AZ86">
            <v>500</v>
          </cell>
          <cell r="BA86">
            <v>325</v>
          </cell>
          <cell r="BB86">
            <v>325</v>
          </cell>
          <cell r="BC86">
            <v>500</v>
          </cell>
          <cell r="BD86">
            <v>325</v>
          </cell>
          <cell r="BE86">
            <v>325</v>
          </cell>
          <cell r="BF86">
            <v>500</v>
          </cell>
          <cell r="BG86">
            <v>325</v>
          </cell>
          <cell r="BH86">
            <v>325</v>
          </cell>
          <cell r="BI86">
            <v>500</v>
          </cell>
          <cell r="BJ86">
            <v>325</v>
          </cell>
          <cell r="BK86">
            <v>325</v>
          </cell>
          <cell r="BL86">
            <v>500</v>
          </cell>
          <cell r="BM86">
            <v>325</v>
          </cell>
          <cell r="BN86">
            <v>325</v>
          </cell>
          <cell r="BO86">
            <v>500</v>
          </cell>
          <cell r="BP86">
            <v>325</v>
          </cell>
          <cell r="BQ86">
            <v>325</v>
          </cell>
          <cell r="BR86">
            <v>500</v>
          </cell>
          <cell r="BS86">
            <v>325</v>
          </cell>
          <cell r="BT86">
            <v>325</v>
          </cell>
          <cell r="BU86">
            <v>500</v>
          </cell>
          <cell r="BV86">
            <v>325</v>
          </cell>
          <cell r="BW86">
            <v>325</v>
          </cell>
          <cell r="BX86">
            <v>500</v>
          </cell>
          <cell r="BY86">
            <v>325</v>
          </cell>
          <cell r="BZ86">
            <v>325</v>
          </cell>
          <cell r="CA86">
            <v>500</v>
          </cell>
          <cell r="CB86">
            <v>325</v>
          </cell>
          <cell r="CC86">
            <v>325</v>
          </cell>
          <cell r="CD86">
            <v>500</v>
          </cell>
          <cell r="CE86">
            <v>325</v>
          </cell>
          <cell r="CF86">
            <v>325</v>
          </cell>
          <cell r="CG86">
            <v>500</v>
          </cell>
          <cell r="CH86">
            <v>325</v>
          </cell>
          <cell r="CI86">
            <v>325</v>
          </cell>
          <cell r="CJ86">
            <v>500</v>
          </cell>
          <cell r="CK86">
            <v>325</v>
          </cell>
          <cell r="CL86">
            <v>325</v>
          </cell>
          <cell r="CM86">
            <v>500</v>
          </cell>
          <cell r="CN86">
            <v>325</v>
          </cell>
          <cell r="CO86">
            <v>325</v>
          </cell>
          <cell r="CP86">
            <v>500</v>
          </cell>
          <cell r="CQ86">
            <v>325</v>
          </cell>
          <cell r="CR86">
            <v>325</v>
          </cell>
          <cell r="CS86">
            <v>500</v>
          </cell>
          <cell r="CT86">
            <v>325</v>
          </cell>
          <cell r="CU86">
            <v>325</v>
          </cell>
          <cell r="CV86">
            <v>500</v>
          </cell>
          <cell r="CW86">
            <v>325</v>
          </cell>
          <cell r="CX86">
            <v>325</v>
          </cell>
          <cell r="CY86">
            <v>500</v>
          </cell>
          <cell r="CZ86">
            <v>325</v>
          </cell>
          <cell r="DA86">
            <v>325</v>
          </cell>
          <cell r="DB86">
            <v>500</v>
          </cell>
          <cell r="DC86">
            <v>325</v>
          </cell>
          <cell r="DD86">
            <v>325</v>
          </cell>
          <cell r="DE86">
            <v>500</v>
          </cell>
          <cell r="DF86">
            <v>325</v>
          </cell>
          <cell r="DG86">
            <v>325</v>
          </cell>
        </row>
        <row r="87">
          <cell r="B87" t="str">
            <v xml:space="preserve">      60600 Bank Fees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26.86</v>
          </cell>
          <cell r="N87">
            <v>105.23</v>
          </cell>
          <cell r="O87">
            <v>22.43</v>
          </cell>
          <cell r="P87">
            <v>118.13</v>
          </cell>
          <cell r="Q87">
            <v>36.76</v>
          </cell>
          <cell r="R87">
            <v>63.36</v>
          </cell>
          <cell r="S87">
            <v>153.85</v>
          </cell>
          <cell r="T87">
            <v>72.88</v>
          </cell>
          <cell r="U87">
            <v>27.48</v>
          </cell>
          <cell r="V87">
            <v>17.2</v>
          </cell>
          <cell r="W87">
            <v>33.76</v>
          </cell>
          <cell r="X87">
            <v>48.31</v>
          </cell>
          <cell r="Y87">
            <v>29</v>
          </cell>
          <cell r="Z87">
            <v>29</v>
          </cell>
          <cell r="AD87">
            <v>1.75</v>
          </cell>
          <cell r="AE87">
            <v>4.55</v>
          </cell>
          <cell r="AF87">
            <v>3.5</v>
          </cell>
          <cell r="AH87">
            <v>31.6</v>
          </cell>
          <cell r="AK87">
            <v>29</v>
          </cell>
          <cell r="AP87">
            <v>52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10.4</v>
          </cell>
          <cell r="AV87">
            <v>10.4</v>
          </cell>
          <cell r="AW87">
            <v>10.4</v>
          </cell>
          <cell r="AX87">
            <v>10.4</v>
          </cell>
          <cell r="AY87">
            <v>10.4</v>
          </cell>
          <cell r="AZ87">
            <v>10.4</v>
          </cell>
          <cell r="BA87">
            <v>10.4</v>
          </cell>
          <cell r="BB87">
            <v>10.4</v>
          </cell>
          <cell r="BC87">
            <v>10.4</v>
          </cell>
          <cell r="BD87">
            <v>10.4</v>
          </cell>
          <cell r="BE87">
            <v>10.4</v>
          </cell>
          <cell r="BF87">
            <v>10.4</v>
          </cell>
          <cell r="BG87">
            <v>10.4</v>
          </cell>
          <cell r="BH87">
            <v>10.4</v>
          </cell>
          <cell r="BI87">
            <v>10.4</v>
          </cell>
          <cell r="BJ87">
            <v>10.4</v>
          </cell>
          <cell r="BK87">
            <v>10.4</v>
          </cell>
          <cell r="BL87">
            <v>10.4</v>
          </cell>
          <cell r="BM87">
            <v>10.4</v>
          </cell>
          <cell r="BN87">
            <v>10.4</v>
          </cell>
          <cell r="BO87">
            <v>10.4</v>
          </cell>
          <cell r="BP87">
            <v>10.4</v>
          </cell>
          <cell r="BQ87">
            <v>10.4</v>
          </cell>
          <cell r="BR87">
            <v>10.4</v>
          </cell>
          <cell r="BS87">
            <v>10.4</v>
          </cell>
          <cell r="BT87">
            <v>10.4</v>
          </cell>
          <cell r="BU87">
            <v>10.4</v>
          </cell>
          <cell r="BV87">
            <v>10.4</v>
          </cell>
          <cell r="BW87">
            <v>10.4</v>
          </cell>
          <cell r="BX87">
            <v>10.4</v>
          </cell>
          <cell r="BY87">
            <v>10.4</v>
          </cell>
          <cell r="BZ87">
            <v>10.4</v>
          </cell>
          <cell r="CA87">
            <v>10.4</v>
          </cell>
          <cell r="CB87">
            <v>10.4</v>
          </cell>
          <cell r="CC87">
            <v>10.4</v>
          </cell>
          <cell r="CD87">
            <v>10.4</v>
          </cell>
          <cell r="CE87">
            <v>10.4</v>
          </cell>
          <cell r="CF87">
            <v>10.4</v>
          </cell>
          <cell r="CG87">
            <v>10.4</v>
          </cell>
          <cell r="CH87">
            <v>10.4</v>
          </cell>
          <cell r="CI87">
            <v>10.4</v>
          </cell>
          <cell r="CJ87">
            <v>10.4</v>
          </cell>
          <cell r="CK87">
            <v>10.4</v>
          </cell>
          <cell r="CL87">
            <v>10.4</v>
          </cell>
          <cell r="CM87">
            <v>10.4</v>
          </cell>
          <cell r="CN87">
            <v>10.4</v>
          </cell>
          <cell r="CO87">
            <v>10.4</v>
          </cell>
          <cell r="CP87">
            <v>10.4</v>
          </cell>
          <cell r="CQ87">
            <v>10.4</v>
          </cell>
          <cell r="CR87">
            <v>10.4</v>
          </cell>
          <cell r="CS87">
            <v>10.4</v>
          </cell>
          <cell r="CT87">
            <v>10.4</v>
          </cell>
          <cell r="CU87">
            <v>10.4</v>
          </cell>
          <cell r="CV87">
            <v>10.4</v>
          </cell>
          <cell r="CW87">
            <v>10.4</v>
          </cell>
          <cell r="CX87">
            <v>10.4</v>
          </cell>
          <cell r="CY87">
            <v>10.4</v>
          </cell>
          <cell r="CZ87">
            <v>10.4</v>
          </cell>
          <cell r="DA87">
            <v>10.4</v>
          </cell>
          <cell r="DB87">
            <v>10.4</v>
          </cell>
          <cell r="DC87">
            <v>10.4</v>
          </cell>
          <cell r="DD87">
            <v>10.4</v>
          </cell>
          <cell r="DE87">
            <v>10.4</v>
          </cell>
          <cell r="DF87">
            <v>10.4</v>
          </cell>
          <cell r="DG87">
            <v>10.4</v>
          </cell>
        </row>
        <row r="88">
          <cell r="B88" t="str">
            <v xml:space="preserve">      60700 Meals and Entertainment</v>
          </cell>
          <cell r="T88">
            <v>22</v>
          </cell>
          <cell r="AH88">
            <v>218.02</v>
          </cell>
          <cell r="AI88">
            <v>57.06</v>
          </cell>
          <cell r="AJ88">
            <v>44.41</v>
          </cell>
          <cell r="AL88">
            <v>837.07</v>
          </cell>
          <cell r="AN88">
            <v>50</v>
          </cell>
          <cell r="AO88">
            <v>251.46</v>
          </cell>
          <cell r="AR88">
            <v>285.64999999999998</v>
          </cell>
          <cell r="AS88">
            <v>315.29000000000002</v>
          </cell>
          <cell r="AT88">
            <v>326.19</v>
          </cell>
          <cell r="AU88">
            <v>294.64750000000004</v>
          </cell>
          <cell r="AV88">
            <v>294.64750000000004</v>
          </cell>
          <cell r="AW88">
            <v>294.64750000000004</v>
          </cell>
          <cell r="AX88">
            <v>294.64750000000004</v>
          </cell>
          <cell r="AY88">
            <v>294.64750000000004</v>
          </cell>
          <cell r="AZ88">
            <v>294.64750000000004</v>
          </cell>
          <cell r="BA88">
            <v>294.64750000000004</v>
          </cell>
          <cell r="BB88">
            <v>294.64750000000004</v>
          </cell>
          <cell r="BC88">
            <v>294.64750000000004</v>
          </cell>
          <cell r="BD88">
            <v>294.64750000000004</v>
          </cell>
          <cell r="BE88">
            <v>294.64750000000004</v>
          </cell>
          <cell r="BF88">
            <v>294.64750000000004</v>
          </cell>
          <cell r="BG88">
            <v>294.64750000000004</v>
          </cell>
          <cell r="BH88">
            <v>294.64750000000004</v>
          </cell>
          <cell r="BI88">
            <v>294.64750000000004</v>
          </cell>
          <cell r="BJ88">
            <v>294.64750000000004</v>
          </cell>
          <cell r="BK88">
            <v>294.64750000000004</v>
          </cell>
          <cell r="BL88">
            <v>294.64750000000004</v>
          </cell>
          <cell r="BM88">
            <v>294.64750000000004</v>
          </cell>
          <cell r="BN88">
            <v>294.64750000000004</v>
          </cell>
          <cell r="BO88">
            <v>294.64750000000004</v>
          </cell>
          <cell r="BP88">
            <v>294.64750000000004</v>
          </cell>
          <cell r="BQ88">
            <v>294.64750000000004</v>
          </cell>
          <cell r="BR88">
            <v>294.64750000000004</v>
          </cell>
          <cell r="BS88">
            <v>294.64750000000004</v>
          </cell>
          <cell r="BT88">
            <v>294.64750000000004</v>
          </cell>
          <cell r="BU88">
            <v>294.64750000000004</v>
          </cell>
          <cell r="BV88">
            <v>294.64750000000004</v>
          </cell>
          <cell r="BW88">
            <v>294.64750000000004</v>
          </cell>
          <cell r="BX88">
            <v>294.64750000000004</v>
          </cell>
          <cell r="BY88">
            <v>294.64750000000004</v>
          </cell>
          <cell r="BZ88">
            <v>294.64750000000004</v>
          </cell>
          <cell r="CA88">
            <v>294.64750000000004</v>
          </cell>
          <cell r="CB88">
            <v>294.64750000000004</v>
          </cell>
          <cell r="CC88">
            <v>294.64750000000004</v>
          </cell>
          <cell r="CD88">
            <v>294.64750000000004</v>
          </cell>
          <cell r="CE88">
            <v>294.64750000000004</v>
          </cell>
          <cell r="CF88">
            <v>294.64750000000004</v>
          </cell>
          <cell r="CG88">
            <v>294.64750000000004</v>
          </cell>
          <cell r="CH88">
            <v>294.64750000000004</v>
          </cell>
          <cell r="CI88">
            <v>294.64750000000004</v>
          </cell>
          <cell r="CJ88">
            <v>294.64750000000004</v>
          </cell>
          <cell r="CK88">
            <v>294.64750000000004</v>
          </cell>
          <cell r="CL88">
            <v>294.64750000000004</v>
          </cell>
          <cell r="CM88">
            <v>294.64750000000004</v>
          </cell>
          <cell r="CN88">
            <v>294.64750000000004</v>
          </cell>
          <cell r="CO88">
            <v>294.64750000000004</v>
          </cell>
          <cell r="CP88">
            <v>294.64750000000004</v>
          </cell>
          <cell r="CQ88">
            <v>294.64750000000004</v>
          </cell>
          <cell r="CR88">
            <v>294.64750000000004</v>
          </cell>
          <cell r="CS88">
            <v>294.64750000000004</v>
          </cell>
          <cell r="CT88">
            <v>294.64750000000004</v>
          </cell>
          <cell r="CU88">
            <v>294.64750000000004</v>
          </cell>
          <cell r="CV88">
            <v>294.64750000000004</v>
          </cell>
          <cell r="CW88">
            <v>294.64750000000004</v>
          </cell>
          <cell r="CX88">
            <v>294.64750000000004</v>
          </cell>
          <cell r="CY88">
            <v>294.64750000000004</v>
          </cell>
          <cell r="CZ88">
            <v>294.64750000000004</v>
          </cell>
          <cell r="DA88">
            <v>294.64750000000004</v>
          </cell>
          <cell r="DB88">
            <v>294.64750000000004</v>
          </cell>
          <cell r="DC88">
            <v>294.64750000000004</v>
          </cell>
          <cell r="DD88">
            <v>294.64750000000004</v>
          </cell>
          <cell r="DE88">
            <v>294.64750000000004</v>
          </cell>
          <cell r="DF88">
            <v>294.64750000000004</v>
          </cell>
          <cell r="DG88">
            <v>294.64750000000004</v>
          </cell>
        </row>
        <row r="89">
          <cell r="B89" t="str">
            <v xml:space="preserve">      60800 QB Fees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30</v>
          </cell>
          <cell r="O89">
            <v>52.67</v>
          </cell>
          <cell r="P89">
            <v>30</v>
          </cell>
          <cell r="Q89">
            <v>30</v>
          </cell>
          <cell r="R89">
            <v>30</v>
          </cell>
          <cell r="S89">
            <v>31.99</v>
          </cell>
          <cell r="T89">
            <v>45.38</v>
          </cell>
          <cell r="U89">
            <v>51.04</v>
          </cell>
          <cell r="V89">
            <v>92.49</v>
          </cell>
          <cell r="W89">
            <v>194.71</v>
          </cell>
          <cell r="X89">
            <v>210.47</v>
          </cell>
          <cell r="Y89">
            <v>313.33999999999997</v>
          </cell>
          <cell r="Z89">
            <v>205.12</v>
          </cell>
          <cell r="AA89">
            <v>105.16</v>
          </cell>
          <cell r="AB89">
            <v>124.93</v>
          </cell>
          <cell r="AC89">
            <v>156.19</v>
          </cell>
          <cell r="AD89">
            <v>141.66999999999999</v>
          </cell>
          <cell r="AE89">
            <v>145.28</v>
          </cell>
          <cell r="AF89">
            <v>173.37</v>
          </cell>
          <cell r="AG89">
            <v>236.32</v>
          </cell>
          <cell r="AH89">
            <v>228.28</v>
          </cell>
          <cell r="AI89">
            <v>404.2</v>
          </cell>
          <cell r="AJ89">
            <v>334.27</v>
          </cell>
          <cell r="AK89">
            <v>523.21</v>
          </cell>
          <cell r="AL89">
            <v>315.97000000000003</v>
          </cell>
          <cell r="AM89">
            <v>199.98</v>
          </cell>
          <cell r="AN89">
            <v>229.96</v>
          </cell>
          <cell r="AO89">
            <v>281.20999999999998</v>
          </cell>
          <cell r="AP89">
            <v>303.5</v>
          </cell>
          <cell r="AQ89">
            <v>167.72</v>
          </cell>
          <cell r="AR89">
            <v>171.91</v>
          </cell>
          <cell r="AS89">
            <v>212.1</v>
          </cell>
          <cell r="AT89">
            <v>440.63</v>
          </cell>
          <cell r="AU89">
            <v>509.55028256194942</v>
          </cell>
          <cell r="AV89">
            <v>358.96389762776693</v>
          </cell>
          <cell r="AW89">
            <v>462.82361273548446</v>
          </cell>
          <cell r="AX89">
            <v>260.51286760704778</v>
          </cell>
          <cell r="AY89">
            <v>291.50907596139746</v>
          </cell>
          <cell r="AZ89">
            <v>388.40223287752127</v>
          </cell>
          <cell r="BA89">
            <v>441.00329781656046</v>
          </cell>
          <cell r="BB89">
            <v>521.13716383121402</v>
          </cell>
          <cell r="BC89">
            <v>231.05888998396287</v>
          </cell>
          <cell r="BD89">
            <v>423.47813923234543</v>
          </cell>
          <cell r="BE89">
            <v>273.96658938798794</v>
          </cell>
          <cell r="BF89">
            <v>437.8339020078393</v>
          </cell>
          <cell r="BG89">
            <v>711.55399616664488</v>
          </cell>
          <cell r="BH89">
            <v>516.574092679214</v>
          </cell>
          <cell r="BI89">
            <v>638.35881057809604</v>
          </cell>
          <cell r="BJ89">
            <v>430.2664135961561</v>
          </cell>
          <cell r="BK89">
            <v>458.23111482530567</v>
          </cell>
          <cell r="BL89">
            <v>522.93898340682142</v>
          </cell>
          <cell r="BM89">
            <v>616.43038285375155</v>
          </cell>
          <cell r="BN89">
            <v>771.79463582999767</v>
          </cell>
          <cell r="BO89">
            <v>331.28346959436971</v>
          </cell>
          <cell r="BP89">
            <v>604.83936524735873</v>
          </cell>
          <cell r="BQ89">
            <v>388.90128633797951</v>
          </cell>
          <cell r="BR89">
            <v>590.71737934184875</v>
          </cell>
          <cell r="BS89">
            <v>1047.529992154439</v>
          </cell>
          <cell r="BT89">
            <v>728.88036813198971</v>
          </cell>
          <cell r="BU89">
            <v>853.8341051253268</v>
          </cell>
          <cell r="BV89">
            <v>634.57893231421178</v>
          </cell>
          <cell r="BW89">
            <v>642.13169760323842</v>
          </cell>
          <cell r="BX89">
            <v>732.7633039540267</v>
          </cell>
          <cell r="BY89">
            <v>910.24444597063223</v>
          </cell>
          <cell r="BZ89">
            <v>1075.1710664685393</v>
          </cell>
          <cell r="CA89">
            <v>420.28268015615492</v>
          </cell>
          <cell r="CB89">
            <v>921.0425380210603</v>
          </cell>
          <cell r="CC89">
            <v>540.08611444106486</v>
          </cell>
          <cell r="CD89">
            <v>781.36198874379397</v>
          </cell>
          <cell r="CE89">
            <v>1531.447760941679</v>
          </cell>
          <cell r="CF89">
            <v>981.06153723110185</v>
          </cell>
          <cell r="CG89">
            <v>1264.9386164780326</v>
          </cell>
          <cell r="CH89">
            <v>905.13775234584807</v>
          </cell>
          <cell r="CI89">
            <v>831.08404673520147</v>
          </cell>
          <cell r="CJ89">
            <v>1140.2674014537818</v>
          </cell>
          <cell r="CK89">
            <v>1227.2985385462348</v>
          </cell>
          <cell r="CL89">
            <v>1462.1961214902954</v>
          </cell>
          <cell r="CM89">
            <v>622.6025315944155</v>
          </cell>
          <cell r="CN89">
            <v>1304.341137954226</v>
          </cell>
          <cell r="CO89">
            <v>730.33707100999459</v>
          </cell>
          <cell r="CP89">
            <v>1161.3999487332346</v>
          </cell>
          <cell r="CQ89">
            <v>2156.8985342036744</v>
          </cell>
          <cell r="CR89">
            <v>1314.7604477368682</v>
          </cell>
          <cell r="CS89">
            <v>1868.7660423226994</v>
          </cell>
          <cell r="CT89">
            <v>1272.1816813684172</v>
          </cell>
          <cell r="CU89">
            <v>1172.4017515538189</v>
          </cell>
          <cell r="CV89">
            <v>1604.189980019705</v>
          </cell>
          <cell r="CW89">
            <v>1728.6097842520098</v>
          </cell>
          <cell r="CX89">
            <v>1956.651777105081</v>
          </cell>
          <cell r="CY89">
            <v>916.30793685004642</v>
          </cell>
          <cell r="CZ89">
            <v>1830.329474485842</v>
          </cell>
          <cell r="DA89">
            <v>974.22474987515454</v>
          </cell>
          <cell r="DB89">
            <v>1702.5509431502614</v>
          </cell>
          <cell r="DC89">
            <v>2895.0841252216105</v>
          </cell>
          <cell r="DD89">
            <v>1930.1479243549511</v>
          </cell>
          <cell r="DE89">
            <v>2612.9665763036678</v>
          </cell>
          <cell r="DF89">
            <v>1702.0581873698304</v>
          </cell>
          <cell r="DG89">
            <v>1724.4669859256251</v>
          </cell>
        </row>
        <row r="90">
          <cell r="B90" t="str">
            <v xml:space="preserve">      60900 Professional/Legal Fees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1150</v>
          </cell>
          <cell r="N90">
            <v>0</v>
          </cell>
          <cell r="O90">
            <v>0</v>
          </cell>
          <cell r="U90">
            <v>50</v>
          </cell>
          <cell r="V90">
            <v>55</v>
          </cell>
          <cell r="W90">
            <v>200</v>
          </cell>
          <cell r="X90">
            <v>633.5</v>
          </cell>
          <cell r="AI90">
            <v>490</v>
          </cell>
          <cell r="AK90">
            <v>262.5</v>
          </cell>
          <cell r="AP90">
            <v>707</v>
          </cell>
          <cell r="AQ90">
            <v>235.5</v>
          </cell>
          <cell r="AT90">
            <v>275</v>
          </cell>
          <cell r="AU90">
            <v>405.83333333333331</v>
          </cell>
          <cell r="AV90">
            <v>0</v>
          </cell>
          <cell r="AW90">
            <v>262.5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707</v>
          </cell>
          <cell r="BC90">
            <v>235.5</v>
          </cell>
          <cell r="BD90">
            <v>0</v>
          </cell>
          <cell r="BE90">
            <v>0</v>
          </cell>
          <cell r="BF90">
            <v>275</v>
          </cell>
          <cell r="BG90">
            <v>405.83333333333331</v>
          </cell>
          <cell r="BH90">
            <v>0</v>
          </cell>
          <cell r="BI90">
            <v>262.5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707</v>
          </cell>
          <cell r="BO90">
            <v>235.5</v>
          </cell>
          <cell r="BP90">
            <v>0</v>
          </cell>
          <cell r="BQ90">
            <v>0</v>
          </cell>
          <cell r="BR90">
            <v>275</v>
          </cell>
          <cell r="BS90">
            <v>405.83333333333331</v>
          </cell>
          <cell r="BT90">
            <v>0</v>
          </cell>
          <cell r="BU90">
            <v>262.5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707</v>
          </cell>
          <cell r="CA90">
            <v>235.5</v>
          </cell>
          <cell r="CB90">
            <v>0</v>
          </cell>
          <cell r="CC90">
            <v>0</v>
          </cell>
          <cell r="CD90">
            <v>275</v>
          </cell>
          <cell r="CE90">
            <v>405.83333333333331</v>
          </cell>
          <cell r="CF90">
            <v>0</v>
          </cell>
          <cell r="CG90">
            <v>262.5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707</v>
          </cell>
          <cell r="CM90">
            <v>235.5</v>
          </cell>
          <cell r="CN90">
            <v>0</v>
          </cell>
          <cell r="CO90">
            <v>0</v>
          </cell>
          <cell r="CP90">
            <v>275</v>
          </cell>
          <cell r="CQ90">
            <v>405.83333333333331</v>
          </cell>
          <cell r="CR90">
            <v>0</v>
          </cell>
          <cell r="CS90">
            <v>262.5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707</v>
          </cell>
          <cell r="CY90">
            <v>235.5</v>
          </cell>
          <cell r="CZ90">
            <v>0</v>
          </cell>
          <cell r="DA90">
            <v>0</v>
          </cell>
          <cell r="DB90">
            <v>275</v>
          </cell>
          <cell r="DC90">
            <v>405.83333333333331</v>
          </cell>
          <cell r="DD90">
            <v>0</v>
          </cell>
          <cell r="DE90">
            <v>262.5</v>
          </cell>
          <cell r="DF90">
            <v>0</v>
          </cell>
          <cell r="DG90">
            <v>0</v>
          </cell>
        </row>
        <row r="91">
          <cell r="B91" t="str">
            <v xml:space="preserve">      61100 Utilities</v>
          </cell>
          <cell r="T91">
            <v>192.74</v>
          </cell>
          <cell r="U91">
            <v>137.74</v>
          </cell>
          <cell r="V91">
            <v>181.07</v>
          </cell>
          <cell r="W91">
            <v>286.48</v>
          </cell>
          <cell r="X91">
            <v>138.16999999999999</v>
          </cell>
          <cell r="Y91">
            <v>263.36</v>
          </cell>
          <cell r="Z91">
            <v>138.4</v>
          </cell>
          <cell r="AA91">
            <v>138.4</v>
          </cell>
          <cell r="AB91">
            <v>138.4</v>
          </cell>
          <cell r="AC91">
            <v>138.41999999999999</v>
          </cell>
          <cell r="AD91">
            <v>138.41999999999999</v>
          </cell>
          <cell r="AE91">
            <v>145.97</v>
          </cell>
          <cell r="AF91">
            <v>142.41999999999999</v>
          </cell>
          <cell r="AG91">
            <v>142.41999999999999</v>
          </cell>
          <cell r="AH91">
            <v>219.14</v>
          </cell>
          <cell r="AI91">
            <v>164.46</v>
          </cell>
          <cell r="AJ91">
            <v>134.46</v>
          </cell>
          <cell r="AK91">
            <v>260.35000000000002</v>
          </cell>
          <cell r="AL91">
            <v>157.41</v>
          </cell>
          <cell r="AM91">
            <v>127.41</v>
          </cell>
          <cell r="AN91">
            <v>128.5</v>
          </cell>
          <cell r="AO91">
            <v>155.68</v>
          </cell>
          <cell r="AP91">
            <v>123.02</v>
          </cell>
          <cell r="AQ91">
            <v>123.02</v>
          </cell>
          <cell r="AR91">
            <v>123.01</v>
          </cell>
          <cell r="AS91">
            <v>123.01</v>
          </cell>
          <cell r="AT91">
            <v>123.01</v>
          </cell>
          <cell r="AU91">
            <v>123.01</v>
          </cell>
          <cell r="AV91">
            <v>123.01</v>
          </cell>
          <cell r="AW91">
            <v>123.01</v>
          </cell>
          <cell r="AX91">
            <v>123.01</v>
          </cell>
          <cell r="AY91">
            <v>123.01</v>
          </cell>
          <cell r="AZ91">
            <v>123.01</v>
          </cell>
          <cell r="BA91">
            <v>123.01</v>
          </cell>
          <cell r="BB91">
            <v>123.01</v>
          </cell>
          <cell r="BC91">
            <v>123.01</v>
          </cell>
          <cell r="BD91">
            <v>123.01</v>
          </cell>
          <cell r="BE91">
            <v>123.01</v>
          </cell>
          <cell r="BF91">
            <v>123.01</v>
          </cell>
          <cell r="BG91">
            <v>123.01</v>
          </cell>
          <cell r="BH91">
            <v>123.01</v>
          </cell>
          <cell r="BI91">
            <v>123.01</v>
          </cell>
          <cell r="BJ91">
            <v>123.01</v>
          </cell>
          <cell r="BK91">
            <v>123.01</v>
          </cell>
          <cell r="BL91">
            <v>123.01</v>
          </cell>
          <cell r="BM91">
            <v>123.01</v>
          </cell>
          <cell r="BN91">
            <v>123.01</v>
          </cell>
          <cell r="BO91">
            <v>123.01</v>
          </cell>
          <cell r="BP91">
            <v>123.01</v>
          </cell>
          <cell r="BQ91">
            <v>123.01</v>
          </cell>
          <cell r="BR91">
            <v>123.01</v>
          </cell>
          <cell r="BS91">
            <v>123.01</v>
          </cell>
          <cell r="BT91">
            <v>123.01</v>
          </cell>
          <cell r="BU91">
            <v>123.01</v>
          </cell>
          <cell r="BV91">
            <v>123.01</v>
          </cell>
          <cell r="BW91">
            <v>123.01</v>
          </cell>
          <cell r="BX91">
            <v>123.01</v>
          </cell>
          <cell r="BY91">
            <v>123.01</v>
          </cell>
          <cell r="BZ91">
            <v>123.01</v>
          </cell>
          <cell r="CA91">
            <v>123.01</v>
          </cell>
          <cell r="CB91">
            <v>123.01</v>
          </cell>
          <cell r="CC91">
            <v>123.01</v>
          </cell>
          <cell r="CD91">
            <v>123.01</v>
          </cell>
          <cell r="CE91">
            <v>123.01</v>
          </cell>
          <cell r="CF91">
            <v>123.01</v>
          </cell>
          <cell r="CG91">
            <v>123.01</v>
          </cell>
          <cell r="CH91">
            <v>123.01</v>
          </cell>
          <cell r="CI91">
            <v>123.01</v>
          </cell>
          <cell r="CJ91">
            <v>123.01</v>
          </cell>
          <cell r="CK91">
            <v>123.01</v>
          </cell>
          <cell r="CL91">
            <v>123.01</v>
          </cell>
          <cell r="CM91">
            <v>123.01</v>
          </cell>
          <cell r="CN91">
            <v>123.01</v>
          </cell>
          <cell r="CO91">
            <v>123.01</v>
          </cell>
          <cell r="CP91">
            <v>123.01</v>
          </cell>
          <cell r="CQ91">
            <v>123.01</v>
          </cell>
          <cell r="CR91">
            <v>123.01</v>
          </cell>
          <cell r="CS91">
            <v>123.01</v>
          </cell>
          <cell r="CT91">
            <v>123.01</v>
          </cell>
          <cell r="CU91">
            <v>123.01</v>
          </cell>
          <cell r="CV91">
            <v>123.01</v>
          </cell>
          <cell r="CW91">
            <v>123.01</v>
          </cell>
          <cell r="CX91">
            <v>123.01</v>
          </cell>
          <cell r="CY91">
            <v>123.01</v>
          </cell>
          <cell r="CZ91">
            <v>123.01</v>
          </cell>
          <cell r="DA91">
            <v>123.01</v>
          </cell>
          <cell r="DB91">
            <v>123.01</v>
          </cell>
          <cell r="DC91">
            <v>123.01</v>
          </cell>
          <cell r="DD91">
            <v>123.01</v>
          </cell>
          <cell r="DE91">
            <v>123.01</v>
          </cell>
          <cell r="DF91">
            <v>123.01</v>
          </cell>
          <cell r="DG91">
            <v>123.01</v>
          </cell>
        </row>
        <row r="103">
          <cell r="B103" t="str">
            <v xml:space="preserve">   Interest Income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0.02</v>
          </cell>
          <cell r="N103">
            <v>0.03</v>
          </cell>
          <cell r="O103">
            <v>0.01</v>
          </cell>
          <cell r="P103">
            <v>0</v>
          </cell>
          <cell r="Q103">
            <v>0</v>
          </cell>
          <cell r="R103">
            <v>0</v>
          </cell>
          <cell r="S103">
            <v>0.01</v>
          </cell>
          <cell r="T103">
            <v>0.01</v>
          </cell>
          <cell r="U103">
            <v>0.01</v>
          </cell>
          <cell r="V103">
            <v>0.03</v>
          </cell>
          <cell r="W103">
            <v>0.01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G103">
            <v>0</v>
          </cell>
          <cell r="AI103">
            <v>0.43</v>
          </cell>
          <cell r="AJ103">
            <v>0.69</v>
          </cell>
          <cell r="AK103">
            <v>1.74</v>
          </cell>
          <cell r="AL103">
            <v>2.41</v>
          </cell>
          <cell r="AM103">
            <v>0.08</v>
          </cell>
          <cell r="AN103">
            <v>0.01</v>
          </cell>
          <cell r="AO103">
            <v>0.01</v>
          </cell>
          <cell r="AP103">
            <v>0.01</v>
          </cell>
          <cell r="AQ103">
            <v>0.01</v>
          </cell>
          <cell r="AR103">
            <v>0.06</v>
          </cell>
          <cell r="AS103">
            <v>0.01</v>
          </cell>
          <cell r="AT103">
            <v>0.03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</row>
        <row r="170">
          <cell r="AQ170">
            <v>1</v>
          </cell>
          <cell r="AR170">
            <v>-746.48999999999069</v>
          </cell>
          <cell r="AS170">
            <v>-37.680000000000291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rdan lee" id="{1EAB70DF-57F2-4E03-B78C-7A4DE89F3DCA}" userId="03a4090e471ff419" providerId="Windows Live"/>
  <person displayName="Muneeb Syed" id="{09EAC893-A2FC-5248-A491-4EB85939DA42}" userId="3d1b2efebf15df71" providerId="Windows Live"/>
  <person displayName="Jordan Lee" id="{4FFE1BBA-B9CA-49FB-A731-68784AB003DB}" userId="S::jordan.lee.17@cnu.edu::c7004041-c18d-46a2-813c-11a6bccfe04f" providerId="AD"/>
</personList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jordan lee" refreshedDate="44895.928566087961" createdVersion="8" refreshedVersion="8" minRefreshableVersion="3" recordCount="6" xr:uid="{613EE8A1-CDF4-4843-88FB-66816C45A52A}">
  <cacheSource type="worksheet">
    <worksheetSource ref="A1:J7" sheet="August"/>
  </cacheSource>
  <cacheFields count="10">
    <cacheField name="Student" numFmtId="0">
      <sharedItems count="5">
        <s v="Caroline Frey"/>
        <s v="Nicolette Batori"/>
        <s v="Maddie Wilson"/>
        <s v="Sujay Penugonda"/>
        <s v="Matthew Aasen"/>
      </sharedItems>
    </cacheField>
    <cacheField name="Date" numFmtId="14">
      <sharedItems containsSemiMixedTypes="0" containsNonDate="0" containsDate="1" containsString="0" minDate="2022-08-20T00:00:00" maxDate="2022-08-24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5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String="0" containsBlank="1" containsNumber="1" containsInteger="1" minValue="0" maxValue="10"/>
    </cacheField>
    <cacheField name="Totals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9830555557" createdVersion="8" refreshedVersion="8" minRefreshableVersion="3" recordCount="15" xr:uid="{154EBD7C-0101-4D63-9E70-E31B3C7C51A8}">
  <cacheSource type="worksheet">
    <worksheetSource ref="A1:J16" sheet="September"/>
  </cacheSource>
  <cacheFields count="10">
    <cacheField name="Student" numFmtId="0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numFmtId="16">
      <sharedItems containsSemiMixedTypes="0" containsNonDate="0" containsDate="1" containsString="0" minDate="2022-09-18T00:00:00" maxDate="2022-09-29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10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 containsMixedTypes="1" containsNumber="1" containsInteger="1" minValue="25" maxValue="25"/>
    </cacheField>
    <cacheField name="Totals" numFmtId="0">
      <sharedItems containsString="0" containsBlank="1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30193171298" createdVersion="8" refreshedVersion="8" minRefreshableVersion="3" recordCount="40" xr:uid="{88D9A00C-977F-4705-83A8-FAB91CE502E6}">
  <cacheSource type="worksheet">
    <worksheetSource ref="A1:K41" sheet="October"/>
  </cacheSource>
  <cacheFields count="11">
    <cacheField name="Student" numFmtId="0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numFmtId="16">
      <sharedItems containsSemiMixedTypes="0" containsNonDate="0" containsDate="1" containsString="0" minDate="2022-10-02T00:00:00" maxDate="2022-11-01T00:00:00"/>
    </cacheField>
    <cacheField name="Hours" numFmtId="0">
      <sharedItems containsSemiMixedTypes="0" containsString="0" containsNumber="1" minValue="0.5" maxValue="5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25" maxValue="175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/>
    </cacheField>
    <cacheField name="Paid via invoice?" numFmtId="0">
      <sharedItems/>
    </cacheField>
    <cacheField name="Totals" numFmtId="0">
      <sharedItems containsSemiMixedTypes="0" containsString="0" containsNumber="1" minValue="2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910.784345601853" createdVersion="8" refreshedVersion="8" minRefreshableVersion="3" recordCount="24" xr:uid="{C87EF8AD-2BBE-4D3F-BE88-FC5B28F3A300}">
  <cacheSource type="worksheet">
    <worksheetSource ref="A1:K25" sheet="November"/>
  </cacheSource>
  <cacheFields count="11">
    <cacheField name="Student" numFmtId="0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numFmtId="16">
      <sharedItems containsSemiMixedTypes="0" containsNonDate="0" containsDate="1" containsString="0" minDate="2022-11-03T00:00:00" maxDate="2022-12-01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30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/>
    </cacheField>
    <cacheField name="Paid via invoice?" numFmtId="0">
      <sharedItems/>
    </cacheField>
    <cacheField name="Totals" numFmtId="0">
      <sharedItems containsSemiMixedTypes="0" containsString="0" containsNumber="1" minValue="3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2-09-18T00:00:00"/>
    <n v="1"/>
    <n v="50"/>
    <n v="50"/>
    <s v="Yes"/>
    <s v="Yes"/>
    <s v="AOS Math/Science"/>
    <s v="No"/>
    <n v="50"/>
  </r>
  <r>
    <x v="1"/>
    <d v="2022-09-18T00:00:00"/>
    <n v="2"/>
    <n v="50"/>
    <n v="100"/>
    <s v="Yes"/>
    <s v="Yes"/>
    <s v="College Essay"/>
    <s v="No"/>
    <n v="100"/>
  </r>
  <r>
    <x v="2"/>
    <d v="2022-09-18T00:00:00"/>
    <n v="1.5"/>
    <n v="50"/>
    <n v="75"/>
    <s v="Yes"/>
    <s v="Yes"/>
    <s v="College Supplemental Essays"/>
    <n v="25"/>
    <n v="100"/>
  </r>
  <r>
    <x v="3"/>
    <d v="2022-09-18T00:00:00"/>
    <n v="1.5"/>
    <n v="50"/>
    <n v="75"/>
    <s v="Yes"/>
    <s v="Yes"/>
    <s v="Business Calc"/>
    <s v="No"/>
    <n v="75"/>
  </r>
  <r>
    <x v="4"/>
    <d v="2022-09-18T00:00:00"/>
    <n v="1.5"/>
    <n v="50"/>
    <n v="75"/>
    <s v="Yes"/>
    <s v="Yes"/>
    <s v="College Essay"/>
    <s v="No"/>
    <n v="75"/>
  </r>
  <r>
    <x v="5"/>
    <d v="2022-09-19T00:00:00"/>
    <n v="2"/>
    <n v="50"/>
    <n v="100"/>
    <s v="Yes"/>
    <s v="Yes"/>
    <s v="Math Practice for Quiz"/>
    <s v="No"/>
    <n v="100"/>
  </r>
  <r>
    <x v="3"/>
    <d v="2022-09-19T00:00:00"/>
    <n v="1"/>
    <n v="50"/>
    <n v="50"/>
    <s v="Yes"/>
    <s v="Yes"/>
    <s v="Business Calc"/>
    <s v="No"/>
    <n v="50"/>
  </r>
  <r>
    <x v="1"/>
    <d v="2022-09-22T00:00:00"/>
    <n v="1"/>
    <n v="50"/>
    <n v="50"/>
    <s v="Yes"/>
    <s v="Yes"/>
    <s v="ACT Math, NHS Essay"/>
    <s v="No"/>
    <n v="50"/>
  </r>
  <r>
    <x v="6"/>
    <d v="2022-09-23T00:00:00"/>
    <n v="0.5"/>
    <n v="50"/>
    <n v="25"/>
    <s v="No"/>
    <s v="Yes (accounted for in October w Caroline)"/>
    <s v="PR/Project Planning"/>
    <m/>
    <m/>
  </r>
  <r>
    <x v="1"/>
    <d v="2022-09-23T00:00:00"/>
    <n v="1"/>
    <n v="50"/>
    <n v="50"/>
    <s v="Yes"/>
    <s v="Yes"/>
    <s v="NHS Essay"/>
    <s v="No"/>
    <n v="50"/>
  </r>
  <r>
    <x v="7"/>
    <d v="2022-09-25T00:00:00"/>
    <n v="1"/>
    <n v="50"/>
    <n v="50"/>
    <s v="Yes"/>
    <s v="Yes"/>
    <s v="Algebra Review/SAT Math"/>
    <s v="No"/>
    <n v="50"/>
  </r>
  <r>
    <x v="1"/>
    <d v="2022-09-25T00:00:00"/>
    <n v="2"/>
    <n v="100"/>
    <n v="100"/>
    <s v="Yes"/>
    <s v="Yes"/>
    <s v="Supplemental Essays"/>
    <s v="No"/>
    <n v="100"/>
  </r>
  <r>
    <x v="8"/>
    <d v="2022-09-25T00:00:00"/>
    <n v="2"/>
    <n v="100"/>
    <n v="100"/>
    <s v="Yes"/>
    <s v="Yes"/>
    <s v="Supplemental Essays"/>
    <s v="No"/>
    <n v="100"/>
  </r>
  <r>
    <x v="7"/>
    <d v="2022-09-26T00:00:00"/>
    <n v="1"/>
    <n v="50"/>
    <n v="50"/>
    <s v="Yes"/>
    <s v="Yes"/>
    <s v="Algebra Review/SAT Math"/>
    <s v="No"/>
    <n v="50"/>
  </r>
  <r>
    <x v="1"/>
    <d v="2022-09-28T00:00:00"/>
    <n v="1.5"/>
    <n v="50"/>
    <n v="75"/>
    <s v="Yes"/>
    <s v="Yes"/>
    <s v="Supplemental Essays"/>
    <s v="No"/>
    <n v="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d v="2022-11-03T00:00:00"/>
    <n v="1"/>
    <n v="50"/>
    <n v="50"/>
    <s v="Yes"/>
    <s v="Yes"/>
    <s v="Properties of logs and exponents; APERT"/>
    <s v="No"/>
    <s v="Yes"/>
    <n v="50"/>
  </r>
  <r>
    <x v="1"/>
    <d v="2022-11-13T00:00:00"/>
    <n v="1"/>
    <n v="60"/>
    <n v="60"/>
    <s v="Yes"/>
    <s v="Yes"/>
    <s v="Math Analysis"/>
    <s v="No"/>
    <s v="QBA"/>
    <n v="60"/>
  </r>
  <r>
    <x v="1"/>
    <d v="2022-11-15T00:00:00"/>
    <n v="1.5"/>
    <n v="60"/>
    <n v="90"/>
    <s v="Yes"/>
    <s v="Yes"/>
    <s v="Math Analysis"/>
    <s v="No"/>
    <s v="QBA"/>
    <n v="90"/>
  </r>
  <r>
    <x v="2"/>
    <d v="2022-11-07T00:00:00"/>
    <n v="1"/>
    <n v="60"/>
    <n v="60"/>
    <s v="Yes"/>
    <s v="Yes"/>
    <s v="Algebra 1 - Absolute Value Functions"/>
    <s v="No"/>
    <s v="QBA"/>
    <n v="60"/>
  </r>
  <r>
    <x v="2"/>
    <d v="2022-11-27T00:00:00"/>
    <n v="1.5"/>
    <n v="60"/>
    <n v="90"/>
    <s v="Yes"/>
    <s v="Yes"/>
    <s v="Algebra 1 - Graphing, Domain, and Range"/>
    <s v="No"/>
    <s v="QBA"/>
    <n v="90"/>
  </r>
  <r>
    <x v="3"/>
    <d v="2022-11-13T00:00:00"/>
    <n v="1"/>
    <n v="60"/>
    <n v="60"/>
    <s v="Yes"/>
    <s v="Yes"/>
    <s v="Algebra 2 Trig"/>
    <s v="No"/>
    <s v="QBA"/>
    <n v="60"/>
  </r>
  <r>
    <x v="3"/>
    <d v="2022-11-19T00:00:00"/>
    <n v="1.5"/>
    <n v="60"/>
    <n v="90"/>
    <s v="Yes"/>
    <s v="Yes"/>
    <s v="Algebra 2 Trig"/>
    <s v="No"/>
    <s v="QBA"/>
    <n v="90"/>
  </r>
  <r>
    <x v="4"/>
    <d v="2022-11-10T00:00:00"/>
    <n v="1.5"/>
    <n v="50"/>
    <n v="75"/>
    <s v="Yes"/>
    <s v="Yes"/>
    <s v="Precalc - rational functions, domain/range, holes, asymptotes, graphing, factoring"/>
    <s v="No"/>
    <s v="QBA"/>
    <n v="75"/>
  </r>
  <r>
    <x v="5"/>
    <d v="2022-11-21T00:00:00"/>
    <n v="1"/>
    <n v="50"/>
    <n v="50"/>
    <s v="Yes"/>
    <s v="Yes"/>
    <s v="Business Calc (College)"/>
    <s v="No"/>
    <s v="QBA"/>
    <n v="50"/>
  </r>
  <r>
    <x v="6"/>
    <d v="2022-11-12T00:00:00"/>
    <n v="0.5"/>
    <n v="60"/>
    <n v="30"/>
    <s v="Yes"/>
    <s v="Yes"/>
    <s v="Dance"/>
    <s v="No"/>
    <s v="QBA"/>
    <n v="30"/>
  </r>
  <r>
    <x v="7"/>
    <d v="2022-11-06T00:00:00"/>
    <n v="2"/>
    <n v="50"/>
    <n v="100"/>
    <s v="Yes"/>
    <s v="Yes"/>
    <s v="SAT Math (Calculator Section)"/>
    <s v="No"/>
    <s v="QBA"/>
    <n v="100"/>
  </r>
  <r>
    <x v="7"/>
    <d v="2022-11-08T00:00:00"/>
    <n v="1"/>
    <n v="50"/>
    <n v="50"/>
    <s v="Yes"/>
    <s v="Yes"/>
    <s v="Trig Proofs"/>
    <s v="No"/>
    <s v="QBA"/>
    <n v="50"/>
  </r>
  <r>
    <x v="7"/>
    <d v="2022-11-19T00:00:00"/>
    <n v="1.5"/>
    <n v="50"/>
    <n v="75"/>
    <s v="Yes"/>
    <s v="Yes"/>
    <s v="SAT English"/>
    <s v="No"/>
    <s v="QBA"/>
    <n v="75"/>
  </r>
  <r>
    <x v="7"/>
    <d v="2022-11-26T00:00:00"/>
    <n v="1.5"/>
    <n v="50"/>
    <n v="75"/>
    <s v="Yes"/>
    <s v="Yes"/>
    <s v="SAT Grammar"/>
    <s v="No"/>
    <s v="QBA"/>
    <n v="75"/>
  </r>
  <r>
    <x v="7"/>
    <d v="2022-11-27T00:00:00"/>
    <n v="1.5"/>
    <n v="50"/>
    <n v="75"/>
    <s v="Yes"/>
    <s v="Yes"/>
    <s v="SAT Reading Comprehension"/>
    <s v="No"/>
    <s v="QBA"/>
    <n v="75"/>
  </r>
  <r>
    <x v="8"/>
    <d v="2022-11-03T00:00:00"/>
    <n v="1.25"/>
    <n v="50"/>
    <n v="62.5"/>
    <s v="Yes"/>
    <s v="Yes"/>
    <s v="Difference Quotient, pre-calc"/>
    <s v="No"/>
    <s v="Yes"/>
    <n v="62.5"/>
  </r>
  <r>
    <x v="8"/>
    <d v="2022-11-08T00:00:00"/>
    <n v="1"/>
    <n v="50"/>
    <n v="50"/>
    <s v="Yes"/>
    <s v="Yes"/>
    <s v="AOS Integrated Math and Science"/>
    <s v="No"/>
    <s v="QBA"/>
    <n v="50"/>
  </r>
  <r>
    <x v="8"/>
    <d v="2022-11-10T00:00:00"/>
    <n v="1.25"/>
    <n v="50"/>
    <n v="62.5"/>
    <s v="Yes"/>
    <s v="Yes"/>
    <s v="Physics - Position and Veloicty"/>
    <s v="No"/>
    <s v="QBA"/>
    <n v="62.5"/>
  </r>
  <r>
    <x v="8"/>
    <d v="2022-11-21T00:00:00"/>
    <n v="1.5"/>
    <n v="50"/>
    <n v="75"/>
    <s v="Yes"/>
    <s v="Yes"/>
    <s v="AOS Integrated Math and Science"/>
    <s v="No"/>
    <s v="QBA"/>
    <n v="75"/>
  </r>
  <r>
    <x v="8"/>
    <d v="2022-11-26T00:00:00"/>
    <n v="1"/>
    <n v="50"/>
    <n v="50"/>
    <s v="Yes"/>
    <s v="Yes"/>
    <s v="AOS Integrated Math and Science"/>
    <s v="No"/>
    <s v="QBA"/>
    <n v="50"/>
  </r>
  <r>
    <x v="8"/>
    <d v="2022-11-27T00:00:00"/>
    <n v="2"/>
    <n v="50"/>
    <n v="100"/>
    <s v="Yes"/>
    <s v="Yes"/>
    <s v="AOS Integrated Math and Science"/>
    <s v="No"/>
    <s v="QBA"/>
    <n v="100"/>
  </r>
  <r>
    <x v="8"/>
    <d v="2022-11-28T00:00:00"/>
    <n v="1"/>
    <n v="50"/>
    <n v="50"/>
    <s v="Yes"/>
    <s v="Yes"/>
    <s v="AOS Integrated Math and Science"/>
    <s v="No"/>
    <s v="QBA"/>
    <n v="50"/>
  </r>
  <r>
    <x v="9"/>
    <d v="2022-11-30T00:00:00"/>
    <n v="2"/>
    <n v="50"/>
    <n v="100"/>
    <s v="Yes"/>
    <s v="Yes"/>
    <s v="Chemistry"/>
    <s v="No"/>
    <s v="QBA"/>
    <n v="100"/>
  </r>
  <r>
    <x v="10"/>
    <d v="2022-11-21T00:00:00"/>
    <n v="1"/>
    <n v="60"/>
    <n v="60"/>
    <s v="Yes"/>
    <s v="Yes"/>
    <s v="Physics - Angles, Motion"/>
    <m/>
    <s v="QBA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9E4AA-C066-42A7-97F8-2643FFBDC7E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Q36" firstHeaderRow="0" firstDataRow="1" firstDataCol="1"/>
  <pivotFields count="11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E357D-8EA8-4F97-A879-3A48C0495C5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Q20" firstHeaderRow="0" firstDataRow="1" firstDataCol="1"/>
  <pivotFields count="10">
    <pivotField axis="axisRow" showAll="0">
      <items count="10">
        <item x="5"/>
        <item x="2"/>
        <item x="7"/>
        <item x="3"/>
        <item x="4"/>
        <item x="1"/>
        <item x="6"/>
        <item x="0"/>
        <item x="8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6D204-EEC9-4877-9298-15233B036C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11" firstHeaderRow="0" firstDataRow="1" firstDataCol="1"/>
  <pivotFields count="10">
    <pivotField axis="axisRow" showAll="0">
      <items count="6">
        <item x="0"/>
        <item x="2"/>
        <item x="4"/>
        <item x="1"/>
        <item x="3"/>
        <item t="default"/>
      </items>
    </pivotField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72157-608F-4E6E-8684-6F940185518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T14" firstHeaderRow="0" firstDataRow="1" firstDataCol="1"/>
  <pivotFields count="11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9" dT="2025-01-06T04:12:11.20" personId="{4FFE1BBA-B9CA-49FB-A731-68784AB003DB}" id="{CCC7538D-2355-416C-8AFF-CC11EF5D4A45}">
    <text>Should be closer to $15k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N26" dT="2025-05-09T03:17:32.55" personId="{4FFE1BBA-B9CA-49FB-A731-68784AB003DB}" id="{50E27788-15FE-4EC4-9024-B35DEBE0CA1B}">
    <text>Formula!</text>
  </threadedComment>
  <threadedComment ref="AO26" dT="2025-05-09T03:17:32.55" personId="{4FFE1BBA-B9CA-49FB-A731-68784AB003DB}" id="{C5C475C1-3117-4D7D-9520-18979528AADE}">
    <text>Formula!</text>
  </threadedComment>
  <threadedComment ref="AP26" dT="2025-05-09T03:17:32.55" personId="{4FFE1BBA-B9CA-49FB-A731-68784AB003DB}" id="{FB01E4C4-9D80-4C18-98EE-5B6EBC55EED5}">
    <text>Formula!</text>
  </threadedComment>
  <threadedComment ref="AQ26" dT="2025-05-09T03:17:32.55" personId="{4FFE1BBA-B9CA-49FB-A731-68784AB003DB}" id="{E3297F0B-31AD-479D-A121-525B48D06CC1}">
    <text>Formula!</text>
  </threadedComment>
  <threadedComment ref="AR26" dT="2025-05-09T03:17:32.55" personId="{4FFE1BBA-B9CA-49FB-A731-68784AB003DB}" id="{26B4DB3F-A17D-E84B-A9C0-A7EA443040D9}">
    <text>Formula!</text>
  </threadedComment>
  <threadedComment ref="AP31" dT="2025-04-08T02:28:47.43" personId="{09EAC893-A2FC-5248-A491-4EB85939DA42}" id="{502DE87D-E9C4-7F40-8FE3-CD4A56D8E94E}">
    <text>For some reason this was not being pulled in the Time Last Month report</text>
  </threadedComment>
  <threadedComment ref="AO44" dT="2025-05-09T03:29:09.55" personId="{4FFE1BBA-B9CA-49FB-A731-68784AB003DB}" id="{FF368B87-FB45-46B1-A11F-8FAD2BEDDF94}">
    <text>Adjusted for Recurring Students</text>
  </threadedComment>
  <threadedComment ref="AM64" dT="2025-01-06T03:53:30.10" personId="{4FFE1BBA-B9CA-49FB-A731-68784AB003DB}" id="{CE704105-41F6-4C56-9350-3448E5DD668D}">
    <text>$599 intern expense</text>
  </threadedComment>
  <threadedComment ref="S88" dT="2022-12-01T04:02:35.34" personId="{1EAB70DF-57F2-4E03-B78C-7A4DE89F3DCA}" id="{735C9239-FB8A-4B36-9D20-C68BC4D2B976}">
    <text>Tax Advice JMM Group LLC</text>
  </threadedComment>
  <threadedComment ref="T88" dT="2022-12-01T04:02:35.34" personId="{1EAB70DF-57F2-4E03-B78C-7A4DE89F3DCA}" id="{701A54C3-1B46-4893-BC62-B2EFF266C055}">
    <text>Offboarding JMM Group LLC</text>
  </threadedComment>
  <threadedComment ref="AS137" dT="2025-05-09T03:37:39.42" personId="{4FFE1BBA-B9CA-49FB-A731-68784AB003DB}" id="{E9A4DEB7-8F9C-D94C-9291-1B8148076C2C}">
    <text>Adjusted for Cash</text>
  </threadedComment>
  <threadedComment ref="AE149" dT="2024-02-20T00:31:08.36" personId="{1EAB70DF-57F2-4E03-B78C-7A4DE89F3DCA}" id="{C6FCD979-1374-4A1B-A294-11D803D8AB2C}">
    <text>$4k Contribution for taxes</text>
  </threadedComment>
  <threadedComment ref="AD150" dT="2024-02-03T19:01:21.33" personId="{1EAB70DF-57F2-4E03-B78C-7A4DE89F3DCA}" id="{652DF29B-C80F-474D-9452-32A45BAD392F}">
    <text>Maximum $800 Distribution</text>
  </threadedComment>
  <threadedComment ref="AE150" dT="2024-01-11T04:17:29.88" personId="{1EAB70DF-57F2-4E03-B78C-7A4DE89F3DCA}" id="{973B5C3F-CC1C-478B-AAEB-95C45A193E9C}">
    <text>Estimated 2023 Tax Payment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12" dT="2024-11-06T20:23:10.19" personId="{1EAB70DF-57F2-4E03-B78C-7A4DE89F3DCA}" id="{67D2E087-3C84-4785-B259-0CC55E404C8B}">
    <text>Est charges $75 pays her 50</text>
  </threadedComment>
  <threadedComment ref="M12" dT="2025-01-06T04:14:09.72" personId="{4FFE1BBA-B9CA-49FB-A731-68784AB003DB}" id="{87643607-1FAC-408E-BCCF-540920D64205}" parentId="{67D2E087-3C84-4785-B259-0CC55E404C8B}">
    <text>Max about 3 hours per client - Always left (half time hour less)</text>
  </threadedComment>
  <threadedComment ref="N13" dT="2025-01-06T03:41:50.33" personId="{4FFE1BBA-B9CA-49FB-A731-68784AB003DB}" id="{D1238F7C-0EDC-4167-877F-EC5127568767}">
    <text>Fix for overage on SAT/ACT prep hours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1BF3-DA73-4F62-AD90-BD106EE48A29}">
  <dimension ref="A1"/>
  <sheetViews>
    <sheetView showGridLines="0" workbookViewId="0">
      <selection activeCell="B2" sqref="B2"/>
    </sheetView>
  </sheetViews>
  <sheetFormatPr defaultColWidth="8.6640625" defaultRowHeight="14.4" x14ac:dyDescent="0.3"/>
  <sheetData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BB1D-97D4-40DB-A9A2-15B041D53A4D}">
  <sheetPr>
    <tabColor theme="1"/>
    <pageSetUpPr fitToPage="1"/>
  </sheetPr>
  <dimension ref="B2:AB38"/>
  <sheetViews>
    <sheetView showGridLines="0" topLeftCell="C14" zoomScale="102" zoomScaleNormal="100" workbookViewId="0">
      <selection activeCell="J37" sqref="J37"/>
    </sheetView>
  </sheetViews>
  <sheetFormatPr defaultColWidth="8.6640625" defaultRowHeight="14.4" outlineLevelCol="1" x14ac:dyDescent="0.3"/>
  <cols>
    <col min="3" max="3" width="34" bestFit="1" customWidth="1"/>
    <col min="4" max="4" width="11.6640625" customWidth="1" outlineLevel="1"/>
    <col min="5" max="5" width="11.6640625" bestFit="1" customWidth="1"/>
    <col min="6" max="6" width="11.6640625" hidden="1" customWidth="1" outlineLevel="1"/>
    <col min="7" max="7" width="12.77734375" bestFit="1" customWidth="1" collapsed="1"/>
    <col min="8" max="9" width="11.6640625" bestFit="1" customWidth="1"/>
    <col min="10" max="10" width="10.44140625" bestFit="1" customWidth="1"/>
    <col min="11" max="11" width="11.6640625" bestFit="1" customWidth="1"/>
    <col min="12" max="12" width="12.77734375" bestFit="1" customWidth="1"/>
    <col min="13" max="13" width="11.33203125" hidden="1" customWidth="1" outlineLevel="1"/>
    <col min="14" max="14" width="11.44140625" hidden="1" customWidth="1" outlineLevel="1"/>
    <col min="15" max="15" width="11.6640625" hidden="1" customWidth="1" outlineLevel="1"/>
    <col min="16" max="16" width="8.6640625" collapsed="1"/>
  </cols>
  <sheetData>
    <row r="2" spans="2:28" ht="15" thickBot="1" x14ac:dyDescent="0.35"/>
    <row r="3" spans="2:28" x14ac:dyDescent="0.3">
      <c r="B3" s="92"/>
      <c r="C3" s="93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5"/>
      <c r="Q3" s="92"/>
      <c r="R3" s="94"/>
      <c r="S3" s="94"/>
      <c r="T3" s="94"/>
      <c r="U3" s="94"/>
      <c r="V3" s="94"/>
      <c r="W3" s="94"/>
      <c r="X3" s="94"/>
      <c r="Y3" s="94"/>
      <c r="Z3" s="94"/>
      <c r="AA3" s="94"/>
      <c r="AB3" s="95"/>
    </row>
    <row r="4" spans="2:28" x14ac:dyDescent="0.3">
      <c r="B4" s="96"/>
      <c r="C4" s="7"/>
      <c r="P4" s="97"/>
      <c r="Q4" s="96"/>
      <c r="AB4" s="97"/>
    </row>
    <row r="5" spans="2:28" x14ac:dyDescent="0.3">
      <c r="B5" s="96"/>
      <c r="C5" s="7"/>
      <c r="P5" s="97"/>
      <c r="Q5" s="96"/>
      <c r="AB5" s="97"/>
    </row>
    <row r="6" spans="2:28" x14ac:dyDescent="0.3">
      <c r="B6" s="96"/>
      <c r="C6" s="7"/>
      <c r="P6" s="97"/>
      <c r="Q6" s="96"/>
      <c r="AB6" s="97"/>
    </row>
    <row r="7" spans="2:28" x14ac:dyDescent="0.3">
      <c r="B7" s="96"/>
      <c r="C7" s="7"/>
      <c r="P7" s="97"/>
      <c r="Q7" s="96"/>
      <c r="AB7" s="97"/>
    </row>
    <row r="8" spans="2:28" x14ac:dyDescent="0.3">
      <c r="B8" s="96"/>
      <c r="C8" s="7"/>
      <c r="P8" s="97"/>
      <c r="Q8" s="96"/>
      <c r="AB8" s="97"/>
    </row>
    <row r="9" spans="2:28" x14ac:dyDescent="0.3">
      <c r="B9" s="96"/>
      <c r="C9" s="7"/>
      <c r="P9" s="97"/>
      <c r="Q9" s="96"/>
      <c r="AB9" s="97"/>
    </row>
    <row r="10" spans="2:28" ht="15" thickBot="1" x14ac:dyDescent="0.35">
      <c r="B10" s="96"/>
      <c r="C10" s="7"/>
      <c r="P10" s="97"/>
      <c r="Q10" s="96"/>
      <c r="AB10" s="97"/>
    </row>
    <row r="11" spans="2:28" ht="15.6" x14ac:dyDescent="0.3">
      <c r="B11" s="98"/>
      <c r="C11" s="335"/>
      <c r="D11" s="336">
        <v>2022</v>
      </c>
      <c r="E11" s="336">
        <f>+D11+1</f>
        <v>2023</v>
      </c>
      <c r="F11" s="548" t="s">
        <v>226</v>
      </c>
      <c r="G11" s="336">
        <f>+E11+1</f>
        <v>2024</v>
      </c>
      <c r="H11" s="548" t="s">
        <v>226</v>
      </c>
      <c r="I11" s="336">
        <f>+G11+1</f>
        <v>2025</v>
      </c>
      <c r="J11" s="548" t="s">
        <v>226</v>
      </c>
      <c r="K11" s="336">
        <f>+I11+1</f>
        <v>2026</v>
      </c>
      <c r="L11" s="337">
        <f t="shared" ref="L11:O11" si="0">+K11+1</f>
        <v>2027</v>
      </c>
      <c r="M11" s="336">
        <f t="shared" si="0"/>
        <v>2028</v>
      </c>
      <c r="N11" s="336">
        <f t="shared" si="0"/>
        <v>2029</v>
      </c>
      <c r="O11" s="337">
        <f t="shared" si="0"/>
        <v>2030</v>
      </c>
      <c r="P11" s="99"/>
      <c r="Q11" s="98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99"/>
    </row>
    <row r="12" spans="2:28" ht="6.45" customHeight="1" x14ac:dyDescent="0.3">
      <c r="B12" s="96"/>
      <c r="C12" s="338"/>
      <c r="D12" s="339"/>
      <c r="E12" s="339"/>
      <c r="F12" s="549"/>
      <c r="G12" s="339"/>
      <c r="H12" s="549"/>
      <c r="I12" s="339"/>
      <c r="J12" s="549"/>
      <c r="K12" s="339"/>
      <c r="L12" s="340"/>
      <c r="M12" s="339"/>
      <c r="N12" s="339"/>
      <c r="O12" s="340"/>
      <c r="P12" s="97"/>
      <c r="Q12" s="96"/>
      <c r="AB12" s="97"/>
    </row>
    <row r="13" spans="2:28" x14ac:dyDescent="0.3">
      <c r="B13" s="96"/>
      <c r="C13" s="341" t="s">
        <v>60</v>
      </c>
      <c r="D13" s="101">
        <f>SUMIF('Monthly Detail'!$1:$1,'Annual Summary'!D$11, 'Monthly Detail'!12:12)</f>
        <v>9212.5</v>
      </c>
      <c r="E13" s="101">
        <f>SUMIF('Monthly Detail'!$1:$1,'Annual Summary'!E$11, 'Monthly Detail'!12:12)</f>
        <v>43837.41</v>
      </c>
      <c r="F13" s="550">
        <f>+E13-D13</f>
        <v>34624.910000000003</v>
      </c>
      <c r="G13" s="101">
        <f>SUMIF('Monthly Detail'!$1:$1,'Annual Summary'!G$11, 'Monthly Detail'!12:12)</f>
        <v>89488.790000000008</v>
      </c>
      <c r="H13" s="550">
        <f>+G13-E13</f>
        <v>45651.380000000005</v>
      </c>
      <c r="I13" s="101">
        <f>SUMIF('Monthly Detail'!$1:$1,'Annual Summary'!I$11, 'Monthly Detail'!12:12)</f>
        <v>166087.09388807989</v>
      </c>
      <c r="J13" s="550">
        <f>+I13-G13</f>
        <v>76598.303888079885</v>
      </c>
      <c r="K13" s="101">
        <f>SUMIF('Monthly Detail'!$1:$1,'Annual Summary'!K$11, 'Monthly Detail'!12:12)</f>
        <v>228528.7378335807</v>
      </c>
      <c r="L13" s="342">
        <f>SUMIF('Monthly Detail'!$1:$1,'Annual Summary'!L$11, 'Monthly Detail'!12:12)</f>
        <v>336922.46796740958</v>
      </c>
      <c r="M13" s="101">
        <f>SUMIF('Monthly Detail'!$1:$1,'Annual Summary'!M$11, 'Monthly Detail'!12:12)</f>
        <v>479134.90817860729</v>
      </c>
      <c r="N13" s="101">
        <f>SUMIF('Monthly Detail'!$1:$1,'Annual Summary'!N$11, 'Monthly Detail'!12:12)</f>
        <v>673773.61541986326</v>
      </c>
      <c r="O13" s="342">
        <f>SUMIF('Monthly Detail'!$1:$1,'Annual Summary'!O$11, 'Monthly Detail'!12:12)</f>
        <v>950029.28042032034</v>
      </c>
      <c r="P13" s="97"/>
      <c r="Q13" s="96"/>
      <c r="AB13" s="97"/>
    </row>
    <row r="14" spans="2:28" x14ac:dyDescent="0.3">
      <c r="B14" s="96"/>
      <c r="C14" s="341" t="s">
        <v>295</v>
      </c>
      <c r="D14" s="101">
        <f>SUMIF('Monthly Detail'!$1:$1,'Annual Summary'!D$11, 'Monthly Detail'!13:13)</f>
        <v>125</v>
      </c>
      <c r="E14" s="101">
        <f>SUMIF('Monthly Detail'!$1:$1,'Annual Summary'!E$11, 'Monthly Detail'!13:13)</f>
        <v>608.09</v>
      </c>
      <c r="F14" s="550">
        <f t="shared" ref="F14:F33" si="1">+E14-D14</f>
        <v>483.09000000000003</v>
      </c>
      <c r="G14" s="101">
        <f>SUMIF('Monthly Detail'!$1:$1,'Annual Summary'!G$11, 'Monthly Detail'!13:13)</f>
        <v>339.45</v>
      </c>
      <c r="H14" s="550">
        <f t="shared" ref="H14:J16" si="2">+G14-E14</f>
        <v>-268.64000000000004</v>
      </c>
      <c r="I14" s="101">
        <f>SUMIF('Monthly Detail'!$1:$1,'Annual Summary'!I$11, 'Monthly Detail'!13:13)</f>
        <v>628.05334467589159</v>
      </c>
      <c r="J14" s="550">
        <f t="shared" si="2"/>
        <v>288.60334467589161</v>
      </c>
      <c r="K14" s="101">
        <f>SUMIF('Monthly Detail'!$1:$1,'Annual Summary'!K$11, 'Monthly Detail'!13:13)</f>
        <v>968.91801528609676</v>
      </c>
      <c r="L14" s="342">
        <f>SUMIF('Monthly Detail'!$1:$1,'Annual Summary'!L$11, 'Monthly Detail'!13:13)</f>
        <v>1428.4866405117232</v>
      </c>
      <c r="M14" s="101">
        <f>SUMIF('Monthly Detail'!$1:$1,'Annual Summary'!M$11, 'Monthly Detail'!13:13)</f>
        <v>2031.4401098419985</v>
      </c>
      <c r="N14" s="101">
        <f>SUMIF('Monthly Detail'!$1:$1,'Annual Summary'!N$11, 'Monthly Detail'!13:13)</f>
        <v>2856.6708957197188</v>
      </c>
      <c r="O14" s="342">
        <f>SUMIF('Monthly Detail'!$1:$1,'Annual Summary'!O$11, 'Monthly Detail'!13:13)</f>
        <v>4027.9419278938253</v>
      </c>
      <c r="P14" s="97"/>
      <c r="Q14" s="96"/>
      <c r="AB14" s="97"/>
    </row>
    <row r="15" spans="2:28" ht="18.75" customHeight="1" x14ac:dyDescent="0.3">
      <c r="B15" s="96"/>
      <c r="C15" s="343" t="s">
        <v>7</v>
      </c>
      <c r="D15" s="102">
        <f t="shared" ref="D15:O15" si="3">SUM(D13:D14)</f>
        <v>9337.5</v>
      </c>
      <c r="E15" s="102">
        <f t="shared" si="3"/>
        <v>44445.5</v>
      </c>
      <c r="F15" s="551">
        <f t="shared" si="1"/>
        <v>35108</v>
      </c>
      <c r="G15" s="102">
        <f t="shared" si="3"/>
        <v>89828.24</v>
      </c>
      <c r="H15" s="551">
        <f t="shared" si="2"/>
        <v>45382.740000000005</v>
      </c>
      <c r="I15" s="102">
        <f t="shared" si="3"/>
        <v>166715.14723275579</v>
      </c>
      <c r="J15" s="551">
        <f t="shared" si="2"/>
        <v>76886.907232755781</v>
      </c>
      <c r="K15" s="102">
        <f t="shared" si="3"/>
        <v>229497.65584886679</v>
      </c>
      <c r="L15" s="344">
        <f t="shared" si="3"/>
        <v>338350.9546079213</v>
      </c>
      <c r="M15" s="102">
        <f t="shared" si="3"/>
        <v>481166.34828844928</v>
      </c>
      <c r="N15" s="102">
        <f t="shared" si="3"/>
        <v>676630.28631558293</v>
      </c>
      <c r="O15" s="344">
        <f t="shared" si="3"/>
        <v>954057.22234821413</v>
      </c>
      <c r="P15" s="97"/>
      <c r="Q15" s="96"/>
      <c r="AB15" s="97"/>
    </row>
    <row r="16" spans="2:28" ht="18.75" customHeight="1" x14ac:dyDescent="0.3">
      <c r="B16" s="96"/>
      <c r="C16" s="345" t="s">
        <v>292</v>
      </c>
      <c r="D16" s="334">
        <f>+SUMIFS('Monthly Detail'!17:17,'Monthly Detail'!4:4,DATE(D11,12,31))</f>
        <v>7</v>
      </c>
      <c r="E16" s="334">
        <f>+SUMIFS('Monthly Detail'!17:17,'Monthly Detail'!4:4,DATE(E11,12,31))</f>
        <v>19</v>
      </c>
      <c r="F16" s="552">
        <f t="shared" si="1"/>
        <v>12</v>
      </c>
      <c r="G16" s="334">
        <f>+SUMIFS('Monthly Detail'!17:17,'Monthly Detail'!4:4,DATE(G11,12,31))</f>
        <v>23</v>
      </c>
      <c r="H16" s="552">
        <f t="shared" si="2"/>
        <v>4</v>
      </c>
      <c r="I16" s="334">
        <f>+SUMIFS('Monthly Detail'!17:17,'Monthly Detail'!4:4,DATE(I11,12,31))</f>
        <v>37.6</v>
      </c>
      <c r="J16" s="552">
        <f t="shared" si="2"/>
        <v>14.600000000000001</v>
      </c>
      <c r="K16" s="334">
        <f>+SUMIFS('Monthly Detail'!17:17,'Monthly Detail'!4:4,DATE(K11,12,31))</f>
        <v>67.839999999999975</v>
      </c>
      <c r="L16" s="346">
        <f>+SUMIFS('Monthly Detail'!17:17,'Monthly Detail'!4:4,DATE(L11,12,31))</f>
        <v>95.575999999999951</v>
      </c>
      <c r="M16" s="334">
        <f>+SUMIFS('Monthly Detail'!17:17,'Monthly Detail'!4:4,DATE(M11,12,31))</f>
        <v>135.80639999999991</v>
      </c>
      <c r="N16" s="334">
        <f>+SUMIFS('Monthly Detail'!17:17,'Monthly Detail'!4:4,DATE(N11,12,31))</f>
        <v>190.52895999999981</v>
      </c>
      <c r="O16" s="346">
        <f>+SUMIFS('Monthly Detail'!17:17,'Monthly Detail'!4:4,DATE(O11,12,31))</f>
        <v>268.74054399999972</v>
      </c>
      <c r="P16" s="97"/>
      <c r="Q16" s="96"/>
      <c r="AB16" s="97"/>
    </row>
    <row r="17" spans="2:28" ht="10.95" customHeight="1" x14ac:dyDescent="0.3">
      <c r="B17" s="96"/>
      <c r="C17" s="347" t="s">
        <v>220</v>
      </c>
      <c r="D17" s="101"/>
      <c r="E17" s="130">
        <f t="shared" ref="E17:O17" si="4">(E15/D15)-1</f>
        <v>3.759892904953146</v>
      </c>
      <c r="F17" s="553">
        <f t="shared" si="1"/>
        <v>3.759892904953146</v>
      </c>
      <c r="G17" s="130">
        <f>(G15/E15)-1</f>
        <v>1.0210873991742697</v>
      </c>
      <c r="H17" s="553">
        <f>+G17-E17</f>
        <v>-2.7388055057788763</v>
      </c>
      <c r="I17" s="130">
        <f>(I15/G15)-1</f>
        <v>0.85593246881777696</v>
      </c>
      <c r="J17" s="553">
        <f>+I17-G17</f>
        <v>-0.16515493035649276</v>
      </c>
      <c r="K17" s="130">
        <f>(K15/I15)-1</f>
        <v>0.37658550922465706</v>
      </c>
      <c r="L17" s="348">
        <f t="shared" si="4"/>
        <v>0.47431115736859053</v>
      </c>
      <c r="M17" s="130">
        <f t="shared" si="4"/>
        <v>0.42209248041289382</v>
      </c>
      <c r="N17" s="130">
        <f t="shared" si="4"/>
        <v>0.4062294437722338</v>
      </c>
      <c r="O17" s="348">
        <f t="shared" si="4"/>
        <v>0.41001258980482325</v>
      </c>
      <c r="P17" s="97"/>
      <c r="Q17" s="96"/>
      <c r="AB17" s="97"/>
    </row>
    <row r="18" spans="2:28" ht="6" customHeight="1" x14ac:dyDescent="0.3">
      <c r="B18" s="96"/>
      <c r="C18" s="349"/>
      <c r="F18" s="554"/>
      <c r="H18" s="554"/>
      <c r="J18" s="554"/>
      <c r="L18" s="97"/>
      <c r="O18" s="97"/>
      <c r="P18" s="97"/>
      <c r="Q18" s="96"/>
      <c r="AB18" s="97"/>
    </row>
    <row r="19" spans="2:28" x14ac:dyDescent="0.3">
      <c r="B19" s="96"/>
      <c r="C19" s="349" t="s">
        <v>325</v>
      </c>
      <c r="D19" s="101">
        <f>SUMIF('Monthly Detail'!$1:$1,'Annual Summary'!D$11, 'Monthly Detail'!$65:$65)</f>
        <v>0</v>
      </c>
      <c r="E19" s="101">
        <f>SUMIF('Monthly Detail'!$1:$1,'Annual Summary'!E$11, 'Monthly Detail'!$65:$65)</f>
        <v>0</v>
      </c>
      <c r="F19" s="550">
        <f t="shared" si="1"/>
        <v>0</v>
      </c>
      <c r="G19" s="101">
        <f>SUMIF('Monthly Detail'!$1:$1,'Annual Summary'!G$11, 'Monthly Detail'!$65:$65)</f>
        <v>4014</v>
      </c>
      <c r="H19" s="550">
        <f t="shared" ref="H19:J21" si="5">+G19-E19</f>
        <v>4014</v>
      </c>
      <c r="I19" s="101">
        <f>SUMIF('Monthly Detail'!$1:$1,'Annual Summary'!I$11, 'Monthly Detail'!$65:$65)</f>
        <v>14713.367938423135</v>
      </c>
      <c r="J19" s="550">
        <f t="shared" si="5"/>
        <v>10699.367938423135</v>
      </c>
      <c r="K19" s="101">
        <f>SUMIF('Monthly Detail'!$1:$1,'Annual Summary'!K$11, 'Monthly Detail'!$65:$65)</f>
        <v>53352.633337807376</v>
      </c>
      <c r="L19" s="342">
        <f>SUMIF('Monthly Detail'!$1:$1,'Annual Summary'!L$11, 'Monthly Detail'!$65:$65)</f>
        <v>103441.74254549123</v>
      </c>
      <c r="M19" s="101">
        <f>SUMIF('Monthly Detail'!$1:$1,'Annual Summary'!M$11, 'Monthly Detail'!$65:$65)</f>
        <v>170540.25886997365</v>
      </c>
      <c r="N19" s="101">
        <f>SUMIF('Monthly Detail'!$1:$1,'Annual Summary'!N$11, 'Monthly Detail'!$65:$65)</f>
        <v>263585.41915533342</v>
      </c>
      <c r="O19" s="342">
        <f>SUMIF('Monthly Detail'!$1:$1,'Annual Summary'!O$11, 'Monthly Detail'!$65:$65)</f>
        <v>397456.99424122478</v>
      </c>
      <c r="P19" s="97"/>
      <c r="Q19" s="96"/>
      <c r="AB19" s="97"/>
    </row>
    <row r="20" spans="2:28" ht="15.6" x14ac:dyDescent="0.3">
      <c r="B20" s="104"/>
      <c r="C20" s="350" t="s">
        <v>165</v>
      </c>
      <c r="D20" s="88">
        <f>D15-D19</f>
        <v>9337.5</v>
      </c>
      <c r="E20" s="88">
        <f t="shared" ref="E20:O20" si="6">E15-E19</f>
        <v>44445.5</v>
      </c>
      <c r="F20" s="555">
        <f t="shared" si="1"/>
        <v>35108</v>
      </c>
      <c r="G20" s="88">
        <f t="shared" si="6"/>
        <v>85814.24</v>
      </c>
      <c r="H20" s="555">
        <f t="shared" si="5"/>
        <v>41368.740000000005</v>
      </c>
      <c r="I20" s="88">
        <f t="shared" si="6"/>
        <v>152001.77929433266</v>
      </c>
      <c r="J20" s="555">
        <f t="shared" si="5"/>
        <v>66187.539294332659</v>
      </c>
      <c r="K20" s="88">
        <f t="shared" si="6"/>
        <v>176145.02251105942</v>
      </c>
      <c r="L20" s="351">
        <f t="shared" si="6"/>
        <v>234909.21206243007</v>
      </c>
      <c r="M20" s="88">
        <f t="shared" si="6"/>
        <v>310626.08941847563</v>
      </c>
      <c r="N20" s="88">
        <f t="shared" si="6"/>
        <v>413044.8671602495</v>
      </c>
      <c r="O20" s="351">
        <f t="shared" si="6"/>
        <v>556600.22810698929</v>
      </c>
      <c r="P20" s="105"/>
      <c r="Q20" s="104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5"/>
    </row>
    <row r="21" spans="2:28" x14ac:dyDescent="0.3">
      <c r="B21" s="96"/>
      <c r="C21" s="352" t="s">
        <v>166</v>
      </c>
      <c r="D21" s="90">
        <f>+D20/D15</f>
        <v>1</v>
      </c>
      <c r="E21" s="90">
        <f t="shared" ref="E21:O21" si="7">+E20/E15</f>
        <v>1</v>
      </c>
      <c r="F21" s="556">
        <f t="shared" si="1"/>
        <v>0</v>
      </c>
      <c r="G21" s="90">
        <f t="shared" si="7"/>
        <v>0.95531472062683187</v>
      </c>
      <c r="H21" s="556">
        <f t="shared" si="5"/>
        <v>-4.468527937316813E-2</v>
      </c>
      <c r="I21" s="90">
        <f t="shared" si="7"/>
        <v>0.91174546414860935</v>
      </c>
      <c r="J21" s="556">
        <f t="shared" si="5"/>
        <v>-4.3569256478222518E-2</v>
      </c>
      <c r="K21" s="90">
        <f t="shared" si="7"/>
        <v>0.76752427757718722</v>
      </c>
      <c r="L21" s="353">
        <f t="shared" si="7"/>
        <v>0.69427678232692214</v>
      </c>
      <c r="M21" s="90">
        <f t="shared" si="7"/>
        <v>0.64556902311102959</v>
      </c>
      <c r="N21" s="90">
        <f t="shared" si="7"/>
        <v>0.61044395368315485</v>
      </c>
      <c r="O21" s="353">
        <f t="shared" si="7"/>
        <v>0.58340340083274378</v>
      </c>
      <c r="P21" s="97"/>
      <c r="Q21" s="96"/>
      <c r="AB21" s="97"/>
    </row>
    <row r="22" spans="2:28" ht="6" customHeight="1" x14ac:dyDescent="0.3">
      <c r="B22" s="96"/>
      <c r="C22" s="349"/>
      <c r="F22" s="554"/>
      <c r="H22" s="554"/>
      <c r="J22" s="554"/>
      <c r="L22" s="97"/>
      <c r="O22" s="97"/>
      <c r="P22" s="97"/>
      <c r="Q22" s="96"/>
      <c r="AB22" s="97"/>
    </row>
    <row r="23" spans="2:28" x14ac:dyDescent="0.3">
      <c r="B23" s="96"/>
      <c r="C23" s="349" t="s">
        <v>273</v>
      </c>
      <c r="D23" s="101">
        <f>SUMIF('Monthly Detail'!$1:$1,'Annual Summary'!D$11, 'Monthly Detail'!$72:$72)</f>
        <v>0</v>
      </c>
      <c r="E23" s="101">
        <f>SUMIF('Monthly Detail'!$1:$1,'Annual Summary'!E$11, 'Monthly Detail'!$72:$72)</f>
        <v>0</v>
      </c>
      <c r="F23" s="550">
        <f t="shared" si="1"/>
        <v>0</v>
      </c>
      <c r="G23" s="101">
        <f>SUMIF('Monthly Detail'!$1:$1,'Annual Summary'!G$11, 'Monthly Detail'!$72:$72)</f>
        <v>4245</v>
      </c>
      <c r="H23" s="550">
        <f t="shared" ref="H23:J26" si="8">+G23-E23</f>
        <v>4245</v>
      </c>
      <c r="I23" s="101">
        <f>SUMIF('Monthly Detail'!$1:$1,'Annual Summary'!I$11, 'Monthly Detail'!$72:$72)</f>
        <v>0</v>
      </c>
      <c r="J23" s="550">
        <f t="shared" si="8"/>
        <v>-4245</v>
      </c>
      <c r="K23" s="101">
        <f>SUMIF('Monthly Detail'!$1:$1,'Annual Summary'!K$11, 'Monthly Detail'!$72:$72)</f>
        <v>0</v>
      </c>
      <c r="L23" s="342">
        <f>SUMIF('Monthly Detail'!$1:$1,'Annual Summary'!L$11, 'Monthly Detail'!$72:$72)</f>
        <v>0</v>
      </c>
      <c r="M23" s="101">
        <f>SUMIF('Monthly Detail'!$1:$1,'Annual Summary'!M$11, 'Monthly Detail'!$72:$72)</f>
        <v>0</v>
      </c>
      <c r="N23" s="101">
        <f>SUMIF('Monthly Detail'!$1:$1,'Annual Summary'!N$11, 'Monthly Detail'!$72:$72)</f>
        <v>0</v>
      </c>
      <c r="O23" s="342">
        <f>SUMIF('Monthly Detail'!$1:$1,'Annual Summary'!O$11, 'Monthly Detail'!$72:$72)</f>
        <v>0</v>
      </c>
      <c r="P23" s="97"/>
      <c r="Q23" s="96"/>
      <c r="AB23" s="97"/>
    </row>
    <row r="24" spans="2:28" x14ac:dyDescent="0.3">
      <c r="B24" s="96"/>
      <c r="C24" s="349" t="s">
        <v>203</v>
      </c>
      <c r="D24" s="101">
        <f>SUMIF('Monthly Detail'!$1:$1,'Annual Summary'!D$11, 'Monthly Detail'!$95:$95)</f>
        <v>2457.9899999999998</v>
      </c>
      <c r="E24" s="101">
        <f>SUMIF('Monthly Detail'!$1:$1,'Annual Summary'!E$11, 'Monthly Detail'!$95:$95)</f>
        <v>7947.7900000000009</v>
      </c>
      <c r="F24" s="550">
        <f t="shared" si="1"/>
        <v>5489.8000000000011</v>
      </c>
      <c r="G24" s="101">
        <f>SUMIF('Monthly Detail'!$1:$1,'Annual Summary'!G$11, 'Monthly Detail'!$95:$95)</f>
        <v>12495.709999999997</v>
      </c>
      <c r="H24" s="550">
        <f t="shared" si="8"/>
        <v>4547.9199999999964</v>
      </c>
      <c r="I24" s="101">
        <f>SUMIF('Monthly Detail'!$1:$1,'Annual Summary'!I$11, 'Monthly Detail'!$95:$95)</f>
        <v>106350.0871689286</v>
      </c>
      <c r="J24" s="550">
        <f t="shared" si="8"/>
        <v>93854.377168928608</v>
      </c>
      <c r="K24" s="101">
        <f>SUMIF('Monthly Detail'!$1:$1,'Annual Summary'!K$11, 'Monthly Detail'!$95:$95)</f>
        <v>146947.90198736911</v>
      </c>
      <c r="L24" s="342">
        <f>SUMIF('Monthly Detail'!$1:$1,'Annual Summary'!L$11, 'Monthly Detail'!$95:$95)</f>
        <v>207022.9504762037</v>
      </c>
      <c r="M24" s="101">
        <f>SUMIF('Monthly Detail'!$1:$1,'Annual Summary'!M$11, 'Monthly Detail'!$95:$95)</f>
        <v>324398.1393375448</v>
      </c>
      <c r="N24" s="101">
        <f>SUMIF('Monthly Detail'!$1:$1,'Annual Summary'!N$11, 'Monthly Detail'!$95:$95)</f>
        <v>461473.58897850703</v>
      </c>
      <c r="O24" s="342">
        <f>SUMIF('Monthly Detail'!$1:$1,'Annual Summary'!O$11, 'Monthly Detail'!$95:$95)</f>
        <v>574907.59677384817</v>
      </c>
      <c r="P24" s="97"/>
      <c r="Q24" s="96"/>
      <c r="AB24" s="97"/>
    </row>
    <row r="25" spans="2:28" hidden="1" x14ac:dyDescent="0.3">
      <c r="B25" s="96"/>
      <c r="C25" s="349" t="s">
        <v>202</v>
      </c>
      <c r="D25" s="76">
        <f>SUMIF('Monthly Detail'!$1:$1,'Annual Summary'!D$11, 'Monthly Detail'!96:96)</f>
        <v>0</v>
      </c>
      <c r="E25" s="76">
        <f>SUMIF('Monthly Detail'!$1:$1,'Annual Summary'!E$11, 'Monthly Detail'!96:96)</f>
        <v>0</v>
      </c>
      <c r="F25" s="557">
        <f t="shared" si="1"/>
        <v>0</v>
      </c>
      <c r="G25" s="76">
        <f>SUMIF('Monthly Detail'!$1:$1,'Annual Summary'!G$11, 'Monthly Detail'!96:96)</f>
        <v>0</v>
      </c>
      <c r="H25" s="557">
        <f t="shared" si="8"/>
        <v>0</v>
      </c>
      <c r="I25" s="76">
        <f>SUMIF('Monthly Detail'!$1:$1,'Annual Summary'!I$11, 'Monthly Detail'!96:96)</f>
        <v>0</v>
      </c>
      <c r="J25" s="557">
        <f t="shared" si="8"/>
        <v>0</v>
      </c>
      <c r="K25" s="76">
        <f>SUMIF('Monthly Detail'!$1:$1,'Annual Summary'!K$11, 'Monthly Detail'!96:96)</f>
        <v>0</v>
      </c>
      <c r="L25" s="354">
        <f>SUMIF('Monthly Detail'!$1:$1,'Annual Summary'!L$11, 'Monthly Detail'!96:96)</f>
        <v>0</v>
      </c>
      <c r="M25" s="76">
        <f>SUMIF('Monthly Detail'!$1:$1,'Annual Summary'!M$11, 'Monthly Detail'!96:96)</f>
        <v>0</v>
      </c>
      <c r="N25" s="76">
        <f>SUMIF('Monthly Detail'!$1:$1,'Annual Summary'!N$11, 'Monthly Detail'!96:96)</f>
        <v>0</v>
      </c>
      <c r="O25" s="354">
        <f>SUMIF('Monthly Detail'!$1:$1,'Annual Summary'!O$11, 'Monthly Detail'!96:96)</f>
        <v>0</v>
      </c>
      <c r="P25" s="97"/>
      <c r="Q25" s="96"/>
      <c r="AB25" s="97"/>
    </row>
    <row r="26" spans="2:28" x14ac:dyDescent="0.3">
      <c r="B26" s="96"/>
      <c r="C26" s="355" t="s">
        <v>175</v>
      </c>
      <c r="D26" s="103">
        <f>SUM(D23:D25)</f>
        <v>2457.9899999999998</v>
      </c>
      <c r="E26" s="103">
        <f t="shared" ref="E26:O26" si="9">SUM(E23:E25)</f>
        <v>7947.7900000000009</v>
      </c>
      <c r="F26" s="551">
        <f t="shared" si="1"/>
        <v>5489.8000000000011</v>
      </c>
      <c r="G26" s="103">
        <f t="shared" si="9"/>
        <v>16740.71</v>
      </c>
      <c r="H26" s="551">
        <f t="shared" si="8"/>
        <v>8792.9199999999983</v>
      </c>
      <c r="I26" s="103">
        <f t="shared" si="9"/>
        <v>106350.0871689286</v>
      </c>
      <c r="J26" s="551">
        <f t="shared" si="8"/>
        <v>89609.377168928593</v>
      </c>
      <c r="K26" s="103">
        <f t="shared" si="9"/>
        <v>146947.90198736911</v>
      </c>
      <c r="L26" s="356">
        <f t="shared" si="9"/>
        <v>207022.9504762037</v>
      </c>
      <c r="M26" s="103">
        <f t="shared" si="9"/>
        <v>324398.1393375448</v>
      </c>
      <c r="N26" s="103">
        <f t="shared" si="9"/>
        <v>461473.58897850703</v>
      </c>
      <c r="O26" s="356">
        <f t="shared" si="9"/>
        <v>574907.59677384817</v>
      </c>
      <c r="P26" s="97"/>
      <c r="Q26" s="96"/>
      <c r="AB26" s="97"/>
    </row>
    <row r="27" spans="2:28" x14ac:dyDescent="0.3">
      <c r="B27" s="96"/>
      <c r="C27" s="349"/>
      <c r="F27" s="554"/>
      <c r="H27" s="554"/>
      <c r="J27" s="554"/>
      <c r="L27" s="97"/>
      <c r="O27" s="97"/>
      <c r="P27" s="97"/>
      <c r="Q27" s="96"/>
      <c r="AB27" s="97"/>
    </row>
    <row r="28" spans="2:28" ht="15.6" x14ac:dyDescent="0.3">
      <c r="B28" s="104"/>
      <c r="C28" s="350" t="s">
        <v>168</v>
      </c>
      <c r="D28" s="88">
        <f t="shared" ref="D28:O28" si="10">D20-D26</f>
        <v>6879.51</v>
      </c>
      <c r="E28" s="88">
        <f t="shared" si="10"/>
        <v>36497.71</v>
      </c>
      <c r="F28" s="555">
        <f t="shared" si="1"/>
        <v>29618.199999999997</v>
      </c>
      <c r="G28" s="88">
        <f>G20-G26</f>
        <v>69073.53</v>
      </c>
      <c r="H28" s="555">
        <f t="shared" ref="H28:J29" si="11">+G28-E28</f>
        <v>32575.82</v>
      </c>
      <c r="I28" s="88">
        <f t="shared" si="10"/>
        <v>45651.692125404064</v>
      </c>
      <c r="J28" s="555">
        <f t="shared" si="11"/>
        <v>-23421.837874595934</v>
      </c>
      <c r="K28" s="88">
        <f t="shared" si="10"/>
        <v>29197.120523690304</v>
      </c>
      <c r="L28" s="351">
        <f t="shared" si="10"/>
        <v>27886.261586226377</v>
      </c>
      <c r="M28" s="88">
        <f t="shared" si="10"/>
        <v>-13772.049919069163</v>
      </c>
      <c r="N28" s="88">
        <f t="shared" si="10"/>
        <v>-48428.721818257531</v>
      </c>
      <c r="O28" s="351">
        <f t="shared" si="10"/>
        <v>-18307.368666858878</v>
      </c>
      <c r="P28" s="105"/>
      <c r="Q28" s="104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5"/>
    </row>
    <row r="29" spans="2:28" x14ac:dyDescent="0.3">
      <c r="B29" s="96"/>
      <c r="C29" s="352" t="s">
        <v>169</v>
      </c>
      <c r="D29" s="90">
        <f t="shared" ref="D29:O29" si="12">D28/D15</f>
        <v>0.73676144578313252</v>
      </c>
      <c r="E29" s="90">
        <f t="shared" si="12"/>
        <v>0.82117897199941503</v>
      </c>
      <c r="F29" s="556">
        <f t="shared" si="1"/>
        <v>8.4417526216282512E-2</v>
      </c>
      <c r="G29" s="90">
        <f t="shared" si="12"/>
        <v>0.76895116724985368</v>
      </c>
      <c r="H29" s="556">
        <f t="shared" si="11"/>
        <v>-5.2227804749561346E-2</v>
      </c>
      <c r="I29" s="90">
        <f t="shared" si="12"/>
        <v>0.27383050000650772</v>
      </c>
      <c r="J29" s="556">
        <f t="shared" si="11"/>
        <v>-0.49512066724334597</v>
      </c>
      <c r="K29" s="90">
        <f t="shared" si="12"/>
        <v>0.12722186819597736</v>
      </c>
      <c r="L29" s="353">
        <f t="shared" si="12"/>
        <v>8.2418155487519698E-2</v>
      </c>
      <c r="M29" s="90">
        <f t="shared" si="12"/>
        <v>-2.8622221749416903E-2</v>
      </c>
      <c r="N29" s="90">
        <f t="shared" si="12"/>
        <v>-7.1573387709207847E-2</v>
      </c>
      <c r="O29" s="353">
        <f t="shared" si="12"/>
        <v>-1.9188962923837087E-2</v>
      </c>
      <c r="P29" s="97"/>
      <c r="Q29" s="96"/>
      <c r="AB29" s="97"/>
    </row>
    <row r="30" spans="2:28" x14ac:dyDescent="0.3">
      <c r="B30" s="96"/>
      <c r="C30" s="357"/>
      <c r="D30" s="82"/>
      <c r="E30" s="82"/>
      <c r="F30" s="558"/>
      <c r="G30" s="82"/>
      <c r="H30" s="558"/>
      <c r="I30" s="82"/>
      <c r="J30" s="558"/>
      <c r="K30" s="82"/>
      <c r="L30" s="358"/>
      <c r="M30" s="82"/>
      <c r="N30" s="82"/>
      <c r="O30" s="358"/>
      <c r="P30" s="97"/>
      <c r="Q30" s="96"/>
      <c r="AB30" s="97"/>
    </row>
    <row r="31" spans="2:28" x14ac:dyDescent="0.3">
      <c r="B31" s="96"/>
      <c r="C31" s="349" t="s">
        <v>170</v>
      </c>
      <c r="D31" s="76">
        <v>0</v>
      </c>
      <c r="E31" s="76">
        <v>0</v>
      </c>
      <c r="F31" s="557">
        <f t="shared" si="1"/>
        <v>0</v>
      </c>
      <c r="G31" s="76">
        <f>SUMIF('Monthly Detail'!$1:$1,'Annual Summary'!G$11, 'Monthly Detail'!109:109)</f>
        <v>-5018.2300000000005</v>
      </c>
      <c r="H31" s="557">
        <f t="shared" ref="H31:J33" si="13">+G31-E31</f>
        <v>-5018.2300000000005</v>
      </c>
      <c r="I31" s="76">
        <f>SUMIF('Monthly Detail'!$1:$1,'Annual Summary'!I$11, 'Monthly Detail'!109:109)</f>
        <v>-9246.2999999999993</v>
      </c>
      <c r="J31" s="557">
        <f t="shared" si="13"/>
        <v>-4228.0699999999988</v>
      </c>
      <c r="K31" s="76">
        <f>SUMIF('Monthly Detail'!$1:$1,'Annual Summary'!K$11, 'Monthly Detail'!109:109)</f>
        <v>-9600</v>
      </c>
      <c r="L31" s="354">
        <f>SUMIF('Monthly Detail'!$1:$1,'Annual Summary'!L$11, 'Monthly Detail'!109:109)</f>
        <v>-9600</v>
      </c>
      <c r="M31" s="76">
        <f>SUMIF('Monthly Detail'!$1:$1,'Annual Summary'!M$11, 'Monthly Detail'!109:109)</f>
        <v>-9600</v>
      </c>
      <c r="N31" s="76">
        <f>SUMIF('Monthly Detail'!$1:$1,'Annual Summary'!N$11, 'Monthly Detail'!109:109)</f>
        <v>-9600</v>
      </c>
      <c r="O31" s="354">
        <f>SUMIF('Monthly Detail'!$1:$1,'Annual Summary'!O$11, 'Monthly Detail'!109:109)</f>
        <v>-9600</v>
      </c>
      <c r="P31" s="97"/>
      <c r="Q31" s="96"/>
      <c r="AB31" s="97"/>
    </row>
    <row r="32" spans="2:28" ht="15.6" x14ac:dyDescent="0.3">
      <c r="B32" s="104"/>
      <c r="C32" s="350" t="s">
        <v>16</v>
      </c>
      <c r="D32" s="88">
        <f>D28+D31</f>
        <v>6879.51</v>
      </c>
      <c r="E32" s="88">
        <f t="shared" ref="E32:O32" si="14">E28+E31</f>
        <v>36497.71</v>
      </c>
      <c r="F32" s="555">
        <f t="shared" si="1"/>
        <v>29618.199999999997</v>
      </c>
      <c r="G32" s="88">
        <f t="shared" si="14"/>
        <v>64055.299999999996</v>
      </c>
      <c r="H32" s="555">
        <f t="shared" si="13"/>
        <v>27557.589999999997</v>
      </c>
      <c r="I32" s="88">
        <f t="shared" si="14"/>
        <v>36405.392125404062</v>
      </c>
      <c r="J32" s="555">
        <f t="shared" si="13"/>
        <v>-27649.907874595934</v>
      </c>
      <c r="K32" s="88">
        <f t="shared" si="14"/>
        <v>19597.120523690304</v>
      </c>
      <c r="L32" s="351">
        <f t="shared" si="14"/>
        <v>18286.261586226377</v>
      </c>
      <c r="M32" s="88">
        <f t="shared" si="14"/>
        <v>-23372.049919069163</v>
      </c>
      <c r="N32" s="88">
        <f t="shared" si="14"/>
        <v>-58028.721818257531</v>
      </c>
      <c r="O32" s="351">
        <f t="shared" si="14"/>
        <v>-27907.368666858878</v>
      </c>
      <c r="P32" s="105"/>
      <c r="Q32" s="104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5"/>
    </row>
    <row r="33" spans="2:28" ht="15" thickBot="1" x14ac:dyDescent="0.35">
      <c r="B33" s="96"/>
      <c r="C33" s="359" t="s">
        <v>171</v>
      </c>
      <c r="D33" s="360">
        <f t="shared" ref="D33:O33" si="15">D32/D15</f>
        <v>0.73676144578313252</v>
      </c>
      <c r="E33" s="360">
        <f t="shared" si="15"/>
        <v>0.82117897199941503</v>
      </c>
      <c r="F33" s="559">
        <f t="shared" si="1"/>
        <v>8.4417526216282512E-2</v>
      </c>
      <c r="G33" s="360">
        <f t="shared" si="15"/>
        <v>0.71308644141307886</v>
      </c>
      <c r="H33" s="559">
        <f t="shared" si="13"/>
        <v>-0.10809253058633617</v>
      </c>
      <c r="I33" s="360">
        <f t="shared" si="15"/>
        <v>0.21836883288461756</v>
      </c>
      <c r="J33" s="559">
        <f t="shared" si="13"/>
        <v>-0.49471760852846131</v>
      </c>
      <c r="K33" s="360">
        <f t="shared" si="15"/>
        <v>8.5391375572898123E-2</v>
      </c>
      <c r="L33" s="361">
        <f t="shared" si="15"/>
        <v>5.4045248985380781E-2</v>
      </c>
      <c r="M33" s="360">
        <f t="shared" si="15"/>
        <v>-4.8573741705349067E-2</v>
      </c>
      <c r="N33" s="360">
        <f t="shared" si="15"/>
        <v>-8.5761342629574105E-2</v>
      </c>
      <c r="O33" s="361">
        <f t="shared" si="15"/>
        <v>-2.9251252454407999E-2</v>
      </c>
      <c r="P33" s="97"/>
      <c r="Q33" s="96"/>
      <c r="AB33" s="97"/>
    </row>
    <row r="34" spans="2:28" x14ac:dyDescent="0.3">
      <c r="B34" s="96"/>
      <c r="C34" s="352" t="s">
        <v>391</v>
      </c>
      <c r="D34" s="739">
        <f>+IF(D32&gt;0, D32*0.25, 0)</f>
        <v>1719.8775000000001</v>
      </c>
      <c r="E34" s="739">
        <f t="shared" ref="E34:L34" si="16">+IF(E32&gt;0, E32*0.25, 0)</f>
        <v>9124.4274999999998</v>
      </c>
      <c r="F34" s="739"/>
      <c r="G34" s="739">
        <f t="shared" si="16"/>
        <v>16013.824999999999</v>
      </c>
      <c r="H34" s="739">
        <f>+G34-E34</f>
        <v>6889.3974999999991</v>
      </c>
      <c r="I34" s="739">
        <f t="shared" si="16"/>
        <v>9101.3480313510154</v>
      </c>
      <c r="J34" s="739">
        <f>+I34-G34</f>
        <v>-6912.4769686489835</v>
      </c>
      <c r="K34" s="739">
        <f t="shared" si="16"/>
        <v>4899.2801309225761</v>
      </c>
      <c r="L34" s="739">
        <f t="shared" si="16"/>
        <v>4571.5653965565944</v>
      </c>
      <c r="M34" s="90"/>
      <c r="N34" s="90"/>
      <c r="O34" s="90"/>
      <c r="P34" s="97"/>
      <c r="Q34" s="96"/>
      <c r="AB34" s="97"/>
    </row>
    <row r="35" spans="2:28" x14ac:dyDescent="0.3">
      <c r="B35" s="96"/>
      <c r="C35" s="89" t="s">
        <v>392</v>
      </c>
      <c r="D35" s="739"/>
      <c r="E35" s="739"/>
      <c r="F35" s="739"/>
      <c r="G35" s="739"/>
      <c r="H35" s="739"/>
      <c r="I35" s="739">
        <f>+((I15-G15)+(I32-G32))*0.153</f>
        <v>7533.260901798456</v>
      </c>
      <c r="J35" s="739"/>
      <c r="K35" s="739">
        <f>+((K15-I15)+(K32-I32))*0.153</f>
        <v>7034.058263202779</v>
      </c>
      <c r="L35" s="739">
        <f>+((L15-K15)+(L32-K32))*0.153</f>
        <v>16453.993292703359</v>
      </c>
      <c r="M35" s="90"/>
      <c r="N35" s="90"/>
      <c r="O35" s="90"/>
      <c r="P35" s="97"/>
      <c r="Q35" s="96"/>
      <c r="AB35" s="97"/>
    </row>
    <row r="36" spans="2:28" ht="15" thickBot="1" x14ac:dyDescent="0.35">
      <c r="B36" s="96"/>
      <c r="C36" s="740" t="s">
        <v>393</v>
      </c>
      <c r="D36" s="741"/>
      <c r="E36" s="741">
        <f>+SUMIF('Monthly Detail'!$4:$4, DATE(E11, 12, 31),'Monthly Detail'!$174:$174)</f>
        <v>997.01999999999884</v>
      </c>
      <c r="F36" s="741">
        <f>+SUMIF('Monthly Detail'!$4:$4, DATE(F11, 12, 31),'Monthly Detail'!$174:$174)</f>
        <v>0</v>
      </c>
      <c r="G36" s="741">
        <f>+SUMIF('Monthly Detail'!$4:$4, DATE(G11, 12, 31),'Monthly Detail'!$174:$174)</f>
        <v>292.83000000000084</v>
      </c>
      <c r="H36" s="741">
        <f>+G36-E36</f>
        <v>-704.18999999999801</v>
      </c>
      <c r="I36" s="741">
        <f>+SUMIF('Monthly Detail'!$4:$4, DATE(I11, 12, 31),'Monthly Detail'!$174:$174)</f>
        <v>33443.47195465042</v>
      </c>
      <c r="J36" s="741">
        <f>+I36-G36</f>
        <v>33150.641954650418</v>
      </c>
      <c r="K36" s="741">
        <f>+SUMIF('Monthly Detail'!$4:$4, DATE(K11, 12, 31),'Monthly Detail'!$174:$174)</f>
        <v>51151.723136391331</v>
      </c>
      <c r="L36" s="742">
        <f>+SUMIF('Monthly Detail'!$4:$4, DATE(L11, 12, 31),'Monthly Detail'!$174:$174)</f>
        <v>67874.560078686001</v>
      </c>
      <c r="P36" s="97"/>
      <c r="Q36" s="96"/>
      <c r="AB36" s="97"/>
    </row>
    <row r="37" spans="2:28" x14ac:dyDescent="0.3">
      <c r="B37" s="96"/>
      <c r="C37" s="7"/>
      <c r="P37" s="97"/>
      <c r="Q37" s="96"/>
      <c r="AB37" s="97"/>
    </row>
    <row r="38" spans="2:28" ht="15" thickBot="1" x14ac:dyDescent="0.35">
      <c r="B38" s="107"/>
      <c r="C38" s="108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10"/>
      <c r="Q38" s="107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10"/>
    </row>
  </sheetData>
  <printOptions horizontalCentered="1" verticalCentered="1"/>
  <pageMargins left="0.7" right="0.7" top="0.75" bottom="0.75" header="0.3" footer="0.3"/>
  <pageSetup scale="5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D506-9EA7-42A5-BFE7-874ADE7AF7E2}">
  <sheetPr>
    <tabColor theme="1"/>
    <pageSetUpPr fitToPage="1"/>
  </sheetPr>
  <dimension ref="B1:T38"/>
  <sheetViews>
    <sheetView showGridLines="0" zoomScale="70" zoomScaleNormal="70" workbookViewId="0">
      <selection activeCell="U42" sqref="U42"/>
    </sheetView>
  </sheetViews>
  <sheetFormatPr defaultColWidth="8.6640625" defaultRowHeight="14.4" x14ac:dyDescent="0.3"/>
  <cols>
    <col min="2" max="2" width="34.6640625" bestFit="1" customWidth="1"/>
    <col min="3" max="3" width="13.6640625" bestFit="1" customWidth="1"/>
    <col min="4" max="5" width="13.44140625" bestFit="1" customWidth="1"/>
    <col min="6" max="7" width="14.109375" bestFit="1" customWidth="1"/>
    <col min="8" max="8" width="13.6640625" bestFit="1" customWidth="1"/>
    <col min="9" max="10" width="14.6640625" bestFit="1" customWidth="1"/>
    <col min="11" max="11" width="15.44140625" bestFit="1" customWidth="1"/>
    <col min="12" max="13" width="14.109375" bestFit="1" customWidth="1"/>
    <col min="14" max="14" width="14.6640625" bestFit="1" customWidth="1"/>
    <col min="15" max="15" width="0.6640625" customWidth="1"/>
    <col min="16" max="16" width="13.44140625" bestFit="1" customWidth="1"/>
  </cols>
  <sheetData>
    <row r="1" spans="2:16" x14ac:dyDescent="0.3">
      <c r="B1" t="s">
        <v>163</v>
      </c>
    </row>
    <row r="8" spans="2:16" ht="15.6" x14ac:dyDescent="0.3">
      <c r="B8" s="743" t="s">
        <v>352</v>
      </c>
      <c r="C8" s="743"/>
      <c r="D8" s="743"/>
      <c r="E8" s="743"/>
      <c r="F8" s="743"/>
      <c r="G8" s="743"/>
      <c r="H8" s="743"/>
      <c r="I8" s="743"/>
      <c r="J8" s="743"/>
      <c r="K8" s="743"/>
      <c r="L8" s="743"/>
      <c r="M8" s="743"/>
      <c r="N8" s="743"/>
      <c r="O8" s="743"/>
      <c r="P8" s="743"/>
    </row>
    <row r="9" spans="2:16" ht="1.95" customHeight="1" x14ac:dyDescent="0.3"/>
    <row r="10" spans="2:16" ht="15.6" x14ac:dyDescent="0.3">
      <c r="B10" s="234"/>
      <c r="C10" s="235" t="s">
        <v>245</v>
      </c>
      <c r="D10" s="235" t="s">
        <v>246</v>
      </c>
      <c r="E10" s="235" t="s">
        <v>247</v>
      </c>
      <c r="F10" s="235" t="s">
        <v>248</v>
      </c>
      <c r="G10" s="235" t="s">
        <v>249</v>
      </c>
      <c r="H10" s="320" t="s">
        <v>250</v>
      </c>
      <c r="I10" s="235" t="s">
        <v>251</v>
      </c>
      <c r="J10" s="235" t="s">
        <v>252</v>
      </c>
      <c r="K10" s="235" t="s">
        <v>253</v>
      </c>
      <c r="L10" s="314" t="s">
        <v>254</v>
      </c>
      <c r="M10" s="235" t="s">
        <v>255</v>
      </c>
      <c r="N10" s="235" t="s">
        <v>256</v>
      </c>
      <c r="O10" s="236"/>
      <c r="P10" s="237" t="s">
        <v>0</v>
      </c>
    </row>
    <row r="11" spans="2:16" x14ac:dyDescent="0.3">
      <c r="B11" s="238"/>
      <c r="C11" s="91">
        <v>45688</v>
      </c>
      <c r="D11" s="91">
        <v>45716</v>
      </c>
      <c r="E11" s="91">
        <v>45747</v>
      </c>
      <c r="F11" s="91">
        <v>45777</v>
      </c>
      <c r="G11" s="91">
        <v>45808</v>
      </c>
      <c r="H11" s="91">
        <v>45838</v>
      </c>
      <c r="I11" s="91">
        <v>45869</v>
      </c>
      <c r="J11" s="91">
        <v>45900</v>
      </c>
      <c r="K11" s="91">
        <v>45930</v>
      </c>
      <c r="L11" s="91">
        <v>45961</v>
      </c>
      <c r="M11" s="91">
        <v>45991</v>
      </c>
      <c r="N11" s="91">
        <v>46022</v>
      </c>
      <c r="O11" s="91">
        <v>46053</v>
      </c>
      <c r="P11" s="184"/>
    </row>
    <row r="12" spans="2:16" x14ac:dyDescent="0.3">
      <c r="B12" s="239" t="s">
        <v>60</v>
      </c>
      <c r="C12" s="73">
        <v>7677.1321022727261</v>
      </c>
      <c r="D12" s="73">
        <v>12691.952380952382</v>
      </c>
      <c r="E12" s="73">
        <v>7473.9</v>
      </c>
      <c r="F12" s="73">
        <v>9831.9705882352919</v>
      </c>
      <c r="G12" s="73">
        <v>10732.472826086954</v>
      </c>
      <c r="H12" s="73">
        <v>5809.4312499999978</v>
      </c>
      <c r="I12" s="73">
        <v>10858.899999999998</v>
      </c>
      <c r="J12" s="73">
        <v>15862.284688995209</v>
      </c>
      <c r="K12" s="73">
        <v>12122.448979591834</v>
      </c>
      <c r="L12" s="73">
        <v>15626.953124999996</v>
      </c>
      <c r="M12" s="73">
        <v>8797.3169856459317</v>
      </c>
      <c r="N12" s="73">
        <v>6287.4785318559543</v>
      </c>
      <c r="O12" s="73"/>
      <c r="P12" s="240">
        <v>123772.24145863627</v>
      </c>
    </row>
    <row r="13" spans="2:16" x14ac:dyDescent="0.3">
      <c r="B13" s="239" t="s">
        <v>295</v>
      </c>
      <c r="C13" s="73">
        <v>13.919186406426437</v>
      </c>
      <c r="D13" s="73">
        <v>23.011412165184108</v>
      </c>
      <c r="E13" s="73">
        <v>13.550712153590986</v>
      </c>
      <c r="F13" s="73">
        <v>17.826061807590293</v>
      </c>
      <c r="G13" s="73">
        <v>19.458736397669423</v>
      </c>
      <c r="H13" s="73">
        <v>10.53291195290628</v>
      </c>
      <c r="I13" s="73">
        <v>19.687957853948962</v>
      </c>
      <c r="J13" s="73">
        <v>28.759450075447571</v>
      </c>
      <c r="K13" s="73">
        <v>21.978862002306926</v>
      </c>
      <c r="L13" s="73">
        <v>28.332777215982833</v>
      </c>
      <c r="M13" s="73">
        <v>15.950161254015272</v>
      </c>
      <c r="N13" s="73">
        <v>11.399645667865892</v>
      </c>
      <c r="O13" s="73"/>
      <c r="P13" s="240">
        <v>224.40787495293497</v>
      </c>
    </row>
    <row r="14" spans="2:16" x14ac:dyDescent="0.3">
      <c r="B14" s="241" t="s">
        <v>7</v>
      </c>
      <c r="C14" s="74">
        <v>7691.051288679153</v>
      </c>
      <c r="D14" s="74">
        <v>12714.963793117566</v>
      </c>
      <c r="E14" s="74">
        <v>7487.4507121535908</v>
      </c>
      <c r="F14" s="74">
        <v>9849.7966500428829</v>
      </c>
      <c r="G14" s="74">
        <v>10751.931562484624</v>
      </c>
      <c r="H14" s="74">
        <v>5819.9641619529039</v>
      </c>
      <c r="I14" s="74">
        <v>10878.587957853946</v>
      </c>
      <c r="J14" s="74">
        <v>15891.044139070656</v>
      </c>
      <c r="K14" s="74">
        <v>12144.427841594141</v>
      </c>
      <c r="L14" s="74">
        <v>15655.285902215979</v>
      </c>
      <c r="M14" s="74">
        <v>8813.267146899947</v>
      </c>
      <c r="N14" s="242">
        <v>6298.8781775238203</v>
      </c>
      <c r="O14" s="75"/>
      <c r="P14" s="450">
        <v>123996.6493335892</v>
      </c>
    </row>
    <row r="15" spans="2:16" x14ac:dyDescent="0.3">
      <c r="B15" s="243" t="s">
        <v>66</v>
      </c>
      <c r="C15" s="221">
        <v>34.799999999999997</v>
      </c>
      <c r="D15" s="221">
        <v>35.799999999999997</v>
      </c>
      <c r="E15" s="221">
        <v>33.599999999999994</v>
      </c>
      <c r="F15" s="221">
        <v>32.399999999999991</v>
      </c>
      <c r="G15" s="221">
        <v>33.399999999999991</v>
      </c>
      <c r="H15" s="221">
        <v>29.199999999999989</v>
      </c>
      <c r="I15" s="221">
        <v>31.199999999999989</v>
      </c>
      <c r="J15" s="221">
        <v>37.199999999999989</v>
      </c>
      <c r="K15" s="221">
        <v>43.199999999999989</v>
      </c>
      <c r="L15" s="221">
        <v>44.999999999999986</v>
      </c>
      <c r="M15" s="221">
        <v>43.599999999999987</v>
      </c>
      <c r="N15" s="321">
        <v>42.199999999999989</v>
      </c>
      <c r="O15" s="75"/>
      <c r="P15" s="244"/>
    </row>
    <row r="16" spans="2:16" x14ac:dyDescent="0.3">
      <c r="B16" s="447" t="s">
        <v>327</v>
      </c>
      <c r="C16" s="448">
        <v>34</v>
      </c>
      <c r="D16" s="448">
        <v>56</v>
      </c>
      <c r="E16" s="448">
        <v>36</v>
      </c>
      <c r="F16" s="448">
        <v>49</v>
      </c>
      <c r="G16" s="448">
        <v>76</v>
      </c>
      <c r="H16" s="448">
        <v>45</v>
      </c>
      <c r="I16" s="448">
        <v>118</v>
      </c>
      <c r="J16" s="448">
        <v>169</v>
      </c>
      <c r="K16" s="448">
        <v>125</v>
      </c>
      <c r="L16" s="448">
        <v>173</v>
      </c>
      <c r="M16" s="448">
        <v>90</v>
      </c>
      <c r="N16" s="449">
        <v>129.33333333333334</v>
      </c>
      <c r="O16" s="75"/>
      <c r="P16" s="244"/>
    </row>
    <row r="17" spans="2:20" ht="7.2" customHeight="1" x14ac:dyDescent="0.3">
      <c r="B17" s="238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P17" s="244"/>
    </row>
    <row r="18" spans="2:20" x14ac:dyDescent="0.3">
      <c r="B18" s="238" t="s">
        <v>325</v>
      </c>
      <c r="C18" s="76">
        <v>0</v>
      </c>
      <c r="D18" s="76">
        <v>919.60690316394994</v>
      </c>
      <c r="E18" s="76">
        <v>450</v>
      </c>
      <c r="F18" s="76">
        <v>1073.0882352941167</v>
      </c>
      <c r="G18" s="76">
        <v>2850.0434782608686</v>
      </c>
      <c r="H18" s="76">
        <v>1050</v>
      </c>
      <c r="I18" s="76">
        <v>1894.2499999999995</v>
      </c>
      <c r="J18" s="76">
        <v>4130.1794258373184</v>
      </c>
      <c r="K18" s="76">
        <v>1256.4172335600906</v>
      </c>
      <c r="L18" s="76">
        <v>1439.895833333333</v>
      </c>
      <c r="M18" s="76">
        <v>524</v>
      </c>
      <c r="N18" s="76">
        <v>0</v>
      </c>
      <c r="P18" s="240">
        <v>15587.481109449676</v>
      </c>
    </row>
    <row r="19" spans="2:20" ht="15.6" x14ac:dyDescent="0.3">
      <c r="B19" s="245" t="s">
        <v>165</v>
      </c>
      <c r="C19" s="88">
        <v>7691.051288679153</v>
      </c>
      <c r="D19" s="88">
        <v>11795.356889953615</v>
      </c>
      <c r="E19" s="88">
        <v>7037.4507121535908</v>
      </c>
      <c r="F19" s="88">
        <v>8776.7084147487658</v>
      </c>
      <c r="G19" s="88">
        <v>7901.8880842237559</v>
      </c>
      <c r="H19" s="88">
        <v>4769.9641619529039</v>
      </c>
      <c r="I19" s="88">
        <v>8984.3379578539461</v>
      </c>
      <c r="J19" s="88">
        <v>11760.864713233339</v>
      </c>
      <c r="K19" s="88">
        <v>10888.01060803405</v>
      </c>
      <c r="L19" s="88">
        <v>14215.390068882647</v>
      </c>
      <c r="M19" s="88">
        <v>8289.267146899947</v>
      </c>
      <c r="N19" s="247">
        <v>6298.8781775238203</v>
      </c>
      <c r="O19" s="246"/>
      <c r="P19" s="454">
        <v>108409.16822413952</v>
      </c>
    </row>
    <row r="20" spans="2:20" x14ac:dyDescent="0.3">
      <c r="B20" s="451" t="s">
        <v>166</v>
      </c>
      <c r="C20" s="452">
        <v>1</v>
      </c>
      <c r="D20" s="452">
        <v>0.92767522439491956</v>
      </c>
      <c r="E20" s="452">
        <v>0.93989943743208049</v>
      </c>
      <c r="F20" s="452">
        <v>0.8910547828122477</v>
      </c>
      <c r="G20" s="452">
        <v>0.73492730476399515</v>
      </c>
      <c r="H20" s="452">
        <v>0.81958651792665504</v>
      </c>
      <c r="I20" s="452">
        <v>0.8258735410019441</v>
      </c>
      <c r="J20" s="452">
        <v>0.74009389252889834</v>
      </c>
      <c r="K20" s="452">
        <v>0.89654372771215163</v>
      </c>
      <c r="L20" s="452">
        <v>0.90802494171444559</v>
      </c>
      <c r="M20" s="452">
        <v>0.94054418284775176</v>
      </c>
      <c r="N20" s="453">
        <v>1</v>
      </c>
      <c r="O20" s="7"/>
      <c r="P20" s="455">
        <v>0.8742911103386789</v>
      </c>
    </row>
    <row r="21" spans="2:20" ht="6.45" customHeight="1" x14ac:dyDescent="0.3">
      <c r="B21" s="238"/>
      <c r="P21" s="184"/>
    </row>
    <row r="22" spans="2:20" x14ac:dyDescent="0.3">
      <c r="B22" s="238" t="s">
        <v>273</v>
      </c>
      <c r="C22" s="73">
        <v>0</v>
      </c>
      <c r="D22" s="73">
        <v>0</v>
      </c>
      <c r="E22" s="73">
        <v>0</v>
      </c>
      <c r="F22" s="73">
        <v>0</v>
      </c>
      <c r="G22" s="73">
        <v>0</v>
      </c>
      <c r="H22" s="73">
        <v>0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P22" s="240">
        <v>0</v>
      </c>
      <c r="T22" s="1"/>
    </row>
    <row r="23" spans="2:20" x14ac:dyDescent="0.3">
      <c r="B23" s="238" t="s">
        <v>203</v>
      </c>
      <c r="C23" s="73">
        <v>1454.033628724653</v>
      </c>
      <c r="D23" s="73">
        <v>1416.0203333354552</v>
      </c>
      <c r="E23" s="73">
        <v>1647.4689072214228</v>
      </c>
      <c r="F23" s="73">
        <v>1523.6383535028476</v>
      </c>
      <c r="G23" s="73">
        <v>1352.7260140565872</v>
      </c>
      <c r="H23" s="73">
        <v>1193.7039081273476</v>
      </c>
      <c r="I23" s="73">
        <v>1556.8098137019101</v>
      </c>
      <c r="J23" s="73">
        <v>2008.4271305011212</v>
      </c>
      <c r="K23" s="73">
        <v>1397.624463867661</v>
      </c>
      <c r="L23" s="73">
        <v>1973.3255451153877</v>
      </c>
      <c r="M23" s="73">
        <v>1340.2173896031659</v>
      </c>
      <c r="N23" s="73">
        <v>1635.395598862551</v>
      </c>
      <c r="P23" s="240">
        <v>18499.391086620108</v>
      </c>
    </row>
    <row r="24" spans="2:20" x14ac:dyDescent="0.3">
      <c r="B24" s="456" t="s">
        <v>167</v>
      </c>
      <c r="C24" s="457">
        <v>1454.033628724653</v>
      </c>
      <c r="D24" s="457">
        <v>1416.0203333354552</v>
      </c>
      <c r="E24" s="457">
        <v>1647.4689072214228</v>
      </c>
      <c r="F24" s="457">
        <v>1523.6383535028476</v>
      </c>
      <c r="G24" s="457">
        <v>1352.7260140565872</v>
      </c>
      <c r="H24" s="457">
        <v>1193.7039081273476</v>
      </c>
      <c r="I24" s="457">
        <v>1556.8098137019101</v>
      </c>
      <c r="J24" s="457">
        <v>2008.4271305011212</v>
      </c>
      <c r="K24" s="457">
        <v>1397.624463867661</v>
      </c>
      <c r="L24" s="457">
        <v>1973.3255451153877</v>
      </c>
      <c r="M24" s="457">
        <v>1340.2173896031659</v>
      </c>
      <c r="N24" s="458">
        <v>1635.395598862551</v>
      </c>
      <c r="O24" s="251"/>
      <c r="P24" s="459">
        <v>18499.391086620108</v>
      </c>
    </row>
    <row r="25" spans="2:20" ht="4.95" customHeight="1" x14ac:dyDescent="0.3">
      <c r="B25" s="238"/>
      <c r="P25" s="184"/>
    </row>
    <row r="26" spans="2:20" ht="15.6" x14ac:dyDescent="0.3">
      <c r="B26" s="245" t="s">
        <v>168</v>
      </c>
      <c r="C26" s="88">
        <v>6237.0176599545002</v>
      </c>
      <c r="D26" s="88">
        <v>10379.33655661816</v>
      </c>
      <c r="E26" s="88">
        <v>5389.9818049321675</v>
      </c>
      <c r="F26" s="88">
        <v>7253.0700612459186</v>
      </c>
      <c r="G26" s="88">
        <v>6549.1620701671691</v>
      </c>
      <c r="H26" s="88">
        <v>3576.260253825556</v>
      </c>
      <c r="I26" s="88">
        <v>7427.5281441520365</v>
      </c>
      <c r="J26" s="88">
        <v>9752.4375827322183</v>
      </c>
      <c r="K26" s="88">
        <v>9490.3861441663885</v>
      </c>
      <c r="L26" s="88">
        <v>12242.06452376726</v>
      </c>
      <c r="M26" s="88">
        <v>6949.0497572967815</v>
      </c>
      <c r="N26" s="247">
        <v>4663.4825786612691</v>
      </c>
      <c r="O26" s="246"/>
      <c r="P26" s="454">
        <v>89909.777137519413</v>
      </c>
    </row>
    <row r="27" spans="2:20" x14ac:dyDescent="0.3">
      <c r="B27" s="451" t="s">
        <v>169</v>
      </c>
      <c r="C27" s="452">
        <v>0.81094474940442562</v>
      </c>
      <c r="D27" s="452">
        <v>0.81630877802706381</v>
      </c>
      <c r="E27" s="452">
        <v>0.71986875268282935</v>
      </c>
      <c r="F27" s="452">
        <v>0.73636749254253298</v>
      </c>
      <c r="G27" s="452">
        <v>0.6091149327083093</v>
      </c>
      <c r="H27" s="452">
        <v>0.61448149066016455</v>
      </c>
      <c r="I27" s="452">
        <v>0.68276583072434782</v>
      </c>
      <c r="J27" s="452">
        <v>0.61370653164031563</v>
      </c>
      <c r="K27" s="452">
        <v>0.78146012870711179</v>
      </c>
      <c r="L27" s="452">
        <v>0.78197642637969433</v>
      </c>
      <c r="M27" s="452">
        <v>0.78847601479334473</v>
      </c>
      <c r="N27" s="453">
        <v>0.74036716495040256</v>
      </c>
      <c r="O27" s="7"/>
      <c r="P27" s="455">
        <v>0.72509844113315036</v>
      </c>
    </row>
    <row r="28" spans="2:20" ht="7.95" customHeight="1" x14ac:dyDescent="0.3">
      <c r="B28" s="253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P28" s="254"/>
    </row>
    <row r="29" spans="2:20" x14ac:dyDescent="0.3">
      <c r="B29" s="238" t="s">
        <v>170</v>
      </c>
      <c r="C29" s="132">
        <v>-800</v>
      </c>
      <c r="D29" s="132">
        <v>-800</v>
      </c>
      <c r="E29" s="132">
        <v>-800</v>
      </c>
      <c r="F29" s="132">
        <v>-800</v>
      </c>
      <c r="G29" s="132">
        <v>-800</v>
      </c>
      <c r="H29" s="132">
        <v>-800</v>
      </c>
      <c r="I29" s="132">
        <v>-800</v>
      </c>
      <c r="J29" s="132">
        <v>-800</v>
      </c>
      <c r="K29" s="132">
        <v>-800</v>
      </c>
      <c r="L29" s="132">
        <v>-800</v>
      </c>
      <c r="M29" s="132">
        <v>-800</v>
      </c>
      <c r="N29" s="132">
        <v>-800</v>
      </c>
      <c r="O29" s="132"/>
      <c r="P29" s="185">
        <v>-9600</v>
      </c>
    </row>
    <row r="30" spans="2:20" ht="15.6" x14ac:dyDescent="0.3">
      <c r="B30" s="245" t="s">
        <v>16</v>
      </c>
      <c r="C30" s="88">
        <v>5437.0176599545002</v>
      </c>
      <c r="D30" s="88">
        <v>9579.3365566181601</v>
      </c>
      <c r="E30" s="88">
        <v>4589.9818049321675</v>
      </c>
      <c r="F30" s="88">
        <v>6453.0700612459186</v>
      </c>
      <c r="G30" s="88">
        <v>5749.1620701671691</v>
      </c>
      <c r="H30" s="88">
        <v>2776.260253825556</v>
      </c>
      <c r="I30" s="88">
        <v>6627.5281441520365</v>
      </c>
      <c r="J30" s="88">
        <v>8952.4375827322183</v>
      </c>
      <c r="K30" s="88">
        <v>8690.3861441663885</v>
      </c>
      <c r="L30" s="88">
        <v>11442.06452376726</v>
      </c>
      <c r="M30" s="88">
        <v>6149.0497572967815</v>
      </c>
      <c r="N30" s="247">
        <v>3863.4825786612691</v>
      </c>
      <c r="O30" s="246"/>
      <c r="P30" s="454">
        <v>80309.777137519413</v>
      </c>
    </row>
    <row r="31" spans="2:20" x14ac:dyDescent="0.3">
      <c r="B31" s="248" t="s">
        <v>171</v>
      </c>
      <c r="C31" s="90">
        <v>0.70692776005245483</v>
      </c>
      <c r="D31" s="90">
        <v>0.7533907852575501</v>
      </c>
      <c r="E31" s="90">
        <v>0.61302330811763917</v>
      </c>
      <c r="F31" s="90">
        <v>0.65514754167212419</v>
      </c>
      <c r="G31" s="90">
        <v>0.53470969720705852</v>
      </c>
      <c r="H31" s="90">
        <v>0.47702359955666374</v>
      </c>
      <c r="I31" s="90">
        <v>0.60922687483233529</v>
      </c>
      <c r="J31" s="90">
        <v>0.56336371004855679</v>
      </c>
      <c r="K31" s="90">
        <v>0.71558629665550744</v>
      </c>
      <c r="L31" s="90">
        <v>0.73087547523789742</v>
      </c>
      <c r="M31" s="90">
        <v>0.69770377486624813</v>
      </c>
      <c r="N31" s="249">
        <v>0.61336042224903919</v>
      </c>
      <c r="O31" s="7"/>
      <c r="P31" s="462">
        <v>0.64767699425055725</v>
      </c>
    </row>
    <row r="32" spans="2:20" x14ac:dyDescent="0.3">
      <c r="B32" s="248" t="s">
        <v>280</v>
      </c>
      <c r="C32" s="277">
        <v>0</v>
      </c>
      <c r="D32" s="277">
        <v>0</v>
      </c>
      <c r="E32" s="277">
        <v>0</v>
      </c>
      <c r="F32" s="277">
        <v>2400</v>
      </c>
      <c r="G32" s="277">
        <v>0</v>
      </c>
      <c r="H32" s="277">
        <v>0</v>
      </c>
      <c r="I32" s="277">
        <v>0</v>
      </c>
      <c r="J32" s="277">
        <v>0</v>
      </c>
      <c r="K32" s="277">
        <v>0</v>
      </c>
      <c r="L32" s="277">
        <v>0</v>
      </c>
      <c r="M32" s="277">
        <v>0</v>
      </c>
      <c r="N32" s="278">
        <v>0</v>
      </c>
      <c r="O32" s="7"/>
      <c r="P32" s="463">
        <v>2400</v>
      </c>
    </row>
    <row r="33" spans="2:16" x14ac:dyDescent="0.3">
      <c r="B33" s="248" t="s">
        <v>301</v>
      </c>
      <c r="C33" s="277">
        <v>-1900</v>
      </c>
      <c r="D33" s="277">
        <v>-3325</v>
      </c>
      <c r="E33" s="277">
        <v>-3220</v>
      </c>
      <c r="F33" s="277">
        <v>-2325</v>
      </c>
      <c r="G33" s="277">
        <v>-4100</v>
      </c>
      <c r="H33" s="277">
        <v>-2750</v>
      </c>
      <c r="I33" s="277">
        <v>-2903.9499999999971</v>
      </c>
      <c r="J33" s="277">
        <v>-9775</v>
      </c>
      <c r="K33" s="277">
        <v>-6767.5</v>
      </c>
      <c r="L33" s="277">
        <v>-12500</v>
      </c>
      <c r="M33" s="277">
        <v>-7780</v>
      </c>
      <c r="N33" s="278">
        <v>-3250</v>
      </c>
      <c r="O33" s="7"/>
      <c r="P33" s="463">
        <v>-60596.45</v>
      </c>
    </row>
    <row r="34" spans="2:16" x14ac:dyDescent="0.3">
      <c r="B34" s="451" t="s">
        <v>300</v>
      </c>
      <c r="C34" s="460">
        <v>1631.10529798635</v>
      </c>
      <c r="D34" s="460">
        <v>4744.906264971798</v>
      </c>
      <c r="E34" s="460">
        <v>6361.9008064514483</v>
      </c>
      <c r="F34" s="460">
        <v>8537.8218248252233</v>
      </c>
      <c r="G34" s="460">
        <v>10502.570445875373</v>
      </c>
      <c r="H34" s="460">
        <v>11575.44852202304</v>
      </c>
      <c r="I34" s="460">
        <v>13803.706965268651</v>
      </c>
      <c r="J34" s="460">
        <v>16729.438240088319</v>
      </c>
      <c r="K34" s="460">
        <v>19576.554083338237</v>
      </c>
      <c r="L34" s="460">
        <v>23249.173440468414</v>
      </c>
      <c r="M34" s="460">
        <v>25333.888367657448</v>
      </c>
      <c r="N34" s="461">
        <v>26732.933141255828</v>
      </c>
      <c r="O34" s="375"/>
      <c r="P34" s="562">
        <v>26732.933141255828</v>
      </c>
    </row>
    <row r="35" spans="2:16" ht="15" thickBot="1" x14ac:dyDescent="0.35">
      <c r="B35" s="238"/>
      <c r="H35" s="9"/>
      <c r="M35" s="109"/>
      <c r="P35" s="184"/>
    </row>
    <row r="36" spans="2:16" x14ac:dyDescent="0.3">
      <c r="B36" s="255" t="s">
        <v>172</v>
      </c>
      <c r="C36" s="84">
        <v>5910.4919725383306</v>
      </c>
      <c r="D36" s="160">
        <v>11084.272361042324</v>
      </c>
      <c r="E36" s="160">
        <v>13626.640747999701</v>
      </c>
      <c r="F36" s="160">
        <v>16286.344773842786</v>
      </c>
      <c r="G36" s="160">
        <v>18578.005705878626</v>
      </c>
      <c r="H36" s="160">
        <v>19238.673723690408</v>
      </c>
      <c r="I36" s="160">
        <v>21452.661713757698</v>
      </c>
      <c r="J36" s="160">
        <v>26002.178211082912</v>
      </c>
      <c r="K36" s="160">
        <v>32304.328083873392</v>
      </c>
      <c r="L36" s="503">
        <v>39688.855915124463</v>
      </c>
      <c r="M36" s="160">
        <v>44161.646649811548</v>
      </c>
      <c r="N36" s="84">
        <v>45353.466864734175</v>
      </c>
      <c r="P36" s="184"/>
    </row>
    <row r="37" spans="2:16" x14ac:dyDescent="0.3">
      <c r="B37" s="256" t="s">
        <v>173</v>
      </c>
      <c r="C37" s="258">
        <v>1691.5452984802259</v>
      </c>
      <c r="D37" s="257">
        <v>5173.7803885039939</v>
      </c>
      <c r="E37" s="257">
        <v>2542.3683869573779</v>
      </c>
      <c r="F37" s="257">
        <v>2659.7040258430852</v>
      </c>
      <c r="G37" s="257">
        <v>2291.6609320358393</v>
      </c>
      <c r="H37" s="257">
        <v>660.6680178117831</v>
      </c>
      <c r="I37" s="257">
        <v>2213.9879900672904</v>
      </c>
      <c r="J37" s="257">
        <v>4549.516497325214</v>
      </c>
      <c r="K37" s="257">
        <v>6302.1498727904818</v>
      </c>
      <c r="L37" s="504">
        <v>7384.5278312510727</v>
      </c>
      <c r="M37" s="257">
        <v>4472.7907346870816</v>
      </c>
      <c r="N37" s="258">
        <v>1191.8202149226308</v>
      </c>
      <c r="O37" s="259"/>
      <c r="P37" s="260"/>
    </row>
    <row r="38" spans="2:16" x14ac:dyDescent="0.3">
      <c r="E38" s="9"/>
    </row>
  </sheetData>
  <mergeCells count="1">
    <mergeCell ref="B8:P8"/>
  </mergeCells>
  <pageMargins left="0.25" right="0.25" top="0.75" bottom="0.75" header="0.3" footer="0.3"/>
  <pageSetup scale="56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0495-EE2C-4571-93A0-2DD2C9D07CA8}">
  <sheetPr>
    <tabColor theme="1"/>
    <pageSetUpPr fitToPage="1"/>
  </sheetPr>
  <dimension ref="B10:T31"/>
  <sheetViews>
    <sheetView showGridLines="0" topLeftCell="A4" zoomScale="77" workbookViewId="0">
      <selection activeCell="B1" sqref="B1:P48"/>
    </sheetView>
  </sheetViews>
  <sheetFormatPr defaultColWidth="8.6640625" defaultRowHeight="14.4" x14ac:dyDescent="0.3"/>
  <cols>
    <col min="2" max="2" width="34" bestFit="1" customWidth="1"/>
    <col min="3" max="10" width="11.44140625" bestFit="1" customWidth="1"/>
    <col min="11" max="11" width="11.6640625" bestFit="1" customWidth="1"/>
    <col min="12" max="14" width="11.44140625" bestFit="1" customWidth="1"/>
    <col min="15" max="15" width="2.6640625" customWidth="1"/>
    <col min="16" max="16" width="9.6640625" bestFit="1" customWidth="1"/>
  </cols>
  <sheetData>
    <row r="10" spans="2:16" ht="15.6" x14ac:dyDescent="0.3">
      <c r="B10" s="68"/>
      <c r="C10" s="69" t="str">
        <f>TEXT('Monthly Detail'!D4,"mmmm")</f>
        <v>January</v>
      </c>
      <c r="D10" s="69" t="str">
        <f>TEXT('Monthly Detail'!E4,"mmmm")</f>
        <v>February</v>
      </c>
      <c r="E10" s="69" t="str">
        <f>TEXT('Monthly Detail'!F4,"mmmm")</f>
        <v>March</v>
      </c>
      <c r="F10" s="69" t="str">
        <f>TEXT('Monthly Detail'!G4,"mmmm")</f>
        <v>April</v>
      </c>
      <c r="G10" s="69" t="str">
        <f>TEXT('Monthly Detail'!H4,"mmmm")</f>
        <v>May</v>
      </c>
      <c r="H10" s="69" t="str">
        <f>TEXT('Monthly Detail'!I4,"mmmm")</f>
        <v>June</v>
      </c>
      <c r="I10" s="69" t="str">
        <f>TEXT('Monthly Detail'!J4,"mmmm")</f>
        <v>July</v>
      </c>
      <c r="J10" s="69" t="str">
        <f>TEXT('Monthly Detail'!K4,"mmmm")</f>
        <v>August</v>
      </c>
      <c r="K10" s="69" t="str">
        <f>TEXT('Monthly Detail'!L4,"mmmm")</f>
        <v>September</v>
      </c>
      <c r="L10" s="69" t="str">
        <f>TEXT('Monthly Detail'!M4,"mmmm")</f>
        <v>October</v>
      </c>
      <c r="M10" s="69" t="str">
        <f>TEXT('Monthly Detail'!N4,"mmmm")</f>
        <v>November</v>
      </c>
      <c r="N10" s="186" t="str">
        <f>TEXT('Monthly Detail'!O4,"mmmm")</f>
        <v>December</v>
      </c>
      <c r="O10" s="70"/>
      <c r="P10" s="71" t="s">
        <v>0</v>
      </c>
    </row>
    <row r="11" spans="2:16" ht="6.45" customHeight="1" x14ac:dyDescent="0.3">
      <c r="B11" s="7"/>
      <c r="C11" s="91">
        <v>44957</v>
      </c>
      <c r="D11" s="91">
        <v>44985</v>
      </c>
      <c r="E11" s="91">
        <v>45016</v>
      </c>
      <c r="F11" s="91">
        <v>45046</v>
      </c>
      <c r="G11" s="91">
        <v>45077</v>
      </c>
      <c r="H11" s="91">
        <v>45107</v>
      </c>
      <c r="I11" s="91">
        <v>45138</v>
      </c>
      <c r="J11" s="91">
        <v>45169</v>
      </c>
      <c r="K11" s="91">
        <v>45199</v>
      </c>
      <c r="L11" s="91">
        <v>45230</v>
      </c>
      <c r="M11" s="91">
        <v>45260</v>
      </c>
      <c r="N11" s="187">
        <v>45291</v>
      </c>
      <c r="O11" s="91">
        <v>45322</v>
      </c>
    </row>
    <row r="12" spans="2:16" x14ac:dyDescent="0.3">
      <c r="B12" s="72" t="s">
        <v>60</v>
      </c>
      <c r="C12" s="73">
        <f>SUMIF('Monthly Detail'!$4:$4, '2023 Overview'!C$11, 'Monthly Detail'!12:12)</f>
        <v>1510</v>
      </c>
      <c r="D12" s="73">
        <f>SUMIF('Monthly Detail'!$4:$4, '2023 Overview'!D$11, 'Monthly Detail'!12:12)</f>
        <v>1225</v>
      </c>
      <c r="E12" s="73">
        <f>SUMIF('Monthly Detail'!$4:$4, '2023 Overview'!E$11, 'Monthly Detail'!12:12)</f>
        <v>1177.5</v>
      </c>
      <c r="F12" s="73">
        <f>SUMIF('Monthly Detail'!$4:$4, '2023 Overview'!F$11, 'Monthly Detail'!12:12)</f>
        <v>1919.91</v>
      </c>
      <c r="G12" s="73">
        <f>SUMIF('Monthly Detail'!$4:$4, '2023 Overview'!G$11, 'Monthly Detail'!12:12)</f>
        <v>2446.25</v>
      </c>
      <c r="H12" s="73">
        <f>SUMIF('Monthly Detail'!$4:$4, '2023 Overview'!H$11, 'Monthly Detail'!12:12)</f>
        <v>2038.75</v>
      </c>
      <c r="I12" s="73">
        <f>SUMIF('Monthly Detail'!$4:$4, '2023 Overview'!I$11, 'Monthly Detail'!12:12)</f>
        <v>2785</v>
      </c>
      <c r="J12" s="73">
        <f>SUMIF('Monthly Detail'!$4:$4, '2023 Overview'!J$11, 'Monthly Detail'!12:12)</f>
        <v>7051.66</v>
      </c>
      <c r="K12" s="73">
        <f>SUMIF('Monthly Detail'!$4:$4, '2023 Overview'!K$11, 'Monthly Detail'!12:12)</f>
        <v>8720.84</v>
      </c>
      <c r="L12" s="73">
        <f>SUMIF('Monthly Detail'!$4:$4, '2023 Overview'!L$11, 'Monthly Detail'!12:12)</f>
        <v>8040</v>
      </c>
      <c r="M12" s="73">
        <f>SUMIF('Monthly Detail'!$4:$4, '2023 Overview'!M$11, 'Monthly Detail'!12:12)</f>
        <v>4827.5</v>
      </c>
      <c r="N12" s="188">
        <f>SUMIF('Monthly Detail'!$4:$4, '2023 Overview'!N$11, 'Monthly Detail'!12:12)</f>
        <v>2095</v>
      </c>
      <c r="O12" s="73"/>
      <c r="P12" s="73">
        <f>SUM(C12:O12)</f>
        <v>43837.41</v>
      </c>
    </row>
    <row r="13" spans="2:16" x14ac:dyDescent="0.3">
      <c r="B13" s="72" t="s">
        <v>174</v>
      </c>
      <c r="C13" s="73">
        <f>SUMIF('Monthly Detail'!$4:$4, '2023 Overview'!C$11, 'Monthly Detail'!13:13)</f>
        <v>35.99</v>
      </c>
      <c r="D13" s="73">
        <f>SUMIF('Monthly Detail'!$4:$4, '2023 Overview'!D$11, 'Monthly Detail'!13:13)</f>
        <v>30.75</v>
      </c>
      <c r="E13" s="73">
        <f>SUMIF('Monthly Detail'!$4:$4, '2023 Overview'!E$11, 'Monthly Detail'!13:13)</f>
        <v>29.25</v>
      </c>
      <c r="F13" s="73">
        <f>SUMIF('Monthly Detail'!$4:$4, '2023 Overview'!F$11, 'Monthly Detail'!13:13)</f>
        <v>37.5</v>
      </c>
      <c r="G13" s="73">
        <f>SUMIF('Monthly Detail'!$4:$4, '2023 Overview'!G$11, 'Monthly Detail'!13:13)</f>
        <v>40.68</v>
      </c>
      <c r="H13" s="73">
        <f>SUMIF('Monthly Detail'!$4:$4, '2023 Overview'!H$11, 'Monthly Detail'!13:13)</f>
        <v>4.68</v>
      </c>
      <c r="I13" s="73">
        <f>SUMIF('Monthly Detail'!$4:$4, '2023 Overview'!I$11, 'Monthly Detail'!13:13)</f>
        <v>50.5</v>
      </c>
      <c r="J13" s="73">
        <f>SUMIF('Monthly Detail'!$4:$4, '2023 Overview'!J$11, 'Monthly Detail'!13:13)</f>
        <v>27</v>
      </c>
      <c r="K13" s="73">
        <f>SUMIF('Monthly Detail'!$4:$4, '2023 Overview'!K$11, 'Monthly Detail'!13:13)</f>
        <v>35.25</v>
      </c>
      <c r="L13" s="73">
        <f>SUMIF('Monthly Detail'!$4:$4, '2023 Overview'!L$11, 'Monthly Detail'!13:13)</f>
        <v>156.37</v>
      </c>
      <c r="M13" s="73">
        <f>SUMIF('Monthly Detail'!$4:$4, '2023 Overview'!M$11, 'Monthly Detail'!13:13)</f>
        <v>110.62</v>
      </c>
      <c r="N13" s="188">
        <f>SUMIF('Monthly Detail'!$4:$4, '2023 Overview'!N$11, 'Monthly Detail'!13:13)</f>
        <v>49.5</v>
      </c>
      <c r="O13" s="73"/>
      <c r="P13" s="73"/>
    </row>
    <row r="14" spans="2:16" x14ac:dyDescent="0.3">
      <c r="B14" s="74" t="s">
        <v>7</v>
      </c>
      <c r="C14" s="74">
        <f>SUM(C12:C13)</f>
        <v>1545.99</v>
      </c>
      <c r="D14" s="74">
        <f t="shared" ref="D14:N14" si="0">SUM(D12:D13)</f>
        <v>1255.75</v>
      </c>
      <c r="E14" s="74">
        <f t="shared" si="0"/>
        <v>1206.75</v>
      </c>
      <c r="F14" s="74">
        <f t="shared" si="0"/>
        <v>1957.41</v>
      </c>
      <c r="G14" s="74">
        <f t="shared" si="0"/>
        <v>2486.9299999999998</v>
      </c>
      <c r="H14" s="74">
        <f t="shared" si="0"/>
        <v>2043.43</v>
      </c>
      <c r="I14" s="74">
        <f t="shared" si="0"/>
        <v>2835.5</v>
      </c>
      <c r="J14" s="74">
        <f t="shared" si="0"/>
        <v>7078.66</v>
      </c>
      <c r="K14" s="74">
        <f t="shared" si="0"/>
        <v>8756.09</v>
      </c>
      <c r="L14" s="74">
        <f t="shared" si="0"/>
        <v>8196.3700000000008</v>
      </c>
      <c r="M14" s="74">
        <f t="shared" si="0"/>
        <v>4938.12</v>
      </c>
      <c r="N14" s="189">
        <f t="shared" si="0"/>
        <v>2144.5</v>
      </c>
      <c r="O14" s="75"/>
      <c r="P14" s="74">
        <f>SUM(P12:P12)</f>
        <v>43837.41</v>
      </c>
    </row>
    <row r="15" spans="2:16" ht="3" customHeight="1" x14ac:dyDescent="0.3">
      <c r="B15" s="7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90"/>
      <c r="P15" s="76"/>
    </row>
    <row r="16" spans="2:16" ht="15.6" x14ac:dyDescent="0.3">
      <c r="B16" s="87" t="s">
        <v>165</v>
      </c>
      <c r="C16" s="88">
        <f>C14</f>
        <v>1545.99</v>
      </c>
      <c r="D16" s="88">
        <f t="shared" ref="D16:N16" si="1">D14</f>
        <v>1255.75</v>
      </c>
      <c r="E16" s="88">
        <f t="shared" si="1"/>
        <v>1206.75</v>
      </c>
      <c r="F16" s="88">
        <f t="shared" si="1"/>
        <v>1957.41</v>
      </c>
      <c r="G16" s="88">
        <f t="shared" si="1"/>
        <v>2486.9299999999998</v>
      </c>
      <c r="H16" s="88">
        <f t="shared" si="1"/>
        <v>2043.43</v>
      </c>
      <c r="I16" s="88">
        <f t="shared" si="1"/>
        <v>2835.5</v>
      </c>
      <c r="J16" s="88">
        <f t="shared" si="1"/>
        <v>7078.66</v>
      </c>
      <c r="K16" s="88">
        <f t="shared" si="1"/>
        <v>8756.09</v>
      </c>
      <c r="L16" s="88">
        <f t="shared" si="1"/>
        <v>8196.3700000000008</v>
      </c>
      <c r="M16" s="88">
        <f t="shared" si="1"/>
        <v>4938.12</v>
      </c>
      <c r="N16" s="191">
        <f t="shared" si="1"/>
        <v>2144.5</v>
      </c>
      <c r="O16" s="77"/>
      <c r="P16" s="88">
        <f>P14</f>
        <v>43837.41</v>
      </c>
    </row>
    <row r="17" spans="2:20" x14ac:dyDescent="0.3">
      <c r="B17" s="89" t="s">
        <v>166</v>
      </c>
      <c r="C17" s="90">
        <f t="shared" ref="C17:N17" si="2">C16/C14</f>
        <v>1</v>
      </c>
      <c r="D17" s="90">
        <f t="shared" si="2"/>
        <v>1</v>
      </c>
      <c r="E17" s="90">
        <f t="shared" si="2"/>
        <v>1</v>
      </c>
      <c r="F17" s="90">
        <f t="shared" si="2"/>
        <v>1</v>
      </c>
      <c r="G17" s="90">
        <f t="shared" si="2"/>
        <v>1</v>
      </c>
      <c r="H17" s="90">
        <f t="shared" si="2"/>
        <v>1</v>
      </c>
      <c r="I17" s="90">
        <f t="shared" si="2"/>
        <v>1</v>
      </c>
      <c r="J17" s="90">
        <f t="shared" si="2"/>
        <v>1</v>
      </c>
      <c r="K17" s="90">
        <f t="shared" si="2"/>
        <v>1</v>
      </c>
      <c r="L17" s="90">
        <f t="shared" si="2"/>
        <v>1</v>
      </c>
      <c r="M17" s="90">
        <f t="shared" si="2"/>
        <v>1</v>
      </c>
      <c r="N17" s="192">
        <f t="shared" si="2"/>
        <v>1</v>
      </c>
      <c r="O17" s="7"/>
      <c r="P17" s="90">
        <f>P16/P14</f>
        <v>1</v>
      </c>
    </row>
    <row r="18" spans="2:20" ht="3" customHeight="1" x14ac:dyDescent="0.3">
      <c r="B18" s="7"/>
      <c r="N18" s="193"/>
    </row>
    <row r="19" spans="2:20" x14ac:dyDescent="0.3">
      <c r="B19" s="7" t="s">
        <v>203</v>
      </c>
      <c r="C19" s="73">
        <f>SUMIF('Monthly Detail'!$4:$4, '2023 Overview'!C$11, 'Monthly Detail'!$95:$95)</f>
        <v>235.13</v>
      </c>
      <c r="D19" s="73">
        <f>SUMIF('Monthly Detail'!$4:$4, '2023 Overview'!D$11, 'Monthly Detail'!$95:$95)</f>
        <v>153.76</v>
      </c>
      <c r="E19" s="73">
        <f>SUMIF('Monthly Detail'!$4:$4, '2023 Overview'!E$11, 'Monthly Detail'!$95:$95)</f>
        <v>105.36</v>
      </c>
      <c r="F19" s="73">
        <f>SUMIF('Monthly Detail'!$4:$4, '2023 Overview'!F$11, 'Monthly Detail'!$95:$95)</f>
        <v>272.83999999999997</v>
      </c>
      <c r="G19" s="73">
        <f>SUMIF('Monthly Detail'!$4:$4, '2023 Overview'!G$11, 'Monthly Detail'!$95:$95)</f>
        <v>551</v>
      </c>
      <c r="H19" s="73">
        <f>SUMIF('Monthly Detail'!$4:$4, '2023 Overview'!H$11, 'Monthly Detail'!$95:$95)</f>
        <v>647.26</v>
      </c>
      <c r="I19" s="73">
        <f>SUMIF('Monthly Detail'!$4:$4, '2023 Overview'!I$11, 'Monthly Detail'!$95:$95)</f>
        <v>432.76</v>
      </c>
      <c r="J19" s="73">
        <f>SUMIF('Monthly Detail'!$4:$4, '2023 Overview'!J$11, 'Monthly Detail'!$95:$95)</f>
        <v>851.95</v>
      </c>
      <c r="K19" s="73">
        <f>SUMIF('Monthly Detail'!$4:$4, '2023 Overview'!K$11, 'Monthly Detail'!$95:$95)</f>
        <v>1646.3600000000001</v>
      </c>
      <c r="L19" s="73">
        <f>SUMIF('Monthly Detail'!$4:$4, '2023 Overview'!L$11, 'Monthly Detail'!$95:$95)</f>
        <v>1347.4700000000003</v>
      </c>
      <c r="M19" s="73">
        <f>SUMIF('Monthly Detail'!$4:$4, '2023 Overview'!M$11, 'Monthly Detail'!$95:$95)</f>
        <v>906.43000000000006</v>
      </c>
      <c r="N19" s="188">
        <f>SUMIF('Monthly Detail'!$4:$4, '2023 Overview'!N$11, 'Monthly Detail'!$95:$95)</f>
        <v>797.47</v>
      </c>
      <c r="P19" s="73">
        <f>SUM(C19:O19)</f>
        <v>7947.7900000000009</v>
      </c>
      <c r="T19" s="1"/>
    </row>
    <row r="20" spans="2:20" x14ac:dyDescent="0.3">
      <c r="B20" s="78" t="s">
        <v>167</v>
      </c>
      <c r="C20" s="79">
        <f t="shared" ref="C20:N20" si="3">SUM(C19:C19)</f>
        <v>235.13</v>
      </c>
      <c r="D20" s="79">
        <f t="shared" si="3"/>
        <v>153.76</v>
      </c>
      <c r="E20" s="79">
        <f t="shared" si="3"/>
        <v>105.36</v>
      </c>
      <c r="F20" s="79">
        <f t="shared" si="3"/>
        <v>272.83999999999997</v>
      </c>
      <c r="G20" s="79">
        <f t="shared" si="3"/>
        <v>551</v>
      </c>
      <c r="H20" s="79">
        <f t="shared" si="3"/>
        <v>647.26</v>
      </c>
      <c r="I20" s="79">
        <f t="shared" si="3"/>
        <v>432.76</v>
      </c>
      <c r="J20" s="79">
        <f t="shared" si="3"/>
        <v>851.95</v>
      </c>
      <c r="K20" s="79">
        <f t="shared" si="3"/>
        <v>1646.3600000000001</v>
      </c>
      <c r="L20" s="79">
        <f t="shared" si="3"/>
        <v>1347.4700000000003</v>
      </c>
      <c r="M20" s="79">
        <f t="shared" si="3"/>
        <v>906.43000000000006</v>
      </c>
      <c r="N20" s="194">
        <f t="shared" si="3"/>
        <v>797.47</v>
      </c>
      <c r="O20" s="80"/>
      <c r="P20" s="79">
        <f>SUM(P19:P19)</f>
        <v>7947.7900000000009</v>
      </c>
    </row>
    <row r="21" spans="2:20" ht="4.2" customHeight="1" x14ac:dyDescent="0.3">
      <c r="B21" s="7"/>
      <c r="N21" s="193"/>
    </row>
    <row r="22" spans="2:20" ht="15.6" x14ac:dyDescent="0.3">
      <c r="B22" s="87" t="s">
        <v>168</v>
      </c>
      <c r="C22" s="88">
        <f t="shared" ref="C22:N22" si="4">C16-C20</f>
        <v>1310.8600000000001</v>
      </c>
      <c r="D22" s="88">
        <f t="shared" si="4"/>
        <v>1101.99</v>
      </c>
      <c r="E22" s="88">
        <f t="shared" si="4"/>
        <v>1101.3900000000001</v>
      </c>
      <c r="F22" s="88">
        <f t="shared" si="4"/>
        <v>1684.5700000000002</v>
      </c>
      <c r="G22" s="88">
        <f t="shared" si="4"/>
        <v>1935.9299999999998</v>
      </c>
      <c r="H22" s="88">
        <f t="shared" si="4"/>
        <v>1396.17</v>
      </c>
      <c r="I22" s="88">
        <f t="shared" si="4"/>
        <v>2402.7399999999998</v>
      </c>
      <c r="J22" s="88">
        <f t="shared" si="4"/>
        <v>6226.71</v>
      </c>
      <c r="K22" s="88">
        <f t="shared" si="4"/>
        <v>7109.73</v>
      </c>
      <c r="L22" s="88">
        <f t="shared" si="4"/>
        <v>6848.9000000000005</v>
      </c>
      <c r="M22" s="88">
        <f t="shared" si="4"/>
        <v>4031.6899999999996</v>
      </c>
      <c r="N22" s="191">
        <f t="shared" si="4"/>
        <v>1347.03</v>
      </c>
      <c r="O22" s="77"/>
      <c r="P22" s="88">
        <f>P16-P20</f>
        <v>35889.620000000003</v>
      </c>
    </row>
    <row r="23" spans="2:20" x14ac:dyDescent="0.3">
      <c r="B23" s="89" t="s">
        <v>169</v>
      </c>
      <c r="C23" s="90">
        <f t="shared" ref="C23:N23" si="5">C22/C14</f>
        <v>0.84790975362065735</v>
      </c>
      <c r="D23" s="90">
        <f t="shared" si="5"/>
        <v>0.87755524586900258</v>
      </c>
      <c r="E23" s="90">
        <f t="shared" si="5"/>
        <v>0.91269111249223134</v>
      </c>
      <c r="F23" s="90">
        <f t="shared" si="5"/>
        <v>0.86061172672051334</v>
      </c>
      <c r="G23" s="90">
        <f t="shared" si="5"/>
        <v>0.7784416931719027</v>
      </c>
      <c r="H23" s="90">
        <f t="shared" si="5"/>
        <v>0.68324826394836136</v>
      </c>
      <c r="I23" s="90">
        <f t="shared" si="5"/>
        <v>0.84737788749779575</v>
      </c>
      <c r="J23" s="90">
        <f t="shared" si="5"/>
        <v>0.8796453000991713</v>
      </c>
      <c r="K23" s="90">
        <f t="shared" si="5"/>
        <v>0.81197543652475013</v>
      </c>
      <c r="L23" s="90">
        <f t="shared" si="5"/>
        <v>0.83560161388517107</v>
      </c>
      <c r="M23" s="90">
        <f t="shared" si="5"/>
        <v>0.81644228977829614</v>
      </c>
      <c r="N23" s="192">
        <f t="shared" si="5"/>
        <v>0.62813243180228495</v>
      </c>
      <c r="O23" s="7"/>
      <c r="P23" s="90">
        <f>P22/P14</f>
        <v>0.8186984586908761</v>
      </c>
    </row>
    <row r="24" spans="2:20" ht="4.95" customHeight="1" x14ac:dyDescent="0.3">
      <c r="B24" s="81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195"/>
      <c r="P24" s="82"/>
    </row>
    <row r="25" spans="2:20" x14ac:dyDescent="0.3">
      <c r="B25" s="7" t="s">
        <v>170</v>
      </c>
      <c r="C25" s="132">
        <f>SUMIF('Monthly Detail'!$4:$4, '2023 Overview'!C$11, 'Monthly Detail'!104:104)</f>
        <v>0</v>
      </c>
      <c r="D25" s="129">
        <f>SUMIF('Monthly Detail'!$4:$4, '2023 Overview'!D$11, 'Monthly Detail'!104:104)</f>
        <v>0</v>
      </c>
      <c r="E25" s="132">
        <f>SUMIF('Monthly Detail'!$4:$4, '2023 Overview'!E$11, 'Monthly Detail'!104:104)</f>
        <v>0</v>
      </c>
      <c r="F25" s="129">
        <f>SUMIF('Monthly Detail'!$4:$4, '2023 Overview'!F$11, 'Monthly Detail'!104:104)</f>
        <v>0.01</v>
      </c>
      <c r="G25" s="129">
        <f>SUMIF('Monthly Detail'!$4:$4, '2023 Overview'!G$11, 'Monthly Detail'!104:104)</f>
        <v>0.01</v>
      </c>
      <c r="H25" s="132">
        <f>SUMIF('Monthly Detail'!$4:$4, '2023 Overview'!H$11, 'Monthly Detail'!104:104)</f>
        <v>0.01</v>
      </c>
      <c r="I25" s="132">
        <f>SUMIF('Monthly Detail'!$4:$4, '2023 Overview'!I$11, 'Monthly Detail'!104:104)</f>
        <v>0.03</v>
      </c>
      <c r="J25" s="132">
        <f>SUMIF('Monthly Detail'!$4:$4, '2023 Overview'!J$11, 'Monthly Detail'!104:104)</f>
        <v>0.01</v>
      </c>
      <c r="K25" s="132">
        <f>SUMIF('Monthly Detail'!$4:$4, '2023 Overview'!K$11, 'Monthly Detail'!104:104)</f>
        <v>0</v>
      </c>
      <c r="L25" s="132">
        <f>SUMIF('Monthly Detail'!$4:$4, '2023 Overview'!L$11, 'Monthly Detail'!104:104)</f>
        <v>0</v>
      </c>
      <c r="M25" s="132">
        <f>SUMIF('Monthly Detail'!$4:$4, '2023 Overview'!M$11, 'Monthly Detail'!104:104)</f>
        <v>0</v>
      </c>
      <c r="N25" s="196">
        <f>SUMIF('Monthly Detail'!$4:$4, '2023 Overview'!N$11, 'Monthly Detail'!104:104)</f>
        <v>0</v>
      </c>
      <c r="O25" s="129"/>
      <c r="P25" s="113">
        <f>SUM(C25:O25)</f>
        <v>6.9999999999999993E-2</v>
      </c>
    </row>
    <row r="26" spans="2:20" ht="15.6" x14ac:dyDescent="0.3">
      <c r="B26" s="87" t="s">
        <v>16</v>
      </c>
      <c r="C26" s="88">
        <f t="shared" ref="C26:N26" si="6">C22+SUM(C25:C25)</f>
        <v>1310.8600000000001</v>
      </c>
      <c r="D26" s="88">
        <f t="shared" si="6"/>
        <v>1101.99</v>
      </c>
      <c r="E26" s="88">
        <f t="shared" si="6"/>
        <v>1101.3900000000001</v>
      </c>
      <c r="F26" s="88">
        <f t="shared" si="6"/>
        <v>1684.5800000000002</v>
      </c>
      <c r="G26" s="88">
        <f t="shared" si="6"/>
        <v>1935.9399999999998</v>
      </c>
      <c r="H26" s="88">
        <f t="shared" si="6"/>
        <v>1396.18</v>
      </c>
      <c r="I26" s="88">
        <f t="shared" si="6"/>
        <v>2402.77</v>
      </c>
      <c r="J26" s="88">
        <f t="shared" si="6"/>
        <v>6226.72</v>
      </c>
      <c r="K26" s="88">
        <f t="shared" si="6"/>
        <v>7109.73</v>
      </c>
      <c r="L26" s="88">
        <f t="shared" si="6"/>
        <v>6848.9000000000005</v>
      </c>
      <c r="M26" s="88">
        <f t="shared" si="6"/>
        <v>4031.6899999999996</v>
      </c>
      <c r="N26" s="191">
        <f t="shared" si="6"/>
        <v>1347.03</v>
      </c>
      <c r="O26" s="77"/>
      <c r="P26" s="88">
        <f>P22+SUM(P25:P25)</f>
        <v>35889.69</v>
      </c>
    </row>
    <row r="27" spans="2:20" x14ac:dyDescent="0.3">
      <c r="B27" s="89" t="s">
        <v>171</v>
      </c>
      <c r="C27" s="90">
        <f t="shared" ref="C27:N27" si="7">C26/C14</f>
        <v>0.84790975362065735</v>
      </c>
      <c r="D27" s="90">
        <f t="shared" si="7"/>
        <v>0.87755524586900258</v>
      </c>
      <c r="E27" s="90">
        <f t="shared" si="7"/>
        <v>0.91269111249223134</v>
      </c>
      <c r="F27" s="90">
        <f t="shared" si="7"/>
        <v>0.860616835512233</v>
      </c>
      <c r="G27" s="90">
        <f t="shared" si="7"/>
        <v>0.77844571419380515</v>
      </c>
      <c r="H27" s="90">
        <f t="shared" si="7"/>
        <v>0.68325315768095796</v>
      </c>
      <c r="I27" s="90">
        <f t="shared" si="7"/>
        <v>0.84738846764239106</v>
      </c>
      <c r="J27" s="90">
        <f t="shared" si="7"/>
        <v>0.87964671279592466</v>
      </c>
      <c r="K27" s="90">
        <f t="shared" si="7"/>
        <v>0.81197543652475013</v>
      </c>
      <c r="L27" s="90">
        <f t="shared" si="7"/>
        <v>0.83560161388517107</v>
      </c>
      <c r="M27" s="90">
        <f t="shared" si="7"/>
        <v>0.81644228977829614</v>
      </c>
      <c r="N27" s="192">
        <f t="shared" si="7"/>
        <v>0.62813243180228495</v>
      </c>
      <c r="O27" s="7"/>
      <c r="P27" s="90">
        <f>P26/P14</f>
        <v>0.8187000555005417</v>
      </c>
    </row>
    <row r="28" spans="2:20" ht="4.95" customHeight="1" thickBot="1" x14ac:dyDescent="0.35">
      <c r="B28" s="7"/>
      <c r="N28" s="193"/>
    </row>
    <row r="29" spans="2:20" x14ac:dyDescent="0.3">
      <c r="B29" s="83" t="s">
        <v>172</v>
      </c>
      <c r="C29" s="84">
        <f>SUMIF('Monthly Detail'!$4:$4, '2023 Overview'!C$11, 'Monthly Detail'!174:174)</f>
        <v>169.96000000000117</v>
      </c>
      <c r="D29" s="160">
        <f>SUMIF('Monthly Detail'!$4:$4, '2023 Overview'!D$11, 'Monthly Detail'!174:174)</f>
        <v>212.95000000000118</v>
      </c>
      <c r="E29" s="84">
        <f>SUMIF('Monthly Detail'!$4:$4, '2023 Overview'!E$11, 'Monthly Detail'!174:174)</f>
        <v>127.39000000000124</v>
      </c>
      <c r="F29" s="160">
        <f>SUMIF('Monthly Detail'!$4:$4, '2023 Overview'!F$11, 'Monthly Detail'!174:174)</f>
        <v>395.42000000000144</v>
      </c>
      <c r="G29" s="84">
        <f>SUMIF('Monthly Detail'!$4:$4, '2023 Overview'!G$11, 'Monthly Detail'!174:174)</f>
        <v>300.21000000000186</v>
      </c>
      <c r="H29" s="84">
        <f>SUMIF('Monthly Detail'!$4:$4, '2023 Overview'!H$11, 'Monthly Detail'!174:174)</f>
        <v>433.57000000000198</v>
      </c>
      <c r="I29" s="160">
        <f>SUMIF('Monthly Detail'!$4:$4, '2023 Overview'!I$11, 'Monthly Detail'!174:174)</f>
        <v>566.72999999999774</v>
      </c>
      <c r="J29" s="160">
        <f>SUMIF('Monthly Detail'!$4:$4, '2023 Overview'!J$11, 'Monthly Detail'!174:174)</f>
        <v>503.449999999998</v>
      </c>
      <c r="K29" s="160">
        <f>SUMIF('Monthly Detail'!$4:$4, '2023 Overview'!K$11, 'Monthly Detail'!174:174)</f>
        <v>741.17999999999756</v>
      </c>
      <c r="L29" s="160">
        <f>SUMIF('Monthly Detail'!$4:$4, '2023 Overview'!L$11, 'Monthly Detail'!174:174)</f>
        <v>653.29999999999927</v>
      </c>
      <c r="M29" s="160">
        <f>SUMIF('Monthly Detail'!$4:$4, '2023 Overview'!M$11, 'Monthly Detail'!174:174)</f>
        <v>727.48999999999887</v>
      </c>
      <c r="N29" s="197">
        <f>SUMIF('Monthly Detail'!$4:$4, '2023 Overview'!N$11, 'Monthly Detail'!174:174)</f>
        <v>997.01999999999884</v>
      </c>
    </row>
    <row r="30" spans="2:20" ht="15" thickBot="1" x14ac:dyDescent="0.35">
      <c r="B30" s="85" t="s">
        <v>173</v>
      </c>
      <c r="C30" s="86">
        <f>SUMIF('Monthly Detail'!$4:$4, '2023 Overview'!C$11, 'Monthly Detail'!171:171)</f>
        <v>225.86000000000104</v>
      </c>
      <c r="D30" s="161">
        <f>SUMIF('Monthly Detail'!$4:$4, '2023 Overview'!D$11, 'Monthly Detail'!171:171)</f>
        <v>42.990000000000009</v>
      </c>
      <c r="E30" s="86">
        <f>SUMIF('Monthly Detail'!$4:$4, '2023 Overview'!E$11, 'Monthly Detail'!171:171)</f>
        <v>-85.559999999999945</v>
      </c>
      <c r="F30" s="161">
        <f>SUMIF('Monthly Detail'!$4:$4, '2023 Overview'!F$11, 'Monthly Detail'!171:171)</f>
        <v>268.0300000000002</v>
      </c>
      <c r="G30" s="86">
        <f>SUMIF('Monthly Detail'!$4:$4, '2023 Overview'!G$11, 'Monthly Detail'!171:171)</f>
        <v>-95.209999999999582</v>
      </c>
      <c r="H30" s="86">
        <f>SUMIF('Monthly Detail'!$4:$4, '2023 Overview'!H$11, 'Monthly Detail'!171:171)</f>
        <v>133.36000000000013</v>
      </c>
      <c r="I30" s="161">
        <f>SUMIF('Monthly Detail'!$4:$4, '2023 Overview'!I$11, 'Monthly Detail'!171:171)</f>
        <v>133.15999999999576</v>
      </c>
      <c r="J30" s="161">
        <f>SUMIF('Monthly Detail'!$4:$4, '2023 Overview'!J$11, 'Monthly Detail'!171:171)</f>
        <v>-63.279999999999745</v>
      </c>
      <c r="K30" s="161">
        <f>SUMIF('Monthly Detail'!$4:$4, '2023 Overview'!K$11, 'Monthly Detail'!171:171)</f>
        <v>237.72999999999956</v>
      </c>
      <c r="L30" s="161">
        <f>SUMIF('Monthly Detail'!$4:$4, '2023 Overview'!L$11, 'Monthly Detail'!171:171)</f>
        <v>-87.87999999999829</v>
      </c>
      <c r="M30" s="161">
        <f>SUMIF('Monthly Detail'!$4:$4, '2023 Overview'!M$11, 'Monthly Detail'!171:171)</f>
        <v>74.1899999999996</v>
      </c>
      <c r="N30" s="198">
        <f>SUMIF('Monthly Detail'!$4:$4, '2023 Overview'!N$11, 'Monthly Detail'!171:171)</f>
        <v>269.52999999999997</v>
      </c>
    </row>
    <row r="31" spans="2:20" x14ac:dyDescent="0.3">
      <c r="E31" s="9"/>
    </row>
  </sheetData>
  <pageMargins left="0.25" right="0.25" top="0.75" bottom="0.75" header="0.3" footer="0.3"/>
  <pageSetup scale="69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4244-9690-4893-A240-3E0DDFD57B8C}">
  <sheetPr>
    <tabColor theme="1"/>
    <pageSetUpPr fitToPage="1"/>
  </sheetPr>
  <dimension ref="B1:T38"/>
  <sheetViews>
    <sheetView showGridLines="0" topLeftCell="A4" zoomScale="65" zoomScaleNormal="85" workbookViewId="0">
      <selection activeCell="B35" sqref="B35"/>
    </sheetView>
  </sheetViews>
  <sheetFormatPr defaultColWidth="8.6640625" defaultRowHeight="14.4" x14ac:dyDescent="0.3"/>
  <cols>
    <col min="2" max="2" width="34.6640625" bestFit="1" customWidth="1"/>
    <col min="3" max="3" width="13.6640625" bestFit="1" customWidth="1"/>
    <col min="4" max="5" width="13.44140625" bestFit="1" customWidth="1"/>
    <col min="6" max="7" width="14.109375" bestFit="1" customWidth="1"/>
    <col min="8" max="8" width="13.6640625" bestFit="1" customWidth="1"/>
    <col min="9" max="10" width="14.6640625" bestFit="1" customWidth="1"/>
    <col min="11" max="11" width="15.44140625" bestFit="1" customWidth="1"/>
    <col min="12" max="13" width="14.109375" bestFit="1" customWidth="1"/>
    <col min="14" max="14" width="14.6640625" bestFit="1" customWidth="1"/>
    <col min="15" max="15" width="0.6640625" customWidth="1"/>
    <col min="16" max="16" width="13.44140625" bestFit="1" customWidth="1"/>
  </cols>
  <sheetData>
    <row r="1" spans="2:16" x14ac:dyDescent="0.3">
      <c r="B1" t="s">
        <v>163</v>
      </c>
    </row>
    <row r="8" spans="2:16" ht="15.6" x14ac:dyDescent="0.3">
      <c r="B8" s="743" t="s">
        <v>390</v>
      </c>
      <c r="C8" s="743"/>
      <c r="D8" s="743"/>
      <c r="E8" s="743"/>
      <c r="F8" s="743"/>
      <c r="G8" s="743"/>
      <c r="H8" s="743"/>
      <c r="I8" s="743"/>
      <c r="J8" s="743"/>
      <c r="K8" s="743"/>
      <c r="L8" s="743"/>
      <c r="M8" s="743"/>
      <c r="N8" s="743"/>
      <c r="O8" s="743"/>
      <c r="P8" s="743"/>
    </row>
    <row r="9" spans="2:16" ht="1.95" customHeight="1" x14ac:dyDescent="0.3"/>
    <row r="10" spans="2:16" ht="15.6" x14ac:dyDescent="0.3">
      <c r="B10" s="234"/>
      <c r="C10" s="235" t="str">
        <f>TEXT('Monthly Detail'!D4,"mmmm")</f>
        <v>January</v>
      </c>
      <c r="D10" s="235" t="str">
        <f>TEXT('Monthly Detail'!E4,"mmmm")</f>
        <v>February</v>
      </c>
      <c r="E10" s="235" t="str">
        <f>TEXT('Monthly Detail'!F4,"mmmm")</f>
        <v>March</v>
      </c>
      <c r="F10" s="235" t="str">
        <f>TEXT('Monthly Detail'!G4,"mmmm")</f>
        <v>April</v>
      </c>
      <c r="G10" s="235" t="str">
        <f>TEXT('Monthly Detail'!H4,"mmmm")</f>
        <v>May</v>
      </c>
      <c r="H10" s="235" t="str">
        <f>TEXT('Monthly Detail'!I4,"mmmm")</f>
        <v>June</v>
      </c>
      <c r="I10" s="235" t="str">
        <f>TEXT('Monthly Detail'!J4,"mmmm")</f>
        <v>July</v>
      </c>
      <c r="J10" s="235" t="str">
        <f>TEXT('Monthly Detail'!K4,"mmmm")</f>
        <v>August</v>
      </c>
      <c r="K10" s="235" t="str">
        <f>TEXT('Monthly Detail'!L4,"mmmm")</f>
        <v>September</v>
      </c>
      <c r="L10" s="235" t="str">
        <f>TEXT('Monthly Detail'!M4,"mmmm")</f>
        <v>October</v>
      </c>
      <c r="M10" s="235" t="str">
        <f>TEXT('Monthly Detail'!N4,"mmmm")</f>
        <v>November</v>
      </c>
      <c r="N10" s="235" t="str">
        <f>TEXT('Monthly Detail'!O4,"mmmm")</f>
        <v>December</v>
      </c>
      <c r="O10" s="236"/>
      <c r="P10" s="237" t="s">
        <v>0</v>
      </c>
    </row>
    <row r="11" spans="2:16" x14ac:dyDescent="0.3">
      <c r="B11" s="238"/>
      <c r="C11" s="91">
        <v>46053</v>
      </c>
      <c r="D11" s="91">
        <v>46081</v>
      </c>
      <c r="E11" s="91">
        <v>46112</v>
      </c>
      <c r="F11" s="91">
        <v>46142</v>
      </c>
      <c r="G11" s="91">
        <v>46173</v>
      </c>
      <c r="H11" s="91">
        <v>46203</v>
      </c>
      <c r="I11" s="91">
        <v>46234</v>
      </c>
      <c r="J11" s="91">
        <v>46265</v>
      </c>
      <c r="K11" s="91">
        <v>46295</v>
      </c>
      <c r="L11" s="91">
        <v>46326</v>
      </c>
      <c r="M11" s="91">
        <v>46356</v>
      </c>
      <c r="N11" s="91">
        <v>46387</v>
      </c>
      <c r="O11" s="91">
        <v>45322</v>
      </c>
      <c r="P11" s="184"/>
    </row>
    <row r="12" spans="2:16" x14ac:dyDescent="0.3">
      <c r="B12" s="239" t="s">
        <v>60</v>
      </c>
      <c r="C12" s="73">
        <f>SUMIF('Monthly Detail'!$4:$4, '2026 AOP'!C$11, 'Monthly Detail'!12:12)</f>
        <v>15019.842391304348</v>
      </c>
      <c r="D12" s="73">
        <f>SUMIF('Monthly Detail'!$4:$4, '2026 AOP'!D$11, 'Monthly Detail'!12:12)</f>
        <v>15669.749999999996</v>
      </c>
      <c r="E12" s="73">
        <f>SUMIF('Monthly Detail'!$4:$4, '2026 AOP'!E$11, 'Monthly Detail'!12:12)</f>
        <v>17176.342857142852</v>
      </c>
      <c r="F12" s="73">
        <f>SUMIF('Monthly Detail'!$4:$4, '2026 AOP'!F$11, 'Monthly Detail'!12:12)</f>
        <v>8151.254347826085</v>
      </c>
      <c r="G12" s="73">
        <f>SUMIF('Monthly Detail'!$4:$4, '2026 AOP'!G$11, 'Monthly Detail'!12:12)</f>
        <v>14732.786249999996</v>
      </c>
      <c r="H12" s="73">
        <f>SUMIF('Monthly Detail'!$4:$4, '2026 AOP'!H$11, 'Monthly Detail'!12:12)</f>
        <v>12995.51314285714</v>
      </c>
      <c r="I12" s="73">
        <f>SUMIF('Monthly Detail'!$4:$4, '2026 AOP'!I$11, 'Monthly Detail'!12:12)</f>
        <v>19731.24896103896</v>
      </c>
      <c r="J12" s="73">
        <f>SUMIF('Monthly Detail'!$4:$4, '2026 AOP'!J$11, 'Monthly Detail'!12:12)</f>
        <v>21100.5</v>
      </c>
      <c r="K12" s="73">
        <f>SUMIF('Monthly Detail'!$4:$4, '2026 AOP'!K$11, 'Monthly Detail'!12:12)</f>
        <v>29721.023684210519</v>
      </c>
      <c r="L12" s="73">
        <f>SUMIF('Monthly Detail'!$4:$4, '2026 AOP'!L$11, 'Monthly Detail'!12:12)</f>
        <v>34737.84295911745</v>
      </c>
      <c r="M12" s="73">
        <f>SUMIF('Monthly Detail'!$4:$4, '2026 AOP'!M$11, 'Monthly Detail'!12:12)</f>
        <v>16315.454292714925</v>
      </c>
      <c r="N12" s="73">
        <f>SUMIF('Monthly Detail'!$4:$4, '2026 AOP'!N$11, 'Monthly Detail'!12:12)</f>
        <v>23177.178947368418</v>
      </c>
      <c r="O12" s="73"/>
      <c r="P12" s="240">
        <f>SUM(C12:O12)</f>
        <v>228528.7378335807</v>
      </c>
    </row>
    <row r="13" spans="2:16" x14ac:dyDescent="0.3">
      <c r="B13" s="239" t="s">
        <v>295</v>
      </c>
      <c r="C13" s="73">
        <f>SUMIF('Monthly Detail'!$4:$4, '2026 AOP'!C$11, 'Monthly Detail'!13:13)</f>
        <v>63.681250846842644</v>
      </c>
      <c r="D13" s="73">
        <f>SUMIF('Monthly Detail'!$4:$4, '2026 AOP'!D$11, 'Monthly Detail'!13:13)</f>
        <v>66.436734451689247</v>
      </c>
      <c r="E13" s="73">
        <f>SUMIF('Monthly Detail'!$4:$4, '2026 AOP'!E$11, 'Monthly Detail'!13:13)</f>
        <v>72.8243991927867</v>
      </c>
      <c r="F13" s="73">
        <f>SUMIF('Monthly Detail'!$4:$4, '2026 AOP'!F$11, 'Monthly Detail'!13:13)</f>
        <v>34.559754977245916</v>
      </c>
      <c r="G13" s="73">
        <f>SUMIF('Monthly Detail'!$4:$4, '2026 AOP'!G$11, 'Monthly Detail'!13:13)</f>
        <v>62.464187866733589</v>
      </c>
      <c r="H13" s="73">
        <f>SUMIF('Monthly Detail'!$4:$4, '2026 AOP'!H$11, 'Monthly Detail'!13:13)</f>
        <v>55.098483111436856</v>
      </c>
      <c r="I13" s="73">
        <f>SUMIF('Monthly Detail'!$4:$4, '2026 AOP'!I$11, 'Monthly Detail'!13:13)</f>
        <v>83.656711027598732</v>
      </c>
      <c r="J13" s="73">
        <f>SUMIF('Monthly Detail'!$4:$4, '2026 AOP'!J$11, 'Monthly Detail'!13:13)</f>
        <v>89.462072802557117</v>
      </c>
      <c r="K13" s="73">
        <f>SUMIF('Monthly Detail'!$4:$4, '2026 AOP'!K$11, 'Monthly Detail'!13:13)</f>
        <v>126.01143975751123</v>
      </c>
      <c r="L13" s="73">
        <f>SUMIF('Monthly Detail'!$4:$4, '2026 AOP'!L$11, 'Monthly Detail'!13:13)</f>
        <v>147.28179122828186</v>
      </c>
      <c r="M13" s="73">
        <f>SUMIF('Monthly Detail'!$4:$4, '2026 AOP'!M$11, 'Monthly Detail'!13:13)</f>
        <v>69.174396802997833</v>
      </c>
      <c r="N13" s="73">
        <f>SUMIF('Monthly Detail'!$4:$4, '2026 AOP'!N$11, 'Monthly Detail'!13:13)</f>
        <v>98.266793220415039</v>
      </c>
      <c r="O13" s="73"/>
      <c r="P13" s="240">
        <f>+SUM(C13:N13)</f>
        <v>968.91801528609676</v>
      </c>
    </row>
    <row r="14" spans="2:16" x14ac:dyDescent="0.3">
      <c r="B14" s="241" t="s">
        <v>7</v>
      </c>
      <c r="C14" s="74">
        <f>SUM(C12:C13)</f>
        <v>15083.523642151191</v>
      </c>
      <c r="D14" s="74">
        <f t="shared" ref="D14:N14" si="0">SUM(D12:D13)</f>
        <v>15736.186734451685</v>
      </c>
      <c r="E14" s="74">
        <f t="shared" si="0"/>
        <v>17249.167256335641</v>
      </c>
      <c r="F14" s="74">
        <f t="shared" si="0"/>
        <v>8185.8141028033306</v>
      </c>
      <c r="G14" s="74">
        <f t="shared" si="0"/>
        <v>14795.250437866729</v>
      </c>
      <c r="H14" s="74">
        <f t="shared" si="0"/>
        <v>13050.611625968577</v>
      </c>
      <c r="I14" s="74">
        <f t="shared" si="0"/>
        <v>19814.905672066558</v>
      </c>
      <c r="J14" s="74">
        <f t="shared" si="0"/>
        <v>21189.962072802558</v>
      </c>
      <c r="K14" s="74">
        <f t="shared" si="0"/>
        <v>29847.035123968031</v>
      </c>
      <c r="L14" s="74">
        <f t="shared" si="0"/>
        <v>34885.124750345734</v>
      </c>
      <c r="M14" s="74">
        <f t="shared" si="0"/>
        <v>16384.628689517922</v>
      </c>
      <c r="N14" s="242">
        <f t="shared" si="0"/>
        <v>23275.445740588835</v>
      </c>
      <c r="O14" s="75"/>
      <c r="P14" s="450">
        <f>SUM(P12:P13)</f>
        <v>229497.65584886679</v>
      </c>
    </row>
    <row r="15" spans="2:16" x14ac:dyDescent="0.3">
      <c r="B15" s="243" t="s">
        <v>66</v>
      </c>
      <c r="C15" s="221">
        <f>SUMIF('Monthly Detail'!$4:$4, '2026 AOP'!C$11, 'Monthly Detail'!17:17)</f>
        <v>40.36</v>
      </c>
      <c r="D15" s="221">
        <f>SUMIF('Monthly Detail'!$4:$4, '2026 AOP'!D$11, 'Monthly Detail'!17:17)</f>
        <v>49.16</v>
      </c>
      <c r="E15" s="221">
        <f>SUMIF('Monthly Detail'!$4:$4, '2026 AOP'!E$11, 'Monthly Detail'!17:17)</f>
        <v>49.919999999999995</v>
      </c>
      <c r="F15" s="221">
        <f>SUMIF('Monthly Detail'!$4:$4, '2026 AOP'!F$11, 'Monthly Detail'!17:17)</f>
        <v>48.679999999999993</v>
      </c>
      <c r="G15" s="221">
        <f>SUMIF('Monthly Detail'!$4:$4, '2026 AOP'!G$11, 'Monthly Detail'!17:17)</f>
        <v>51.47999999999999</v>
      </c>
      <c r="H15" s="221">
        <f>SUMIF('Monthly Detail'!$4:$4, '2026 AOP'!H$11, 'Monthly Detail'!17:17)</f>
        <v>45.239999999999988</v>
      </c>
      <c r="I15" s="221">
        <f>SUMIF('Monthly Detail'!$4:$4, '2026 AOP'!I$11, 'Monthly Detail'!17:17)</f>
        <v>45.039999999999992</v>
      </c>
      <c r="J15" s="221">
        <f>SUMIF('Monthly Detail'!$4:$4, '2026 AOP'!J$11, 'Monthly Detail'!17:17)</f>
        <v>51.839999999999989</v>
      </c>
      <c r="K15" s="221">
        <f>SUMIF('Monthly Detail'!$4:$4, '2026 AOP'!K$11, 'Monthly Detail'!17:17)</f>
        <v>61.639999999999986</v>
      </c>
      <c r="L15" s="221">
        <f>SUMIF('Monthly Detail'!$4:$4, '2026 AOP'!L$11, 'Monthly Detail'!17:17)</f>
        <v>66.399999999999977</v>
      </c>
      <c r="M15" s="221">
        <f>SUMIF('Monthly Detail'!$4:$4, '2026 AOP'!M$11, 'Monthly Detail'!17:17)</f>
        <v>68.119999999999976</v>
      </c>
      <c r="N15" s="321">
        <f>SUMIF('Monthly Detail'!$4:$4, '2026 AOP'!N$11, 'Monthly Detail'!17:17)</f>
        <v>67.839999999999975</v>
      </c>
      <c r="O15" s="75"/>
      <c r="P15" s="244"/>
    </row>
    <row r="16" spans="2:16" x14ac:dyDescent="0.3">
      <c r="B16" s="447" t="s">
        <v>327</v>
      </c>
      <c r="C16" s="448">
        <f>SUMIF('Monthly Detail'!$4:$4, '2026 AOP'!C$11, 'Monthly Detail'!22:22)</f>
        <v>214.41900443613318</v>
      </c>
      <c r="D16" s="448">
        <f>SUMIF('Monthly Detail'!$4:$4, '2026 AOP'!D$11, 'Monthly Detail'!22:22)</f>
        <v>252.80876108550945</v>
      </c>
      <c r="E16" s="448">
        <f>SUMIF('Monthly Detail'!$4:$4, '2026 AOP'!E$11, 'Monthly Detail'!22:22)</f>
        <v>312.21206840757804</v>
      </c>
      <c r="F16" s="448">
        <f>SUMIF('Monthly Detail'!$4:$4, '2026 AOP'!F$11, 'Monthly Detail'!22:22)</f>
        <v>144.08308979273801</v>
      </c>
      <c r="G16" s="448">
        <f>SUMIF('Monthly Detail'!$4:$4, '2026 AOP'!G$11, 'Monthly Detail'!22:22)</f>
        <v>265.3412051612903</v>
      </c>
      <c r="H16" s="448">
        <f>SUMIF('Monthly Detail'!$4:$4, '2026 AOP'!H$11, 'Monthly Detail'!22:22)</f>
        <v>170.27207432258061</v>
      </c>
      <c r="I16" s="448">
        <f>SUMIF('Monthly Detail'!$4:$4, '2026 AOP'!I$11, 'Monthly Detail'!22:22)</f>
        <v>268.04284133128522</v>
      </c>
      <c r="J16" s="448">
        <f>SUMIF('Monthly Detail'!$4:$4, '2026 AOP'!J$11, 'Monthly Detail'!22:22)</f>
        <v>284.07762580645158</v>
      </c>
      <c r="K16" s="448">
        <f>SUMIF('Monthly Detail'!$4:$4, '2026 AOP'!K$11, 'Monthly Detail'!22:22)</f>
        <v>399.69014772055573</v>
      </c>
      <c r="L16" s="448">
        <f>SUMIF('Monthly Detail'!$4:$4, '2026 AOP'!L$11, 'Monthly Detail'!22:22)</f>
        <v>416.2514330265455</v>
      </c>
      <c r="M16" s="448">
        <f>SUMIF('Monthly Detail'!$4:$4, '2026 AOP'!M$11, 'Monthly Detail'!22:22)</f>
        <v>289.69311827956977</v>
      </c>
      <c r="N16" s="449">
        <f>SUMIF('Monthly Detail'!$4:$4, '2026 AOP'!N$11, 'Monthly Detail'!22:22)</f>
        <v>319.4205639690623</v>
      </c>
      <c r="O16" s="75"/>
      <c r="P16" s="244"/>
    </row>
    <row r="17" spans="2:20" ht="7.2" customHeight="1" x14ac:dyDescent="0.3">
      <c r="B17" s="238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P17" s="244"/>
    </row>
    <row r="18" spans="2:20" x14ac:dyDescent="0.3">
      <c r="B18" s="238" t="s">
        <v>325</v>
      </c>
      <c r="C18" s="76">
        <f>SUMIF('Monthly Detail'!$4:$4, '2026 AOP'!C$11, 'Monthly Detail'!65:65)</f>
        <v>1936.875</v>
      </c>
      <c r="D18" s="76">
        <f>SUMIF('Monthly Detail'!$4:$4, '2026 AOP'!D$11, 'Monthly Detail'!65:65)</f>
        <v>3253.4910714285702</v>
      </c>
      <c r="E18" s="76">
        <f>SUMIF('Monthly Detail'!$4:$4, '2026 AOP'!E$11, 'Monthly Detail'!65:65)</f>
        <v>5589.7142857142835</v>
      </c>
      <c r="F18" s="76">
        <f>SUMIF('Monthly Detail'!$4:$4, '2026 AOP'!F$11, 'Monthly Detail'!65:65)</f>
        <v>1415.5652173913033</v>
      </c>
      <c r="G18" s="76">
        <f>SUMIF('Monthly Detail'!$4:$4, '2026 AOP'!G$11, 'Monthly Detail'!65:65)</f>
        <v>5826.6499999999987</v>
      </c>
      <c r="H18" s="76">
        <f>SUMIF('Monthly Detail'!$4:$4, '2026 AOP'!H$11, 'Monthly Detail'!65:65)</f>
        <v>1153.6857142857125</v>
      </c>
      <c r="I18" s="76">
        <f>SUMIF('Monthly Detail'!$4:$4, '2026 AOP'!I$11, 'Monthly Detail'!65:65)</f>
        <v>4532.1720779220777</v>
      </c>
      <c r="J18" s="76">
        <f>SUMIF('Monthly Detail'!$4:$4, '2026 AOP'!J$11, 'Monthly Detail'!65:65)</f>
        <v>4747.7499999999991</v>
      </c>
      <c r="K18" s="76">
        <f>SUMIF('Monthly Detail'!$4:$4, '2026 AOP'!K$11, 'Monthly Detail'!65:65)</f>
        <v>8735.3552631578914</v>
      </c>
      <c r="L18" s="76">
        <f>SUMIF('Monthly Detail'!$4:$4, '2026 AOP'!L$11, 'Monthly Detail'!65:65)</f>
        <v>9134.7890979883159</v>
      </c>
      <c r="M18" s="76">
        <f>SUMIF('Monthly Detail'!$4:$4, '2026 AOP'!M$11, 'Monthly Detail'!65:65)</f>
        <v>2252.2698204455414</v>
      </c>
      <c r="N18" s="76">
        <f>SUMIF('Monthly Detail'!$4:$4, '2026 AOP'!N$11, 'Monthly Detail'!65:65)</f>
        <v>4774.3157894736833</v>
      </c>
      <c r="P18" s="240">
        <f>SUM(C18:O18)</f>
        <v>53352.633337807376</v>
      </c>
    </row>
    <row r="19" spans="2:20" ht="15.6" x14ac:dyDescent="0.3">
      <c r="B19" s="245" t="s">
        <v>165</v>
      </c>
      <c r="C19" s="88">
        <f t="shared" ref="C19:N19" si="1">C14-C18</f>
        <v>13146.648642151191</v>
      </c>
      <c r="D19" s="88">
        <f t="shared" si="1"/>
        <v>12482.695663023114</v>
      </c>
      <c r="E19" s="88">
        <f t="shared" si="1"/>
        <v>11659.452970621358</v>
      </c>
      <c r="F19" s="88">
        <f t="shared" si="1"/>
        <v>6770.2488854120274</v>
      </c>
      <c r="G19" s="88">
        <f t="shared" si="1"/>
        <v>8968.6004378667312</v>
      </c>
      <c r="H19" s="88">
        <f t="shared" si="1"/>
        <v>11896.925911682865</v>
      </c>
      <c r="I19" s="88">
        <f t="shared" si="1"/>
        <v>15282.73359414448</v>
      </c>
      <c r="J19" s="88">
        <f t="shared" si="1"/>
        <v>16442.212072802558</v>
      </c>
      <c r="K19" s="88">
        <f t="shared" si="1"/>
        <v>21111.679860810138</v>
      </c>
      <c r="L19" s="88">
        <f t="shared" si="1"/>
        <v>25750.335652357418</v>
      </c>
      <c r="M19" s="88">
        <f t="shared" si="1"/>
        <v>14132.358869072381</v>
      </c>
      <c r="N19" s="247">
        <f t="shared" si="1"/>
        <v>18501.129951115152</v>
      </c>
      <c r="O19" s="246"/>
      <c r="P19" s="454">
        <f>P14-P18</f>
        <v>176145.02251105942</v>
      </c>
    </row>
    <row r="20" spans="2:20" x14ac:dyDescent="0.3">
      <c r="B20" s="451" t="s">
        <v>166</v>
      </c>
      <c r="C20" s="452">
        <f t="shared" ref="C20:N20" si="2">C19/C14</f>
        <v>0.87159001795924085</v>
      </c>
      <c r="D20" s="452">
        <f t="shared" si="2"/>
        <v>0.79324780988359722</v>
      </c>
      <c r="E20" s="452">
        <f t="shared" si="2"/>
        <v>0.67594294827994239</v>
      </c>
      <c r="F20" s="452">
        <f t="shared" si="2"/>
        <v>0.82707093031754464</v>
      </c>
      <c r="G20" s="452">
        <f t="shared" si="2"/>
        <v>0.60618104948819507</v>
      </c>
      <c r="H20" s="452">
        <f t="shared" si="2"/>
        <v>0.91159910758588003</v>
      </c>
      <c r="I20" s="452">
        <f t="shared" si="2"/>
        <v>0.77127460746325105</v>
      </c>
      <c r="J20" s="452">
        <f t="shared" si="2"/>
        <v>0.77594344040408803</v>
      </c>
      <c r="K20" s="452">
        <f t="shared" si="2"/>
        <v>0.70732921287236494</v>
      </c>
      <c r="L20" s="452">
        <f t="shared" si="2"/>
        <v>0.73814658358365814</v>
      </c>
      <c r="M20" s="452">
        <f t="shared" si="2"/>
        <v>0.86253763432024355</v>
      </c>
      <c r="N20" s="453">
        <f t="shared" si="2"/>
        <v>0.79487757860000918</v>
      </c>
      <c r="O20" s="7"/>
      <c r="P20" s="455">
        <f>P19/P14</f>
        <v>0.76752427757718722</v>
      </c>
    </row>
    <row r="21" spans="2:20" ht="6.45" customHeight="1" x14ac:dyDescent="0.3">
      <c r="B21" s="238"/>
      <c r="P21" s="184"/>
    </row>
    <row r="22" spans="2:20" x14ac:dyDescent="0.3">
      <c r="B22" s="238" t="s">
        <v>273</v>
      </c>
      <c r="C22" s="73">
        <f>SUMIF('Monthly Detail'!$4:$4, '2026 AOP'!C$11, 'Monthly Detail'!$72:$72)</f>
        <v>0</v>
      </c>
      <c r="D22" s="73">
        <f>SUMIF('Monthly Detail'!$4:$4, '2026 AOP'!D$11, 'Monthly Detail'!$72:$72)</f>
        <v>0</v>
      </c>
      <c r="E22" s="73">
        <f>SUMIF('Monthly Detail'!$4:$4, '2026 AOP'!E$11, 'Monthly Detail'!$72:$72)</f>
        <v>0</v>
      </c>
      <c r="F22" s="73">
        <f>SUMIF('Monthly Detail'!$4:$4, '2026 AOP'!F$11, 'Monthly Detail'!$72:$72)</f>
        <v>0</v>
      </c>
      <c r="G22" s="73">
        <f>SUMIF('Monthly Detail'!$4:$4, '2026 AOP'!G$11, 'Monthly Detail'!$72:$72)</f>
        <v>0</v>
      </c>
      <c r="H22" s="73">
        <f>SUMIF('Monthly Detail'!$4:$4, '2026 AOP'!H$11, 'Monthly Detail'!$72:$72)</f>
        <v>0</v>
      </c>
      <c r="I22" s="73">
        <f>SUMIF('Monthly Detail'!$4:$4, '2026 AOP'!I$11, 'Monthly Detail'!$72:$72)</f>
        <v>0</v>
      </c>
      <c r="J22" s="73">
        <f>SUMIF('Monthly Detail'!$4:$4, '2026 AOP'!J$11, 'Monthly Detail'!$72:$72)</f>
        <v>0</v>
      </c>
      <c r="K22" s="73">
        <f>SUMIF('Monthly Detail'!$4:$4, '2026 AOP'!K$11, 'Monthly Detail'!$72:$72)</f>
        <v>0</v>
      </c>
      <c r="L22" s="73">
        <f>SUMIF('Monthly Detail'!$4:$4, '2026 AOP'!L$11, 'Monthly Detail'!$72:$72)</f>
        <v>0</v>
      </c>
      <c r="M22" s="73">
        <f>SUMIF('Monthly Detail'!$4:$4, '2026 AOP'!M$11, 'Monthly Detail'!$72:$72)</f>
        <v>0</v>
      </c>
      <c r="N22" s="73">
        <f>SUMIF('Monthly Detail'!$4:$4, '2026 AOP'!N$11, 'Monthly Detail'!$72:$72)</f>
        <v>0</v>
      </c>
      <c r="P22" s="240">
        <f>SUM(C22:O22)</f>
        <v>0</v>
      </c>
      <c r="T22" s="1"/>
    </row>
    <row r="23" spans="2:20" x14ac:dyDescent="0.3">
      <c r="B23" s="238" t="s">
        <v>203</v>
      </c>
      <c r="C23" s="73">
        <f>SUMIF('Monthly Detail'!$4:$4, '2026 AOP'!C$11, 'Monthly Detail'!$95:$95)</f>
        <v>10765.576663034914</v>
      </c>
      <c r="D23" s="73">
        <f>SUMIF('Monthly Detail'!$4:$4, '2026 AOP'!D$11, 'Monthly Detail'!$95:$95)</f>
        <v>12943.525193320522</v>
      </c>
      <c r="E23" s="73">
        <f>SUMIF('Monthly Detail'!$4:$4, '2026 AOP'!E$11, 'Monthly Detail'!$95:$95)</f>
        <v>7819.0784560138973</v>
      </c>
      <c r="F23" s="73">
        <f>SUMIF('Monthly Detail'!$4:$4, '2026 AOP'!F$11, 'Monthly Detail'!$95:$95)</f>
        <v>11225.986245192413</v>
      </c>
      <c r="G23" s="73">
        <f>SUMIF('Monthly Detail'!$4:$4, '2026 AOP'!G$11, 'Monthly Detail'!$95:$95)</f>
        <v>7393.3598672738508</v>
      </c>
      <c r="H23" s="73">
        <f>SUMIF('Monthly Detail'!$4:$4, '2026 AOP'!H$11, 'Monthly Detail'!$95:$95)</f>
        <v>10725.060465162096</v>
      </c>
      <c r="I23" s="73">
        <f>SUMIF('Monthly Detail'!$4:$4, '2026 AOP'!I$11, 'Monthly Detail'!$95:$95)</f>
        <v>11844.852989304263</v>
      </c>
      <c r="J23" s="73">
        <f>SUMIF('Monthly Detail'!$4:$4, '2026 AOP'!J$11, 'Monthly Detail'!$95:$95)</f>
        <v>15347.595684968497</v>
      </c>
      <c r="K23" s="73">
        <f>SUMIF('Monthly Detail'!$4:$4, '2026 AOP'!K$11, 'Monthly Detail'!$95:$95)</f>
        <v>16111.867228222287</v>
      </c>
      <c r="L23" s="73">
        <f>SUMIF('Monthly Detail'!$4:$4, '2026 AOP'!L$11, 'Monthly Detail'!$95:$95)</f>
        <v>14288.412056933186</v>
      </c>
      <c r="M23" s="73">
        <f>SUMIF('Monthly Detail'!$4:$4, '2026 AOP'!M$11, 'Monthly Detail'!$95:$95)</f>
        <v>13396.099547166299</v>
      </c>
      <c r="N23" s="73">
        <f>SUMIF('Monthly Detail'!$4:$4, '2026 AOP'!N$11, 'Monthly Detail'!$95:$95)</f>
        <v>15086.487590776909</v>
      </c>
      <c r="P23" s="240">
        <f>SUM(C23:O23)</f>
        <v>146947.90198736911</v>
      </c>
    </row>
    <row r="24" spans="2:20" x14ac:dyDescent="0.3">
      <c r="B24" s="456" t="s">
        <v>167</v>
      </c>
      <c r="C24" s="457">
        <f t="shared" ref="C24" si="3">SUM(C23:C23)</f>
        <v>10765.576663034914</v>
      </c>
      <c r="D24" s="457">
        <f>SUM(D22:D23)</f>
        <v>12943.525193320522</v>
      </c>
      <c r="E24" s="457">
        <f t="shared" ref="E24:N24" si="4">SUM(E22:E23)</f>
        <v>7819.0784560138973</v>
      </c>
      <c r="F24" s="457">
        <f t="shared" si="4"/>
        <v>11225.986245192413</v>
      </c>
      <c r="G24" s="457">
        <f t="shared" si="4"/>
        <v>7393.3598672738508</v>
      </c>
      <c r="H24" s="457">
        <f t="shared" si="4"/>
        <v>10725.060465162096</v>
      </c>
      <c r="I24" s="457">
        <f t="shared" si="4"/>
        <v>11844.852989304263</v>
      </c>
      <c r="J24" s="457">
        <f t="shared" si="4"/>
        <v>15347.595684968497</v>
      </c>
      <c r="K24" s="457">
        <f t="shared" si="4"/>
        <v>16111.867228222287</v>
      </c>
      <c r="L24" s="457">
        <f t="shared" si="4"/>
        <v>14288.412056933186</v>
      </c>
      <c r="M24" s="457">
        <f t="shared" si="4"/>
        <v>13396.099547166299</v>
      </c>
      <c r="N24" s="458">
        <f t="shared" si="4"/>
        <v>15086.487590776909</v>
      </c>
      <c r="O24" s="251"/>
      <c r="P24" s="459">
        <f>SUM(P22:P23)</f>
        <v>146947.90198736911</v>
      </c>
    </row>
    <row r="25" spans="2:20" ht="4.95" customHeight="1" x14ac:dyDescent="0.3">
      <c r="B25" s="238"/>
      <c r="P25" s="184"/>
    </row>
    <row r="26" spans="2:20" ht="15.6" x14ac:dyDescent="0.3">
      <c r="B26" s="245" t="s">
        <v>168</v>
      </c>
      <c r="C26" s="88">
        <f t="shared" ref="C26:N26" si="5">C19-C24</f>
        <v>2381.0719791162774</v>
      </c>
      <c r="D26" s="88">
        <f>D19-D24</f>
        <v>-460.82953029740747</v>
      </c>
      <c r="E26" s="88">
        <f t="shared" si="5"/>
        <v>3840.3745146074607</v>
      </c>
      <c r="F26" s="88">
        <f t="shared" si="5"/>
        <v>-4455.7373597803853</v>
      </c>
      <c r="G26" s="88">
        <f t="shared" si="5"/>
        <v>1575.2405705928804</v>
      </c>
      <c r="H26" s="88">
        <f t="shared" si="5"/>
        <v>1171.8654465207692</v>
      </c>
      <c r="I26" s="88">
        <f t="shared" si="5"/>
        <v>3437.8806048402166</v>
      </c>
      <c r="J26" s="88">
        <f t="shared" si="5"/>
        <v>1094.6163878340612</v>
      </c>
      <c r="K26" s="88">
        <f t="shared" si="5"/>
        <v>4999.8126325878511</v>
      </c>
      <c r="L26" s="88">
        <f t="shared" si="5"/>
        <v>11461.923595424232</v>
      </c>
      <c r="M26" s="88">
        <f t="shared" si="5"/>
        <v>736.25932190608182</v>
      </c>
      <c r="N26" s="247">
        <f t="shared" si="5"/>
        <v>3414.6423603382427</v>
      </c>
      <c r="O26" s="246"/>
      <c r="P26" s="454">
        <f>P19-P24</f>
        <v>29197.120523690304</v>
      </c>
    </row>
    <row r="27" spans="2:20" x14ac:dyDescent="0.3">
      <c r="B27" s="451" t="s">
        <v>169</v>
      </c>
      <c r="C27" s="452">
        <f t="shared" ref="C27:N27" si="6">C26/C14</f>
        <v>0.15785913395344353</v>
      </c>
      <c r="D27" s="452">
        <f t="shared" si="6"/>
        <v>-2.9284701438405034E-2</v>
      </c>
      <c r="E27" s="452">
        <f t="shared" si="6"/>
        <v>0.2226411546445459</v>
      </c>
      <c r="F27" s="452">
        <f t="shared" si="6"/>
        <v>-0.54432427902979919</v>
      </c>
      <c r="G27" s="452">
        <f t="shared" si="6"/>
        <v>0.1064693414422533</v>
      </c>
      <c r="H27" s="452">
        <f t="shared" si="6"/>
        <v>8.9793910056211401E-2</v>
      </c>
      <c r="I27" s="452">
        <f t="shared" si="6"/>
        <v>0.17349972095434504</v>
      </c>
      <c r="J27" s="452">
        <f t="shared" si="6"/>
        <v>5.1657307553136578E-2</v>
      </c>
      <c r="K27" s="452">
        <f t="shared" si="6"/>
        <v>0.16751454916112782</v>
      </c>
      <c r="L27" s="452">
        <f t="shared" si="6"/>
        <v>0.32856192080295304</v>
      </c>
      <c r="M27" s="452">
        <f t="shared" si="6"/>
        <v>4.4935978462368464E-2</v>
      </c>
      <c r="N27" s="453">
        <f t="shared" si="6"/>
        <v>0.14670577734129603</v>
      </c>
      <c r="O27" s="7"/>
      <c r="P27" s="455">
        <f>P26/P14</f>
        <v>0.12722186819597736</v>
      </c>
    </row>
    <row r="28" spans="2:20" ht="7.95" customHeight="1" x14ac:dyDescent="0.3">
      <c r="B28" s="253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P28" s="254"/>
    </row>
    <row r="29" spans="2:20" x14ac:dyDescent="0.3">
      <c r="B29" s="238" t="s">
        <v>170</v>
      </c>
      <c r="C29" s="132">
        <f>SUMIF('Monthly Detail'!$4:$4, '2026 AOP'!C$11, 'Monthly Detail'!109:109)</f>
        <v>-800</v>
      </c>
      <c r="D29" s="132">
        <f>SUMIF('Monthly Detail'!$4:$4, '2026 AOP'!D$11, 'Monthly Detail'!109:109)</f>
        <v>-800</v>
      </c>
      <c r="E29" s="132">
        <f>SUMIF('Monthly Detail'!$4:$4, '2026 AOP'!E$11, 'Monthly Detail'!109:109)</f>
        <v>-800</v>
      </c>
      <c r="F29" s="132">
        <f>SUMIF('Monthly Detail'!$4:$4, '2026 AOP'!F$11, 'Monthly Detail'!109:109)</f>
        <v>-800</v>
      </c>
      <c r="G29" s="132">
        <f>SUMIF('Monthly Detail'!$4:$4, '2026 AOP'!G$11, 'Monthly Detail'!109:109)</f>
        <v>-800</v>
      </c>
      <c r="H29" s="132">
        <f>SUMIF('Monthly Detail'!$4:$4, '2026 AOP'!H$11, 'Monthly Detail'!109:109)</f>
        <v>-800</v>
      </c>
      <c r="I29" s="132">
        <f>SUMIF('Monthly Detail'!$4:$4, '2026 AOP'!I$11, 'Monthly Detail'!109:109)</f>
        <v>-800</v>
      </c>
      <c r="J29" s="132">
        <f>SUMIF('Monthly Detail'!$4:$4, '2026 AOP'!J$11, 'Monthly Detail'!109:109)</f>
        <v>-800</v>
      </c>
      <c r="K29" s="132">
        <f>SUMIF('Monthly Detail'!$4:$4, '2026 AOP'!K$11, 'Monthly Detail'!109:109)</f>
        <v>-800</v>
      </c>
      <c r="L29" s="132">
        <f>SUMIF('Monthly Detail'!$4:$4, '2026 AOP'!L$11, 'Monthly Detail'!109:109)</f>
        <v>-800</v>
      </c>
      <c r="M29" s="132">
        <f>SUMIF('Monthly Detail'!$4:$4, '2026 AOP'!M$11, 'Monthly Detail'!109:109)</f>
        <v>-800</v>
      </c>
      <c r="N29" s="132">
        <f>SUMIF('Monthly Detail'!$4:$4, '2026 AOP'!N$11, 'Monthly Detail'!109:109)</f>
        <v>-800</v>
      </c>
      <c r="O29" s="132"/>
      <c r="P29" s="185">
        <f>SUM(C29:O29)</f>
        <v>-9600</v>
      </c>
    </row>
    <row r="30" spans="2:20" ht="15.6" x14ac:dyDescent="0.3">
      <c r="B30" s="245" t="s">
        <v>16</v>
      </c>
      <c r="C30" s="88">
        <f t="shared" ref="C30:N30" si="7">C26+SUM(C29:C29)</f>
        <v>1581.0719791162774</v>
      </c>
      <c r="D30" s="88">
        <f t="shared" si="7"/>
        <v>-1260.8295302974075</v>
      </c>
      <c r="E30" s="88">
        <f t="shared" si="7"/>
        <v>3040.3745146074607</v>
      </c>
      <c r="F30" s="88">
        <f t="shared" si="7"/>
        <v>-5255.7373597803853</v>
      </c>
      <c r="G30" s="88">
        <f t="shared" si="7"/>
        <v>775.24057059288043</v>
      </c>
      <c r="H30" s="88">
        <f t="shared" si="7"/>
        <v>371.86544652076918</v>
      </c>
      <c r="I30" s="88">
        <f t="shared" si="7"/>
        <v>2637.8806048402166</v>
      </c>
      <c r="J30" s="88">
        <f t="shared" si="7"/>
        <v>294.61638783406124</v>
      </c>
      <c r="K30" s="88">
        <f t="shared" si="7"/>
        <v>4199.8126325878511</v>
      </c>
      <c r="L30" s="88">
        <f t="shared" si="7"/>
        <v>10661.923595424232</v>
      </c>
      <c r="M30" s="88">
        <f t="shared" si="7"/>
        <v>-63.740678093918177</v>
      </c>
      <c r="N30" s="247">
        <f t="shared" si="7"/>
        <v>2614.6423603382427</v>
      </c>
      <c r="O30" s="246"/>
      <c r="P30" s="454">
        <f>P26+SUM(P29:P29)</f>
        <v>19597.120523690304</v>
      </c>
    </row>
    <row r="31" spans="2:20" x14ac:dyDescent="0.3">
      <c r="B31" s="248" t="s">
        <v>171</v>
      </c>
      <c r="C31" s="90">
        <f t="shared" ref="C31:N31" si="8">C30/C14</f>
        <v>0.10482112910924486</v>
      </c>
      <c r="D31" s="90">
        <f t="shared" si="8"/>
        <v>-8.0122939030523657E-2</v>
      </c>
      <c r="E31" s="90">
        <f t="shared" si="8"/>
        <v>0.17626210410190829</v>
      </c>
      <c r="F31" s="90">
        <f t="shared" si="8"/>
        <v>-0.64205432639625848</v>
      </c>
      <c r="G31" s="90">
        <f t="shared" si="8"/>
        <v>5.2397934989241009E-2</v>
      </c>
      <c r="H31" s="90">
        <f t="shared" si="8"/>
        <v>2.8494101056598598E-2</v>
      </c>
      <c r="I31" s="90">
        <f t="shared" si="8"/>
        <v>0.13312607430470316</v>
      </c>
      <c r="J31" s="90">
        <f t="shared" si="8"/>
        <v>1.3903582593581095E-2</v>
      </c>
      <c r="K31" s="90">
        <f t="shared" si="8"/>
        <v>0.1407112168811461</v>
      </c>
      <c r="L31" s="90">
        <f t="shared" si="8"/>
        <v>0.30562951033501939</v>
      </c>
      <c r="M31" s="90">
        <f t="shared" si="8"/>
        <v>-3.8902729687549358E-3</v>
      </c>
      <c r="N31" s="249">
        <f t="shared" si="8"/>
        <v>0.11233479218740393</v>
      </c>
      <c r="O31" s="7"/>
      <c r="P31" s="462">
        <f>P30/P14</f>
        <v>8.5391375572898123E-2</v>
      </c>
    </row>
    <row r="32" spans="2:20" x14ac:dyDescent="0.3">
      <c r="B32" s="248" t="s">
        <v>280</v>
      </c>
      <c r="C32" s="277">
        <f>'Monthly Detail'!AN149-'Monthly Detail'!AM149</f>
        <v>0</v>
      </c>
      <c r="D32" s="277">
        <f>'Monthly Detail'!AO149-'Monthly Detail'!AN149</f>
        <v>0</v>
      </c>
      <c r="E32" s="277">
        <f>'Monthly Detail'!AP149-'Monthly Detail'!AO149</f>
        <v>0</v>
      </c>
      <c r="F32" s="277">
        <f>'Monthly Detail'!AQ149-'Monthly Detail'!AP149</f>
        <v>20675</v>
      </c>
      <c r="G32" s="277">
        <f>'Monthly Detail'!AR149-'Monthly Detail'!AQ149</f>
        <v>7721</v>
      </c>
      <c r="H32" s="277">
        <f>'Monthly Detail'!AS149-'Monthly Detail'!AR149</f>
        <v>0</v>
      </c>
      <c r="I32" s="277">
        <f>'Monthly Detail'!AT149-'Monthly Detail'!AS149</f>
        <v>250</v>
      </c>
      <c r="J32" s="277">
        <f>'Monthly Detail'!AU149-'Monthly Detail'!AT149</f>
        <v>0</v>
      </c>
      <c r="K32" s="277">
        <f>'Monthly Detail'!AV149-'Monthly Detail'!AU149</f>
        <v>2000</v>
      </c>
      <c r="L32" s="277">
        <f>'Monthly Detail'!AW149-'Monthly Detail'!AV149</f>
        <v>0</v>
      </c>
      <c r="M32" s="277">
        <f>'Monthly Detail'!AX149-'Monthly Detail'!AW149</f>
        <v>0</v>
      </c>
      <c r="N32" s="278">
        <f>'Monthly Detail'!AY149-'Monthly Detail'!AX149</f>
        <v>0</v>
      </c>
      <c r="O32" s="7"/>
      <c r="P32" s="463">
        <f>+SUM(C32:N32)</f>
        <v>30646</v>
      </c>
    </row>
    <row r="33" spans="2:16" x14ac:dyDescent="0.3">
      <c r="B33" s="248" t="s">
        <v>385</v>
      </c>
      <c r="C33" s="277">
        <f>+SUM('Monthly Detail'!AN150,'Monthly Detail'!AN152:AN153)-SUM('Monthly Detail'!AM150,'Monthly Detail'!AM152:AM153)</f>
        <v>-2150</v>
      </c>
      <c r="D33" s="277">
        <f>+SUM('Monthly Detail'!AO150,'Monthly Detail'!AO152:AO153)-SUM('Monthly Detail'!AN150,'Monthly Detail'!AN152:AN153)</f>
        <v>0</v>
      </c>
      <c r="E33" s="277">
        <f>+SUM('Monthly Detail'!AP150,'Monthly Detail'!AP152:AP153)-SUM('Monthly Detail'!AO150,'Monthly Detail'!AO152:AO153)</f>
        <v>0</v>
      </c>
      <c r="F33" s="277">
        <f>+SUM('Monthly Detail'!AQ150,'Monthly Detail'!AQ152:AQ153)-SUM('Monthly Detail'!AP150,'Monthly Detail'!AP152:AP153)</f>
        <v>-20674</v>
      </c>
      <c r="G33" s="277">
        <f>+SUM('Monthly Detail'!AR150,'Monthly Detail'!AR152:AR153)-SUM('Monthly Detail'!AQ150,'Monthly Detail'!AQ152:AQ153)</f>
        <v>-8467.4899999999907</v>
      </c>
      <c r="H33" s="277">
        <f>+SUM('Monthly Detail'!AS150,'Monthly Detail'!AS152:AS153)-SUM('Monthly Detail'!AR150,'Monthly Detail'!AR152:AR153)</f>
        <v>655.25</v>
      </c>
      <c r="I33" s="277">
        <f>+SUM('Monthly Detail'!AT150,'Monthly Detail'!AT152:AT153)-SUM('Monthly Detail'!AS150,'Monthly Detail'!AS152:AS153)</f>
        <v>-1057.7799999999988</v>
      </c>
      <c r="J33" s="277">
        <f>+SUM('Monthly Detail'!AU150,'Monthly Detail'!AU152:AU153)-SUM('Monthly Detail'!AT150,'Monthly Detail'!AT152:AT153)</f>
        <v>0</v>
      </c>
      <c r="K33" s="277">
        <f>+SUM('Monthly Detail'!AV150,'Monthly Detail'!AV152:AV153)-SUM('Monthly Detail'!AU150,'Monthly Detail'!AU152:AU153)</f>
        <v>-2574.2200000000012</v>
      </c>
      <c r="L33" s="277">
        <f>+SUM('Monthly Detail'!AW150,'Monthly Detail'!AW152:AW153)-SUM('Monthly Detail'!AV150,'Monthly Detail'!AV152:AV153)</f>
        <v>0</v>
      </c>
      <c r="M33" s="277">
        <f>+SUM('Monthly Detail'!AX150,'Monthly Detail'!AX152:AX153)-SUM('Monthly Detail'!AW150,'Monthly Detail'!AW152:AW153)</f>
        <v>0</v>
      </c>
      <c r="N33" s="278">
        <f>+SUM('Monthly Detail'!AY150,'Monthly Detail'!AY152:AY153)-SUM('Monthly Detail'!AX150,'Monthly Detail'!AX152:AX153)</f>
        <v>0</v>
      </c>
      <c r="O33" s="7"/>
      <c r="P33" s="463">
        <f>+SUM(C33:N33)</f>
        <v>-34268.239999999991</v>
      </c>
    </row>
    <row r="34" spans="2:16" x14ac:dyDescent="0.3">
      <c r="B34" s="451" t="s">
        <v>300</v>
      </c>
      <c r="C34" s="460">
        <f>+C30*0.3</f>
        <v>474.32159373488321</v>
      </c>
      <c r="D34" s="460">
        <f>+C34+(D26*0.3)-SUMIF('Monthly Detail'!$4:$4, '2026 AOP'!D$11, 'Monthly Detail'!77:77)</f>
        <v>-445.73686535433887</v>
      </c>
      <c r="E34" s="460">
        <f>+D34+(E26*0.3)-SUMIF('Monthly Detail'!$4:$4, '2026 AOP'!E$11, 'Monthly Detail'!77:77)</f>
        <v>341.79932815833416</v>
      </c>
      <c r="F34" s="460">
        <f>+E34+(F26*0.3)-SUMIF('Monthly Detail'!$4:$4, '2026 AOP'!F$11, 'Monthly Detail'!77:77)</f>
        <v>-1639.6263947757811</v>
      </c>
      <c r="G34" s="460">
        <f>+F34+(G26*0.3)-SUMIF('Monthly Detail'!$4:$4, '2026 AOP'!G$11, 'Monthly Detail'!77:77)</f>
        <v>-1556.2087035979168</v>
      </c>
      <c r="H34" s="460">
        <f>+G34+(H26*0.3)-SUMIF('Monthly Detail'!$4:$4, '2026 AOP'!H$11, 'Monthly Detail'!77:77)</f>
        <v>-1833.8292078235045</v>
      </c>
      <c r="I34" s="460">
        <f>+H34+(I26*0.3)-SUMIF('Monthly Detail'!$4:$4, '2026 AOP'!I$11, 'Monthly Detail'!77:77)</f>
        <v>-1466.5921263714395</v>
      </c>
      <c r="J34" s="460">
        <f>+I34+(J26*0.3)-SUMIF('Monthly Detail'!$4:$4, '2026 AOP'!J$11, 'Monthly Detail'!77:77)</f>
        <v>-2074.4052626528</v>
      </c>
      <c r="K34" s="460">
        <f>+J34+(K26*0.3)-SUMIF('Monthly Detail'!$4:$4, '2026 AOP'!K$11, 'Monthly Detail'!77:77)</f>
        <v>-1555.0341373800138</v>
      </c>
      <c r="L34" s="460">
        <f>+K34+(L26*0.3)-SUMIF('Monthly Detail'!$4:$4, '2026 AOP'!L$11, 'Monthly Detail'!77:77)</f>
        <v>1054.4102520668271</v>
      </c>
      <c r="M34" s="460">
        <f>+L34+(M26*0.3)-SUMIF('Monthly Detail'!$4:$4, '2026 AOP'!M$11, 'Monthly Detail'!77:77)</f>
        <v>475.42766969128343</v>
      </c>
      <c r="N34" s="461">
        <f>+M34+(N26*0.3)-SUMIF('Monthly Detail'!$4:$4, '2026 AOP'!N$11, 'Monthly Detail'!77:77)</f>
        <v>579.82439301014779</v>
      </c>
      <c r="O34" s="375"/>
      <c r="P34" s="464">
        <f>+N34</f>
        <v>579.82439301014779</v>
      </c>
    </row>
    <row r="35" spans="2:16" ht="15" thickBot="1" x14ac:dyDescent="0.35">
      <c r="B35" s="238"/>
      <c r="H35" s="9"/>
      <c r="M35" s="109"/>
      <c r="P35" s="184"/>
    </row>
    <row r="36" spans="2:16" x14ac:dyDescent="0.3">
      <c r="B36" s="255" t="s">
        <v>172</v>
      </c>
      <c r="C36" s="160">
        <f>SUMIF('Monthly Detail'!$4:$4, '2026 AOP'!C$11, 'Monthly Detail'!174:174)</f>
        <v>34481.555928780064</v>
      </c>
      <c r="D36" s="84">
        <f>SUMIF('Monthly Detail'!$4:$4, '2026 AOP'!D$11, 'Monthly Detail'!174:174)</f>
        <v>33113.497952619</v>
      </c>
      <c r="E36" s="160">
        <f>SUMIF('Monthly Detail'!$4:$4, '2026 AOP'!E$11, 'Monthly Detail'!174:174)</f>
        <v>35905.299272422752</v>
      </c>
      <c r="F36" s="160">
        <f>SUMIF('Monthly Detail'!$4:$4, '2026 AOP'!F$11, 'Monthly Detail'!174:174)</f>
        <v>32138.613897397932</v>
      </c>
      <c r="G36" s="160">
        <f>SUMIF('Monthly Detail'!$4:$4, '2026 AOP'!G$11, 'Monthly Detail'!174:174)</f>
        <v>31827.965600358417</v>
      </c>
      <c r="H36" s="160">
        <f>SUMIF('Monthly Detail'!$4:$4, '2026 AOP'!H$11, 'Monthly Detail'!174:174)</f>
        <v>32486.464243393882</v>
      </c>
      <c r="I36" s="160">
        <f>SUMIF('Monthly Detail'!$4:$4, '2026 AOP'!I$11, 'Monthly Detail'!174:174)</f>
        <v>34013.013831535616</v>
      </c>
      <c r="J36" s="160">
        <f>SUMIF('Monthly Detail'!$4:$4, '2026 AOP'!J$11, 'Monthly Detail'!174:174)</f>
        <v>34081.717091194951</v>
      </c>
      <c r="K36" s="160">
        <f>SUMIF('Monthly Detail'!$4:$4, '2026 AOP'!K$11, 'Monthly Detail'!174:174)</f>
        <v>36859.227007487578</v>
      </c>
      <c r="L36" s="160">
        <f>SUMIF('Monthly Detail'!$4:$4, '2026 AOP'!L$11, 'Monthly Detail'!174:174)</f>
        <v>46693.424127902908</v>
      </c>
      <c r="M36" s="160">
        <f>SUMIF('Monthly Detail'!$4:$4, '2026 AOP'!M$11, 'Monthly Detail'!174:174)</f>
        <v>49669.198727617804</v>
      </c>
      <c r="N36" s="160">
        <f>SUMIF('Monthly Detail'!$4:$4, '2026 AOP'!N$11, 'Monthly Detail'!174:174)</f>
        <v>51151.723136391331</v>
      </c>
      <c r="P36" s="184"/>
    </row>
    <row r="37" spans="2:16" x14ac:dyDescent="0.3">
      <c r="B37" s="256" t="s">
        <v>173</v>
      </c>
      <c r="C37" s="257">
        <f>SUMIF('Monthly Detail'!$4:$4, '2026 AOP'!C$11, 'Monthly Detail'!171:171)</f>
        <v>1038.0839741296406</v>
      </c>
      <c r="D37" s="258">
        <f>SUMIF('Monthly Detail'!$4:$4, '2026 AOP'!D$11, 'Monthly Detail'!171:171)</f>
        <v>-1368.0579761610657</v>
      </c>
      <c r="E37" s="257">
        <f>SUMIF('Monthly Detail'!$4:$4, '2026 AOP'!E$11, 'Monthly Detail'!171:171)</f>
        <v>2791.8013198037502</v>
      </c>
      <c r="F37" s="257">
        <f>SUMIF('Monthly Detail'!$4:$4, '2026 AOP'!F$11, 'Monthly Detail'!171:171)</f>
        <v>-3766.6853750248201</v>
      </c>
      <c r="G37" s="257">
        <f>SUMIF('Monthly Detail'!$4:$4, '2026 AOP'!G$11, 'Monthly Detail'!171:171)</f>
        <v>-310.648297039515</v>
      </c>
      <c r="H37" s="257">
        <f>SUMIF('Monthly Detail'!$4:$4, '2026 AOP'!H$11, 'Monthly Detail'!171:171)</f>
        <v>658.49864303546701</v>
      </c>
      <c r="I37" s="257">
        <f>SUMIF('Monthly Detail'!$4:$4, '2026 AOP'!I$11, 'Monthly Detail'!171:171)</f>
        <v>1526.5495881417351</v>
      </c>
      <c r="J37" s="257">
        <f>SUMIF('Monthly Detail'!$4:$4, '2026 AOP'!J$11, 'Monthly Detail'!171:171)</f>
        <v>68.703259659331252</v>
      </c>
      <c r="K37" s="257">
        <f>SUMIF('Monthly Detail'!$4:$4, '2026 AOP'!K$11, 'Monthly Detail'!171:171)</f>
        <v>2777.5099162926294</v>
      </c>
      <c r="L37" s="257">
        <f>SUMIF('Monthly Detail'!$4:$4, '2026 AOP'!L$11, 'Monthly Detail'!171:171)</f>
        <v>9834.1971204153269</v>
      </c>
      <c r="M37" s="257">
        <f>SUMIF('Monthly Detail'!$4:$4, '2026 AOP'!M$11, 'Monthly Detail'!171:171)</f>
        <v>2975.7745997148986</v>
      </c>
      <c r="N37" s="257">
        <f>SUMIF('Monthly Detail'!$4:$4, '2026 AOP'!N$11, 'Monthly Detail'!171:171)</f>
        <v>1482.5244087735236</v>
      </c>
      <c r="O37" s="259"/>
      <c r="P37" s="260"/>
    </row>
    <row r="38" spans="2:16" x14ac:dyDescent="0.3">
      <c r="E38" s="9"/>
    </row>
  </sheetData>
  <mergeCells count="1">
    <mergeCell ref="B8:P8"/>
  </mergeCells>
  <pageMargins left="0.25" right="0.25" top="0.75" bottom="0.75" header="0.3" footer="0.3"/>
  <pageSetup scale="57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6E19-D101-46D6-9EC4-525106CD871D}">
  <sheetPr>
    <tabColor theme="1"/>
    <pageSetUpPr fitToPage="1"/>
  </sheetPr>
  <dimension ref="B1:T38"/>
  <sheetViews>
    <sheetView showGridLines="0" topLeftCell="B8" zoomScale="65" zoomScaleNormal="85" workbookViewId="0">
      <selection activeCell="I31" sqref="I31"/>
    </sheetView>
  </sheetViews>
  <sheetFormatPr defaultColWidth="8.6640625" defaultRowHeight="14.4" x14ac:dyDescent="0.3"/>
  <cols>
    <col min="2" max="2" width="34.6640625" bestFit="1" customWidth="1"/>
    <col min="3" max="3" width="13.6640625" bestFit="1" customWidth="1"/>
    <col min="4" max="5" width="13.44140625" bestFit="1" customWidth="1"/>
    <col min="6" max="7" width="14.109375" bestFit="1" customWidth="1"/>
    <col min="8" max="8" width="13.6640625" bestFit="1" customWidth="1"/>
    <col min="9" max="10" width="14.6640625" bestFit="1" customWidth="1"/>
    <col min="11" max="11" width="15.44140625" bestFit="1" customWidth="1"/>
    <col min="12" max="13" width="14.109375" bestFit="1" customWidth="1"/>
    <col min="14" max="14" width="14.6640625" bestFit="1" customWidth="1"/>
    <col min="15" max="15" width="0.6640625" customWidth="1"/>
    <col min="16" max="16" width="13.44140625" bestFit="1" customWidth="1"/>
  </cols>
  <sheetData>
    <row r="1" spans="2:16" x14ac:dyDescent="0.3">
      <c r="B1" t="s">
        <v>163</v>
      </c>
    </row>
    <row r="8" spans="2:16" ht="15.6" x14ac:dyDescent="0.3">
      <c r="B8" s="743" t="s">
        <v>375</v>
      </c>
      <c r="C8" s="743"/>
      <c r="D8" s="743"/>
      <c r="E8" s="743"/>
      <c r="F8" s="743"/>
      <c r="G8" s="743"/>
      <c r="H8" s="743"/>
      <c r="I8" s="743"/>
      <c r="J8" s="743"/>
      <c r="K8" s="743"/>
      <c r="L8" s="743"/>
      <c r="M8" s="743"/>
      <c r="N8" s="743"/>
      <c r="O8" s="743"/>
      <c r="P8" s="743"/>
    </row>
    <row r="9" spans="2:16" ht="1.95" customHeight="1" x14ac:dyDescent="0.3"/>
    <row r="10" spans="2:16" ht="15.6" x14ac:dyDescent="0.3">
      <c r="B10" s="234"/>
      <c r="C10" s="235" t="str">
        <f>TEXT('Monthly Detail'!D4,"mmmm")</f>
        <v>January</v>
      </c>
      <c r="D10" s="235" t="str">
        <f>TEXT('Monthly Detail'!E4,"mmmm")</f>
        <v>February</v>
      </c>
      <c r="E10" s="235" t="str">
        <f>TEXT('Monthly Detail'!F4,"mmmm")</f>
        <v>March</v>
      </c>
      <c r="F10" s="235" t="str">
        <f>TEXT('Monthly Detail'!G4,"mmmm")</f>
        <v>April</v>
      </c>
      <c r="G10" s="235" t="str">
        <f>TEXT('Monthly Detail'!H4,"mmmm")</f>
        <v>May</v>
      </c>
      <c r="H10" s="235" t="str">
        <f>TEXT('Monthly Detail'!I4,"mmmm")</f>
        <v>June</v>
      </c>
      <c r="I10" s="235" t="str">
        <f>TEXT('Monthly Detail'!J4,"mmmm")</f>
        <v>July</v>
      </c>
      <c r="J10" s="235" t="str">
        <f>TEXT('Monthly Detail'!K4,"mmmm")</f>
        <v>August</v>
      </c>
      <c r="K10" s="235" t="str">
        <f>TEXT('Monthly Detail'!L4,"mmmm")</f>
        <v>September</v>
      </c>
      <c r="L10" s="541" t="str">
        <f>TEXT('Monthly Detail'!M4,"mmmm")</f>
        <v>October</v>
      </c>
      <c r="M10" s="235" t="str">
        <f>TEXT('Monthly Detail'!N4,"mmmm")</f>
        <v>November</v>
      </c>
      <c r="N10" s="235" t="str">
        <f>TEXT('Monthly Detail'!O4,"mmmm")</f>
        <v>December</v>
      </c>
      <c r="O10" s="236"/>
      <c r="P10" s="237" t="s">
        <v>0</v>
      </c>
    </row>
    <row r="11" spans="2:16" x14ac:dyDescent="0.3">
      <c r="B11" s="238"/>
      <c r="C11" s="91">
        <v>45688</v>
      </c>
      <c r="D11" s="91">
        <v>45716</v>
      </c>
      <c r="E11" s="91">
        <v>45747</v>
      </c>
      <c r="F11" s="91">
        <v>45777</v>
      </c>
      <c r="G11" s="91">
        <v>45808</v>
      </c>
      <c r="H11" s="91">
        <v>45838</v>
      </c>
      <c r="I11" s="91">
        <v>45869</v>
      </c>
      <c r="J11" s="91">
        <v>45900</v>
      </c>
      <c r="K11" s="91">
        <v>45930</v>
      </c>
      <c r="L11" s="148">
        <v>45961</v>
      </c>
      <c r="M11" s="91">
        <v>45991</v>
      </c>
      <c r="N11" s="91">
        <v>46022</v>
      </c>
      <c r="O11" s="91">
        <v>45322</v>
      </c>
      <c r="P11" s="184"/>
    </row>
    <row r="12" spans="2:16" x14ac:dyDescent="0.3">
      <c r="B12" s="239" t="s">
        <v>60</v>
      </c>
      <c r="C12" s="73">
        <f>SUMIF('Monthly Detail'!$4:$4, '2025 Overview (Rolling)'!C$11, 'Monthly Detail'!12:12)</f>
        <v>6477.5</v>
      </c>
      <c r="D12" s="73">
        <f>SUMIF('Monthly Detail'!$4:$4, '2025 Overview (Rolling)'!D$11, 'Monthly Detail'!12:12)</f>
        <v>8052.5</v>
      </c>
      <c r="E12" s="73">
        <f>SUMIF('Monthly Detail'!$4:$4, '2025 Overview (Rolling)'!E$11, 'Monthly Detail'!12:12)</f>
        <v>7630</v>
      </c>
      <c r="F12" s="73">
        <f>SUMIF('Monthly Detail'!$4:$4, '2025 Overview (Rolling)'!F$11, 'Monthly Detail'!12:12)</f>
        <v>3756.25</v>
      </c>
      <c r="G12" s="73">
        <f>SUMIF('Monthly Detail'!$4:$4, '2025 Overview (Rolling)'!G$11, 'Monthly Detail'!12:12)</f>
        <v>6032.5</v>
      </c>
      <c r="H12" s="73">
        <f>SUMIF('Monthly Detail'!$4:$4, '2025 Overview (Rolling)'!H$11, 'Monthly Detail'!12:12)</f>
        <v>6822.5</v>
      </c>
      <c r="I12" s="73">
        <f>SUMIF('Monthly Detail'!$4:$4, '2025 Overview (Rolling)'!I$11, 'Monthly Detail'!12:12)</f>
        <v>14855</v>
      </c>
      <c r="J12" s="73">
        <f>SUMIF('Monthly Detail'!$4:$4, '2025 Overview (Rolling)'!J$11, 'Monthly Detail'!12:12)</f>
        <v>20412.5</v>
      </c>
      <c r="K12" s="73">
        <f>SUMIF('Monthly Detail'!$4:$4, '2025 Overview (Rolling)'!K$11, 'Monthly Detail'!12:12)</f>
        <v>28257.5</v>
      </c>
      <c r="L12" s="149">
        <f>SUMIF('Monthly Detail'!$4:$4, '2025 Overview (Rolling)'!L$11, 'Monthly Detail'!12:12)</f>
        <v>39333.760000000002</v>
      </c>
      <c r="M12" s="73">
        <f>SUMIF('Monthly Detail'!$4:$4, '2025 Overview (Rolling)'!M$11, 'Monthly Detail'!12:12)</f>
        <v>12728.271531100479</v>
      </c>
      <c r="N12" s="73">
        <f>SUMIF('Monthly Detail'!$4:$4, '2025 Overview (Rolling)'!N$11, 'Monthly Detail'!12:12)</f>
        <v>11728.812356979408</v>
      </c>
      <c r="O12" s="73"/>
      <c r="P12" s="240">
        <f>SUM(C12:O12)</f>
        <v>166087.09388807989</v>
      </c>
    </row>
    <row r="13" spans="2:16" x14ac:dyDescent="0.3">
      <c r="B13" s="239" t="s">
        <v>295</v>
      </c>
      <c r="C13" s="73">
        <f>SUMIF('Monthly Detail'!$4:$4, '2025 Overview (Rolling)'!C$11, 'Monthly Detail'!13:13)</f>
        <v>108</v>
      </c>
      <c r="D13" s="73">
        <f>SUMIF('Monthly Detail'!$4:$4, '2025 Overview (Rolling)'!D$11, 'Monthly Detail'!13:13)</f>
        <v>59.62</v>
      </c>
      <c r="E13" s="73">
        <f>SUMIF('Monthly Detail'!$4:$4, '2025 Overview (Rolling)'!E$11, 'Monthly Detail'!13:13)</f>
        <v>52.37</v>
      </c>
      <c r="F13" s="73">
        <f>SUMIF('Monthly Detail'!$4:$4, '2025 Overview (Rolling)'!F$11, 'Monthly Detail'!13:13)</f>
        <v>0</v>
      </c>
      <c r="G13" s="73">
        <f>SUMIF('Monthly Detail'!$4:$4, '2025 Overview (Rolling)'!G$11, 'Monthly Detail'!13:13)</f>
        <v>12</v>
      </c>
      <c r="H13" s="73">
        <f>SUMIF('Monthly Detail'!$4:$4, '2025 Overview (Rolling)'!H$11, 'Monthly Detail'!13:13)</f>
        <v>93.5</v>
      </c>
      <c r="I13" s="73">
        <f>SUMIF('Monthly Detail'!$4:$4, '2025 Overview (Rolling)'!I$11, 'Monthly Detail'!13:13)</f>
        <v>75</v>
      </c>
      <c r="J13" s="73">
        <f>SUMIF('Monthly Detail'!$4:$4, '2025 Overview (Rolling)'!J$11, 'Monthly Detail'!13:13)</f>
        <v>44.5</v>
      </c>
      <c r="K13" s="73">
        <f>SUMIF('Monthly Detail'!$4:$4, '2025 Overview (Rolling)'!K$11, 'Monthly Detail'!13:13)</f>
        <v>50</v>
      </c>
      <c r="L13" s="149">
        <f>SUMIF('Monthly Detail'!$4:$4, '2025 Overview (Rolling)'!L$11, 'Monthly Detail'!13:13)</f>
        <v>29.37</v>
      </c>
      <c r="M13" s="73">
        <f>SUMIF('Monthly Detail'!$4:$4, '2025 Overview (Rolling)'!M$11, 'Monthly Detail'!13:13)</f>
        <v>53.965429936069107</v>
      </c>
      <c r="N13" s="73">
        <f>SUMIF('Monthly Detail'!$4:$4, '2025 Overview (Rolling)'!N$11, 'Monthly Detail'!13:13)</f>
        <v>49.727914739822438</v>
      </c>
      <c r="O13" s="73"/>
      <c r="P13" s="240">
        <f>+SUM(C13:N13)</f>
        <v>628.05334467589159</v>
      </c>
    </row>
    <row r="14" spans="2:16" x14ac:dyDescent="0.3">
      <c r="B14" s="241" t="s">
        <v>7</v>
      </c>
      <c r="C14" s="74">
        <f>SUM(C12:C13)</f>
        <v>6585.5</v>
      </c>
      <c r="D14" s="74">
        <f t="shared" ref="D14:N14" si="0">SUM(D12:D13)</f>
        <v>8112.12</v>
      </c>
      <c r="E14" s="74">
        <f t="shared" si="0"/>
        <v>7682.37</v>
      </c>
      <c r="F14" s="74">
        <f t="shared" si="0"/>
        <v>3756.25</v>
      </c>
      <c r="G14" s="74">
        <f t="shared" si="0"/>
        <v>6044.5</v>
      </c>
      <c r="H14" s="74">
        <f t="shared" si="0"/>
        <v>6916</v>
      </c>
      <c r="I14" s="74">
        <f t="shared" si="0"/>
        <v>14930</v>
      </c>
      <c r="J14" s="74">
        <f t="shared" si="0"/>
        <v>20457</v>
      </c>
      <c r="K14" s="74">
        <f t="shared" si="0"/>
        <v>28307.5</v>
      </c>
      <c r="L14" s="150">
        <f t="shared" si="0"/>
        <v>39363.130000000005</v>
      </c>
      <c r="M14" s="74">
        <f t="shared" si="0"/>
        <v>12782.236961036549</v>
      </c>
      <c r="N14" s="242">
        <f t="shared" si="0"/>
        <v>11778.54027171923</v>
      </c>
      <c r="O14" s="75"/>
      <c r="P14" s="450">
        <f>SUM(P12:P13)</f>
        <v>166715.14723275579</v>
      </c>
    </row>
    <row r="15" spans="2:16" x14ac:dyDescent="0.3">
      <c r="B15" s="243" t="s">
        <v>66</v>
      </c>
      <c r="C15" s="221">
        <f>SUMIF('Monthly Detail'!$4:$4, '2025 Overview (Rolling)'!C$11, 'Monthly Detail'!17:17)</f>
        <v>24</v>
      </c>
      <c r="D15" s="221">
        <f>SUMIF('Monthly Detail'!$4:$4, '2025 Overview (Rolling)'!D$11, 'Monthly Detail'!17:17)</f>
        <v>28</v>
      </c>
      <c r="E15" s="221">
        <f>SUMIF('Monthly Detail'!$4:$4, '2025 Overview (Rolling)'!E$11, 'Monthly Detail'!17:17)</f>
        <v>24</v>
      </c>
      <c r="F15" s="221">
        <f>SUMIF('Monthly Detail'!$4:$4, '2025 Overview (Rolling)'!F$11, 'Monthly Detail'!17:17)</f>
        <v>23</v>
      </c>
      <c r="G15" s="221">
        <f>SUMIF('Monthly Detail'!$4:$4, '2025 Overview (Rolling)'!G$11, 'Monthly Detail'!17:17)</f>
        <v>20</v>
      </c>
      <c r="H15" s="221">
        <f>SUMIF('Monthly Detail'!$4:$4, '2025 Overview (Rolling)'!H$11, 'Monthly Detail'!17:17)</f>
        <v>25</v>
      </c>
      <c r="I15" s="221">
        <f>SUMIF('Monthly Detail'!$4:$4, '2025 Overview (Rolling)'!I$11, 'Monthly Detail'!17:17)</f>
        <v>35</v>
      </c>
      <c r="J15" s="221">
        <f>SUMIF('Monthly Detail'!$4:$4, '2025 Overview (Rolling)'!J$11, 'Monthly Detail'!17:17)</f>
        <v>48</v>
      </c>
      <c r="K15" s="221">
        <f>SUMIF('Monthly Detail'!$4:$4, '2025 Overview (Rolling)'!K$11, 'Monthly Detail'!17:17)</f>
        <v>57</v>
      </c>
      <c r="L15" s="542">
        <f>SUMIF('Monthly Detail'!$4:$4, '2025 Overview (Rolling)'!L$11, 'Monthly Detail'!17:17)</f>
        <v>67</v>
      </c>
      <c r="M15" s="221">
        <f>SUMIF('Monthly Detail'!$4:$4, '2025 Overview (Rolling)'!M$11, 'Monthly Detail'!17:17)</f>
        <v>62</v>
      </c>
      <c r="N15" s="321">
        <f>SUMIF('Monthly Detail'!$4:$4, '2025 Overview (Rolling)'!N$11, 'Monthly Detail'!17:17)</f>
        <v>37.6</v>
      </c>
      <c r="O15" s="75"/>
      <c r="P15" s="244"/>
    </row>
    <row r="16" spans="2:16" x14ac:dyDescent="0.3">
      <c r="B16" s="447" t="s">
        <v>327</v>
      </c>
      <c r="C16" s="448">
        <f>SUMIF('Monthly Detail'!$4:$4, '2025 Overview (Rolling)'!C$11, 'Monthly Detail'!22:22)</f>
        <v>56</v>
      </c>
      <c r="D16" s="448">
        <f>SUMIF('Monthly Detail'!$4:$4, '2025 Overview (Rolling)'!D$11, 'Monthly Detail'!22:22)</f>
        <v>66</v>
      </c>
      <c r="E16" s="448">
        <f>SUMIF('Monthly Detail'!$4:$4, '2025 Overview (Rolling)'!E$11, 'Monthly Detail'!22:22)</f>
        <v>73</v>
      </c>
      <c r="F16" s="448">
        <f>SUMIF('Monthly Detail'!$4:$4, '2025 Overview (Rolling)'!F$11, 'Monthly Detail'!22:22)</f>
        <v>37</v>
      </c>
      <c r="G16" s="448">
        <f>SUMIF('Monthly Detail'!$4:$4, '2025 Overview (Rolling)'!G$11, 'Monthly Detail'!22:22)</f>
        <v>62</v>
      </c>
      <c r="H16" s="448">
        <f>SUMIF('Monthly Detail'!$4:$4, '2025 Overview (Rolling)'!H$11, 'Monthly Detail'!22:22)</f>
        <v>51</v>
      </c>
      <c r="I16" s="448">
        <f>SUMIF('Monthly Detail'!$4:$4, '2025 Overview (Rolling)'!I$11, 'Monthly Detail'!22:22)</f>
        <v>120</v>
      </c>
      <c r="J16" s="448">
        <f>SUMIF('Monthly Detail'!$4:$4, '2025 Overview (Rolling)'!J$11, 'Monthly Detail'!22:22)</f>
        <v>163</v>
      </c>
      <c r="K16" s="448">
        <f>SUMIF('Monthly Detail'!$4:$4, '2025 Overview (Rolling)'!K$11, 'Monthly Detail'!22:22)</f>
        <v>240</v>
      </c>
      <c r="L16" s="543">
        <f>SUMIF('Monthly Detail'!$4:$4, '2025 Overview (Rolling)'!L$11, 'Monthly Detail'!22:22)</f>
        <v>275</v>
      </c>
      <c r="M16" s="448">
        <f>SUMIF('Monthly Detail'!$4:$4, '2025 Overview (Rolling)'!M$11, 'Monthly Detail'!22:22)</f>
        <v>226</v>
      </c>
      <c r="N16" s="449">
        <f>SUMIF('Monthly Detail'!$4:$4, '2025 Overview (Rolling)'!N$11, 'Monthly Detail'!22:22)</f>
        <v>161.64278949828994</v>
      </c>
      <c r="O16" s="75"/>
      <c r="P16" s="244"/>
    </row>
    <row r="17" spans="2:20" ht="7.2" customHeight="1" x14ac:dyDescent="0.3">
      <c r="B17" s="238"/>
      <c r="C17" s="76"/>
      <c r="D17" s="76"/>
      <c r="E17" s="76"/>
      <c r="F17" s="76"/>
      <c r="G17" s="76"/>
      <c r="H17" s="76"/>
      <c r="I17" s="76"/>
      <c r="J17" s="76"/>
      <c r="K17" s="76"/>
      <c r="L17" s="151"/>
      <c r="M17" s="76"/>
      <c r="N17" s="76"/>
      <c r="P17" s="244"/>
    </row>
    <row r="18" spans="2:20" x14ac:dyDescent="0.3">
      <c r="B18" s="238" t="s">
        <v>325</v>
      </c>
      <c r="C18" s="76">
        <f>SUMIF('Monthly Detail'!$4:$4, '2025 Overview (Rolling)'!C$11, 'Monthly Detail'!65:65)</f>
        <v>0</v>
      </c>
      <c r="D18" s="76">
        <f>SUMIF('Monthly Detail'!$4:$4, '2025 Overview (Rolling)'!D$11, 'Monthly Detail'!65:65)</f>
        <v>450</v>
      </c>
      <c r="E18" s="76">
        <f>SUMIF('Monthly Detail'!$4:$4, '2025 Overview (Rolling)'!E$11, 'Monthly Detail'!65:65)</f>
        <v>0</v>
      </c>
      <c r="F18" s="76">
        <f>SUMIF('Monthly Detail'!$4:$4, '2025 Overview (Rolling)'!F$11, 'Monthly Detail'!65:65)</f>
        <v>0</v>
      </c>
      <c r="G18" s="76">
        <f>SUMIF('Monthly Detail'!$4:$4, '2025 Overview (Rolling)'!G$11, 'Monthly Detail'!65:65)</f>
        <v>270</v>
      </c>
      <c r="H18" s="76">
        <f>SUMIF('Monthly Detail'!$4:$4, '2025 Overview (Rolling)'!H$11, 'Monthly Detail'!65:65)</f>
        <v>0</v>
      </c>
      <c r="I18" s="76">
        <f>SUMIF('Monthly Detail'!$4:$4, '2025 Overview (Rolling)'!I$11, 'Monthly Detail'!65:65)</f>
        <v>1582.5</v>
      </c>
      <c r="J18" s="76">
        <f>SUMIF('Monthly Detail'!$4:$4, '2025 Overview (Rolling)'!J$11, 'Monthly Detail'!65:65)</f>
        <v>684</v>
      </c>
      <c r="K18" s="76">
        <f>SUMIF('Monthly Detail'!$4:$4, '2025 Overview (Rolling)'!K$11, 'Monthly Detail'!65:65)</f>
        <v>4076.7400000000002</v>
      </c>
      <c r="L18" s="151">
        <f>SUMIF('Monthly Detail'!$4:$4, '2025 Overview (Rolling)'!L$11, 'Monthly Detail'!65:65)</f>
        <v>6255</v>
      </c>
      <c r="M18" s="76">
        <f>SUMIF('Monthly Detail'!$4:$4, '2025 Overview (Rolling)'!M$11, 'Monthly Detail'!65:65)</f>
        <v>1207.416267942584</v>
      </c>
      <c r="N18" s="76">
        <f>SUMIF('Monthly Detail'!$4:$4, '2025 Overview (Rolling)'!N$11, 'Monthly Detail'!65:65)</f>
        <v>187.71167048054986</v>
      </c>
      <c r="P18" s="240">
        <f>SUM(C18:O18)</f>
        <v>14713.367938423135</v>
      </c>
    </row>
    <row r="19" spans="2:20" ht="15.6" x14ac:dyDescent="0.3">
      <c r="B19" s="245" t="s">
        <v>165</v>
      </c>
      <c r="C19" s="88">
        <f t="shared" ref="C19:N19" si="1">C14-C18</f>
        <v>6585.5</v>
      </c>
      <c r="D19" s="88">
        <f t="shared" si="1"/>
        <v>7662.12</v>
      </c>
      <c r="E19" s="88">
        <f t="shared" si="1"/>
        <v>7682.37</v>
      </c>
      <c r="F19" s="88">
        <f t="shared" si="1"/>
        <v>3756.25</v>
      </c>
      <c r="G19" s="88">
        <f t="shared" si="1"/>
        <v>5774.5</v>
      </c>
      <c r="H19" s="88">
        <f t="shared" si="1"/>
        <v>6916</v>
      </c>
      <c r="I19" s="88">
        <f t="shared" si="1"/>
        <v>13347.5</v>
      </c>
      <c r="J19" s="88">
        <f t="shared" si="1"/>
        <v>19773</v>
      </c>
      <c r="K19" s="88">
        <f t="shared" si="1"/>
        <v>24230.76</v>
      </c>
      <c r="L19" s="152">
        <f t="shared" si="1"/>
        <v>33108.130000000005</v>
      </c>
      <c r="M19" s="88">
        <f t="shared" si="1"/>
        <v>11574.820693093965</v>
      </c>
      <c r="N19" s="247">
        <f t="shared" si="1"/>
        <v>11590.82860123868</v>
      </c>
      <c r="O19" s="246"/>
      <c r="P19" s="454">
        <f>P14-P18</f>
        <v>152001.77929433266</v>
      </c>
    </row>
    <row r="20" spans="2:20" x14ac:dyDescent="0.3">
      <c r="B20" s="451" t="s">
        <v>166</v>
      </c>
      <c r="C20" s="452">
        <f t="shared" ref="C20:N20" si="2">C19/C14</f>
        <v>1</v>
      </c>
      <c r="D20" s="452">
        <f t="shared" si="2"/>
        <v>0.94452744781881925</v>
      </c>
      <c r="E20" s="452">
        <f t="shared" si="2"/>
        <v>1</v>
      </c>
      <c r="F20" s="452">
        <f t="shared" si="2"/>
        <v>1</v>
      </c>
      <c r="G20" s="452">
        <f t="shared" si="2"/>
        <v>0.95533129291091079</v>
      </c>
      <c r="H20" s="452">
        <f t="shared" si="2"/>
        <v>1</v>
      </c>
      <c r="I20" s="452">
        <f t="shared" si="2"/>
        <v>0.89400535833891492</v>
      </c>
      <c r="J20" s="452">
        <f t="shared" si="2"/>
        <v>0.96656401231852174</v>
      </c>
      <c r="K20" s="452">
        <f t="shared" si="2"/>
        <v>0.85598374988960513</v>
      </c>
      <c r="L20" s="544">
        <f t="shared" si="2"/>
        <v>0.8410949535771165</v>
      </c>
      <c r="M20" s="452">
        <f t="shared" si="2"/>
        <v>0.90553951772110852</v>
      </c>
      <c r="N20" s="453">
        <f t="shared" si="2"/>
        <v>0.98406324840343296</v>
      </c>
      <c r="O20" s="7"/>
      <c r="P20" s="455">
        <f>P19/P14</f>
        <v>0.91174546414860935</v>
      </c>
    </row>
    <row r="21" spans="2:20" ht="6.45" customHeight="1" x14ac:dyDescent="0.3">
      <c r="B21" s="238"/>
      <c r="L21" s="116"/>
      <c r="P21" s="184"/>
    </row>
    <row r="22" spans="2:20" x14ac:dyDescent="0.3">
      <c r="B22" s="238" t="s">
        <v>273</v>
      </c>
      <c r="C22" s="73">
        <f>SUMIF('Monthly Detail'!$4:$4, '2025 Overview (Rolling)'!C$11, 'Monthly Detail'!$72:$72)</f>
        <v>0</v>
      </c>
      <c r="D22" s="73">
        <f>SUMIF('Monthly Detail'!$4:$4, '2025 Overview (Rolling)'!D$11, 'Monthly Detail'!$72:$72)</f>
        <v>0</v>
      </c>
      <c r="E22" s="73">
        <f>SUMIF('Monthly Detail'!$4:$4, '2025 Overview (Rolling)'!E$11, 'Monthly Detail'!$72:$72)</f>
        <v>0</v>
      </c>
      <c r="F22" s="73">
        <f>SUMIF('Monthly Detail'!$4:$4, '2025 Overview (Rolling)'!F$11, 'Monthly Detail'!$72:$72)</f>
        <v>0</v>
      </c>
      <c r="G22" s="73">
        <f>SUMIF('Monthly Detail'!$4:$4, '2025 Overview (Rolling)'!G$11, 'Monthly Detail'!$72:$72)</f>
        <v>0</v>
      </c>
      <c r="H22" s="73">
        <f>SUMIF('Monthly Detail'!$4:$4, '2025 Overview (Rolling)'!H$11, 'Monthly Detail'!$72:$72)</f>
        <v>0</v>
      </c>
      <c r="I22" s="73">
        <f>SUMIF('Monthly Detail'!$4:$4, '2025 Overview (Rolling)'!I$11, 'Monthly Detail'!$72:$72)</f>
        <v>0</v>
      </c>
      <c r="J22" s="73">
        <f>SUMIF('Monthly Detail'!$4:$4, '2025 Overview (Rolling)'!J$11, 'Monthly Detail'!$72:$72)</f>
        <v>0</v>
      </c>
      <c r="K22" s="73">
        <f>SUMIF('Monthly Detail'!$4:$4, '2025 Overview (Rolling)'!K$11, 'Monthly Detail'!$72:$72)</f>
        <v>0</v>
      </c>
      <c r="L22" s="149">
        <f>SUMIF('Monthly Detail'!$4:$4, '2025 Overview (Rolling)'!L$11, 'Monthly Detail'!$72:$72)</f>
        <v>0</v>
      </c>
      <c r="M22" s="73">
        <f>SUMIF('Monthly Detail'!$4:$4, '2025 Overview (Rolling)'!M$11, 'Monthly Detail'!$72:$72)</f>
        <v>0</v>
      </c>
      <c r="N22" s="73">
        <f>SUMIF('Monthly Detail'!$4:$4, '2025 Overview (Rolling)'!N$11, 'Monthly Detail'!$72:$72)</f>
        <v>0</v>
      </c>
      <c r="P22" s="240">
        <f>SUM(C22:O22)</f>
        <v>0</v>
      </c>
      <c r="T22" s="1"/>
    </row>
    <row r="23" spans="2:20" x14ac:dyDescent="0.3">
      <c r="B23" s="238" t="s">
        <v>203</v>
      </c>
      <c r="C23" s="73">
        <f>SUMIF('Monthly Detail'!$4:$4, '2025 Overview (Rolling)'!C$11, 'Monthly Detail'!$95:$95)</f>
        <v>4230.3</v>
      </c>
      <c r="D23" s="73">
        <f>SUMIF('Monthly Detail'!$4:$4, '2025 Overview (Rolling)'!D$11, 'Monthly Detail'!$95:$95)</f>
        <v>6699.2999999999993</v>
      </c>
      <c r="E23" s="73">
        <f>SUMIF('Monthly Detail'!$4:$4, '2025 Overview (Rolling)'!E$11, 'Monthly Detail'!$95:$95)</f>
        <v>7438.99</v>
      </c>
      <c r="F23" s="73">
        <f>SUMIF('Monthly Detail'!$4:$4, '2025 Overview (Rolling)'!F$11, 'Monthly Detail'!$95:$95)</f>
        <v>3780.99</v>
      </c>
      <c r="G23" s="73">
        <f>SUMIF('Monthly Detail'!$4:$4, '2025 Overview (Rolling)'!G$11, 'Monthly Detail'!$95:$95)</f>
        <v>3678.36</v>
      </c>
      <c r="H23" s="73">
        <f>SUMIF('Monthly Detail'!$4:$4, '2025 Overview (Rolling)'!H$11, 'Monthly Detail'!$95:$95)</f>
        <v>4152.38</v>
      </c>
      <c r="I23" s="73">
        <f>SUMIF('Monthly Detail'!$4:$4, '2025 Overview (Rolling)'!I$11, 'Monthly Detail'!$95:$95)</f>
        <v>9510.39</v>
      </c>
      <c r="J23" s="73">
        <f>SUMIF('Monthly Detail'!$4:$4, '2025 Overview (Rolling)'!J$11, 'Monthly Detail'!$95:$95)</f>
        <v>17648.04</v>
      </c>
      <c r="K23" s="73">
        <f>SUMIF('Monthly Detail'!$4:$4, '2025 Overview (Rolling)'!K$11, 'Monthly Detail'!$95:$95)</f>
        <v>13518.2</v>
      </c>
      <c r="L23" s="149">
        <f>SUMIF('Monthly Detail'!$4:$4, '2025 Overview (Rolling)'!L$11, 'Monthly Detail'!$95:$95)</f>
        <v>18946.23</v>
      </c>
      <c r="M23" s="73">
        <f>SUMIF('Monthly Detail'!$4:$4, '2025 Overview (Rolling)'!M$11, 'Monthly Detail'!$95:$95)</f>
        <v>7561.9566315502007</v>
      </c>
      <c r="N23" s="73">
        <f>SUMIF('Monthly Detail'!$4:$4, '2025 Overview (Rolling)'!N$11, 'Monthly Detail'!$95:$95)</f>
        <v>9184.9505373784104</v>
      </c>
      <c r="P23" s="240">
        <f>SUM(C23:O23)</f>
        <v>106350.0871689286</v>
      </c>
    </row>
    <row r="24" spans="2:20" x14ac:dyDescent="0.3">
      <c r="B24" s="456" t="s">
        <v>167</v>
      </c>
      <c r="C24" s="457">
        <f t="shared" ref="C24" si="3">SUM(C23:C23)</f>
        <v>4230.3</v>
      </c>
      <c r="D24" s="457">
        <f>SUM(D22:D23)</f>
        <v>6699.2999999999993</v>
      </c>
      <c r="E24" s="457">
        <f t="shared" ref="E24:N24" si="4">SUM(E22:E23)</f>
        <v>7438.99</v>
      </c>
      <c r="F24" s="457">
        <f t="shared" si="4"/>
        <v>3780.99</v>
      </c>
      <c r="G24" s="457">
        <f t="shared" si="4"/>
        <v>3678.36</v>
      </c>
      <c r="H24" s="457">
        <f t="shared" si="4"/>
        <v>4152.38</v>
      </c>
      <c r="I24" s="457">
        <f t="shared" si="4"/>
        <v>9510.39</v>
      </c>
      <c r="J24" s="457">
        <f t="shared" si="4"/>
        <v>17648.04</v>
      </c>
      <c r="K24" s="457">
        <f t="shared" si="4"/>
        <v>13518.2</v>
      </c>
      <c r="L24" s="545">
        <f t="shared" si="4"/>
        <v>18946.23</v>
      </c>
      <c r="M24" s="457">
        <f t="shared" si="4"/>
        <v>7561.9566315502007</v>
      </c>
      <c r="N24" s="458">
        <f t="shared" si="4"/>
        <v>9184.9505373784104</v>
      </c>
      <c r="O24" s="251"/>
      <c r="P24" s="459">
        <f>SUM(P22:P23)</f>
        <v>106350.0871689286</v>
      </c>
    </row>
    <row r="25" spans="2:20" ht="4.95" customHeight="1" x14ac:dyDescent="0.3">
      <c r="B25" s="238"/>
      <c r="L25" s="116"/>
      <c r="P25" s="184"/>
    </row>
    <row r="26" spans="2:20" ht="15.6" x14ac:dyDescent="0.3">
      <c r="B26" s="245" t="s">
        <v>168</v>
      </c>
      <c r="C26" s="88">
        <f t="shared" ref="C26:N26" si="5">C19-C24</f>
        <v>2355.1999999999998</v>
      </c>
      <c r="D26" s="88">
        <f>D19-D24</f>
        <v>962.82000000000062</v>
      </c>
      <c r="E26" s="88">
        <f t="shared" si="5"/>
        <v>243.38000000000011</v>
      </c>
      <c r="F26" s="88">
        <f t="shared" si="5"/>
        <v>-24.739999999999782</v>
      </c>
      <c r="G26" s="88">
        <f t="shared" si="5"/>
        <v>2096.14</v>
      </c>
      <c r="H26" s="88">
        <f t="shared" si="5"/>
        <v>2763.62</v>
      </c>
      <c r="I26" s="88">
        <f t="shared" si="5"/>
        <v>3837.1100000000006</v>
      </c>
      <c r="J26" s="88">
        <f t="shared" si="5"/>
        <v>2124.9599999999991</v>
      </c>
      <c r="K26" s="88">
        <f t="shared" si="5"/>
        <v>10712.559999999998</v>
      </c>
      <c r="L26" s="152">
        <f t="shared" si="5"/>
        <v>14161.900000000005</v>
      </c>
      <c r="M26" s="88">
        <f t="shared" si="5"/>
        <v>4012.8640615437644</v>
      </c>
      <c r="N26" s="247">
        <f t="shared" si="5"/>
        <v>2405.8780638602693</v>
      </c>
      <c r="O26" s="246"/>
      <c r="P26" s="454">
        <f>P19-P24</f>
        <v>45651.692125404064</v>
      </c>
    </row>
    <row r="27" spans="2:20" x14ac:dyDescent="0.3">
      <c r="B27" s="451" t="s">
        <v>169</v>
      </c>
      <c r="C27" s="452">
        <f t="shared" ref="C27:N27" si="6">C26/C14</f>
        <v>0.35763419634044491</v>
      </c>
      <c r="D27" s="452">
        <f t="shared" si="6"/>
        <v>0.11868907264685441</v>
      </c>
      <c r="E27" s="452">
        <f t="shared" si="6"/>
        <v>3.1680327815504866E-2</v>
      </c>
      <c r="F27" s="452">
        <f t="shared" si="6"/>
        <v>-6.5863560732112563E-3</v>
      </c>
      <c r="G27" s="452">
        <f t="shared" si="6"/>
        <v>0.34678468028786497</v>
      </c>
      <c r="H27" s="452">
        <f t="shared" si="6"/>
        <v>0.39959803354540196</v>
      </c>
      <c r="I27" s="452">
        <f t="shared" si="6"/>
        <v>0.25700669792364372</v>
      </c>
      <c r="J27" s="452">
        <f t="shared" si="6"/>
        <v>0.10387446839712564</v>
      </c>
      <c r="K27" s="452">
        <f t="shared" si="6"/>
        <v>0.37843539697959894</v>
      </c>
      <c r="L27" s="544">
        <f t="shared" si="6"/>
        <v>0.35977575970203596</v>
      </c>
      <c r="M27" s="452">
        <f t="shared" si="6"/>
        <v>0.31394067202602927</v>
      </c>
      <c r="N27" s="453">
        <f t="shared" si="6"/>
        <v>0.20425944203263316</v>
      </c>
      <c r="O27" s="7"/>
      <c r="P27" s="455">
        <f>P26/P14</f>
        <v>0.27383050000650772</v>
      </c>
    </row>
    <row r="28" spans="2:20" ht="7.95" customHeight="1" x14ac:dyDescent="0.3">
      <c r="B28" s="253"/>
      <c r="C28" s="82"/>
      <c r="D28" s="82"/>
      <c r="E28" s="82"/>
      <c r="F28" s="82"/>
      <c r="G28" s="82"/>
      <c r="H28" s="82"/>
      <c r="I28" s="82"/>
      <c r="J28" s="82"/>
      <c r="K28" s="82"/>
      <c r="L28" s="155"/>
      <c r="M28" s="82"/>
      <c r="N28" s="82"/>
      <c r="P28" s="254"/>
    </row>
    <row r="29" spans="2:20" x14ac:dyDescent="0.3">
      <c r="B29" s="238" t="s">
        <v>170</v>
      </c>
      <c r="C29" s="132">
        <f>SUMIF('Monthly Detail'!$4:$4, '2025 Overview (Rolling)'!C$11, 'Monthly Detail'!109:109)</f>
        <v>-821.84</v>
      </c>
      <c r="D29" s="132">
        <f>SUMIF('Monthly Detail'!$4:$4, '2025 Overview (Rolling)'!D$11, 'Monthly Detail'!109:109)</f>
        <v>-775.57</v>
      </c>
      <c r="E29" s="132">
        <f>SUMIF('Monthly Detail'!$4:$4, '2025 Overview (Rolling)'!E$11, 'Monthly Detail'!109:109)</f>
        <v>-757.92</v>
      </c>
      <c r="F29" s="132">
        <f>SUMIF('Monthly Detail'!$4:$4, '2025 Overview (Rolling)'!F$11, 'Monthly Detail'!109:109)</f>
        <v>-757.92</v>
      </c>
      <c r="G29" s="132">
        <f>SUMIF('Monthly Detail'!$4:$4, '2025 Overview (Rolling)'!G$11, 'Monthly Detail'!109:109)</f>
        <v>-692.87</v>
      </c>
      <c r="H29" s="132">
        <f>SUMIF('Monthly Detail'!$4:$4, '2025 Overview (Rolling)'!H$11, 'Monthly Detail'!109:109)</f>
        <v>-769.02</v>
      </c>
      <c r="I29" s="132">
        <f>SUMIF('Monthly Detail'!$4:$4, '2025 Overview (Rolling)'!I$11, 'Monthly Detail'!109:109)</f>
        <v>-775.25</v>
      </c>
      <c r="J29" s="132">
        <f>SUMIF('Monthly Detail'!$4:$4, '2025 Overview (Rolling)'!J$11, 'Monthly Detail'!109:109)</f>
        <v>-727.32</v>
      </c>
      <c r="K29" s="132">
        <f>SUMIF('Monthly Detail'!$4:$4, '2025 Overview (Rolling)'!K$11, 'Monthly Detail'!109:109)</f>
        <v>-726.36</v>
      </c>
      <c r="L29" s="156">
        <f>SUMIF('Monthly Detail'!$4:$4, '2025 Overview (Rolling)'!L$11, 'Monthly Detail'!109:109)</f>
        <v>-842.23</v>
      </c>
      <c r="M29" s="132">
        <f>SUMIF('Monthly Detail'!$4:$4, '2025 Overview (Rolling)'!M$11, 'Monthly Detail'!109:109)</f>
        <v>-800</v>
      </c>
      <c r="N29" s="132">
        <f>SUMIF('Monthly Detail'!$4:$4, '2025 Overview (Rolling)'!N$11, 'Monthly Detail'!109:109)</f>
        <v>-800</v>
      </c>
      <c r="O29" s="132"/>
      <c r="P29" s="185">
        <f>SUM(C29:O29)</f>
        <v>-9246.2999999999993</v>
      </c>
    </row>
    <row r="30" spans="2:20" ht="15.6" x14ac:dyDescent="0.3">
      <c r="B30" s="245" t="s">
        <v>16</v>
      </c>
      <c r="C30" s="88">
        <f t="shared" ref="C30:N30" si="7">C26+SUM(C29:C29)</f>
        <v>1533.3599999999997</v>
      </c>
      <c r="D30" s="88">
        <f t="shared" si="7"/>
        <v>187.25000000000057</v>
      </c>
      <c r="E30" s="88">
        <f t="shared" si="7"/>
        <v>-514.53999999999985</v>
      </c>
      <c r="F30" s="88">
        <f t="shared" si="7"/>
        <v>-782.65999999999974</v>
      </c>
      <c r="G30" s="88">
        <f t="shared" si="7"/>
        <v>1403.27</v>
      </c>
      <c r="H30" s="88">
        <f t="shared" si="7"/>
        <v>1994.6</v>
      </c>
      <c r="I30" s="88">
        <f t="shared" si="7"/>
        <v>3061.8600000000006</v>
      </c>
      <c r="J30" s="88">
        <f t="shared" si="7"/>
        <v>1397.639999999999</v>
      </c>
      <c r="K30" s="88">
        <f t="shared" si="7"/>
        <v>9986.1999999999971</v>
      </c>
      <c r="L30" s="152">
        <f t="shared" si="7"/>
        <v>13319.670000000006</v>
      </c>
      <c r="M30" s="88">
        <f t="shared" si="7"/>
        <v>3212.8640615437644</v>
      </c>
      <c r="N30" s="247">
        <f t="shared" si="7"/>
        <v>1605.8780638602693</v>
      </c>
      <c r="O30" s="246"/>
      <c r="P30" s="454">
        <f>P26+SUM(P29:P29)</f>
        <v>36405.392125404062</v>
      </c>
    </row>
    <row r="31" spans="2:20" x14ac:dyDescent="0.3">
      <c r="B31" s="248" t="s">
        <v>171</v>
      </c>
      <c r="C31" s="90">
        <f t="shared" ref="C31:N31" si="8">C30/C14</f>
        <v>0.23283881254270741</v>
      </c>
      <c r="D31" s="90">
        <f t="shared" si="8"/>
        <v>2.3082745324280285E-2</v>
      </c>
      <c r="E31" s="90">
        <f t="shared" si="8"/>
        <v>-6.6976727233913472E-2</v>
      </c>
      <c r="F31" s="90">
        <f t="shared" si="8"/>
        <v>-0.20836206322795334</v>
      </c>
      <c r="G31" s="90">
        <f t="shared" si="8"/>
        <v>0.23215650591446768</v>
      </c>
      <c r="H31" s="90">
        <f t="shared" si="8"/>
        <v>0.28840370156159628</v>
      </c>
      <c r="I31" s="90">
        <f t="shared" si="8"/>
        <v>0.20508104487608844</v>
      </c>
      <c r="J31" s="90">
        <f t="shared" si="8"/>
        <v>6.8320868162487114E-2</v>
      </c>
      <c r="K31" s="90">
        <f t="shared" si="8"/>
        <v>0.35277576613971551</v>
      </c>
      <c r="L31" s="153">
        <f t="shared" si="8"/>
        <v>0.33837934127697683</v>
      </c>
      <c r="M31" s="90">
        <f t="shared" si="8"/>
        <v>0.25135381790662903</v>
      </c>
      <c r="N31" s="249">
        <f t="shared" si="8"/>
        <v>0.13633931088354387</v>
      </c>
      <c r="O31" s="7"/>
      <c r="P31" s="462">
        <f>P30/P14</f>
        <v>0.21836883288461756</v>
      </c>
    </row>
    <row r="32" spans="2:20" x14ac:dyDescent="0.3">
      <c r="B32" s="248" t="s">
        <v>280</v>
      </c>
      <c r="C32" s="277">
        <f>'Monthly Detail'!AN149-'Monthly Detail'!AM149</f>
        <v>0</v>
      </c>
      <c r="D32" s="277">
        <f>'Monthly Detail'!AO149-'Monthly Detail'!AN149</f>
        <v>0</v>
      </c>
      <c r="E32" s="277">
        <f>'Monthly Detail'!AP149-'Monthly Detail'!AO149</f>
        <v>0</v>
      </c>
      <c r="F32" s="277">
        <f>'Monthly Detail'!AQ149-'Monthly Detail'!AP149</f>
        <v>20675</v>
      </c>
      <c r="G32" s="277">
        <f>'Monthly Detail'!AR149-'Monthly Detail'!AQ149</f>
        <v>7721</v>
      </c>
      <c r="H32" s="277">
        <f>'Monthly Detail'!AS149-'Monthly Detail'!AR149</f>
        <v>0</v>
      </c>
      <c r="I32" s="277">
        <f>'Monthly Detail'!AT149-'Monthly Detail'!AS149</f>
        <v>250</v>
      </c>
      <c r="J32" s="277">
        <f>'Monthly Detail'!AU149-'Monthly Detail'!AT149</f>
        <v>0</v>
      </c>
      <c r="K32" s="277">
        <f>'Monthly Detail'!AV149-'Monthly Detail'!AU149</f>
        <v>2000</v>
      </c>
      <c r="L32" s="546">
        <f>'Monthly Detail'!AW149-'Monthly Detail'!AV149</f>
        <v>0</v>
      </c>
      <c r="M32" s="277">
        <f>'Monthly Detail'!AX149-'Monthly Detail'!AW149</f>
        <v>0</v>
      </c>
      <c r="N32" s="278">
        <f>'Monthly Detail'!AY149-'Monthly Detail'!AX149</f>
        <v>0</v>
      </c>
      <c r="O32" s="7"/>
      <c r="P32" s="463">
        <f>+SUM(C32:N32)</f>
        <v>30646</v>
      </c>
    </row>
    <row r="33" spans="2:16" x14ac:dyDescent="0.3">
      <c r="B33" s="248" t="s">
        <v>385</v>
      </c>
      <c r="C33" s="277">
        <f>+SUM('Monthly Detail'!AN150,'Monthly Detail'!AN152:AN153)-SUM('Monthly Detail'!AM150,'Monthly Detail'!AM152:AM153)</f>
        <v>-2150</v>
      </c>
      <c r="D33" s="277">
        <f>+SUM('Monthly Detail'!AO150,'Monthly Detail'!AO152:AO153)-SUM('Monthly Detail'!AN150,'Monthly Detail'!AN152:AN153)</f>
        <v>0</v>
      </c>
      <c r="E33" s="277">
        <f>+SUM('Monthly Detail'!AP150,'Monthly Detail'!AP152:AP153)-SUM('Monthly Detail'!AO150,'Monthly Detail'!AO152:AO153)</f>
        <v>0</v>
      </c>
      <c r="F33" s="277">
        <f>+SUM('Monthly Detail'!AQ150,'Monthly Detail'!AQ152:AQ153)-SUM('Monthly Detail'!AP150,'Monthly Detail'!AP152:AP153)</f>
        <v>-20674</v>
      </c>
      <c r="G33" s="277">
        <f>+SUM('Monthly Detail'!AR150,'Monthly Detail'!AR152:AR153)-SUM('Monthly Detail'!AQ150,'Monthly Detail'!AQ152:AQ153)</f>
        <v>-8467.4899999999907</v>
      </c>
      <c r="H33" s="277">
        <f>+SUM('Monthly Detail'!AS150,'Monthly Detail'!AS152:AS153)-SUM('Monthly Detail'!AR150,'Monthly Detail'!AR152:AR153)</f>
        <v>655.25</v>
      </c>
      <c r="I33" s="277">
        <f>+SUM('Monthly Detail'!AT150,'Monthly Detail'!AT152:AT153)-SUM('Monthly Detail'!AS150,'Monthly Detail'!AS152:AS153)</f>
        <v>-1057.7799999999988</v>
      </c>
      <c r="J33" s="277">
        <f>+SUM('Monthly Detail'!AU150,'Monthly Detail'!AU152:AU153)-SUM('Monthly Detail'!AT150,'Monthly Detail'!AT152:AT153)</f>
        <v>0</v>
      </c>
      <c r="K33" s="277">
        <f>+SUM('Monthly Detail'!AV150,'Monthly Detail'!AV152:AV153)-SUM('Monthly Detail'!AU150,'Monthly Detail'!AU152:AU153)</f>
        <v>-2574.2200000000012</v>
      </c>
      <c r="L33" s="546">
        <f>+SUM('Monthly Detail'!AW150,'Monthly Detail'!AW152:AW153)-SUM('Monthly Detail'!AV150,'Monthly Detail'!AV152:AV153)</f>
        <v>0</v>
      </c>
      <c r="M33" s="277">
        <f>+SUM('Monthly Detail'!AX150,'Monthly Detail'!AX152:AX153)-SUM('Monthly Detail'!AW150,'Monthly Detail'!AW152:AW153)</f>
        <v>0</v>
      </c>
      <c r="N33" s="278">
        <f>+SUM('Monthly Detail'!AY150,'Monthly Detail'!AY152:AY153)-SUM('Monthly Detail'!AX150,'Monthly Detail'!AX152:AX153)</f>
        <v>0</v>
      </c>
      <c r="O33" s="7"/>
      <c r="P33" s="463">
        <f>+SUM(C33:N33)</f>
        <v>-34268.239999999991</v>
      </c>
    </row>
    <row r="34" spans="2:16" x14ac:dyDescent="0.3">
      <c r="B34" s="451" t="s">
        <v>300</v>
      </c>
      <c r="C34" s="460">
        <f>+C30*0.3</f>
        <v>460.00799999999987</v>
      </c>
      <c r="D34" s="460">
        <f>+C34+(D26*0.3)-SUMIF('Monthly Detail'!$4:$4, '2025 Overview (Rolling)'!D$11, 'Monthly Detail'!77:77)</f>
        <v>313.03400000000005</v>
      </c>
      <c r="E34" s="460">
        <f>+D34+(E26*0.3)-SUMIF('Monthly Detail'!$4:$4, '2025 Overview (Rolling)'!E$11, 'Monthly Detail'!77:77)</f>
        <v>-30.251999999999953</v>
      </c>
      <c r="F34" s="460">
        <f>+E34+(F26*0.3)-SUMIF('Monthly Detail'!$4:$4, '2025 Overview (Rolling)'!F$11, 'Monthly Detail'!77:77)</f>
        <v>-225.1039999999999</v>
      </c>
      <c r="G34" s="460">
        <f>+F34+(G26*0.3)-SUMIF('Monthly Detail'!$4:$4, '2025 Overview (Rolling)'!G$11, 'Monthly Detail'!77:77)</f>
        <v>253.79800000000006</v>
      </c>
      <c r="H34" s="460">
        <f>+G34+(H26*0.3)-SUMIF('Monthly Detail'!$4:$4, '2025 Overview (Rolling)'!H$11, 'Monthly Detail'!77:77)</f>
        <v>895.46400000000006</v>
      </c>
      <c r="I34" s="460">
        <f>+H34+(I26*0.3)-SUMIF('Monthly Detail'!$4:$4, '2025 Overview (Rolling)'!I$11, 'Monthly Detail'!77:77)</f>
        <v>1895.8270000000002</v>
      </c>
      <c r="J34" s="460">
        <f>+I34+(J26*0.3)-SUMIF('Monthly Detail'!$4:$4, '2025 Overview (Rolling)'!J$11, 'Monthly Detail'!77:77)</f>
        <v>1699.875</v>
      </c>
      <c r="K34" s="460">
        <f>+J34+(K26*0.3)-SUMIF('Monthly Detail'!$4:$4, '2025 Overview (Rolling)'!K$11, 'Monthly Detail'!77:77)</f>
        <v>4163.9429999999993</v>
      </c>
      <c r="L34" s="547">
        <f>+K34+(L26*0.3)-SUMIF('Monthly Detail'!$4:$4, '2025 Overview (Rolling)'!L$11, 'Monthly Detail'!77:77)</f>
        <v>7314.7430000000004</v>
      </c>
      <c r="M34" s="460">
        <f>+L34+(M26*0.3)-SUMIF('Monthly Detail'!$4:$4, '2025 Overview (Rolling)'!M$11, 'Monthly Detail'!77:77)</f>
        <v>8113.8328408887583</v>
      </c>
      <c r="N34" s="461">
        <f>+M34+(N26*0.3)-SUMIF('Monthly Detail'!$4:$4, '2025 Overview (Rolling)'!N$11, 'Monthly Detail'!77:77)</f>
        <v>8290.05628178597</v>
      </c>
      <c r="O34" s="375"/>
      <c r="P34" s="464">
        <f>+N34</f>
        <v>8290.05628178597</v>
      </c>
    </row>
    <row r="35" spans="2:16" ht="15" thickBot="1" x14ac:dyDescent="0.35">
      <c r="B35" s="238"/>
      <c r="H35" s="9"/>
      <c r="L35" s="116"/>
      <c r="M35" s="109"/>
      <c r="P35" s="184"/>
    </row>
    <row r="36" spans="2:16" x14ac:dyDescent="0.3">
      <c r="B36" s="255" t="s">
        <v>172</v>
      </c>
      <c r="C36" s="160">
        <f>SUMIF('Monthly Detail'!$4:$4, '2025 Overview (Rolling)'!C$11, 'Monthly Detail'!174:174)</f>
        <v>3823.5900000000011</v>
      </c>
      <c r="D36" s="84">
        <f>SUMIF('Monthly Detail'!$4:$4, '2025 Overview (Rolling)'!D$11, 'Monthly Detail'!174:174)</f>
        <v>494.25000000000091</v>
      </c>
      <c r="E36" s="160">
        <f>SUMIF('Monthly Detail'!$4:$4, '2025 Overview (Rolling)'!E$11, 'Monthly Detail'!174:174)</f>
        <v>985.19000000000108</v>
      </c>
      <c r="F36" s="160">
        <f>SUMIF('Monthly Detail'!$4:$4, '2025 Overview (Rolling)'!F$11, 'Monthly Detail'!174:174)</f>
        <v>1331.5300000000013</v>
      </c>
      <c r="G36" s="160">
        <f>SUMIF('Monthly Detail'!$4:$4, '2025 Overview (Rolling)'!G$11, 'Monthly Detail'!174:174)</f>
        <v>557.08000000001061</v>
      </c>
      <c r="H36" s="160">
        <f>SUMIF('Monthly Detail'!$4:$4, '2025 Overview (Rolling)'!H$11, 'Monthly Detail'!174:174)</f>
        <v>1059.5000000000034</v>
      </c>
      <c r="I36" s="160">
        <f>SUMIF('Monthly Detail'!$4:$4, '2025 Overview (Rolling)'!I$11, 'Monthly Detail'!174:174)</f>
        <v>3158.8300000000054</v>
      </c>
      <c r="J36" s="160">
        <f>SUMIF('Monthly Detail'!$4:$4, '2025 Overview (Rolling)'!J$11, 'Monthly Detail'!174:174)</f>
        <v>3999.4700000000043</v>
      </c>
      <c r="K36" s="160">
        <f>SUMIF('Monthly Detail'!$4:$4, '2025 Overview (Rolling)'!K$11, 'Monthly Detail'!174:174)</f>
        <v>6133.2000000000007</v>
      </c>
      <c r="L36" s="578">
        <f>SUMIF('Monthly Detail'!$4:$4, '2025 Overview (Rolling)'!L$11, 'Monthly Detail'!174:174)</f>
        <v>10262.870000000006</v>
      </c>
      <c r="M36" s="160">
        <f>SUMIF('Monthly Detail'!$4:$4, '2025 Overview (Rolling)'!M$11, 'Monthly Detail'!174:174)</f>
        <v>31672.692830222069</v>
      </c>
      <c r="N36" s="160">
        <f>SUMIF('Monthly Detail'!$4:$4, '2025 Overview (Rolling)'!N$11, 'Monthly Detail'!174:174)</f>
        <v>33443.47195465042</v>
      </c>
      <c r="P36" s="184"/>
    </row>
    <row r="37" spans="2:16" x14ac:dyDescent="0.3">
      <c r="B37" s="256" t="s">
        <v>173</v>
      </c>
      <c r="C37" s="257">
        <f>SUMIF('Monthly Detail'!$4:$4, '2025 Overview (Rolling)'!C$11, 'Monthly Detail'!171:171)</f>
        <v>3530.76</v>
      </c>
      <c r="D37" s="258">
        <f>SUMIF('Monthly Detail'!$4:$4, '2025 Overview (Rolling)'!D$11, 'Monthly Detail'!171:171)</f>
        <v>-3329.34</v>
      </c>
      <c r="E37" s="257">
        <f>SUMIF('Monthly Detail'!$4:$4, '2025 Overview (Rolling)'!E$11, 'Monthly Detail'!171:171)</f>
        <v>490.94000000000017</v>
      </c>
      <c r="F37" s="257">
        <f>SUMIF('Monthly Detail'!$4:$4, '2025 Overview (Rolling)'!F$11, 'Monthly Detail'!171:171)</f>
        <v>346.34000000000026</v>
      </c>
      <c r="G37" s="257">
        <f>SUMIF('Monthly Detail'!$4:$4, '2025 Overview (Rolling)'!G$11, 'Monthly Detail'!171:171)</f>
        <v>-774.44999999999072</v>
      </c>
      <c r="H37" s="257">
        <f>SUMIF('Monthly Detail'!$4:$4, '2025 Overview (Rolling)'!H$11, 'Monthly Detail'!171:171)</f>
        <v>502.4199999999928</v>
      </c>
      <c r="I37" s="257">
        <f>SUMIF('Monthly Detail'!$4:$4, '2025 Overview (Rolling)'!I$11, 'Monthly Detail'!171:171)</f>
        <v>2099.3300000000017</v>
      </c>
      <c r="J37" s="257">
        <f>SUMIF('Monthly Detail'!$4:$4, '2025 Overview (Rolling)'!J$11, 'Monthly Detail'!171:171)</f>
        <v>840.63999999999896</v>
      </c>
      <c r="K37" s="257">
        <f>SUMIF('Monthly Detail'!$4:$4, '2025 Overview (Rolling)'!K$11, 'Monthly Detail'!171:171)</f>
        <v>2133.7299999999959</v>
      </c>
      <c r="L37" s="579">
        <f>SUMIF('Monthly Detail'!$4:$4, '2025 Overview (Rolling)'!L$11, 'Monthly Detail'!171:171)</f>
        <v>4129.6700000000055</v>
      </c>
      <c r="M37" s="257">
        <f>SUMIF('Monthly Detail'!$4:$4, '2025 Overview (Rolling)'!M$11, 'Monthly Detail'!171:171)</f>
        <v>21409.822830222063</v>
      </c>
      <c r="N37" s="257">
        <f>SUMIF('Monthly Detail'!$4:$4, '2025 Overview (Rolling)'!N$11, 'Monthly Detail'!171:171)</f>
        <v>1770.779124428351</v>
      </c>
      <c r="O37" s="259"/>
      <c r="P37" s="260"/>
    </row>
    <row r="38" spans="2:16" x14ac:dyDescent="0.3">
      <c r="E38" s="9"/>
    </row>
  </sheetData>
  <mergeCells count="1">
    <mergeCell ref="B8:P8"/>
  </mergeCells>
  <pageMargins left="0.25" right="0.25" top="0.75" bottom="0.75" header="0.3" footer="0.3"/>
  <pageSetup scale="57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2D64-666F-4408-A2A3-D3F056CE9A9A}">
  <sheetPr>
    <tabColor theme="1"/>
    <pageSetUpPr fitToPage="1"/>
  </sheetPr>
  <dimension ref="B8:T34"/>
  <sheetViews>
    <sheetView showGridLines="0" topLeftCell="A7" zoomScale="58" zoomScaleNormal="90" workbookViewId="0">
      <selection activeCell="B1" sqref="B1:P52"/>
    </sheetView>
  </sheetViews>
  <sheetFormatPr defaultColWidth="8.6640625" defaultRowHeight="14.4" x14ac:dyDescent="0.3"/>
  <cols>
    <col min="2" max="2" width="34" bestFit="1" customWidth="1"/>
    <col min="3" max="3" width="13.77734375" bestFit="1" customWidth="1"/>
    <col min="4" max="4" width="14.77734375" bestFit="1" customWidth="1"/>
    <col min="5" max="5" width="11.77734375" bestFit="1" customWidth="1"/>
    <col min="6" max="6" width="13" bestFit="1" customWidth="1"/>
    <col min="7" max="7" width="14.77734375" bestFit="1" customWidth="1"/>
    <col min="8" max="8" width="15.109375" bestFit="1" customWidth="1"/>
    <col min="9" max="9" width="14.77734375" bestFit="1" customWidth="1"/>
    <col min="10" max="10" width="14.33203125" bestFit="1" customWidth="1"/>
    <col min="11" max="11" width="14.77734375" bestFit="1" customWidth="1"/>
    <col min="12" max="14" width="15.109375" bestFit="1" customWidth="1"/>
    <col min="15" max="15" width="1" customWidth="1"/>
    <col min="16" max="16" width="15.109375" bestFit="1" customWidth="1"/>
  </cols>
  <sheetData>
    <row r="8" spans="2:16" ht="15.6" x14ac:dyDescent="0.3">
      <c r="B8" s="743" t="s">
        <v>355</v>
      </c>
      <c r="C8" s="743"/>
      <c r="D8" s="743"/>
      <c r="E8" s="743"/>
      <c r="F8" s="743"/>
      <c r="G8" s="743"/>
      <c r="H8" s="743"/>
      <c r="I8" s="743"/>
      <c r="J8" s="743"/>
      <c r="K8" s="743"/>
      <c r="L8" s="743"/>
      <c r="M8" s="743"/>
      <c r="N8" s="743"/>
      <c r="O8" s="743"/>
      <c r="P8" s="743"/>
    </row>
    <row r="10" spans="2:16" ht="15.6" x14ac:dyDescent="0.3">
      <c r="B10" s="234"/>
      <c r="C10" s="235" t="str">
        <f>TEXT('Monthly Detail'!D4,"mmmm")</f>
        <v>January</v>
      </c>
      <c r="D10" s="235" t="str">
        <f>TEXT('Monthly Detail'!E4,"mmmm")</f>
        <v>February</v>
      </c>
      <c r="E10" s="235" t="str">
        <f>TEXT('Monthly Detail'!F4,"mmmm")</f>
        <v>March</v>
      </c>
      <c r="F10" s="235" t="str">
        <f>TEXT('Monthly Detail'!G4,"mmmm")</f>
        <v>April</v>
      </c>
      <c r="G10" s="235" t="str">
        <f>TEXT('Monthly Detail'!H4,"mmmm")</f>
        <v>May</v>
      </c>
      <c r="H10" s="235" t="str">
        <f>TEXT('Monthly Detail'!I4,"mmmm")</f>
        <v>June</v>
      </c>
      <c r="I10" s="235" t="str">
        <f>TEXT('Monthly Detail'!J4,"mmmm")</f>
        <v>July</v>
      </c>
      <c r="J10" s="235" t="str">
        <f>TEXT('Monthly Detail'!K4,"mmmm")</f>
        <v>August</v>
      </c>
      <c r="K10" s="235" t="str">
        <f>TEXT('Monthly Detail'!L4,"mmmm")</f>
        <v>September</v>
      </c>
      <c r="L10" s="541" t="str">
        <f>TEXT('Monthly Detail'!M4,"mmmm")</f>
        <v>October</v>
      </c>
      <c r="M10" s="235" t="str">
        <f>TEXT('Monthly Detail'!N4,"mmmm")</f>
        <v>November</v>
      </c>
      <c r="N10" s="235" t="str">
        <f>TEXT('Monthly Detail'!O4,"mmmm")</f>
        <v>December</v>
      </c>
      <c r="O10" s="236"/>
      <c r="P10" s="237" t="s">
        <v>0</v>
      </c>
    </row>
    <row r="11" spans="2:16" x14ac:dyDescent="0.3">
      <c r="B11" s="238"/>
      <c r="C11" s="91">
        <v>45688</v>
      </c>
      <c r="D11" s="91">
        <v>45716</v>
      </c>
      <c r="E11" s="91">
        <v>45747</v>
      </c>
      <c r="F11" s="91">
        <v>45777</v>
      </c>
      <c r="G11" s="91">
        <v>45808</v>
      </c>
      <c r="H11" s="91">
        <v>45838</v>
      </c>
      <c r="I11" s="91">
        <v>45869</v>
      </c>
      <c r="J11" s="91">
        <v>45900</v>
      </c>
      <c r="K11" s="91">
        <v>45930</v>
      </c>
      <c r="L11" s="148">
        <v>45961</v>
      </c>
      <c r="M11" s="91">
        <v>45991</v>
      </c>
      <c r="N11" s="91">
        <v>46022</v>
      </c>
      <c r="O11" s="91">
        <v>45322</v>
      </c>
      <c r="P11" s="184"/>
    </row>
    <row r="12" spans="2:16" x14ac:dyDescent="0.3">
      <c r="B12" s="239" t="s">
        <v>60</v>
      </c>
      <c r="C12" s="73">
        <f>+'2025 Overview (Rolling)'!C12</f>
        <v>6477.5</v>
      </c>
      <c r="D12" s="73">
        <f>+'2025 Overview (Rolling)'!D12</f>
        <v>8052.5</v>
      </c>
      <c r="E12" s="73">
        <f>+'2025 Overview (Rolling)'!E12</f>
        <v>7630</v>
      </c>
      <c r="F12" s="73">
        <f>+'2025 Overview (Rolling)'!F12</f>
        <v>3756.25</v>
      </c>
      <c r="G12" s="73">
        <f>+'2025 Overview (Rolling)'!G12</f>
        <v>6032.5</v>
      </c>
      <c r="H12" s="73">
        <f>+'2025 Overview (Rolling)'!H12</f>
        <v>6822.5</v>
      </c>
      <c r="I12" s="73">
        <f>+'2025 Overview (Rolling)'!I12</f>
        <v>14855</v>
      </c>
      <c r="J12" s="73">
        <f>+'2025 Overview (Rolling)'!J12</f>
        <v>20412.5</v>
      </c>
      <c r="K12" s="73">
        <f>+'2025 Overview (Rolling)'!K12</f>
        <v>28257.5</v>
      </c>
      <c r="L12" s="149">
        <f>+'2025 Overview (Rolling)'!L12</f>
        <v>39333.760000000002</v>
      </c>
      <c r="M12" s="73">
        <f>+'2025 AOP'!M12</f>
        <v>8797.3169856459317</v>
      </c>
      <c r="N12" s="73">
        <f>+'2025 AOP'!N12</f>
        <v>6287.4785318559543</v>
      </c>
      <c r="O12" s="73"/>
      <c r="P12" s="240">
        <f>SUM(C12:O12)</f>
        <v>156714.8055175019</v>
      </c>
    </row>
    <row r="13" spans="2:16" x14ac:dyDescent="0.3">
      <c r="B13" s="239" t="s">
        <v>295</v>
      </c>
      <c r="C13" s="73">
        <f>+'2025 Overview (Rolling)'!C13</f>
        <v>108</v>
      </c>
      <c r="D13" s="73">
        <f>+'2025 Overview (Rolling)'!D13</f>
        <v>59.62</v>
      </c>
      <c r="E13" s="73">
        <f>+'2025 Overview (Rolling)'!E13</f>
        <v>52.37</v>
      </c>
      <c r="F13" s="73">
        <f>+'2025 Overview (Rolling)'!F13</f>
        <v>0</v>
      </c>
      <c r="G13" s="73">
        <f>+'2025 Overview (Rolling)'!G13</f>
        <v>12</v>
      </c>
      <c r="H13" s="73">
        <f>+'2025 Overview (Rolling)'!H13</f>
        <v>93.5</v>
      </c>
      <c r="I13" s="73">
        <f>+'2025 Overview (Rolling)'!I13</f>
        <v>75</v>
      </c>
      <c r="J13" s="73">
        <f>+'2025 Overview (Rolling)'!J13</f>
        <v>44.5</v>
      </c>
      <c r="K13" s="73">
        <f>+'2025 Overview (Rolling)'!K13</f>
        <v>50</v>
      </c>
      <c r="L13" s="149">
        <f>+'2025 Overview (Rolling)'!L13</f>
        <v>29.37</v>
      </c>
      <c r="M13" s="73">
        <f>+'2025 AOP'!M13</f>
        <v>15.950161254015272</v>
      </c>
      <c r="N13" s="73">
        <f>+'2025 AOP'!N13</f>
        <v>11.399645667865892</v>
      </c>
      <c r="O13" s="73"/>
      <c r="P13" s="240">
        <f>+SUM(C13:N13)</f>
        <v>551.70980692188118</v>
      </c>
    </row>
    <row r="14" spans="2:16" x14ac:dyDescent="0.3">
      <c r="B14" s="241" t="s">
        <v>7</v>
      </c>
      <c r="C14" s="74">
        <f>+'2025 Overview (Rolling)'!C14</f>
        <v>6585.5</v>
      </c>
      <c r="D14" s="74">
        <f>+'2025 Overview (Rolling)'!D14</f>
        <v>8112.12</v>
      </c>
      <c r="E14" s="74">
        <f>+'2025 Overview (Rolling)'!E14</f>
        <v>7682.37</v>
      </c>
      <c r="F14" s="74">
        <f>+'2025 Overview (Rolling)'!F14</f>
        <v>3756.25</v>
      </c>
      <c r="G14" s="74">
        <f>+'2025 Overview (Rolling)'!G14</f>
        <v>6044.5</v>
      </c>
      <c r="H14" s="74">
        <f>+'2025 Overview (Rolling)'!H14</f>
        <v>6916</v>
      </c>
      <c r="I14" s="74">
        <f>+'2025 Overview (Rolling)'!I14</f>
        <v>14930</v>
      </c>
      <c r="J14" s="74">
        <f>+'2025 Overview (Rolling)'!J14</f>
        <v>20457</v>
      </c>
      <c r="K14" s="74">
        <f>+'2025 Overview (Rolling)'!K14</f>
        <v>28307.5</v>
      </c>
      <c r="L14" s="150">
        <f>+'2025 Overview (Rolling)'!L14</f>
        <v>39363.130000000005</v>
      </c>
      <c r="M14" s="74">
        <f t="shared" ref="M14" si="0">SUM(M12:M13)</f>
        <v>8813.267146899947</v>
      </c>
      <c r="N14" s="242">
        <f t="shared" ref="N14" si="1">SUM(N12:N13)</f>
        <v>6298.8781775238203</v>
      </c>
      <c r="O14" s="75"/>
      <c r="P14" s="242">
        <f>SUM(P12:P13)</f>
        <v>157266.51532442379</v>
      </c>
    </row>
    <row r="15" spans="2:16" x14ac:dyDescent="0.3">
      <c r="B15" s="447" t="s">
        <v>66</v>
      </c>
      <c r="C15" s="448">
        <f>+'2025 Overview (Rolling)'!C15</f>
        <v>24</v>
      </c>
      <c r="D15" s="448">
        <f>+'2025 Overview (Rolling)'!D15</f>
        <v>28</v>
      </c>
      <c r="E15" s="448">
        <f>+'2025 Overview (Rolling)'!E15</f>
        <v>24</v>
      </c>
      <c r="F15" s="448">
        <f>+'2025 Overview (Rolling)'!F15</f>
        <v>23</v>
      </c>
      <c r="G15" s="448">
        <f>+'2025 Overview (Rolling)'!G15</f>
        <v>20</v>
      </c>
      <c r="H15" s="448">
        <f>+'2025 Overview (Rolling)'!H15</f>
        <v>25</v>
      </c>
      <c r="I15" s="448">
        <f>+'2025 Overview (Rolling)'!I15</f>
        <v>35</v>
      </c>
      <c r="J15" s="448">
        <f>+'2025 Overview (Rolling)'!J15</f>
        <v>48</v>
      </c>
      <c r="K15" s="448">
        <f>+'2025 Overview (Rolling)'!K15</f>
        <v>57</v>
      </c>
      <c r="L15" s="543">
        <f>+'2025 Overview (Rolling)'!L15</f>
        <v>67</v>
      </c>
      <c r="M15" s="448">
        <f>+'2025 AOP'!M15</f>
        <v>43.599999999999987</v>
      </c>
      <c r="N15" s="449">
        <f>+'2025 AOP'!N15</f>
        <v>42.199999999999989</v>
      </c>
      <c r="O15" s="75"/>
      <c r="P15" s="333"/>
    </row>
    <row r="16" spans="2:16" x14ac:dyDescent="0.3">
      <c r="B16" s="238"/>
      <c r="C16" s="76"/>
      <c r="D16" s="76"/>
      <c r="E16" s="76"/>
      <c r="F16" s="76"/>
      <c r="G16" s="76"/>
      <c r="H16" s="76"/>
      <c r="I16" s="76"/>
      <c r="J16" s="76"/>
      <c r="K16" s="76"/>
      <c r="L16" s="151"/>
      <c r="M16" s="76"/>
      <c r="N16" s="76"/>
      <c r="P16" s="244"/>
    </row>
    <row r="17" spans="2:20" x14ac:dyDescent="0.3">
      <c r="B17" s="238" t="s">
        <v>325</v>
      </c>
      <c r="C17" s="76">
        <f>+'2025 Overview (Rolling)'!C18</f>
        <v>0</v>
      </c>
      <c r="D17" s="76">
        <f>+'2025 Overview (Rolling)'!D18</f>
        <v>450</v>
      </c>
      <c r="E17" s="76">
        <f>+'2025 Overview (Rolling)'!E18</f>
        <v>0</v>
      </c>
      <c r="F17" s="76">
        <f>+'2025 Overview (Rolling)'!F18</f>
        <v>0</v>
      </c>
      <c r="G17" s="76">
        <f>+'2025 Overview (Rolling)'!G18</f>
        <v>270</v>
      </c>
      <c r="H17" s="76">
        <f>+'2025 Overview (Rolling)'!H18</f>
        <v>0</v>
      </c>
      <c r="I17" s="76">
        <f>+'2025 Overview (Rolling)'!I18</f>
        <v>1582.5</v>
      </c>
      <c r="J17" s="76">
        <f>+'2025 Overview (Rolling)'!J18</f>
        <v>684</v>
      </c>
      <c r="K17" s="76">
        <f>+'2025 Overview (Rolling)'!K18</f>
        <v>4076.7400000000002</v>
      </c>
      <c r="L17" s="151">
        <f>+'2025 Overview (Rolling)'!L18</f>
        <v>6255</v>
      </c>
      <c r="M17" s="76">
        <f>+'2025 AOP'!M18</f>
        <v>524</v>
      </c>
      <c r="N17" s="76">
        <f>+'2025 AOP'!N18</f>
        <v>0</v>
      </c>
      <c r="P17" s="240">
        <f>SUM(C17:O17)</f>
        <v>13842.24</v>
      </c>
    </row>
    <row r="18" spans="2:20" ht="15.6" x14ac:dyDescent="0.3">
      <c r="B18" s="245" t="s">
        <v>165</v>
      </c>
      <c r="C18" s="88">
        <f>+'2025 Overview (Rolling)'!C19</f>
        <v>6585.5</v>
      </c>
      <c r="D18" s="88">
        <f>+'2025 Overview (Rolling)'!D19</f>
        <v>7662.12</v>
      </c>
      <c r="E18" s="88">
        <f>+'2025 Overview (Rolling)'!E19</f>
        <v>7682.37</v>
      </c>
      <c r="F18" s="88">
        <f>+'2025 Overview (Rolling)'!F19</f>
        <v>3756.25</v>
      </c>
      <c r="G18" s="88">
        <f>+'2025 Overview (Rolling)'!G19</f>
        <v>5774.5</v>
      </c>
      <c r="H18" s="88">
        <f>+'2025 Overview (Rolling)'!H19</f>
        <v>6916</v>
      </c>
      <c r="I18" s="88">
        <f>+'2025 Overview (Rolling)'!I19</f>
        <v>13347.5</v>
      </c>
      <c r="J18" s="88">
        <f>+'2025 Overview (Rolling)'!J19</f>
        <v>19773</v>
      </c>
      <c r="K18" s="88">
        <f>+'2025 Overview (Rolling)'!K19</f>
        <v>24230.76</v>
      </c>
      <c r="L18" s="152">
        <f>+'2025 Overview (Rolling)'!L19</f>
        <v>33108.130000000005</v>
      </c>
      <c r="M18" s="88">
        <f t="shared" ref="M18" si="2">M14-M17</f>
        <v>8289.267146899947</v>
      </c>
      <c r="N18" s="88">
        <f t="shared" ref="N18" si="3">N14-N17</f>
        <v>6298.8781775238203</v>
      </c>
      <c r="O18" s="246"/>
      <c r="P18" s="247">
        <f>P14-P17</f>
        <v>143424.2753244238</v>
      </c>
    </row>
    <row r="19" spans="2:20" x14ac:dyDescent="0.3">
      <c r="B19" s="248" t="s">
        <v>166</v>
      </c>
      <c r="C19" s="90">
        <f>+'2025 Overview (Rolling)'!C20</f>
        <v>1</v>
      </c>
      <c r="D19" s="90">
        <f>+'2025 Overview (Rolling)'!D20</f>
        <v>0.94452744781881925</v>
      </c>
      <c r="E19" s="90">
        <f>+'2025 Overview (Rolling)'!E20</f>
        <v>1</v>
      </c>
      <c r="F19" s="90">
        <f>+'2025 Overview (Rolling)'!F20</f>
        <v>1</v>
      </c>
      <c r="G19" s="90">
        <f>+'2025 Overview (Rolling)'!G20</f>
        <v>0.95533129291091079</v>
      </c>
      <c r="H19" s="90">
        <f>+'2025 Overview (Rolling)'!H20</f>
        <v>1</v>
      </c>
      <c r="I19" s="90">
        <f>+'2025 Overview (Rolling)'!I20</f>
        <v>0.89400535833891492</v>
      </c>
      <c r="J19" s="90">
        <f>+'2025 Overview (Rolling)'!J20</f>
        <v>0.96656401231852174</v>
      </c>
      <c r="K19" s="90">
        <f>+'2025 Overview (Rolling)'!K20</f>
        <v>0.85598374988960513</v>
      </c>
      <c r="L19" s="153">
        <f>+'2025 Overview (Rolling)'!L20</f>
        <v>0.8410949535771165</v>
      </c>
      <c r="M19" s="90">
        <f t="shared" ref="M19" si="4">M18/M14</f>
        <v>0.94054418284775176</v>
      </c>
      <c r="N19" s="90">
        <f t="shared" ref="N19" si="5">N18/N14</f>
        <v>1</v>
      </c>
      <c r="O19" s="7"/>
      <c r="P19" s="249">
        <f>P18/P14</f>
        <v>0.91198228070708531</v>
      </c>
    </row>
    <row r="20" spans="2:20" x14ac:dyDescent="0.3">
      <c r="B20" s="238"/>
      <c r="L20" s="116"/>
      <c r="P20" s="184"/>
    </row>
    <row r="21" spans="2:20" x14ac:dyDescent="0.3">
      <c r="B21" s="238" t="s">
        <v>273</v>
      </c>
      <c r="C21" s="73">
        <f>+'2025 Overview (Rolling)'!C22</f>
        <v>0</v>
      </c>
      <c r="D21" s="73">
        <f>+'2025 Overview (Rolling)'!D22</f>
        <v>0</v>
      </c>
      <c r="E21" s="73">
        <f>+'2025 Overview (Rolling)'!E22</f>
        <v>0</v>
      </c>
      <c r="F21" s="73">
        <f>+'2025 Overview (Rolling)'!F22</f>
        <v>0</v>
      </c>
      <c r="G21" s="73">
        <f>+'2025 Overview (Rolling)'!G22</f>
        <v>0</v>
      </c>
      <c r="H21" s="73">
        <f>+'2025 Overview (Rolling)'!H22</f>
        <v>0</v>
      </c>
      <c r="I21" s="73">
        <f>+'2025 Overview (Rolling)'!I22</f>
        <v>0</v>
      </c>
      <c r="J21" s="73">
        <f>+'2025 Overview (Rolling)'!J22</f>
        <v>0</v>
      </c>
      <c r="K21" s="73">
        <f>+'2025 Overview (Rolling)'!K22</f>
        <v>0</v>
      </c>
      <c r="L21" s="149">
        <f>+'2025 Overview (Rolling)'!L22</f>
        <v>0</v>
      </c>
      <c r="M21" s="73">
        <f>+'2025 AOP'!M22</f>
        <v>0</v>
      </c>
      <c r="N21" s="73">
        <f>+'2025 AOP'!N22</f>
        <v>0</v>
      </c>
      <c r="P21" s="240">
        <f>SUM(C21:O21)</f>
        <v>0</v>
      </c>
      <c r="T21" s="1"/>
    </row>
    <row r="22" spans="2:20" x14ac:dyDescent="0.3">
      <c r="B22" s="238" t="s">
        <v>203</v>
      </c>
      <c r="C22" s="73">
        <f>+'2025 Overview (Rolling)'!C23</f>
        <v>4230.3</v>
      </c>
      <c r="D22" s="73">
        <f>+'2025 Overview (Rolling)'!D23</f>
        <v>6699.2999999999993</v>
      </c>
      <c r="E22" s="73">
        <f>+'2025 Overview (Rolling)'!E23</f>
        <v>7438.99</v>
      </c>
      <c r="F22" s="73">
        <f>+'2025 Overview (Rolling)'!F23</f>
        <v>3780.99</v>
      </c>
      <c r="G22" s="73">
        <f>+'2025 Overview (Rolling)'!G23</f>
        <v>3678.36</v>
      </c>
      <c r="H22" s="73">
        <f>+'2025 Overview (Rolling)'!H23</f>
        <v>4152.38</v>
      </c>
      <c r="I22" s="73">
        <f>+'2025 Overview (Rolling)'!I23</f>
        <v>9510.39</v>
      </c>
      <c r="J22" s="73">
        <f>+'2025 Overview (Rolling)'!J23</f>
        <v>17648.04</v>
      </c>
      <c r="K22" s="73">
        <f>+'2025 Overview (Rolling)'!K23</f>
        <v>13518.2</v>
      </c>
      <c r="L22" s="149">
        <f>+'2025 Overview (Rolling)'!L23</f>
        <v>18946.23</v>
      </c>
      <c r="M22" s="73">
        <f>+'2025 AOP'!M23</f>
        <v>1340.2173896031659</v>
      </c>
      <c r="N22" s="73">
        <f>+'2025 AOP'!N23</f>
        <v>1635.395598862551</v>
      </c>
      <c r="P22" s="240">
        <f>SUM(C22:O22)</f>
        <v>92578.792988465706</v>
      </c>
      <c r="T22" s="1"/>
    </row>
    <row r="23" spans="2:20" x14ac:dyDescent="0.3">
      <c r="B23" s="250" t="s">
        <v>167</v>
      </c>
      <c r="C23" s="79">
        <f>+'2025 Overview (Rolling)'!C24</f>
        <v>4230.3</v>
      </c>
      <c r="D23" s="79">
        <f>+'2025 Overview (Rolling)'!D24</f>
        <v>6699.2999999999993</v>
      </c>
      <c r="E23" s="79">
        <f>+'2025 Overview (Rolling)'!E24</f>
        <v>7438.99</v>
      </c>
      <c r="F23" s="79">
        <f>+'2025 Overview (Rolling)'!F24</f>
        <v>3780.99</v>
      </c>
      <c r="G23" s="79">
        <f>+'2025 Overview (Rolling)'!G24</f>
        <v>3678.36</v>
      </c>
      <c r="H23" s="79">
        <f>+'2025 Overview (Rolling)'!H24</f>
        <v>4152.38</v>
      </c>
      <c r="I23" s="79">
        <f>+'2025 Overview (Rolling)'!I24</f>
        <v>9510.39</v>
      </c>
      <c r="J23" s="79">
        <f>+'2025 Overview (Rolling)'!J24</f>
        <v>17648.04</v>
      </c>
      <c r="K23" s="79">
        <f>+'2025 Overview (Rolling)'!K24</f>
        <v>13518.2</v>
      </c>
      <c r="L23" s="154">
        <f>+'2025 Overview (Rolling)'!L24</f>
        <v>18946.23</v>
      </c>
      <c r="M23" s="79">
        <f t="shared" ref="M23:N23" si="6">SUM(M21:M22)</f>
        <v>1340.2173896031659</v>
      </c>
      <c r="N23" s="79">
        <f t="shared" si="6"/>
        <v>1635.395598862551</v>
      </c>
      <c r="O23" s="251"/>
      <c r="P23" s="252">
        <f>SUM(P21:P22)</f>
        <v>92578.792988465706</v>
      </c>
    </row>
    <row r="24" spans="2:20" x14ac:dyDescent="0.3">
      <c r="B24" s="238"/>
      <c r="L24" s="116"/>
      <c r="P24" s="184"/>
    </row>
    <row r="25" spans="2:20" ht="15.6" x14ac:dyDescent="0.3">
      <c r="B25" s="245" t="s">
        <v>168</v>
      </c>
      <c r="C25" s="88">
        <f>+'2025 Overview (Rolling)'!C26</f>
        <v>2355.1999999999998</v>
      </c>
      <c r="D25" s="88">
        <f>+'2025 Overview (Rolling)'!D26</f>
        <v>962.82000000000062</v>
      </c>
      <c r="E25" s="88">
        <f>+'2025 Overview (Rolling)'!E26</f>
        <v>243.38000000000011</v>
      </c>
      <c r="F25" s="88">
        <f>+'2025 Overview (Rolling)'!F26</f>
        <v>-24.739999999999782</v>
      </c>
      <c r="G25" s="88">
        <f>+'2025 Overview (Rolling)'!G26</f>
        <v>2096.14</v>
      </c>
      <c r="H25" s="88">
        <f>+'2025 Overview (Rolling)'!H26</f>
        <v>2763.62</v>
      </c>
      <c r="I25" s="88">
        <f>+'2025 Overview (Rolling)'!I26</f>
        <v>3837.1100000000006</v>
      </c>
      <c r="J25" s="88">
        <f>+'2025 Overview (Rolling)'!J26</f>
        <v>2124.9599999999991</v>
      </c>
      <c r="K25" s="88">
        <f>+'2025 Overview (Rolling)'!K26</f>
        <v>10712.559999999998</v>
      </c>
      <c r="L25" s="152">
        <f>+'2025 Overview (Rolling)'!L26</f>
        <v>14161.900000000005</v>
      </c>
      <c r="M25" s="88">
        <f t="shared" ref="M25:N25" si="7">M18-M23</f>
        <v>6949.0497572967815</v>
      </c>
      <c r="N25" s="88">
        <f t="shared" si="7"/>
        <v>4663.4825786612691</v>
      </c>
      <c r="O25" s="246"/>
      <c r="P25" s="247">
        <f>P18-P23</f>
        <v>50845.482335958091</v>
      </c>
    </row>
    <row r="26" spans="2:20" x14ac:dyDescent="0.3">
      <c r="B26" s="248" t="s">
        <v>169</v>
      </c>
      <c r="C26" s="90">
        <f>+'2025 Overview (Rolling)'!C27</f>
        <v>0.35763419634044491</v>
      </c>
      <c r="D26" s="90">
        <f>+'2025 Overview (Rolling)'!D27</f>
        <v>0.11868907264685441</v>
      </c>
      <c r="E26" s="90">
        <f>+'2025 Overview (Rolling)'!E27</f>
        <v>3.1680327815504866E-2</v>
      </c>
      <c r="F26" s="90">
        <f>+'2025 Overview (Rolling)'!F27</f>
        <v>-6.5863560732112563E-3</v>
      </c>
      <c r="G26" s="90">
        <f>+'2025 Overview (Rolling)'!G27</f>
        <v>0.34678468028786497</v>
      </c>
      <c r="H26" s="90">
        <f>+'2025 Overview (Rolling)'!H27</f>
        <v>0.39959803354540196</v>
      </c>
      <c r="I26" s="90">
        <f>+'2025 Overview (Rolling)'!I27</f>
        <v>0.25700669792364372</v>
      </c>
      <c r="J26" s="90">
        <f>+'2025 Overview (Rolling)'!J27</f>
        <v>0.10387446839712564</v>
      </c>
      <c r="K26" s="90">
        <f>+'2025 Overview (Rolling)'!K27</f>
        <v>0.37843539697959894</v>
      </c>
      <c r="L26" s="153">
        <f>+'2025 Overview (Rolling)'!L27</f>
        <v>0.35977575970203596</v>
      </c>
      <c r="M26" s="90">
        <f t="shared" ref="M26:N26" si="8">M25/M14</f>
        <v>0.78847601479334473</v>
      </c>
      <c r="N26" s="90">
        <f t="shared" si="8"/>
        <v>0.74036716495040256</v>
      </c>
      <c r="O26" s="7"/>
      <c r="P26" s="249">
        <f>P25/P14</f>
        <v>0.32330774437946547</v>
      </c>
    </row>
    <row r="27" spans="2:20" x14ac:dyDescent="0.3">
      <c r="B27" s="253"/>
      <c r="C27" s="82"/>
      <c r="D27" s="82"/>
      <c r="E27" s="82"/>
      <c r="F27" s="82"/>
      <c r="G27" s="82"/>
      <c r="H27" s="82"/>
      <c r="I27" s="82"/>
      <c r="J27" s="82"/>
      <c r="K27" s="82"/>
      <c r="L27" s="155"/>
      <c r="M27" s="82"/>
      <c r="N27" s="82"/>
      <c r="P27" s="254"/>
    </row>
    <row r="28" spans="2:20" x14ac:dyDescent="0.3">
      <c r="B28" s="238" t="s">
        <v>170</v>
      </c>
      <c r="C28" s="132">
        <f>+'2025 Overview (Rolling)'!C29</f>
        <v>-821.84</v>
      </c>
      <c r="D28" s="132">
        <f>+'2025 Overview (Rolling)'!D29</f>
        <v>-775.57</v>
      </c>
      <c r="E28" s="132">
        <f>+'2025 Overview (Rolling)'!E29</f>
        <v>-757.92</v>
      </c>
      <c r="F28" s="132">
        <f>+'2025 Overview (Rolling)'!F29</f>
        <v>-757.92</v>
      </c>
      <c r="G28" s="132">
        <f>+'2025 Overview (Rolling)'!G29</f>
        <v>-692.87</v>
      </c>
      <c r="H28" s="132">
        <f>+'2025 Overview (Rolling)'!H29</f>
        <v>-769.02</v>
      </c>
      <c r="I28" s="132">
        <f>+'2025 Overview (Rolling)'!I29</f>
        <v>-775.25</v>
      </c>
      <c r="J28" s="132">
        <f>+'2025 Overview (Rolling)'!J29</f>
        <v>-727.32</v>
      </c>
      <c r="K28" s="132">
        <f>+'2025 Overview (Rolling)'!K29</f>
        <v>-726.36</v>
      </c>
      <c r="L28" s="156">
        <f>+'2025 Overview (Rolling)'!L29</f>
        <v>-842.23</v>
      </c>
      <c r="M28" s="132">
        <f>+'2025 AOP'!M29</f>
        <v>-800</v>
      </c>
      <c r="N28" s="132">
        <f>+'2025 AOP'!N29</f>
        <v>-800</v>
      </c>
      <c r="O28" s="132"/>
      <c r="P28" s="185">
        <f>SUM(C28:O28)</f>
        <v>-9246.2999999999993</v>
      </c>
    </row>
    <row r="29" spans="2:20" ht="15.6" x14ac:dyDescent="0.3">
      <c r="B29" s="245" t="s">
        <v>16</v>
      </c>
      <c r="C29" s="88">
        <f>+'2025 Overview (Rolling)'!C30</f>
        <v>1533.3599999999997</v>
      </c>
      <c r="D29" s="88">
        <f>+'2025 Overview (Rolling)'!D30</f>
        <v>187.25000000000057</v>
      </c>
      <c r="E29" s="88">
        <f>+'2025 Overview (Rolling)'!E30</f>
        <v>-514.53999999999985</v>
      </c>
      <c r="F29" s="88">
        <f>+'2025 Overview (Rolling)'!F30</f>
        <v>-782.65999999999974</v>
      </c>
      <c r="G29" s="88">
        <f>+'2025 Overview (Rolling)'!G30</f>
        <v>1403.27</v>
      </c>
      <c r="H29" s="88">
        <f>+'2025 Overview (Rolling)'!H30</f>
        <v>1994.6</v>
      </c>
      <c r="I29" s="88">
        <f>+'2025 Overview (Rolling)'!I30</f>
        <v>3061.8600000000006</v>
      </c>
      <c r="J29" s="88">
        <f>+'2025 Overview (Rolling)'!J30</f>
        <v>1397.639999999999</v>
      </c>
      <c r="K29" s="88">
        <f>+'2025 Overview (Rolling)'!K30</f>
        <v>9986.1999999999971</v>
      </c>
      <c r="L29" s="152">
        <f>+'2025 Overview (Rolling)'!L30</f>
        <v>13319.670000000006</v>
      </c>
      <c r="M29" s="88">
        <f t="shared" ref="M29" si="9">M25+SUM(M28:M28)</f>
        <v>6149.0497572967815</v>
      </c>
      <c r="N29" s="88">
        <f t="shared" ref="N29" si="10">N25+SUM(N28:N28)</f>
        <v>3863.4825786612691</v>
      </c>
      <c r="O29" s="246"/>
      <c r="P29" s="247">
        <f>P25+SUM(P28:P28)</f>
        <v>41599.182335958089</v>
      </c>
    </row>
    <row r="30" spans="2:20" x14ac:dyDescent="0.3">
      <c r="B30" s="248" t="s">
        <v>171</v>
      </c>
      <c r="C30" s="90">
        <f>+'2025 Overview (Rolling)'!C31</f>
        <v>0.23283881254270741</v>
      </c>
      <c r="D30" s="90">
        <f>+'2025 Overview (Rolling)'!D31</f>
        <v>2.3082745324280285E-2</v>
      </c>
      <c r="E30" s="90">
        <f>+'2025 Overview (Rolling)'!E31</f>
        <v>-6.6976727233913472E-2</v>
      </c>
      <c r="F30" s="90">
        <f>+'2025 Overview (Rolling)'!F31</f>
        <v>-0.20836206322795334</v>
      </c>
      <c r="G30" s="90">
        <f>+'2025 Overview (Rolling)'!G31</f>
        <v>0.23215650591446768</v>
      </c>
      <c r="H30" s="90">
        <f>+'2025 Overview (Rolling)'!H31</f>
        <v>0.28840370156159628</v>
      </c>
      <c r="I30" s="90">
        <f>+'2025 Overview (Rolling)'!I31</f>
        <v>0.20508104487608844</v>
      </c>
      <c r="J30" s="90">
        <f>+'2025 Overview (Rolling)'!J31</f>
        <v>6.8320868162487114E-2</v>
      </c>
      <c r="K30" s="90">
        <f>+'2025 Overview (Rolling)'!K31</f>
        <v>0.35277576613971551</v>
      </c>
      <c r="L30" s="153">
        <f>+'2025 Overview (Rolling)'!L31</f>
        <v>0.33837934127697683</v>
      </c>
      <c r="M30" s="90">
        <f t="shared" ref="M30" si="11">M29/M14</f>
        <v>0.69770377486624813</v>
      </c>
      <c r="N30" s="90">
        <f t="shared" ref="N30" si="12">N29/N14</f>
        <v>0.61336042224903919</v>
      </c>
      <c r="O30" s="7"/>
      <c r="P30" s="249">
        <f>P29/P14</f>
        <v>0.26451391925448009</v>
      </c>
    </row>
    <row r="31" spans="2:20" ht="15" thickBot="1" x14ac:dyDescent="0.35">
      <c r="B31" s="238"/>
      <c r="L31" s="116"/>
      <c r="M31" s="109"/>
      <c r="P31" s="184"/>
    </row>
    <row r="32" spans="2:20" x14ac:dyDescent="0.3">
      <c r="B32" s="255" t="s">
        <v>172</v>
      </c>
      <c r="C32" s="160">
        <f>+'2025 Overview (Rolling)'!C36</f>
        <v>3823.5900000000011</v>
      </c>
      <c r="D32" s="84">
        <f>+'2025 Overview (Rolling)'!D36</f>
        <v>494.25000000000091</v>
      </c>
      <c r="E32" s="84">
        <f>+'2025 Overview (Rolling)'!E36</f>
        <v>985.19000000000108</v>
      </c>
      <c r="F32" s="160">
        <f>+'2025 Overview (Rolling)'!F36</f>
        <v>1331.5300000000013</v>
      </c>
      <c r="G32" s="160">
        <f>+'2025 Overview (Rolling)'!G36</f>
        <v>557.08000000001061</v>
      </c>
      <c r="H32" s="160">
        <f>+'2025 Overview (Rolling)'!H36</f>
        <v>1059.5000000000034</v>
      </c>
      <c r="I32" s="160">
        <f>+'2025 Overview (Rolling)'!I36</f>
        <v>3158.8300000000054</v>
      </c>
      <c r="J32" s="160">
        <f>+'2025 Overview (Rolling)'!J36</f>
        <v>3999.4700000000043</v>
      </c>
      <c r="K32" s="160">
        <f>+'2025 Overview (Rolling)'!K36</f>
        <v>6133.2000000000007</v>
      </c>
      <c r="L32" s="578">
        <f>+'2025 Overview (Rolling)'!L36</f>
        <v>10262.870000000006</v>
      </c>
      <c r="M32" s="315">
        <f>+'2024 AOP'!M31</f>
        <v>36536.590043550263</v>
      </c>
      <c r="N32" s="160">
        <f>+'2024 AOP'!N31</f>
        <v>38730.025353412595</v>
      </c>
      <c r="P32" s="184"/>
    </row>
    <row r="33" spans="2:16" x14ac:dyDescent="0.3">
      <c r="B33" s="256" t="s">
        <v>173</v>
      </c>
      <c r="C33" s="257">
        <f>+'2025 Overview (Rolling)'!C37</f>
        <v>3530.76</v>
      </c>
      <c r="D33" s="258">
        <f>+'2025 Overview (Rolling)'!D37</f>
        <v>-3329.34</v>
      </c>
      <c r="E33" s="258">
        <f>+'2025 Overview (Rolling)'!E37</f>
        <v>490.94000000000017</v>
      </c>
      <c r="F33" s="257">
        <f>+'2025 Overview (Rolling)'!F37</f>
        <v>346.34000000000026</v>
      </c>
      <c r="G33" s="257">
        <f>+'2025 Overview (Rolling)'!G37</f>
        <v>-774.44999999999072</v>
      </c>
      <c r="H33" s="257">
        <f>+'2025 Overview (Rolling)'!H37</f>
        <v>502.4199999999928</v>
      </c>
      <c r="I33" s="257">
        <f>+'2025 Overview (Rolling)'!I37</f>
        <v>2099.3300000000017</v>
      </c>
      <c r="J33" s="257">
        <f>+'2025 Overview (Rolling)'!J37</f>
        <v>840.63999999999896</v>
      </c>
      <c r="K33" s="257">
        <f>+'2025 Overview (Rolling)'!K37</f>
        <v>2133.7299999999959</v>
      </c>
      <c r="L33" s="579">
        <f>+'2025 Overview (Rolling)'!L37</f>
        <v>4129.6700000000055</v>
      </c>
      <c r="M33" s="316">
        <f>+'2024 AOP'!M32</f>
        <v>1814.0563377699918</v>
      </c>
      <c r="N33" s="258">
        <f>+'2024 AOP'!N32</f>
        <v>2193.4353098623324</v>
      </c>
      <c r="O33" s="259"/>
      <c r="P33" s="260"/>
    </row>
    <row r="34" spans="2:16" x14ac:dyDescent="0.3">
      <c r="E34" s="9"/>
    </row>
  </sheetData>
  <mergeCells count="1">
    <mergeCell ref="B8:P8"/>
  </mergeCells>
  <pageMargins left="0.25" right="0.25" top="0.75" bottom="0.75" header="0.3" footer="0.3"/>
  <pageSetup scale="56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57E8-D2FC-4FDC-A195-55F3A93C25AC}">
  <sheetPr>
    <tabColor theme="1"/>
    <pageSetUpPr fitToPage="1"/>
  </sheetPr>
  <dimension ref="B1:T38"/>
  <sheetViews>
    <sheetView showGridLines="0" topLeftCell="A8" zoomScale="70" zoomScaleNormal="70" workbookViewId="0">
      <selection activeCell="G74" sqref="G74"/>
    </sheetView>
  </sheetViews>
  <sheetFormatPr defaultColWidth="8.6640625" defaultRowHeight="14.4" x14ac:dyDescent="0.3"/>
  <cols>
    <col min="2" max="2" width="34" bestFit="1" customWidth="1"/>
    <col min="3" max="3" width="14.33203125" bestFit="1" customWidth="1"/>
    <col min="4" max="5" width="13.44140625" bestFit="1" customWidth="1"/>
    <col min="6" max="7" width="14.44140625" bestFit="1" customWidth="1"/>
    <col min="8" max="8" width="14.33203125" bestFit="1" customWidth="1"/>
    <col min="9" max="9" width="14.44140625" bestFit="1" customWidth="1"/>
    <col min="10" max="10" width="13" bestFit="1" customWidth="1"/>
    <col min="11" max="13" width="15" bestFit="1" customWidth="1"/>
    <col min="14" max="14" width="15.44140625" bestFit="1" customWidth="1"/>
    <col min="15" max="15" width="1.44140625" customWidth="1"/>
    <col min="16" max="16" width="14.44140625" bestFit="1" customWidth="1"/>
  </cols>
  <sheetData>
    <row r="1" spans="2:16" x14ac:dyDescent="0.3">
      <c r="B1" t="s">
        <v>163</v>
      </c>
    </row>
    <row r="8" spans="2:16" ht="15.6" x14ac:dyDescent="0.3">
      <c r="B8" s="743" t="s">
        <v>257</v>
      </c>
      <c r="C8" s="743"/>
      <c r="D8" s="743"/>
      <c r="E8" s="743"/>
      <c r="F8" s="743"/>
      <c r="G8" s="743"/>
      <c r="H8" s="743"/>
      <c r="I8" s="743"/>
      <c r="J8" s="743"/>
      <c r="K8" s="743"/>
      <c r="L8" s="743"/>
      <c r="M8" s="743"/>
      <c r="N8" s="743"/>
      <c r="O8" s="743"/>
      <c r="P8" s="743"/>
    </row>
    <row r="9" spans="2:16" ht="1.95" customHeight="1" x14ac:dyDescent="0.3"/>
    <row r="10" spans="2:16" ht="15.6" x14ac:dyDescent="0.3">
      <c r="B10" s="234"/>
      <c r="C10" s="235" t="str">
        <f>TEXT('Monthly Detail'!D4,"mmmm")</f>
        <v>January</v>
      </c>
      <c r="D10" s="235" t="str">
        <f>TEXT('Monthly Detail'!E4,"mmmm")</f>
        <v>February</v>
      </c>
      <c r="E10" s="235" t="str">
        <f>TEXT('Monthly Detail'!F4,"mmmm")</f>
        <v>March</v>
      </c>
      <c r="F10" s="235" t="str">
        <f>TEXT('Monthly Detail'!G4,"mmmm")</f>
        <v>April</v>
      </c>
      <c r="G10" s="235" t="str">
        <f>TEXT('Monthly Detail'!H4,"mmmm")</f>
        <v>May</v>
      </c>
      <c r="H10" s="320" t="str">
        <f>TEXT('Monthly Detail'!I4,"mmmm")</f>
        <v>June</v>
      </c>
      <c r="I10" s="235" t="str">
        <f>TEXT('Monthly Detail'!J4,"mmmm")</f>
        <v>July</v>
      </c>
      <c r="J10" s="494" t="str">
        <f>TEXT('Monthly Detail'!K4,"mmmm")</f>
        <v>August</v>
      </c>
      <c r="K10" s="235" t="str">
        <f>TEXT('Monthly Detail'!L4,"mmmm")</f>
        <v>September</v>
      </c>
      <c r="L10" s="314" t="str">
        <f>TEXT('Monthly Detail'!M4,"mmmm")</f>
        <v>October</v>
      </c>
      <c r="M10" s="235" t="str">
        <f>TEXT('Monthly Detail'!N4,"mmmm")</f>
        <v>November</v>
      </c>
      <c r="N10" s="235" t="str">
        <f>TEXT('Monthly Detail'!O4,"mmmm")</f>
        <v>December</v>
      </c>
      <c r="O10" s="236"/>
      <c r="P10" s="237" t="s">
        <v>0</v>
      </c>
    </row>
    <row r="11" spans="2:16" x14ac:dyDescent="0.3">
      <c r="B11" s="238"/>
      <c r="C11" s="91">
        <v>45322</v>
      </c>
      <c r="D11" s="91">
        <v>45351</v>
      </c>
      <c r="E11" s="91">
        <v>45382</v>
      </c>
      <c r="F11" s="91">
        <v>45412</v>
      </c>
      <c r="G11" s="91">
        <v>45443</v>
      </c>
      <c r="H11" s="91">
        <v>45473</v>
      </c>
      <c r="I11" s="91">
        <v>45504</v>
      </c>
      <c r="J11" s="91">
        <v>45535</v>
      </c>
      <c r="K11" s="91">
        <v>45565</v>
      </c>
      <c r="L11" s="91">
        <v>45596</v>
      </c>
      <c r="M11" s="91">
        <v>45626</v>
      </c>
      <c r="N11" s="91">
        <v>45657</v>
      </c>
      <c r="O11" s="91">
        <v>45322</v>
      </c>
      <c r="P11" s="184"/>
    </row>
    <row r="12" spans="2:16" x14ac:dyDescent="0.3">
      <c r="B12" s="239" t="s">
        <v>60</v>
      </c>
      <c r="C12" s="73">
        <f>SUMIF('Monthly Detail'!$4:$4, '2024 Overview (Rolling)'!C$11, 'Monthly Detail'!12:12)</f>
        <v>2885</v>
      </c>
      <c r="D12" s="73">
        <f>SUMIF('Monthly Detail'!$4:$4, '2024 Overview (Rolling)'!D$11, 'Monthly Detail'!12:12)</f>
        <v>4357.5</v>
      </c>
      <c r="E12" s="73">
        <f>SUMIF('Monthly Detail'!$4:$4, '2024 Overview (Rolling)'!E$11, 'Monthly Detail'!12:12)</f>
        <v>3467.5</v>
      </c>
      <c r="F12" s="73">
        <f>SUMIF('Monthly Detail'!$4:$4, '2024 Overview (Rolling)'!F$11, 'Monthly Detail'!12:12)</f>
        <v>4000</v>
      </c>
      <c r="G12" s="73">
        <f>SUMIF('Monthly Detail'!$4:$4, '2024 Overview (Rolling)'!G$11, 'Monthly Detail'!12:12)</f>
        <v>5370</v>
      </c>
      <c r="H12" s="73">
        <f>SUMIF('Monthly Detail'!$4:$4, '2024 Overview (Rolling)'!H$11, 'Monthly Detail'!12:12)</f>
        <v>4296.26</v>
      </c>
      <c r="I12" s="73">
        <f>SUMIF('Monthly Detail'!$4:$4, '2024 Overview (Rolling)'!I$11, 'Monthly Detail'!12:12)</f>
        <v>9031.27</v>
      </c>
      <c r="J12" s="73">
        <f>SUMIF('Monthly Detail'!$4:$4, '2024 Overview (Rolling)'!J$11, 'Monthly Detail'!12:12)</f>
        <v>14073.76</v>
      </c>
      <c r="K12" s="73">
        <f>SUMIF('Monthly Detail'!$4:$4, '2024 Overview (Rolling)'!K$11, 'Monthly Detail'!12:12)</f>
        <v>9897.5</v>
      </c>
      <c r="L12" s="73">
        <f>SUMIF('Monthly Detail'!$4:$4, '2024 Overview (Rolling)'!L$11, 'Monthly Detail'!12:12)</f>
        <v>17386.25</v>
      </c>
      <c r="M12" s="73">
        <f>SUMIF('Monthly Detail'!$4:$4, '2024 Overview (Rolling)'!M$11, 'Monthly Detail'!12:12)</f>
        <v>9563.75</v>
      </c>
      <c r="N12" s="73">
        <f>SUMIF('Monthly Detail'!$4:$4, '2024 Overview (Rolling)'!N$11, 'Monthly Detail'!12:12)</f>
        <v>5160</v>
      </c>
      <c r="O12" s="73"/>
      <c r="P12" s="240">
        <f>SUM(C12:O12)</f>
        <v>89488.790000000008</v>
      </c>
    </row>
    <row r="13" spans="2:16" x14ac:dyDescent="0.3">
      <c r="B13" s="239" t="s">
        <v>295</v>
      </c>
      <c r="C13" s="73">
        <f>SUMIF('Monthly Detail'!$4:$4, '2024 Overview (Rolling)'!C$11, 'Monthly Detail'!13:13)</f>
        <v>117</v>
      </c>
      <c r="D13" s="73">
        <f>SUMIF('Monthly Detail'!$4:$4, '2024 Overview (Rolling)'!D$11, 'Monthly Detail'!13:13)</f>
        <v>0</v>
      </c>
      <c r="E13" s="73">
        <f>SUMIF('Monthly Detail'!$4:$4, '2024 Overview (Rolling)'!E$11, 'Monthly Detail'!13:13)</f>
        <v>12</v>
      </c>
      <c r="F13" s="73">
        <f>SUMIF('Monthly Detail'!$4:$4, '2024 Overview (Rolling)'!F$11, 'Monthly Detail'!13:13)</f>
        <v>18</v>
      </c>
      <c r="G13" s="73">
        <f>SUMIF('Monthly Detail'!$4:$4, '2024 Overview (Rolling)'!G$11, 'Monthly Detail'!13:13)</f>
        <v>50.08</v>
      </c>
      <c r="H13" s="73">
        <f>SUMIF('Monthly Detail'!$4:$4, '2024 Overview (Rolling)'!H$11, 'Monthly Detail'!13:13)</f>
        <v>12</v>
      </c>
      <c r="I13" s="73">
        <f>SUMIF('Monthly Detail'!$4:$4, '2024 Overview (Rolling)'!I$11, 'Monthly Detail'!13:13)</f>
        <v>29.62</v>
      </c>
      <c r="J13" s="73">
        <f>SUMIF('Monthly Detail'!$4:$4, '2024 Overview (Rolling)'!J$11, 'Monthly Detail'!13:13)</f>
        <v>37.5</v>
      </c>
      <c r="K13" s="73">
        <f>SUMIF('Monthly Detail'!$4:$4, '2024 Overview (Rolling)'!K$11, 'Monthly Detail'!13:13)</f>
        <v>0</v>
      </c>
      <c r="L13" s="73">
        <f>SUMIF('Monthly Detail'!$4:$4, '2024 Overview (Rolling)'!L$11, 'Monthly Detail'!13:13)</f>
        <v>19.5</v>
      </c>
      <c r="M13" s="73">
        <f>SUMIF('Monthly Detail'!$4:$4, '2024 Overview (Rolling)'!M$11, 'Monthly Detail'!13:13)</f>
        <v>9.75</v>
      </c>
      <c r="N13" s="73">
        <f>SUMIF('Monthly Detail'!$4:$4, '2024 Overview (Rolling)'!N$11, 'Monthly Detail'!13:13)</f>
        <v>34</v>
      </c>
      <c r="O13" s="73"/>
      <c r="P13" s="240">
        <f>+SUM(C13:N13)</f>
        <v>339.45</v>
      </c>
    </row>
    <row r="14" spans="2:16" x14ac:dyDescent="0.3">
      <c r="B14" s="241" t="s">
        <v>7</v>
      </c>
      <c r="C14" s="74">
        <f>SUM(C12:C13)</f>
        <v>3002</v>
      </c>
      <c r="D14" s="74">
        <f t="shared" ref="D14:N14" si="0">SUM(D12:D13)</f>
        <v>4357.5</v>
      </c>
      <c r="E14" s="74">
        <f t="shared" si="0"/>
        <v>3479.5</v>
      </c>
      <c r="F14" s="74">
        <f t="shared" si="0"/>
        <v>4018</v>
      </c>
      <c r="G14" s="74">
        <f t="shared" si="0"/>
        <v>5420.08</v>
      </c>
      <c r="H14" s="74">
        <f t="shared" si="0"/>
        <v>4308.26</v>
      </c>
      <c r="I14" s="74">
        <f t="shared" si="0"/>
        <v>9060.8900000000012</v>
      </c>
      <c r="J14" s="495">
        <f t="shared" si="0"/>
        <v>14111.26</v>
      </c>
      <c r="K14" s="74">
        <f t="shared" si="0"/>
        <v>9897.5</v>
      </c>
      <c r="L14" s="74">
        <f t="shared" si="0"/>
        <v>17405.75</v>
      </c>
      <c r="M14" s="74">
        <f t="shared" si="0"/>
        <v>9573.5</v>
      </c>
      <c r="N14" s="242">
        <f t="shared" si="0"/>
        <v>5194</v>
      </c>
      <c r="O14" s="75"/>
      <c r="P14" s="450">
        <f>SUM(P12:P13)</f>
        <v>89828.24</v>
      </c>
    </row>
    <row r="15" spans="2:16" x14ac:dyDescent="0.3">
      <c r="B15" s="243" t="s">
        <v>66</v>
      </c>
      <c r="C15" s="221">
        <f>+'Monthly Detail'!AB17</f>
        <v>16</v>
      </c>
      <c r="D15" s="221">
        <f>+'Monthly Detail'!AC17</f>
        <v>15</v>
      </c>
      <c r="E15" s="221">
        <f>+'Monthly Detail'!AD17</f>
        <v>20</v>
      </c>
      <c r="F15" s="221">
        <f>+'Monthly Detail'!AE17</f>
        <v>17</v>
      </c>
      <c r="G15" s="221">
        <f>+'Monthly Detail'!AF17</f>
        <v>20</v>
      </c>
      <c r="H15" s="221">
        <f>+'Monthly Detail'!AG17</f>
        <v>24</v>
      </c>
      <c r="I15" s="221">
        <f>+'Monthly Detail'!AH17</f>
        <v>30</v>
      </c>
      <c r="J15" s="496">
        <f>+'Monthly Detail'!AI17</f>
        <v>38</v>
      </c>
      <c r="K15" s="221">
        <f>+'Monthly Detail'!AJ17</f>
        <v>42</v>
      </c>
      <c r="L15" s="221">
        <f>+'Monthly Detail'!AK17</f>
        <v>48</v>
      </c>
      <c r="M15" s="221">
        <f>+'Monthly Detail'!AL17</f>
        <v>44</v>
      </c>
      <c r="N15" s="321">
        <f>+'Monthly Detail'!AM17</f>
        <v>23</v>
      </c>
      <c r="O15" s="75"/>
      <c r="P15" s="244"/>
    </row>
    <row r="16" spans="2:16" x14ac:dyDescent="0.3">
      <c r="B16" s="447" t="s">
        <v>327</v>
      </c>
      <c r="C16" s="448">
        <f>+'Monthly Detail'!AB22</f>
        <v>34</v>
      </c>
      <c r="D16" s="448">
        <f>+'Monthly Detail'!AC22</f>
        <v>56</v>
      </c>
      <c r="E16" s="448">
        <f>+'Monthly Detail'!AD22</f>
        <v>36</v>
      </c>
      <c r="F16" s="448">
        <f>+'Monthly Detail'!AE22</f>
        <v>49</v>
      </c>
      <c r="G16" s="448">
        <f>+'Monthly Detail'!AF22</f>
        <v>76</v>
      </c>
      <c r="H16" s="448">
        <f>+'Monthly Detail'!AG22</f>
        <v>45</v>
      </c>
      <c r="I16" s="448">
        <f>+'Monthly Detail'!AH22</f>
        <v>118</v>
      </c>
      <c r="J16" s="497">
        <f>+'Monthly Detail'!AI22</f>
        <v>169</v>
      </c>
      <c r="K16" s="448">
        <f>+'Monthly Detail'!AJ22</f>
        <v>125</v>
      </c>
      <c r="L16" s="448">
        <f>+'Monthly Detail'!AK22</f>
        <v>173</v>
      </c>
      <c r="M16" s="448">
        <f>+'Monthly Detail'!AL22</f>
        <v>90</v>
      </c>
      <c r="N16" s="449">
        <f>+'Monthly Detail'!AM22</f>
        <v>50</v>
      </c>
      <c r="O16" s="75"/>
      <c r="P16" s="244"/>
    </row>
    <row r="17" spans="2:20" ht="7.2" customHeight="1" x14ac:dyDescent="0.3">
      <c r="B17" s="238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P17" s="244"/>
    </row>
    <row r="18" spans="2:20" x14ac:dyDescent="0.3">
      <c r="B18" s="238" t="s">
        <v>325</v>
      </c>
      <c r="C18" s="76">
        <f>SUMIF('Monthly Detail'!$4:$4, '2025 Overview (Budget)'!C$11, 'Monthly Detail'!65:65)</f>
        <v>0</v>
      </c>
      <c r="D18" s="76">
        <f>SUMIF('Monthly Detail'!$4:$4, '2025 Overview (Budget)'!D$11, 'Monthly Detail'!65:65)</f>
        <v>450</v>
      </c>
      <c r="E18" s="76">
        <f>SUMIF('Monthly Detail'!$4:$4, '2025 Overview (Budget)'!E$11, 'Monthly Detail'!65:65)</f>
        <v>0</v>
      </c>
      <c r="F18" s="76">
        <f>SUMIF('Monthly Detail'!$4:$4, '2025 Overview (Budget)'!F$11, 'Monthly Detail'!65:65)</f>
        <v>0</v>
      </c>
      <c r="G18" s="76">
        <f>SUMIF('Monthly Detail'!$4:$4, '2025 Overview (Budget)'!G$11, 'Monthly Detail'!65:65)</f>
        <v>270</v>
      </c>
      <c r="H18" s="76">
        <f>SUMIF('Monthly Detail'!$4:$4, '2025 Overview (Budget)'!H$11, 'Monthly Detail'!65:65)</f>
        <v>0</v>
      </c>
      <c r="I18" s="76">
        <f>SUMIF('Monthly Detail'!$4:$4, '2025 Overview (Budget)'!I$11, 'Monthly Detail'!65:65)</f>
        <v>1582.5</v>
      </c>
      <c r="J18" s="76">
        <f>SUMIF('Monthly Detail'!$4:$4, '2025 Overview (Budget)'!J$11, 'Monthly Detail'!65:65)</f>
        <v>684</v>
      </c>
      <c r="K18" s="76">
        <f>SUMIF('Monthly Detail'!$4:$4, '2025 Overview (Budget)'!K$11, 'Monthly Detail'!65:65)</f>
        <v>4076.7400000000002</v>
      </c>
      <c r="L18" s="76">
        <f>SUMIF('Monthly Detail'!$4:$4, '2025 Overview (Budget)'!L$11, 'Monthly Detail'!65:65)</f>
        <v>6255</v>
      </c>
      <c r="M18" s="76">
        <f>SUMIF('Monthly Detail'!$4:$4, '2025 Overview (Budget)'!M$11, 'Monthly Detail'!65:65)</f>
        <v>1207.416267942584</v>
      </c>
      <c r="N18" s="76">
        <f>SUMIF('Monthly Detail'!$4:$4, '2025 Overview (Budget)'!N$11, 'Monthly Detail'!65:65)</f>
        <v>187.71167048054986</v>
      </c>
      <c r="P18" s="240">
        <f>SUM(C18:O18)</f>
        <v>14713.367938423135</v>
      </c>
    </row>
    <row r="19" spans="2:20" ht="15.6" x14ac:dyDescent="0.3">
      <c r="B19" s="245" t="s">
        <v>165</v>
      </c>
      <c r="C19" s="88">
        <f t="shared" ref="C19:N19" si="1">C14-C18</f>
        <v>3002</v>
      </c>
      <c r="D19" s="88">
        <f t="shared" si="1"/>
        <v>3907.5</v>
      </c>
      <c r="E19" s="88">
        <f t="shared" si="1"/>
        <v>3479.5</v>
      </c>
      <c r="F19" s="88">
        <f t="shared" si="1"/>
        <v>4018</v>
      </c>
      <c r="G19" s="88">
        <f t="shared" si="1"/>
        <v>5150.08</v>
      </c>
      <c r="H19" s="88">
        <f t="shared" si="1"/>
        <v>4308.26</v>
      </c>
      <c r="I19" s="88">
        <f t="shared" si="1"/>
        <v>7478.3900000000012</v>
      </c>
      <c r="J19" s="498">
        <f t="shared" si="1"/>
        <v>13427.26</v>
      </c>
      <c r="K19" s="88">
        <f t="shared" si="1"/>
        <v>5820.76</v>
      </c>
      <c r="L19" s="88">
        <f t="shared" si="1"/>
        <v>11150.75</v>
      </c>
      <c r="M19" s="88">
        <f t="shared" si="1"/>
        <v>8366.0837320574155</v>
      </c>
      <c r="N19" s="247">
        <f t="shared" si="1"/>
        <v>5006.2883295194497</v>
      </c>
      <c r="O19" s="246"/>
      <c r="P19" s="454">
        <f>P14-P18</f>
        <v>75114.872061576869</v>
      </c>
    </row>
    <row r="20" spans="2:20" x14ac:dyDescent="0.3">
      <c r="B20" s="451" t="s">
        <v>166</v>
      </c>
      <c r="C20" s="452">
        <f t="shared" ref="C20:N20" si="2">C19/C14</f>
        <v>1</v>
      </c>
      <c r="D20" s="452">
        <f t="shared" si="2"/>
        <v>0.89672977624784855</v>
      </c>
      <c r="E20" s="452">
        <f t="shared" si="2"/>
        <v>1</v>
      </c>
      <c r="F20" s="452">
        <f t="shared" si="2"/>
        <v>1</v>
      </c>
      <c r="G20" s="452">
        <f t="shared" si="2"/>
        <v>0.9501852371182713</v>
      </c>
      <c r="H20" s="452">
        <f t="shared" si="2"/>
        <v>1</v>
      </c>
      <c r="I20" s="452">
        <f t="shared" si="2"/>
        <v>0.82534828256385417</v>
      </c>
      <c r="J20" s="452">
        <f t="shared" si="2"/>
        <v>0.95152807049122479</v>
      </c>
      <c r="K20" s="452">
        <f t="shared" si="2"/>
        <v>0.58810406668350601</v>
      </c>
      <c r="L20" s="452">
        <f t="shared" si="2"/>
        <v>0.64063599672522009</v>
      </c>
      <c r="M20" s="452">
        <f t="shared" si="2"/>
        <v>0.87387932648011857</v>
      </c>
      <c r="N20" s="453">
        <f t="shared" si="2"/>
        <v>0.96385990171726021</v>
      </c>
      <c r="O20" s="7"/>
      <c r="P20" s="455">
        <f>P19/P14</f>
        <v>0.83620554139296133</v>
      </c>
    </row>
    <row r="21" spans="2:20" ht="6.45" customHeight="1" x14ac:dyDescent="0.3">
      <c r="B21" s="238"/>
      <c r="P21" s="184"/>
    </row>
    <row r="22" spans="2:20" x14ac:dyDescent="0.3">
      <c r="B22" s="238" t="s">
        <v>273</v>
      </c>
      <c r="C22" s="73">
        <f>SUMIF('Monthly Detail'!$4:$4, '2024 Overview (Rolling)'!C$11, 'Monthly Detail'!$72:$72)</f>
        <v>0</v>
      </c>
      <c r="D22" s="73">
        <f>SUMIF('Monthly Detail'!$4:$4, '2024 Overview (Rolling)'!D$11, 'Monthly Detail'!$72:$72)</f>
        <v>1179.44</v>
      </c>
      <c r="E22" s="73">
        <f>SUMIF('Monthly Detail'!$4:$4, '2024 Overview (Rolling)'!E$11, 'Monthly Detail'!$72:$72)</f>
        <v>0</v>
      </c>
      <c r="F22" s="73">
        <f>SUMIF('Monthly Detail'!$4:$4, '2024 Overview (Rolling)'!F$11, 'Monthly Detail'!$72:$72)</f>
        <v>2400</v>
      </c>
      <c r="G22" s="73">
        <f>SUMIF('Monthly Detail'!$4:$4, '2024 Overview (Rolling)'!G$11, 'Monthly Detail'!$72:$72)</f>
        <v>0</v>
      </c>
      <c r="H22" s="73">
        <f>SUMIF('Monthly Detail'!$4:$4, '2024 Overview (Rolling)'!H$11, 'Monthly Detail'!$72:$72)</f>
        <v>665.56</v>
      </c>
      <c r="I22" s="73">
        <f>SUMIF('Monthly Detail'!$4:$4, '2024 Overview (Rolling)'!I$11, 'Monthly Detail'!$72:$72)</f>
        <v>0</v>
      </c>
      <c r="J22" s="73">
        <f>SUMIF('Monthly Detail'!$4:$4, '2024 Overview (Rolling)'!J$11, 'Monthly Detail'!$72:$72)</f>
        <v>0</v>
      </c>
      <c r="K22" s="73">
        <f>SUMIF('Monthly Detail'!$4:$4, '2024 Overview (Rolling)'!K$11, 'Monthly Detail'!$72:$72)</f>
        <v>0</v>
      </c>
      <c r="L22" s="73">
        <f>SUMIF('Monthly Detail'!$4:$4, '2024 Overview (Rolling)'!L$11, 'Monthly Detail'!$72:$72)</f>
        <v>0</v>
      </c>
      <c r="M22" s="73">
        <f>SUMIF('Monthly Detail'!$4:$4, '2024 Overview (Rolling)'!M$11, 'Monthly Detail'!$72:$72)</f>
        <v>0</v>
      </c>
      <c r="N22" s="73">
        <f>SUMIF('Monthly Detail'!$4:$4, '2024 Overview (Rolling)'!N$11, 'Monthly Detail'!$72:$72)</f>
        <v>0</v>
      </c>
      <c r="P22" s="240">
        <f>SUM(C22:O22)</f>
        <v>4245</v>
      </c>
      <c r="T22" s="1"/>
    </row>
    <row r="23" spans="2:20" x14ac:dyDescent="0.3">
      <c r="B23" s="238" t="s">
        <v>203</v>
      </c>
      <c r="C23" s="73">
        <f>SUMIF('Monthly Detail'!$4:$4, '2024 Overview (Rolling)'!C$11, 'Monthly Detail'!$95:$95)</f>
        <v>417.24</v>
      </c>
      <c r="D23" s="73">
        <f>SUMIF('Monthly Detail'!$4:$4, '2024 Overview (Rolling)'!D$11, 'Monthly Detail'!$95:$95)</f>
        <v>436.02</v>
      </c>
      <c r="E23" s="73">
        <f>SUMIF('Monthly Detail'!$4:$4, '2024 Overview (Rolling)'!E$11, 'Monthly Detail'!$95:$95)</f>
        <v>943.03</v>
      </c>
      <c r="F23" s="73">
        <f>SUMIF('Monthly Detail'!$4:$4, '2024 Overview (Rolling)'!F$11, 'Monthly Detail'!$95:$95)</f>
        <v>382.79999999999995</v>
      </c>
      <c r="G23" s="73">
        <f>SUMIF('Monthly Detail'!$4:$4, '2024 Overview (Rolling)'!G$11, 'Monthly Detail'!$95:$95)</f>
        <v>689.94999999999993</v>
      </c>
      <c r="H23" s="73">
        <f>SUMIF('Monthly Detail'!$4:$4, '2024 Overview (Rolling)'!H$11, 'Monthly Detail'!$95:$95)</f>
        <v>913.86</v>
      </c>
      <c r="I23" s="73">
        <f>SUMIF('Monthly Detail'!$4:$4, '2024 Overview (Rolling)'!I$11, 'Monthly Detail'!$95:$95)</f>
        <v>2146.7599999999998</v>
      </c>
      <c r="J23" s="73">
        <f>SUMIF('Monthly Detail'!$4:$4, '2024 Overview (Rolling)'!J$11, 'Monthly Detail'!$95:$95)</f>
        <v>1446.3200000000002</v>
      </c>
      <c r="K23" s="73">
        <f>SUMIF('Monthly Detail'!$4:$4, '2024 Overview (Rolling)'!K$11, 'Monthly Detail'!$95:$95)</f>
        <v>878.64</v>
      </c>
      <c r="L23" s="73">
        <f>SUMIF('Monthly Detail'!$4:$4, '2024 Overview (Rolling)'!L$11, 'Monthly Detail'!$95:$95)</f>
        <v>1580.87</v>
      </c>
      <c r="M23" s="73">
        <f>SUMIF('Monthly Detail'!$4:$4, '2024 Overview (Rolling)'!M$11, 'Monthly Detail'!$95:$95)</f>
        <v>2040.0100000000002</v>
      </c>
      <c r="N23" s="73">
        <f>SUMIF('Monthly Detail'!$4:$4, '2024 Overview (Rolling)'!N$11, 'Monthly Detail'!$95:$95)</f>
        <v>620.20999999999992</v>
      </c>
      <c r="P23" s="240">
        <f>SUM(C23:O23)</f>
        <v>12495.709999999997</v>
      </c>
    </row>
    <row r="24" spans="2:20" x14ac:dyDescent="0.3">
      <c r="B24" s="456" t="s">
        <v>167</v>
      </c>
      <c r="C24" s="457">
        <f t="shared" ref="C24" si="3">SUM(C23:C23)</f>
        <v>417.24</v>
      </c>
      <c r="D24" s="457">
        <f>SUM(D22:D23)</f>
        <v>1615.46</v>
      </c>
      <c r="E24" s="457">
        <f t="shared" ref="E24:N24" si="4">SUM(E22:E23)</f>
        <v>943.03</v>
      </c>
      <c r="F24" s="457">
        <f t="shared" si="4"/>
        <v>2782.8</v>
      </c>
      <c r="G24" s="457">
        <f t="shared" si="4"/>
        <v>689.94999999999993</v>
      </c>
      <c r="H24" s="457">
        <f t="shared" si="4"/>
        <v>1579.42</v>
      </c>
      <c r="I24" s="457">
        <f t="shared" si="4"/>
        <v>2146.7599999999998</v>
      </c>
      <c r="J24" s="499">
        <f t="shared" si="4"/>
        <v>1446.3200000000002</v>
      </c>
      <c r="K24" s="457">
        <f t="shared" si="4"/>
        <v>878.64</v>
      </c>
      <c r="L24" s="457">
        <f t="shared" si="4"/>
        <v>1580.87</v>
      </c>
      <c r="M24" s="457">
        <f t="shared" si="4"/>
        <v>2040.0100000000002</v>
      </c>
      <c r="N24" s="458">
        <f t="shared" si="4"/>
        <v>620.20999999999992</v>
      </c>
      <c r="O24" s="251"/>
      <c r="P24" s="459">
        <f>SUM(P22:P23)</f>
        <v>16740.71</v>
      </c>
    </row>
    <row r="25" spans="2:20" ht="4.95" customHeight="1" x14ac:dyDescent="0.3">
      <c r="B25" s="238"/>
      <c r="P25" s="184"/>
    </row>
    <row r="26" spans="2:20" ht="15.6" x14ac:dyDescent="0.3">
      <c r="B26" s="245" t="s">
        <v>168</v>
      </c>
      <c r="C26" s="88">
        <f t="shared" ref="C26:N26" si="5">C19-C24</f>
        <v>2584.7600000000002</v>
      </c>
      <c r="D26" s="88">
        <f>D19-D24</f>
        <v>2292.04</v>
      </c>
      <c r="E26" s="88">
        <f t="shared" si="5"/>
        <v>2536.4700000000003</v>
      </c>
      <c r="F26" s="88">
        <f t="shared" si="5"/>
        <v>1235.1999999999998</v>
      </c>
      <c r="G26" s="88">
        <f t="shared" si="5"/>
        <v>4460.13</v>
      </c>
      <c r="H26" s="88">
        <f t="shared" si="5"/>
        <v>2728.84</v>
      </c>
      <c r="I26" s="88">
        <f t="shared" si="5"/>
        <v>5331.630000000001</v>
      </c>
      <c r="J26" s="498">
        <f t="shared" si="5"/>
        <v>11980.94</v>
      </c>
      <c r="K26" s="88">
        <f t="shared" si="5"/>
        <v>4942.12</v>
      </c>
      <c r="L26" s="88">
        <f t="shared" si="5"/>
        <v>9569.880000000001</v>
      </c>
      <c r="M26" s="88">
        <f t="shared" si="5"/>
        <v>6326.0737320574153</v>
      </c>
      <c r="N26" s="247">
        <f t="shared" si="5"/>
        <v>4386.0783295194497</v>
      </c>
      <c r="O26" s="246"/>
      <c r="P26" s="454">
        <f>P19-P24</f>
        <v>58374.16206157687</v>
      </c>
    </row>
    <row r="27" spans="2:20" x14ac:dyDescent="0.3">
      <c r="B27" s="451" t="s">
        <v>169</v>
      </c>
      <c r="C27" s="452">
        <f t="shared" ref="C27:N27" si="6">C26/C14</f>
        <v>0.86101265822784823</v>
      </c>
      <c r="D27" s="452">
        <f t="shared" si="6"/>
        <v>0.52599885255306944</v>
      </c>
      <c r="E27" s="452">
        <f t="shared" si="6"/>
        <v>0.72897542750395183</v>
      </c>
      <c r="F27" s="452">
        <f t="shared" si="6"/>
        <v>0.30741662518665996</v>
      </c>
      <c r="G27" s="452">
        <f t="shared" si="6"/>
        <v>0.82289006804327613</v>
      </c>
      <c r="H27" s="452">
        <f t="shared" si="6"/>
        <v>0.6333972415778063</v>
      </c>
      <c r="I27" s="452">
        <f t="shared" si="6"/>
        <v>0.58842232937382533</v>
      </c>
      <c r="J27" s="452">
        <f t="shared" si="6"/>
        <v>0.84903403381413145</v>
      </c>
      <c r="K27" s="452">
        <f t="shared" si="6"/>
        <v>0.49933013387218994</v>
      </c>
      <c r="L27" s="452">
        <f t="shared" si="6"/>
        <v>0.549811412895164</v>
      </c>
      <c r="M27" s="452">
        <f t="shared" si="6"/>
        <v>0.66079006967748632</v>
      </c>
      <c r="N27" s="453">
        <f t="shared" si="6"/>
        <v>0.84445096833258559</v>
      </c>
      <c r="O27" s="7"/>
      <c r="P27" s="455">
        <f>P26/P14</f>
        <v>0.64984198801598325</v>
      </c>
    </row>
    <row r="28" spans="2:20" ht="7.95" customHeight="1" x14ac:dyDescent="0.3">
      <c r="B28" s="253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P28" s="254"/>
    </row>
    <row r="29" spans="2:20" x14ac:dyDescent="0.3">
      <c r="B29" s="238" t="s">
        <v>170</v>
      </c>
      <c r="C29" s="132">
        <f>SUMIF('Monthly Detail'!$4:$4, '2024 Overview (Rolling)'!C$11, 'Monthly Detail'!109:109)</f>
        <v>0</v>
      </c>
      <c r="D29" s="132">
        <f>SUMIF('Monthly Detail'!$4:$4, '2024 Overview (Rolling)'!D$11, 'Monthly Detail'!109:109)</f>
        <v>0</v>
      </c>
      <c r="E29" s="132">
        <f>SUMIF('Monthly Detail'!$4:$4, '2024 Overview (Rolling)'!E$11, 'Monthly Detail'!109:109)</f>
        <v>0</v>
      </c>
      <c r="F29" s="132">
        <f>SUMIF('Monthly Detail'!$4:$4, '2024 Overview (Rolling)'!F$11, 'Monthly Detail'!109:109)</f>
        <v>0</v>
      </c>
      <c r="G29" s="132">
        <f>SUMIF('Monthly Detail'!$4:$4, '2024 Overview (Rolling)'!G$11, 'Monthly Detail'!109:109)</f>
        <v>0</v>
      </c>
      <c r="H29" s="132">
        <f>SUMIF('Monthly Detail'!$4:$4, '2024 Overview (Rolling)'!H$11, 'Monthly Detail'!109:109)</f>
        <v>-690.26</v>
      </c>
      <c r="I29" s="132">
        <f>SUMIF('Monthly Detail'!$4:$4, '2024 Overview (Rolling)'!I$11, 'Monthly Detail'!109:109)</f>
        <v>-715.26</v>
      </c>
      <c r="J29" s="500">
        <f>SUMIF('Monthly Detail'!$4:$4, '2024 Overview (Rolling)'!J$11, 'Monthly Detail'!109:109)</f>
        <v>-639.19000000000005</v>
      </c>
      <c r="K29" s="132">
        <f>SUMIF('Monthly Detail'!$4:$4, '2024 Overview (Rolling)'!K$11, 'Monthly Detail'!109:109)</f>
        <v>-719.18</v>
      </c>
      <c r="L29" s="132">
        <f>SUMIF('Monthly Detail'!$4:$4, '2024 Overview (Rolling)'!L$11, 'Monthly Detail'!109:109)</f>
        <v>-731.63</v>
      </c>
      <c r="M29" s="132">
        <f>SUMIF('Monthly Detail'!$4:$4, '2024 Overview (Rolling)'!M$11, 'Monthly Detail'!109:109)</f>
        <v>-732.67000000000007</v>
      </c>
      <c r="N29" s="132">
        <f>SUMIF('Monthly Detail'!$4:$4, '2024 Overview (Rolling)'!N$11, 'Monthly Detail'!109:109)</f>
        <v>-790.04</v>
      </c>
      <c r="O29" s="132"/>
      <c r="P29" s="185">
        <f>SUM(C29:O29)</f>
        <v>-5018.2300000000005</v>
      </c>
    </row>
    <row r="30" spans="2:20" ht="15.6" x14ac:dyDescent="0.3">
      <c r="B30" s="245" t="s">
        <v>16</v>
      </c>
      <c r="C30" s="88">
        <f t="shared" ref="C30:N30" si="7">C26+SUM(C29:C29)</f>
        <v>2584.7600000000002</v>
      </c>
      <c r="D30" s="88">
        <f t="shared" si="7"/>
        <v>2292.04</v>
      </c>
      <c r="E30" s="88">
        <f t="shared" si="7"/>
        <v>2536.4700000000003</v>
      </c>
      <c r="F30" s="88">
        <f t="shared" si="7"/>
        <v>1235.1999999999998</v>
      </c>
      <c r="G30" s="88">
        <f t="shared" si="7"/>
        <v>4460.13</v>
      </c>
      <c r="H30" s="88">
        <f t="shared" si="7"/>
        <v>2038.5800000000002</v>
      </c>
      <c r="I30" s="88">
        <f t="shared" si="7"/>
        <v>4616.3700000000008</v>
      </c>
      <c r="J30" s="498">
        <f t="shared" si="7"/>
        <v>11341.75</v>
      </c>
      <c r="K30" s="88">
        <f t="shared" si="7"/>
        <v>4222.9399999999996</v>
      </c>
      <c r="L30" s="88">
        <f t="shared" si="7"/>
        <v>8838.2500000000018</v>
      </c>
      <c r="M30" s="88">
        <f t="shared" si="7"/>
        <v>5593.4037320574153</v>
      </c>
      <c r="N30" s="247">
        <f t="shared" si="7"/>
        <v>3596.0383295194497</v>
      </c>
      <c r="O30" s="246"/>
      <c r="P30" s="454">
        <f>P26+SUM(P29:P29)</f>
        <v>53355.932061576867</v>
      </c>
    </row>
    <row r="31" spans="2:20" x14ac:dyDescent="0.3">
      <c r="B31" s="248" t="s">
        <v>171</v>
      </c>
      <c r="C31" s="90">
        <f t="shared" ref="C31:N31" si="8">C30/C14</f>
        <v>0.86101265822784823</v>
      </c>
      <c r="D31" s="90">
        <f t="shared" si="8"/>
        <v>0.52599885255306944</v>
      </c>
      <c r="E31" s="90">
        <f t="shared" si="8"/>
        <v>0.72897542750395183</v>
      </c>
      <c r="F31" s="90">
        <f t="shared" si="8"/>
        <v>0.30741662518665996</v>
      </c>
      <c r="G31" s="90">
        <f t="shared" si="8"/>
        <v>0.82289006804327613</v>
      </c>
      <c r="H31" s="90">
        <f t="shared" si="8"/>
        <v>0.47317942742545716</v>
      </c>
      <c r="I31" s="90">
        <f t="shared" si="8"/>
        <v>0.5094830640257193</v>
      </c>
      <c r="J31" s="90">
        <f t="shared" si="8"/>
        <v>0.8037375826113331</v>
      </c>
      <c r="K31" s="90">
        <f t="shared" si="8"/>
        <v>0.42666734023743363</v>
      </c>
      <c r="L31" s="90">
        <f t="shared" si="8"/>
        <v>0.50777760222914847</v>
      </c>
      <c r="M31" s="90">
        <f t="shared" si="8"/>
        <v>0.58425902042695099</v>
      </c>
      <c r="N31" s="249">
        <f t="shared" si="8"/>
        <v>0.69234469185973235</v>
      </c>
      <c r="O31" s="7"/>
      <c r="P31" s="462">
        <f>P30/P14</f>
        <v>0.59397726217920854</v>
      </c>
    </row>
    <row r="32" spans="2:20" x14ac:dyDescent="0.3">
      <c r="B32" s="248" t="s">
        <v>280</v>
      </c>
      <c r="C32" s="277">
        <f>+'Monthly Detail'!AB149-'Monthly Detail'!AA149</f>
        <v>0</v>
      </c>
      <c r="D32" s="277">
        <f>+'Monthly Detail'!AC149-'Monthly Detail'!AB149</f>
        <v>0</v>
      </c>
      <c r="E32" s="277">
        <f>+'Monthly Detail'!AD149-'Monthly Detail'!AC149</f>
        <v>0</v>
      </c>
      <c r="F32" s="277">
        <f>+'Monthly Detail'!AE149-'Monthly Detail'!AD149</f>
        <v>2400</v>
      </c>
      <c r="G32" s="277">
        <f>+'Monthly Detail'!AF149-'Monthly Detail'!AE149</f>
        <v>0</v>
      </c>
      <c r="H32" s="277">
        <f>+'Monthly Detail'!AG149-'Monthly Detail'!AF149</f>
        <v>0</v>
      </c>
      <c r="I32" s="277">
        <f>+'Monthly Detail'!AH149-'Monthly Detail'!AG149</f>
        <v>0</v>
      </c>
      <c r="J32" s="277">
        <f>+'Monthly Detail'!AI149-'Monthly Detail'!AH149</f>
        <v>0</v>
      </c>
      <c r="K32" s="277">
        <f>+'Monthly Detail'!AJ149-'Monthly Detail'!AI149</f>
        <v>0</v>
      </c>
      <c r="L32" s="277">
        <f>+'Monthly Detail'!AK149-'Monthly Detail'!AJ149</f>
        <v>0</v>
      </c>
      <c r="M32" s="277">
        <f>+'Monthly Detail'!AL149-'Monthly Detail'!AK149</f>
        <v>0</v>
      </c>
      <c r="N32" s="278">
        <f>+'Monthly Detail'!AM149-'Monthly Detail'!AL149</f>
        <v>0</v>
      </c>
      <c r="O32" s="7"/>
      <c r="P32" s="463">
        <f>+SUM(C32:N32)</f>
        <v>2400</v>
      </c>
    </row>
    <row r="33" spans="2:16" x14ac:dyDescent="0.3">
      <c r="B33" s="248" t="s">
        <v>301</v>
      </c>
      <c r="C33" s="277">
        <f>+'Monthly Detail'!AB150-'Monthly Detail'!AA150</f>
        <v>-1900</v>
      </c>
      <c r="D33" s="277">
        <f>+'Monthly Detail'!AC150-'Monthly Detail'!AB150</f>
        <v>-3325</v>
      </c>
      <c r="E33" s="277">
        <f>+'Monthly Detail'!AD150-'Monthly Detail'!AC150</f>
        <v>-3220</v>
      </c>
      <c r="F33" s="277">
        <f>+'Monthly Detail'!AE150-'Monthly Detail'!AD150</f>
        <v>-2325</v>
      </c>
      <c r="G33" s="277">
        <f>+'Monthly Detail'!AF150-'Monthly Detail'!AE150</f>
        <v>-4100</v>
      </c>
      <c r="H33" s="277">
        <f>+'Monthly Detail'!AG150-'Monthly Detail'!AF150</f>
        <v>-2750</v>
      </c>
      <c r="I33" s="277">
        <f>+'Monthly Detail'!AH150-'Monthly Detail'!AG150</f>
        <v>-2903.9499999999971</v>
      </c>
      <c r="J33" s="277">
        <f>+'Monthly Detail'!AI150-'Monthly Detail'!AH150</f>
        <v>-9775</v>
      </c>
      <c r="K33" s="277">
        <f>+'Monthly Detail'!AJ150-'Monthly Detail'!AI150</f>
        <v>-6767.5</v>
      </c>
      <c r="L33" s="277">
        <f>+'Monthly Detail'!AK150-'Monthly Detail'!AJ150</f>
        <v>-12500</v>
      </c>
      <c r="M33" s="277">
        <f>+'Monthly Detail'!AL150-'Monthly Detail'!AK150</f>
        <v>-7780</v>
      </c>
      <c r="N33" s="278">
        <f>+'Monthly Detail'!AM150-'Monthly Detail'!AL150</f>
        <v>-7452.4100000000035</v>
      </c>
      <c r="O33" s="7"/>
      <c r="P33" s="463">
        <f>+SUM(C33:N33)</f>
        <v>-64798.86</v>
      </c>
    </row>
    <row r="34" spans="2:16" x14ac:dyDescent="0.3">
      <c r="B34" s="451" t="s">
        <v>300</v>
      </c>
      <c r="C34" s="460">
        <f>+(C30)*0.153</f>
        <v>395.46828000000005</v>
      </c>
      <c r="D34" s="460">
        <f>+C34+((D26)*0.153)</f>
        <v>746.15039999999999</v>
      </c>
      <c r="E34" s="460">
        <f t="shared" ref="E34:N34" si="9">+D34+((E26)*0.153)</f>
        <v>1134.2303099999999</v>
      </c>
      <c r="F34" s="460">
        <f t="shared" si="9"/>
        <v>1323.2159099999999</v>
      </c>
      <c r="G34" s="460">
        <f t="shared" si="9"/>
        <v>2005.6158</v>
      </c>
      <c r="H34" s="460">
        <f t="shared" si="9"/>
        <v>2423.1283199999998</v>
      </c>
      <c r="I34" s="460">
        <f t="shared" si="9"/>
        <v>3238.86771</v>
      </c>
      <c r="J34" s="460">
        <f t="shared" si="9"/>
        <v>5071.9515300000003</v>
      </c>
      <c r="K34" s="460">
        <f t="shared" si="9"/>
        <v>5828.0958900000005</v>
      </c>
      <c r="L34" s="460">
        <f t="shared" si="9"/>
        <v>7292.2875300000005</v>
      </c>
      <c r="M34" s="460">
        <f t="shared" si="9"/>
        <v>8260.1768110047851</v>
      </c>
      <c r="N34" s="461">
        <f t="shared" si="9"/>
        <v>8931.2467954212607</v>
      </c>
      <c r="O34" s="375"/>
      <c r="P34" s="562">
        <f>+N34</f>
        <v>8931.2467954212607</v>
      </c>
    </row>
    <row r="35" spans="2:16" ht="15" thickBot="1" x14ac:dyDescent="0.35">
      <c r="B35" s="238"/>
      <c r="H35" s="9"/>
      <c r="M35" s="109"/>
      <c r="P35" s="184"/>
    </row>
    <row r="36" spans="2:16" x14ac:dyDescent="0.3">
      <c r="B36" s="255" t="s">
        <v>172</v>
      </c>
      <c r="C36" s="84">
        <f>SUMIF('Monthly Detail'!$4:$4, '2024 Overview (Rolling)'!C$11, 'Monthly Detail'!174:174)</f>
        <v>1291.7799999999991</v>
      </c>
      <c r="D36" s="160">
        <f>SUMIF('Monthly Detail'!$4:$4, '2024 Overview (Rolling)'!D$11, 'Monthly Detail'!174:174)</f>
        <v>551.31999999999903</v>
      </c>
      <c r="E36" s="160">
        <f>SUMIF('Monthly Detail'!$4:$4, '2024 Overview (Rolling)'!E$11, 'Monthly Detail'!174:174)</f>
        <v>177.78999999999928</v>
      </c>
      <c r="F36" s="160">
        <f>SUMIF('Monthly Detail'!$4:$4, '2024 Overview (Rolling)'!F$11, 'Monthly Detail'!174:174)</f>
        <v>1342.9899999999991</v>
      </c>
      <c r="G36" s="160">
        <f>SUMIF('Monthly Detail'!$4:$4, '2024 Overview (Rolling)'!G$11, 'Monthly Detail'!174:174)</f>
        <v>1278.089999999999</v>
      </c>
      <c r="H36" s="160">
        <f>SUMIF('Monthly Detail'!$4:$4, '2024 Overview (Rolling)'!H$11, 'Monthly Detail'!174:174)</f>
        <v>1615.6999999999991</v>
      </c>
      <c r="I36" s="160">
        <f>SUMIF('Monthly Detail'!$4:$4, '2024 Overview (Rolling)'!I$11, 'Monthly Detail'!174:174)</f>
        <v>3158.9800000000023</v>
      </c>
      <c r="J36" s="501">
        <f>SUMIF('Monthly Detail'!$4:$4, '2024 Overview (Rolling)'!J$11, 'Monthly Detail'!174:174)</f>
        <v>3192.6000000000031</v>
      </c>
      <c r="K36" s="160">
        <f>SUMIF('Monthly Detail'!$4:$4, '2024 Overview (Rolling)'!K$11, 'Monthly Detail'!174:174)</f>
        <v>4237.5200000000032</v>
      </c>
      <c r="L36" s="503">
        <f>SUMIF('Monthly Detail'!$4:$4, '2024 Overview (Rolling)'!L$11, 'Monthly Detail'!174:174)</f>
        <v>5429.6700000000046</v>
      </c>
      <c r="M36" s="160">
        <f>SUMIF('Monthly Detail'!$4:$4, '2024 Overview (Rolling)'!M$11, 'Monthly Detail'!174:174)</f>
        <v>3714.4000000000042</v>
      </c>
      <c r="N36" s="84">
        <f>SUMIF('Monthly Detail'!$4:$4, '2024 Overview (Rolling)'!N$11, 'Monthly Detail'!174:174)</f>
        <v>292.83000000000084</v>
      </c>
      <c r="P36" s="184"/>
    </row>
    <row r="37" spans="2:16" x14ac:dyDescent="0.3">
      <c r="B37" s="256" t="s">
        <v>173</v>
      </c>
      <c r="C37" s="258">
        <f>SUMIF('Monthly Detail'!$4:$4, '2024 Overview (Rolling)'!C$11, 'Monthly Detail'!171:171)</f>
        <v>294.76000000000022</v>
      </c>
      <c r="D37" s="257">
        <f>SUMIF('Monthly Detail'!$4:$4, '2024 Overview (Rolling)'!D$11, 'Monthly Detail'!171:171)</f>
        <v>-740.46</v>
      </c>
      <c r="E37" s="257">
        <f>SUMIF('Monthly Detail'!$4:$4, '2024 Overview (Rolling)'!E$11, 'Monthly Detail'!171:171)</f>
        <v>-373.52999999999975</v>
      </c>
      <c r="F37" s="257">
        <f>SUMIF('Monthly Detail'!$4:$4, '2024 Overview (Rolling)'!F$11, 'Monthly Detail'!171:171)</f>
        <v>1165.1999999999998</v>
      </c>
      <c r="G37" s="257">
        <f>SUMIF('Monthly Detail'!$4:$4, '2024 Overview (Rolling)'!G$11, 'Monthly Detail'!171:171)</f>
        <v>-64.900000000000091</v>
      </c>
      <c r="H37" s="257">
        <f>SUMIF('Monthly Detail'!$4:$4, '2024 Overview (Rolling)'!H$11, 'Monthly Detail'!171:171)</f>
        <v>337.61000000000013</v>
      </c>
      <c r="I37" s="257">
        <f>SUMIF('Monthly Detail'!$4:$4, '2024 Overview (Rolling)'!I$11, 'Monthly Detail'!171:171)</f>
        <v>1543.2800000000034</v>
      </c>
      <c r="J37" s="502">
        <f>SUMIF('Monthly Detail'!$4:$4, '2024 Overview (Rolling)'!J$11, 'Monthly Detail'!171:171)</f>
        <v>33.6200000000008</v>
      </c>
      <c r="K37" s="257">
        <f>SUMIF('Monthly Detail'!$4:$4, '2024 Overview (Rolling)'!K$11, 'Monthly Detail'!171:171)</f>
        <v>1044.92</v>
      </c>
      <c r="L37" s="504">
        <f>SUMIF('Monthly Detail'!$4:$4, '2024 Overview (Rolling)'!L$11, 'Monthly Detail'!171:171)</f>
        <v>1192.1500000000015</v>
      </c>
      <c r="M37" s="257">
        <f>SUMIF('Monthly Detail'!$4:$4, '2024 Overview (Rolling)'!M$11, 'Monthly Detail'!171:171)</f>
        <v>-1715.2700000000004</v>
      </c>
      <c r="N37" s="258">
        <f>SUMIF('Monthly Detail'!$4:$4, '2024 Overview (Rolling)'!N$11, 'Monthly Detail'!171:171)</f>
        <v>-3421.5700000000033</v>
      </c>
      <c r="O37" s="259"/>
      <c r="P37" s="260"/>
    </row>
    <row r="38" spans="2:16" x14ac:dyDescent="0.3">
      <c r="E38" s="9"/>
    </row>
  </sheetData>
  <mergeCells count="1">
    <mergeCell ref="B8:P8"/>
  </mergeCells>
  <pageMargins left="0.25" right="0.25" top="0.75" bottom="0.75" header="0.3" footer="0.3"/>
  <pageSetup scale="55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6506-3FAF-47D0-ABD4-7EC31347B89F}">
  <sheetPr>
    <tabColor theme="1"/>
    <pageSetUpPr fitToPage="1"/>
  </sheetPr>
  <dimension ref="B10:T33"/>
  <sheetViews>
    <sheetView showGridLines="0" zoomScale="90" zoomScaleNormal="90" workbookViewId="0">
      <selection activeCell="C12" sqref="C12"/>
    </sheetView>
  </sheetViews>
  <sheetFormatPr defaultColWidth="8.6640625" defaultRowHeight="14.4" x14ac:dyDescent="0.3"/>
  <cols>
    <col min="2" max="2" width="34" bestFit="1" customWidth="1"/>
    <col min="3" max="3" width="12.6640625" bestFit="1" customWidth="1"/>
    <col min="4" max="4" width="13.6640625" bestFit="1" customWidth="1"/>
    <col min="5" max="6" width="14.33203125" bestFit="1" customWidth="1"/>
    <col min="7" max="7" width="15.33203125" bestFit="1" customWidth="1"/>
    <col min="8" max="8" width="15.6640625" bestFit="1" customWidth="1"/>
    <col min="9" max="9" width="15.33203125" bestFit="1" customWidth="1"/>
    <col min="10" max="10" width="14.6640625" bestFit="1" customWidth="1"/>
    <col min="11" max="11" width="15.33203125" bestFit="1" customWidth="1"/>
    <col min="12" max="14" width="15.6640625" bestFit="1" customWidth="1"/>
    <col min="15" max="15" width="9.44140625" bestFit="1" customWidth="1"/>
    <col min="16" max="16" width="13.6640625" bestFit="1" customWidth="1"/>
  </cols>
  <sheetData>
    <row r="10" spans="2:16" ht="15.6" x14ac:dyDescent="0.3">
      <c r="B10" s="68"/>
      <c r="C10" s="69" t="s">
        <v>245</v>
      </c>
      <c r="D10" s="69" t="s">
        <v>246</v>
      </c>
      <c r="E10" s="69" t="s">
        <v>247</v>
      </c>
      <c r="F10" s="69" t="s">
        <v>248</v>
      </c>
      <c r="G10" s="69" t="s">
        <v>249</v>
      </c>
      <c r="H10" s="69" t="s">
        <v>250</v>
      </c>
      <c r="I10" s="69" t="s">
        <v>251</v>
      </c>
      <c r="J10" s="69" t="s">
        <v>252</v>
      </c>
      <c r="K10" s="69" t="s">
        <v>253</v>
      </c>
      <c r="L10" s="69" t="s">
        <v>254</v>
      </c>
      <c r="M10" s="69" t="s">
        <v>255</v>
      </c>
      <c r="N10" s="69" t="s">
        <v>256</v>
      </c>
      <c r="O10" s="70"/>
      <c r="P10" s="71" t="s">
        <v>0</v>
      </c>
    </row>
    <row r="11" spans="2:16" x14ac:dyDescent="0.3">
      <c r="B11" s="7"/>
      <c r="C11" s="91">
        <v>45322</v>
      </c>
      <c r="D11" s="91">
        <v>45351</v>
      </c>
      <c r="E11" s="91">
        <v>45382</v>
      </c>
      <c r="F11" s="91">
        <v>45412</v>
      </c>
      <c r="G11" s="91">
        <v>45443</v>
      </c>
      <c r="H11" s="91">
        <v>45473</v>
      </c>
      <c r="I11" s="91">
        <v>45504</v>
      </c>
      <c r="J11" s="91">
        <v>45535</v>
      </c>
      <c r="K11" s="91">
        <v>45565</v>
      </c>
      <c r="L11" s="91">
        <v>45596</v>
      </c>
      <c r="M11" s="91">
        <v>45626</v>
      </c>
      <c r="N11" s="91">
        <v>45657</v>
      </c>
      <c r="O11" s="91">
        <v>45322</v>
      </c>
    </row>
    <row r="12" spans="2:16" x14ac:dyDescent="0.3">
      <c r="B12" s="72" t="s">
        <v>60</v>
      </c>
      <c r="C12" s="73">
        <v>3016.9791666666665</v>
      </c>
      <c r="D12" s="73">
        <v>4844.1611842105267</v>
      </c>
      <c r="E12" s="73">
        <v>3944.633152173913</v>
      </c>
      <c r="F12" s="73">
        <v>5914.9553571428578</v>
      </c>
      <c r="G12" s="73">
        <v>10182.291666666668</v>
      </c>
      <c r="H12" s="73">
        <v>6680.871212121212</v>
      </c>
      <c r="I12" s="73">
        <v>9818.9732142857138</v>
      </c>
      <c r="J12" s="73">
        <v>9199.4884910485926</v>
      </c>
      <c r="K12" s="73">
        <v>12430.845905172415</v>
      </c>
      <c r="L12" s="73">
        <v>10145.197088068182</v>
      </c>
      <c r="M12" s="73">
        <v>5993.1640625</v>
      </c>
      <c r="N12" s="73">
        <v>4062.5</v>
      </c>
      <c r="O12" s="73"/>
      <c r="P12" s="73">
        <v>86234.060500056745</v>
      </c>
    </row>
    <row r="13" spans="2:16" x14ac:dyDescent="0.3">
      <c r="B13" s="72" t="s">
        <v>295</v>
      </c>
      <c r="C13" s="73">
        <v>49.5</v>
      </c>
      <c r="D13" s="73">
        <v>49.5</v>
      </c>
      <c r="E13" s="73">
        <v>49.5</v>
      </c>
      <c r="F13" s="73">
        <v>49.5</v>
      </c>
      <c r="G13" s="73">
        <v>49.5</v>
      </c>
      <c r="H13" s="73">
        <v>49.5</v>
      </c>
      <c r="I13" s="73">
        <v>49.5</v>
      </c>
      <c r="J13" s="73">
        <v>49.5</v>
      </c>
      <c r="K13" s="73">
        <v>49.5</v>
      </c>
      <c r="L13" s="73">
        <v>49.5</v>
      </c>
      <c r="M13" s="73">
        <v>49.5</v>
      </c>
      <c r="N13" s="73">
        <v>49.5</v>
      </c>
      <c r="O13" s="73"/>
      <c r="P13" s="73">
        <f>+SUM(C13:N13)</f>
        <v>594</v>
      </c>
    </row>
    <row r="14" spans="2:16" x14ac:dyDescent="0.3">
      <c r="B14" s="74" t="s">
        <v>7</v>
      </c>
      <c r="C14" s="74">
        <v>3066.4791666666665</v>
      </c>
      <c r="D14" s="74">
        <v>4893.6611842105267</v>
      </c>
      <c r="E14" s="74">
        <v>3994.133152173913</v>
      </c>
      <c r="F14" s="74">
        <v>5964.4553571428578</v>
      </c>
      <c r="G14" s="74">
        <v>10231.791666666668</v>
      </c>
      <c r="H14" s="74">
        <v>6730.371212121212</v>
      </c>
      <c r="I14" s="74">
        <v>9868.4732142857138</v>
      </c>
      <c r="J14" s="74">
        <v>9248.9884910485926</v>
      </c>
      <c r="K14" s="74">
        <v>12480.345905172415</v>
      </c>
      <c r="L14" s="74">
        <v>10194.697088068182</v>
      </c>
      <c r="M14" s="74">
        <v>6042.6640625</v>
      </c>
      <c r="N14" s="74">
        <v>4112</v>
      </c>
      <c r="O14" s="75"/>
      <c r="P14" s="74">
        <v>86828.060500050007</v>
      </c>
    </row>
    <row r="15" spans="2:16" x14ac:dyDescent="0.3">
      <c r="B15" s="266" t="s">
        <v>66</v>
      </c>
      <c r="C15" s="221">
        <v>21</v>
      </c>
      <c r="D15" s="221">
        <v>33</v>
      </c>
      <c r="E15" s="221">
        <v>35</v>
      </c>
      <c r="F15" s="221">
        <v>33</v>
      </c>
      <c r="G15" s="221">
        <v>34</v>
      </c>
      <c r="H15" s="221">
        <v>34</v>
      </c>
      <c r="I15" s="221">
        <v>31</v>
      </c>
      <c r="J15" s="221">
        <v>32</v>
      </c>
      <c r="K15" s="221">
        <v>43</v>
      </c>
      <c r="L15" s="221">
        <v>38</v>
      </c>
      <c r="M15" s="221">
        <v>38</v>
      </c>
      <c r="N15" s="221">
        <v>38</v>
      </c>
      <c r="O15" s="75"/>
      <c r="P15" s="76"/>
    </row>
    <row r="16" spans="2:16" x14ac:dyDescent="0.3">
      <c r="B16" s="266" t="s">
        <v>327</v>
      </c>
      <c r="C16" s="221">
        <v>28</v>
      </c>
      <c r="D16" s="221">
        <v>44.95772282967198</v>
      </c>
      <c r="E16" s="221">
        <v>36.609377181381348</v>
      </c>
      <c r="F16" s="221">
        <v>54.895556399544255</v>
      </c>
      <c r="G16" s="221">
        <v>94.499879156164781</v>
      </c>
      <c r="H16" s="221">
        <v>62.003873280329451</v>
      </c>
      <c r="I16" s="221">
        <v>91.127990884922141</v>
      </c>
      <c r="J16" s="221">
        <v>85.378673010180634</v>
      </c>
      <c r="K16" s="221">
        <v>115.36827605256173</v>
      </c>
      <c r="L16" s="221">
        <v>94.155611548276326</v>
      </c>
      <c r="M16" s="221">
        <v>55.621396264199156</v>
      </c>
      <c r="N16" s="221">
        <v>37.703276594275458</v>
      </c>
      <c r="O16" s="75"/>
      <c r="P16" s="76"/>
    </row>
    <row r="17" spans="2:20" x14ac:dyDescent="0.3">
      <c r="B17" s="7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P17" s="76"/>
    </row>
    <row r="18" spans="2:20" ht="15.6" x14ac:dyDescent="0.3">
      <c r="B18" s="87" t="s">
        <v>165</v>
      </c>
      <c r="C18" s="88">
        <v>3066.4791666666665</v>
      </c>
      <c r="D18" s="88">
        <v>4893.6611842105267</v>
      </c>
      <c r="E18" s="88">
        <v>3994.133152173913</v>
      </c>
      <c r="F18" s="88">
        <v>5964.4553571428578</v>
      </c>
      <c r="G18" s="88">
        <v>10231.791666666668</v>
      </c>
      <c r="H18" s="88">
        <v>6730.371212121212</v>
      </c>
      <c r="I18" s="88">
        <v>9868.4732142857138</v>
      </c>
      <c r="J18" s="88">
        <v>9248.9884910485926</v>
      </c>
      <c r="K18" s="88">
        <v>12480.345905172415</v>
      </c>
      <c r="L18" s="88">
        <v>10194.697088068182</v>
      </c>
      <c r="M18" s="88">
        <v>6042.6640625</v>
      </c>
      <c r="N18" s="88">
        <v>4112</v>
      </c>
      <c r="O18" s="77"/>
      <c r="P18" s="88">
        <v>86234.060500056745</v>
      </c>
    </row>
    <row r="19" spans="2:20" x14ac:dyDescent="0.3">
      <c r="B19" s="89" t="s">
        <v>166</v>
      </c>
      <c r="C19" s="90">
        <v>1</v>
      </c>
      <c r="D19" s="90">
        <v>1</v>
      </c>
      <c r="E19" s="90">
        <v>1</v>
      </c>
      <c r="F19" s="90">
        <v>1</v>
      </c>
      <c r="G19" s="90">
        <v>1</v>
      </c>
      <c r="H19" s="90">
        <v>1</v>
      </c>
      <c r="I19" s="90">
        <v>1</v>
      </c>
      <c r="J19" s="90">
        <v>1</v>
      </c>
      <c r="K19" s="90">
        <v>1</v>
      </c>
      <c r="L19" s="90">
        <v>1</v>
      </c>
      <c r="M19" s="90">
        <v>1</v>
      </c>
      <c r="N19" s="90">
        <v>1</v>
      </c>
      <c r="O19" s="7"/>
      <c r="P19" s="90">
        <v>1</v>
      </c>
    </row>
    <row r="20" spans="2:20" x14ac:dyDescent="0.3">
      <c r="B20" s="7"/>
    </row>
    <row r="21" spans="2:20" x14ac:dyDescent="0.3">
      <c r="B21" s="7" t="s">
        <v>203</v>
      </c>
      <c r="C21" s="73">
        <v>810.76066666666679</v>
      </c>
      <c r="D21" s="73">
        <v>810.76066666666679</v>
      </c>
      <c r="E21" s="73">
        <v>810.76066666666679</v>
      </c>
      <c r="F21" s="73">
        <v>960.76066666666679</v>
      </c>
      <c r="G21" s="73">
        <v>810.76066666666679</v>
      </c>
      <c r="H21" s="73">
        <v>810.76066666666679</v>
      </c>
      <c r="I21" s="73">
        <v>960.76066666666679</v>
      </c>
      <c r="J21" s="73">
        <v>810.76066666666679</v>
      </c>
      <c r="K21" s="73">
        <v>1846.5020459770124</v>
      </c>
      <c r="L21" s="73">
        <v>960.76066666666679</v>
      </c>
      <c r="M21" s="73">
        <v>810.76066666666679</v>
      </c>
      <c r="N21" s="73">
        <v>810.76066666666679</v>
      </c>
      <c r="P21" s="73">
        <v>11214.869379310348</v>
      </c>
      <c r="T21" s="1"/>
    </row>
    <row r="22" spans="2:20" x14ac:dyDescent="0.3">
      <c r="B22" s="78" t="s">
        <v>167</v>
      </c>
      <c r="C22" s="79">
        <v>810.76066666666679</v>
      </c>
      <c r="D22" s="79">
        <v>810.76066666666679</v>
      </c>
      <c r="E22" s="79">
        <v>810.76066666666679</v>
      </c>
      <c r="F22" s="79">
        <v>960.76066666666679</v>
      </c>
      <c r="G22" s="79">
        <v>810.76066666666679</v>
      </c>
      <c r="H22" s="79">
        <v>810.76066666666679</v>
      </c>
      <c r="I22" s="79">
        <v>960.76066666666679</v>
      </c>
      <c r="J22" s="79">
        <v>810.76066666666679</v>
      </c>
      <c r="K22" s="79">
        <v>1846.5020459770124</v>
      </c>
      <c r="L22" s="79">
        <v>960.76066666666679</v>
      </c>
      <c r="M22" s="79">
        <v>810.76066666666679</v>
      </c>
      <c r="N22" s="79">
        <v>810.76066666666679</v>
      </c>
      <c r="O22" s="80"/>
      <c r="P22" s="79">
        <v>11214.869379310348</v>
      </c>
    </row>
    <row r="23" spans="2:20" x14ac:dyDescent="0.3">
      <c r="B23" s="7"/>
    </row>
    <row r="24" spans="2:20" ht="15.6" x14ac:dyDescent="0.3">
      <c r="B24" s="87" t="s">
        <v>168</v>
      </c>
      <c r="C24" s="88">
        <v>2255.7184999999999</v>
      </c>
      <c r="D24" s="88">
        <v>4082.9005175438597</v>
      </c>
      <c r="E24" s="88">
        <v>3183.372485507246</v>
      </c>
      <c r="F24" s="88">
        <v>5003.6946904761908</v>
      </c>
      <c r="G24" s="88">
        <v>9421.0310000000009</v>
      </c>
      <c r="H24" s="88">
        <v>5919.610545454545</v>
      </c>
      <c r="I24" s="88">
        <v>8907.7125476190467</v>
      </c>
      <c r="J24" s="88">
        <v>8438.2278243819255</v>
      </c>
      <c r="K24" s="88">
        <v>10633.843859195402</v>
      </c>
      <c r="L24" s="88">
        <v>9233.936421401515</v>
      </c>
      <c r="M24" s="88">
        <v>5231.903395833333</v>
      </c>
      <c r="N24" s="88">
        <v>3301.239333333333</v>
      </c>
      <c r="O24" s="77"/>
      <c r="P24" s="88">
        <v>75019.1911207464</v>
      </c>
    </row>
    <row r="25" spans="2:20" x14ac:dyDescent="0.3">
      <c r="B25" s="89" t="s">
        <v>169</v>
      </c>
      <c r="C25" s="90">
        <v>0.73560535630575241</v>
      </c>
      <c r="D25" s="90">
        <v>0.83432431544656205</v>
      </c>
      <c r="E25" s="90">
        <v>0.79701210856593774</v>
      </c>
      <c r="F25" s="90">
        <v>0.83891896088783902</v>
      </c>
      <c r="G25" s="90">
        <v>0.92076063576353118</v>
      </c>
      <c r="H25" s="90">
        <v>0.87953700604113638</v>
      </c>
      <c r="I25" s="90">
        <v>0.90264343371010436</v>
      </c>
      <c r="J25" s="90">
        <v>0.91234061244088027</v>
      </c>
      <c r="K25" s="90">
        <v>0.85204720606247464</v>
      </c>
      <c r="L25" s="90">
        <v>0.90575878239765106</v>
      </c>
      <c r="M25" s="90">
        <v>0.86582728109971496</v>
      </c>
      <c r="N25" s="90">
        <v>0.80283057717250317</v>
      </c>
      <c r="O25" s="7"/>
      <c r="P25" s="90">
        <v>0.86994849466350987</v>
      </c>
    </row>
    <row r="26" spans="2:20" x14ac:dyDescent="0.3">
      <c r="B26" s="81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P26" s="82"/>
    </row>
    <row r="27" spans="2:20" x14ac:dyDescent="0.3">
      <c r="B27" s="7" t="s">
        <v>170</v>
      </c>
      <c r="C27" s="132">
        <v>0</v>
      </c>
      <c r="D27" s="129">
        <v>0</v>
      </c>
      <c r="E27" s="132">
        <v>0</v>
      </c>
      <c r="F27" s="129">
        <v>0</v>
      </c>
      <c r="G27" s="129">
        <v>0</v>
      </c>
      <c r="H27" s="129">
        <v>0</v>
      </c>
      <c r="I27" s="132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/>
      <c r="P27" s="113">
        <v>0</v>
      </c>
    </row>
    <row r="28" spans="2:20" ht="15.6" x14ac:dyDescent="0.3">
      <c r="B28" s="87" t="s">
        <v>16</v>
      </c>
      <c r="C28" s="88">
        <v>2255.7184999999999</v>
      </c>
      <c r="D28" s="88">
        <v>4082.9005175438597</v>
      </c>
      <c r="E28" s="88">
        <v>3183.372485507246</v>
      </c>
      <c r="F28" s="88">
        <v>5003.6946904761908</v>
      </c>
      <c r="G28" s="88">
        <v>9421.0310000000009</v>
      </c>
      <c r="H28" s="88">
        <v>5919.610545454545</v>
      </c>
      <c r="I28" s="88">
        <v>8907.7125476190467</v>
      </c>
      <c r="J28" s="88">
        <v>8438.2278243819255</v>
      </c>
      <c r="K28" s="88">
        <v>10633.843859195402</v>
      </c>
      <c r="L28" s="88">
        <v>9233.936421401515</v>
      </c>
      <c r="M28" s="88">
        <v>5231.903395833333</v>
      </c>
      <c r="N28" s="88">
        <v>3301.239333333333</v>
      </c>
      <c r="O28" s="77"/>
      <c r="P28" s="88">
        <v>75019.1911207464</v>
      </c>
    </row>
    <row r="29" spans="2:20" x14ac:dyDescent="0.3">
      <c r="B29" s="89" t="s">
        <v>171</v>
      </c>
      <c r="C29" s="90">
        <v>0.73560535630575241</v>
      </c>
      <c r="D29" s="90">
        <v>0.83432431544656205</v>
      </c>
      <c r="E29" s="90">
        <v>0.79701210856593774</v>
      </c>
      <c r="F29" s="90">
        <v>0.83891896088783902</v>
      </c>
      <c r="G29" s="90">
        <v>0.92076063576353118</v>
      </c>
      <c r="H29" s="90">
        <v>0.87953700604113638</v>
      </c>
      <c r="I29" s="90">
        <v>0.90264343371010436</v>
      </c>
      <c r="J29" s="90">
        <v>0.91234061244088027</v>
      </c>
      <c r="K29" s="90">
        <v>0.85204720606247464</v>
      </c>
      <c r="L29" s="90">
        <v>0.90575878239765106</v>
      </c>
      <c r="M29" s="90">
        <v>0.86582728109971496</v>
      </c>
      <c r="N29" s="90">
        <v>0.80283057717250317</v>
      </c>
      <c r="O29" s="7"/>
      <c r="P29" s="90">
        <v>0.86994849466350987</v>
      </c>
    </row>
    <row r="30" spans="2:20" ht="15" thickBot="1" x14ac:dyDescent="0.35">
      <c r="B30" s="7"/>
    </row>
    <row r="31" spans="2:20" x14ac:dyDescent="0.3">
      <c r="B31" s="83" t="s">
        <v>172</v>
      </c>
      <c r="C31" s="84">
        <v>583.93523734582391</v>
      </c>
      <c r="D31" s="160">
        <v>3316.6412282455376</v>
      </c>
      <c r="E31" s="84">
        <v>5497.8005183445657</v>
      </c>
      <c r="F31" s="160">
        <v>8902.7836486269971</v>
      </c>
      <c r="G31" s="84">
        <v>15222.718101502005</v>
      </c>
      <c r="H31" s="84">
        <v>20447.590030793574</v>
      </c>
      <c r="I31" s="84">
        <v>26375.12213383965</v>
      </c>
      <c r="J31" s="160">
        <v>28510.127406483367</v>
      </c>
      <c r="K31" s="84">
        <v>33013.079542775929</v>
      </c>
      <c r="L31" s="84">
        <v>34722.533705780268</v>
      </c>
      <c r="M31" s="84">
        <v>36536.590043550263</v>
      </c>
      <c r="N31" s="84">
        <v>38730.025353412595</v>
      </c>
    </row>
    <row r="32" spans="2:20" ht="15" thickBot="1" x14ac:dyDescent="0.35">
      <c r="B32" s="85" t="s">
        <v>173</v>
      </c>
      <c r="C32" s="86">
        <v>-413.08476265417585</v>
      </c>
      <c r="D32" s="161">
        <v>2732.7059908997135</v>
      </c>
      <c r="E32" s="86">
        <v>2181.1592900990277</v>
      </c>
      <c r="F32" s="161">
        <v>3404.9831302824314</v>
      </c>
      <c r="G32" s="86">
        <v>6319.934452875008</v>
      </c>
      <c r="H32" s="86">
        <v>5224.8719292915684</v>
      </c>
      <c r="I32" s="86">
        <v>5927.5321030460782</v>
      </c>
      <c r="J32" s="161">
        <v>2135.005272643717</v>
      </c>
      <c r="K32" s="86">
        <v>4502.9521362925589</v>
      </c>
      <c r="L32" s="86">
        <v>1709.4541630043368</v>
      </c>
      <c r="M32" s="86">
        <v>1814.0563377699918</v>
      </c>
      <c r="N32" s="86">
        <v>2193.4353098623324</v>
      </c>
    </row>
    <row r="33" spans="5:5" x14ac:dyDescent="0.3">
      <c r="E33" s="9"/>
    </row>
  </sheetData>
  <pageMargins left="0.25" right="0.25" top="0.75" bottom="0.75" header="0.3" footer="0.3"/>
  <pageSetup scale="55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779F-A4A7-4151-BD4E-7C8B08BFACF6}">
  <sheetPr>
    <tabColor theme="1"/>
    <pageSetUpPr fitToPage="1"/>
  </sheetPr>
  <dimension ref="B9:O40"/>
  <sheetViews>
    <sheetView showGridLines="0" zoomScale="74" workbookViewId="0">
      <selection activeCell="K49" sqref="K49"/>
    </sheetView>
  </sheetViews>
  <sheetFormatPr defaultColWidth="8.6640625" defaultRowHeight="14.4" outlineLevelCol="1" x14ac:dyDescent="0.3"/>
  <cols>
    <col min="2" max="2" width="45.109375" bestFit="1" customWidth="1"/>
    <col min="3" max="3" width="16.33203125" bestFit="1" customWidth="1"/>
    <col min="4" max="4" width="15.6640625" bestFit="1" customWidth="1"/>
    <col min="5" max="5" width="15.33203125" bestFit="1" customWidth="1" outlineLevel="1"/>
    <col min="6" max="6" width="18.44140625" bestFit="1" customWidth="1"/>
    <col min="7" max="7" width="16.77734375" bestFit="1" customWidth="1" outlineLevel="1"/>
    <col min="8" max="8" width="18" bestFit="1" customWidth="1"/>
    <col min="9" max="9" width="16.6640625" hidden="1" customWidth="1" outlineLevel="1"/>
    <col min="10" max="10" width="0.6640625" customWidth="1" collapsed="1"/>
    <col min="11" max="11" width="15.6640625" bestFit="1" customWidth="1"/>
  </cols>
  <sheetData>
    <row r="9" spans="2:13" x14ac:dyDescent="0.3">
      <c r="C9" s="91">
        <v>45382</v>
      </c>
      <c r="D9" s="91">
        <v>45473</v>
      </c>
      <c r="E9" s="206"/>
      <c r="F9" s="91">
        <v>45565</v>
      </c>
      <c r="G9" s="206"/>
      <c r="H9" s="91">
        <v>45657</v>
      </c>
      <c r="I9" s="206"/>
    </row>
    <row r="10" spans="2:13" ht="15.6" x14ac:dyDescent="0.3">
      <c r="B10" s="234"/>
      <c r="C10" s="235" t="s">
        <v>378</v>
      </c>
      <c r="D10" s="235" t="s">
        <v>379</v>
      </c>
      <c r="E10" s="396" t="s">
        <v>226</v>
      </c>
      <c r="F10" s="235" t="s">
        <v>380</v>
      </c>
      <c r="G10" s="396" t="s">
        <v>226</v>
      </c>
      <c r="H10" s="275" t="s">
        <v>381</v>
      </c>
      <c r="I10" s="275" t="s">
        <v>226</v>
      </c>
      <c r="J10" s="236"/>
      <c r="K10" s="237" t="s">
        <v>0</v>
      </c>
      <c r="M10" s="281"/>
    </row>
    <row r="11" spans="2:13" ht="3.45" customHeight="1" x14ac:dyDescent="0.3">
      <c r="B11" s="238"/>
      <c r="C11" s="91" t="str">
        <f>+C10</f>
        <v>Q1 2025</v>
      </c>
      <c r="D11" s="91" t="str">
        <f>+D10</f>
        <v>Q2 2025</v>
      </c>
      <c r="E11" s="397"/>
      <c r="F11" s="91" t="str">
        <f>+F10</f>
        <v>Q3 2025</v>
      </c>
      <c r="G11" s="397"/>
      <c r="H11" s="187" t="str">
        <f>+H10</f>
        <v>Q4 2025</v>
      </c>
      <c r="I11" s="187"/>
      <c r="J11" s="91">
        <v>45322</v>
      </c>
      <c r="K11" s="184"/>
    </row>
    <row r="12" spans="2:13" x14ac:dyDescent="0.3">
      <c r="B12" s="239" t="s">
        <v>60</v>
      </c>
      <c r="C12" s="279">
        <f>SUMIF('Monthly Detail'!$3:$3, 'Quarterly Overview'!C$11, 'Monthly Detail'!12:12)</f>
        <v>22160</v>
      </c>
      <c r="D12" s="279">
        <f>SUMIF('Monthly Detail'!$3:$3, 'Quarterly Overview'!D$11, 'Monthly Detail'!12:12)</f>
        <v>16611.25</v>
      </c>
      <c r="E12" s="398">
        <f>+D12-C12</f>
        <v>-5548.75</v>
      </c>
      <c r="F12" s="279">
        <f>SUMIF('Monthly Detail'!$3:$3, 'Quarterly Overview'!F$11, 'Monthly Detail'!12:12)</f>
        <v>63525</v>
      </c>
      <c r="G12" s="398">
        <f>+F12-D12</f>
        <v>46913.75</v>
      </c>
      <c r="H12" s="201">
        <f>SUMIF('Monthly Detail'!$3:$3, 'Quarterly Overview'!H$11, 'Monthly Detail'!12:12)</f>
        <v>63790.843888079893</v>
      </c>
      <c r="I12" s="207">
        <f>+H12-F12</f>
        <v>265.84388807989308</v>
      </c>
      <c r="J12" s="73"/>
      <c r="K12" s="240">
        <f>SUM(C12,D12,F12,H12)</f>
        <v>166087.09388807989</v>
      </c>
    </row>
    <row r="13" spans="2:13" x14ac:dyDescent="0.3">
      <c r="B13" s="239" t="s">
        <v>295</v>
      </c>
      <c r="C13" s="279">
        <f>SUMIF('Monthly Detail'!$3:$3, 'Quarterly Overview'!C$11, 'Monthly Detail'!13:13)</f>
        <v>219.99</v>
      </c>
      <c r="D13" s="279">
        <f>SUMIF('Monthly Detail'!$3:$3, 'Quarterly Overview'!D$11, 'Monthly Detail'!13:13)</f>
        <v>105.5</v>
      </c>
      <c r="E13" s="398">
        <f>+D13-C13</f>
        <v>-114.49000000000001</v>
      </c>
      <c r="F13" s="279">
        <f>SUMIF('Monthly Detail'!$3:$3, 'Quarterly Overview'!F$11, 'Monthly Detail'!13:13)</f>
        <v>169.5</v>
      </c>
      <c r="G13" s="398">
        <f>+F13-D13</f>
        <v>64</v>
      </c>
      <c r="H13" s="201">
        <f>SUMIF('Monthly Detail'!$3:$3, 'Quarterly Overview'!H$11, 'Monthly Detail'!13:13)</f>
        <v>133.06334467589153</v>
      </c>
      <c r="I13" s="207">
        <f>+H13-F13</f>
        <v>-36.436655324108472</v>
      </c>
      <c r="J13" s="73"/>
      <c r="K13" s="240">
        <f>+SUM(H13,F13,D13,C13)</f>
        <v>628.05334467589159</v>
      </c>
    </row>
    <row r="14" spans="2:13" x14ac:dyDescent="0.3">
      <c r="B14" s="241" t="s">
        <v>7</v>
      </c>
      <c r="C14" s="74">
        <f>SUM(C12:C13)</f>
        <v>22379.99</v>
      </c>
      <c r="D14" s="74">
        <f>SUM(D12:D13)</f>
        <v>16716.75</v>
      </c>
      <c r="E14" s="399">
        <f>+D14-C14</f>
        <v>-5663.2400000000016</v>
      </c>
      <c r="F14" s="74">
        <f>SUM(F12:F13)</f>
        <v>63694.5</v>
      </c>
      <c r="G14" s="399">
        <f>+F14-D14</f>
        <v>46977.75</v>
      </c>
      <c r="H14" s="189">
        <f>SUM(H12:H13)</f>
        <v>63923.907232755788</v>
      </c>
      <c r="I14" s="208">
        <f>+H14-F14</f>
        <v>229.40723275578785</v>
      </c>
      <c r="J14" s="75"/>
      <c r="K14" s="242">
        <f>SUM(K12:K13)</f>
        <v>166715.14723275579</v>
      </c>
    </row>
    <row r="15" spans="2:13" x14ac:dyDescent="0.3">
      <c r="B15" s="447" t="s">
        <v>291</v>
      </c>
      <c r="C15" s="448">
        <f>+AVERAGEIFS('Monthly Detail'!17:17,'Monthly Detail'!3:3,'Quarterly Overview'!C10)</f>
        <v>25.333333333333332</v>
      </c>
      <c r="D15" s="448">
        <f>+AVERAGEIFS('Monthly Detail'!17:17,'Monthly Detail'!3:3,'Quarterly Overview'!D10)</f>
        <v>22.666666666666668</v>
      </c>
      <c r="E15" s="474">
        <f>+D15-C15</f>
        <v>-2.6666666666666643</v>
      </c>
      <c r="F15" s="448">
        <f>+AVERAGEIFS('Monthly Detail'!17:17,'Monthly Detail'!3:3,'Quarterly Overview'!F10)</f>
        <v>46.666666666666664</v>
      </c>
      <c r="G15" s="474">
        <f>+F15-D15</f>
        <v>23.999999999999996</v>
      </c>
      <c r="H15" s="475">
        <f>+AVERAGEIFS('Monthly Detail'!17:17,'Monthly Detail'!3:3,'Quarterly Overview'!H10)</f>
        <v>55.533333333333331</v>
      </c>
      <c r="I15" s="391">
        <f>+H15-F15</f>
        <v>8.8666666666666671</v>
      </c>
      <c r="J15" s="75"/>
      <c r="K15" s="333"/>
    </row>
    <row r="16" spans="2:13" ht="4.95" customHeight="1" x14ac:dyDescent="0.3">
      <c r="B16" s="238"/>
      <c r="C16" s="280"/>
      <c r="D16" s="280"/>
      <c r="E16" s="400"/>
      <c r="F16" s="280"/>
      <c r="G16" s="400"/>
      <c r="H16" s="202"/>
      <c r="I16" s="209"/>
      <c r="K16" s="244"/>
    </row>
    <row r="17" spans="2:15" x14ac:dyDescent="0.3">
      <c r="B17" s="238" t="s">
        <v>325</v>
      </c>
      <c r="C17" s="279">
        <f>SUMIF('Monthly Detail'!$3:$3, 'Quarterly Overview'!C$11, 'Monthly Detail'!$65:$65)</f>
        <v>450</v>
      </c>
      <c r="D17" s="279">
        <f>SUMIF('Monthly Detail'!$3:$3, 'Quarterly Overview'!D$11, 'Monthly Detail'!$65:$65)</f>
        <v>270</v>
      </c>
      <c r="E17" s="400">
        <f>+D17-C17</f>
        <v>-180</v>
      </c>
      <c r="F17" s="280">
        <f>SUMIF('Monthly Detail'!$3:$3, 'Quarterly Overview'!F$11, 'Monthly Detail'!$65:$65)</f>
        <v>6343.24</v>
      </c>
      <c r="G17" s="400">
        <f>+F17-E17</f>
        <v>6523.24</v>
      </c>
      <c r="H17" s="202">
        <f>SUMIF('Monthly Detail'!$3:$3, 'Quarterly Overview'!H$11, 'Monthly Detail'!$65:$65)</f>
        <v>7650.1279384231348</v>
      </c>
      <c r="I17" s="400">
        <f>+H17-G17</f>
        <v>1126.887938423135</v>
      </c>
      <c r="K17" s="240">
        <f>SUM(C17,D17,F17,H17)</f>
        <v>14713.367938423135</v>
      </c>
    </row>
    <row r="18" spans="2:15" ht="15.6" x14ac:dyDescent="0.3">
      <c r="B18" s="245" t="s">
        <v>165</v>
      </c>
      <c r="C18" s="88">
        <f>C14-C17</f>
        <v>21929.99</v>
      </c>
      <c r="D18" s="88">
        <f>D14-D17</f>
        <v>16446.75</v>
      </c>
      <c r="E18" s="401">
        <f>+D18-C18</f>
        <v>-5483.2400000000016</v>
      </c>
      <c r="F18" s="88">
        <f>F14-F17</f>
        <v>57351.26</v>
      </c>
      <c r="G18" s="401">
        <f>+F18-D18</f>
        <v>40904.51</v>
      </c>
      <c r="H18" s="191">
        <f>H14-H17</f>
        <v>56273.779294332649</v>
      </c>
      <c r="I18" s="210">
        <f>+H18-F18</f>
        <v>-1077.4807056673526</v>
      </c>
      <c r="J18" s="246"/>
      <c r="K18" s="247">
        <f>K14-K17</f>
        <v>152001.77929433266</v>
      </c>
    </row>
    <row r="19" spans="2:15" x14ac:dyDescent="0.3">
      <c r="B19" s="451" t="s">
        <v>166</v>
      </c>
      <c r="C19" s="476">
        <f>C18/C14</f>
        <v>0.97989275240963025</v>
      </c>
      <c r="D19" s="476">
        <f>D18/D14</f>
        <v>0.98384853515186865</v>
      </c>
      <c r="E19" s="477">
        <f>+D19-C19</f>
        <v>3.9557827422384007E-3</v>
      </c>
      <c r="F19" s="476">
        <f>F18/F14</f>
        <v>0.90041149549804145</v>
      </c>
      <c r="G19" s="477">
        <f>+F19-D19</f>
        <v>-8.3437039653827205E-2</v>
      </c>
      <c r="H19" s="478">
        <f>H18/H14</f>
        <v>0.8803244627934278</v>
      </c>
      <c r="I19" s="211">
        <f>+H19-F19</f>
        <v>-2.008703270461365E-2</v>
      </c>
      <c r="J19" s="7"/>
      <c r="K19" s="249">
        <f>K18/K14</f>
        <v>0.91174546414860935</v>
      </c>
    </row>
    <row r="20" spans="2:15" ht="5.7" customHeight="1" x14ac:dyDescent="0.3">
      <c r="B20" s="238"/>
      <c r="C20" s="281"/>
      <c r="D20" s="281"/>
      <c r="E20" s="402"/>
      <c r="F20" s="281"/>
      <c r="G20" s="402"/>
      <c r="H20" s="203"/>
      <c r="I20" s="212"/>
      <c r="K20" s="184"/>
    </row>
    <row r="21" spans="2:15" x14ac:dyDescent="0.3">
      <c r="B21" s="238" t="s">
        <v>273</v>
      </c>
      <c r="C21" s="279">
        <f>SUMIF('Monthly Detail'!$3:$3, 'Quarterly Overview'!C$11, 'Monthly Detail'!$72:$72)</f>
        <v>0</v>
      </c>
      <c r="D21" s="279">
        <f>SUMIF('Monthly Detail'!$3:$3, 'Quarterly Overview'!D$11, 'Monthly Detail'!$72:$72)</f>
        <v>0</v>
      </c>
      <c r="E21" s="403">
        <f>+D21-C21</f>
        <v>0</v>
      </c>
      <c r="F21" s="279">
        <f>SUMIF('Monthly Detail'!$3:$3, 'Quarterly Overview'!F$11, 'Monthly Detail'!$72:$72)</f>
        <v>0</v>
      </c>
      <c r="G21" s="403">
        <f>SUMIF('Monthly Detail'!$3:$3, 'Quarterly Overview'!G$11, 'Monthly Detail'!$72:$72)</f>
        <v>0</v>
      </c>
      <c r="H21" s="201">
        <f>SUMIF('Monthly Detail'!$3:$3, 'Quarterly Overview'!H$11, 'Monthly Detail'!$72:$72)</f>
        <v>0</v>
      </c>
      <c r="I21" s="403">
        <f>SUMIF('Monthly Detail'!$3:$3, 'Quarterly Overview'!I$11, 'Monthly Detail'!$72:$72)</f>
        <v>0</v>
      </c>
      <c r="K21" s="240">
        <f>SUM(C21,D21,F21,H21)</f>
        <v>0</v>
      </c>
    </row>
    <row r="22" spans="2:15" x14ac:dyDescent="0.3">
      <c r="B22" s="238" t="s">
        <v>203</v>
      </c>
      <c r="C22" s="279">
        <f>SUMIF('Monthly Detail'!$3:$3, 'Quarterly Overview'!C$11, 'Monthly Detail'!$95:$95)</f>
        <v>18368.589999999997</v>
      </c>
      <c r="D22" s="279">
        <f>SUMIF('Monthly Detail'!$3:$3, 'Quarterly Overview'!D$11, 'Monthly Detail'!$95:$95)</f>
        <v>11611.73</v>
      </c>
      <c r="E22" s="403">
        <f>+D22-C22</f>
        <v>-6756.8599999999969</v>
      </c>
      <c r="F22" s="279">
        <f>SUMIF('Monthly Detail'!$3:$3, 'Quarterly Overview'!F$11, 'Monthly Detail'!$95:$95)</f>
        <v>40676.630000000005</v>
      </c>
      <c r="G22" s="403">
        <f>+F22-D22</f>
        <v>29064.900000000005</v>
      </c>
      <c r="H22" s="201">
        <f>SUMIF('Monthly Detail'!$3:$3, 'Quarterly Overview'!H$11, 'Monthly Detail'!$95:$95)</f>
        <v>35693.13716892861</v>
      </c>
      <c r="I22" s="213">
        <f>+H22-F22</f>
        <v>-4983.4928310713949</v>
      </c>
      <c r="K22" s="240">
        <f>SUM(C22,D22,F22,H22)</f>
        <v>106350.08716892861</v>
      </c>
      <c r="O22" s="1"/>
    </row>
    <row r="23" spans="2:15" x14ac:dyDescent="0.3">
      <c r="B23" s="250" t="s">
        <v>167</v>
      </c>
      <c r="C23" s="79">
        <f>SUM(C21:C22)</f>
        <v>18368.589999999997</v>
      </c>
      <c r="D23" s="79">
        <f t="shared" ref="D23:H23" si="0">SUM(D21:D22)</f>
        <v>11611.73</v>
      </c>
      <c r="E23" s="404">
        <f t="shared" si="0"/>
        <v>-6756.8599999999969</v>
      </c>
      <c r="F23" s="79">
        <f>SUM(F21:F22)</f>
        <v>40676.630000000005</v>
      </c>
      <c r="G23" s="404">
        <f t="shared" si="0"/>
        <v>29064.900000000005</v>
      </c>
      <c r="H23" s="194">
        <f t="shared" si="0"/>
        <v>35693.13716892861</v>
      </c>
      <c r="I23" s="214">
        <f>+H23-F23</f>
        <v>-4983.4928310713949</v>
      </c>
      <c r="J23" s="251"/>
      <c r="K23" s="252">
        <f>SUM(K21:K22)</f>
        <v>106350.08716892861</v>
      </c>
    </row>
    <row r="24" spans="2:15" ht="1.95" customHeight="1" x14ac:dyDescent="0.3">
      <c r="B24" s="238"/>
      <c r="C24" s="281"/>
      <c r="D24" s="281"/>
      <c r="E24" s="402"/>
      <c r="F24" s="281"/>
      <c r="G24" s="402"/>
      <c r="H24" s="203"/>
      <c r="I24" s="212"/>
      <c r="K24" s="184"/>
    </row>
    <row r="25" spans="2:15" ht="15.6" x14ac:dyDescent="0.3">
      <c r="B25" s="245" t="s">
        <v>168</v>
      </c>
      <c r="C25" s="88">
        <f>C18-C23</f>
        <v>3561.4000000000051</v>
      </c>
      <c r="D25" s="88">
        <f>D18-D23</f>
        <v>4835.0200000000004</v>
      </c>
      <c r="E25" s="401">
        <f>+D25-C25</f>
        <v>1273.6199999999953</v>
      </c>
      <c r="F25" s="88">
        <f>F18-F23</f>
        <v>16674.629999999997</v>
      </c>
      <c r="G25" s="401">
        <f>+F25-D25</f>
        <v>11839.609999999997</v>
      </c>
      <c r="H25" s="191">
        <f>H18-H23</f>
        <v>20580.64212540404</v>
      </c>
      <c r="I25" s="210">
        <f>+H25-F25</f>
        <v>3906.0121254040423</v>
      </c>
      <c r="J25" s="246"/>
      <c r="K25" s="247">
        <f>K18-K23</f>
        <v>45651.69212540405</v>
      </c>
    </row>
    <row r="26" spans="2:15" x14ac:dyDescent="0.3">
      <c r="B26" s="451" t="s">
        <v>169</v>
      </c>
      <c r="C26" s="476">
        <f>C25/C14</f>
        <v>0.15913322570742905</v>
      </c>
      <c r="D26" s="476">
        <f>D25/D14</f>
        <v>0.28923205766671156</v>
      </c>
      <c r="E26" s="477">
        <f>+D26-C26</f>
        <v>0.13009883195928251</v>
      </c>
      <c r="F26" s="476">
        <f>F25/F14</f>
        <v>0.26179073546381554</v>
      </c>
      <c r="G26" s="477">
        <f>+F26-D26</f>
        <v>-2.7441322202896024E-2</v>
      </c>
      <c r="H26" s="478">
        <f>H25/H14</f>
        <v>0.32195532182454173</v>
      </c>
      <c r="I26" s="211">
        <f>+H26-F26</f>
        <v>6.0164586360726191E-2</v>
      </c>
      <c r="J26" s="7"/>
      <c r="K26" s="249">
        <f>K25/K14</f>
        <v>0.2738305000065076</v>
      </c>
    </row>
    <row r="27" spans="2:15" ht="4.2" customHeight="1" x14ac:dyDescent="0.3">
      <c r="B27" s="253"/>
      <c r="C27" s="282"/>
      <c r="D27" s="282"/>
      <c r="E27" s="405"/>
      <c r="F27" s="282"/>
      <c r="G27" s="405"/>
      <c r="H27" s="204"/>
      <c r="I27" s="215"/>
      <c r="K27" s="254"/>
    </row>
    <row r="28" spans="2:15" x14ac:dyDescent="0.3">
      <c r="B28" s="238" t="s">
        <v>170</v>
      </c>
      <c r="C28" s="165">
        <f>SUMIF('Monthly Detail'!$3:$3, 'Quarterly Overview'!C$11, 'Monthly Detail'!109:109)</f>
        <v>-2355.33</v>
      </c>
      <c r="D28" s="165">
        <f>SUMIF('Monthly Detail'!$3:$3, 'Quarterly Overview'!D$11, 'Monthly Detail'!109:109)</f>
        <v>-2219.81</v>
      </c>
      <c r="E28" s="406">
        <f>+D28-C28</f>
        <v>135.51999999999998</v>
      </c>
      <c r="F28" s="165">
        <f>SUMIF('Monthly Detail'!$3:$3, 'Quarterly Overview'!F$11, 'Monthly Detail'!109:109)</f>
        <v>-2228.9300000000003</v>
      </c>
      <c r="G28" s="406">
        <f>+F28-D28</f>
        <v>-9.1200000000003456</v>
      </c>
      <c r="H28" s="205">
        <f>SUMIF('Monthly Detail'!$3:$3, 'Quarterly Overview'!H$11, 'Monthly Detail'!109:109)</f>
        <v>-2442.23</v>
      </c>
      <c r="I28" s="216">
        <f>+H28-F28</f>
        <v>-213.29999999999973</v>
      </c>
      <c r="J28" s="132"/>
      <c r="K28" s="185">
        <f>SUM(C28,D28,F28,H28)</f>
        <v>-9246.2999999999993</v>
      </c>
    </row>
    <row r="29" spans="2:15" ht="15.6" x14ac:dyDescent="0.3">
      <c r="B29" s="245" t="s">
        <v>16</v>
      </c>
      <c r="C29" s="88">
        <f>C25+SUM(C28:C28)</f>
        <v>1206.0700000000052</v>
      </c>
      <c r="D29" s="88">
        <f>D25+SUM(D28:D28)</f>
        <v>2615.2100000000005</v>
      </c>
      <c r="E29" s="401">
        <f>+D29-C29</f>
        <v>1409.1399999999953</v>
      </c>
      <c r="F29" s="88">
        <f>F25+SUM(F28:F28)</f>
        <v>14445.699999999997</v>
      </c>
      <c r="G29" s="401">
        <f>+F29-D29</f>
        <v>11830.489999999996</v>
      </c>
      <c r="H29" s="191">
        <f>H25+SUM(H28:H28)</f>
        <v>18138.41212540404</v>
      </c>
      <c r="I29" s="210">
        <f>+H29-F29</f>
        <v>3692.712125404043</v>
      </c>
      <c r="J29" s="246"/>
      <c r="K29" s="247">
        <f>K25+SUM(K28:K28)</f>
        <v>36405.392125404047</v>
      </c>
      <c r="L29" s="222"/>
    </row>
    <row r="30" spans="2:15" x14ac:dyDescent="0.3">
      <c r="B30" s="248" t="s">
        <v>171</v>
      </c>
      <c r="C30" s="90">
        <f>C29/C14</f>
        <v>5.3890551336260875E-2</v>
      </c>
      <c r="D30" s="90">
        <f>D29/D14</f>
        <v>0.15644249031659865</v>
      </c>
      <c r="E30" s="407">
        <f>+D30-C30</f>
        <v>0.10255193898033778</v>
      </c>
      <c r="F30" s="90">
        <f>F29/F14</f>
        <v>0.22679666219218295</v>
      </c>
      <c r="G30" s="407">
        <f>+F30-D30</f>
        <v>7.0354171875584293E-2</v>
      </c>
      <c r="H30" s="192">
        <f>H29/H14</f>
        <v>0.28375005394084524</v>
      </c>
      <c r="I30" s="217">
        <f>+H30-F30</f>
        <v>5.6953391748662291E-2</v>
      </c>
      <c r="J30" s="7"/>
      <c r="K30" s="249">
        <f>K29/K14</f>
        <v>0.21836883288461748</v>
      </c>
      <c r="L30" s="222"/>
    </row>
    <row r="31" spans="2:15" ht="2.25" customHeight="1" thickBot="1" x14ac:dyDescent="0.35">
      <c r="B31" s="238"/>
      <c r="E31" s="408"/>
      <c r="G31" s="408"/>
      <c r="H31" s="193"/>
      <c r="I31" s="218"/>
      <c r="K31" s="184"/>
    </row>
    <row r="32" spans="2:15" x14ac:dyDescent="0.3">
      <c r="B32" s="255" t="s">
        <v>172</v>
      </c>
      <c r="C32" s="84">
        <f>SUMIF('Monthly Detail'!$4:$4, 'Quarterly Overview'!C$9, 'Monthly Detail'!174:174)</f>
        <v>177.78999999999928</v>
      </c>
      <c r="D32" s="160">
        <f>SUMIF('Monthly Detail'!$4:$4, 'Quarterly Overview'!D$9, 'Monthly Detail'!174:174)</f>
        <v>1615.6999999999991</v>
      </c>
      <c r="E32" s="409"/>
      <c r="F32" s="160">
        <f>SUMIF('Monthly Detail'!$4:$4, 'Quarterly Overview'!F$9, 'Monthly Detail'!174:174)</f>
        <v>4237.5200000000032</v>
      </c>
      <c r="G32" s="409"/>
      <c r="H32" s="219">
        <f>SUMIF('Monthly Detail'!$4:$4, 'Quarterly Overview'!H$9, 'Monthly Detail'!174:174)</f>
        <v>292.83000000000084</v>
      </c>
      <c r="I32" s="197"/>
      <c r="K32" s="184"/>
    </row>
    <row r="33" spans="2:11" x14ac:dyDescent="0.3">
      <c r="B33" s="256" t="s">
        <v>173</v>
      </c>
      <c r="C33" s="258">
        <f>SUMIF('Monthly Detail'!$3:$3, 'Quarterly Overview'!C$10, 'Monthly Detail'!171:171)</f>
        <v>692.36000000000024</v>
      </c>
      <c r="D33" s="257">
        <f>SUMIF('Monthly Detail'!$3:$3, 'Quarterly Overview'!D$10, 'Monthly Detail'!171:171)</f>
        <v>74.310000000002333</v>
      </c>
      <c r="E33" s="505">
        <f>+D33-C33</f>
        <v>-618.04999999999791</v>
      </c>
      <c r="F33" s="257">
        <f>SUMIF('Monthly Detail'!$3:$3, 'Quarterly Overview'!F$10, 'Monthly Detail'!171:171)</f>
        <v>5073.6999999999971</v>
      </c>
      <c r="G33" s="505">
        <f>+F33-D33</f>
        <v>4999.3899999999949</v>
      </c>
      <c r="H33" s="283">
        <f>SUMIF('Monthly Detail'!$3:$3, 'Quarterly Overview'!H$10, 'Monthly Detail'!171:171)</f>
        <v>27310.27195465042</v>
      </c>
      <c r="I33" s="276">
        <f>+H33-F33</f>
        <v>22236.571954650422</v>
      </c>
      <c r="J33" s="259"/>
      <c r="K33" s="260"/>
    </row>
    <row r="37" spans="2:11" x14ac:dyDescent="0.3">
      <c r="C37" t="s">
        <v>311</v>
      </c>
      <c r="D37" t="s">
        <v>312</v>
      </c>
      <c r="F37" t="s">
        <v>313</v>
      </c>
      <c r="H37" t="s">
        <v>314</v>
      </c>
    </row>
    <row r="38" spans="2:11" x14ac:dyDescent="0.3">
      <c r="B38" t="s">
        <v>308</v>
      </c>
      <c r="C38" s="376">
        <f>+SUM('2025 AOP'!C14:E14)</f>
        <v>27893.465793950309</v>
      </c>
      <c r="D38" s="376">
        <f>+SUM('2025 AOP'!F14:H14)</f>
        <v>26421.692374480412</v>
      </c>
      <c r="F38" s="376">
        <f>+SUM('2025 AOP'!I14:K14)</f>
        <v>38914.059938518738</v>
      </c>
      <c r="H38" s="376">
        <f>+SUM('2025 AOP'!L14:N14)</f>
        <v>30767.431226639746</v>
      </c>
    </row>
    <row r="39" spans="2:11" x14ac:dyDescent="0.3">
      <c r="B39" t="s">
        <v>309</v>
      </c>
      <c r="C39" s="376" t="e">
        <f>+AVERAGE('2025 AOP'!C28:E28)</f>
        <v>#DIV/0!</v>
      </c>
      <c r="D39" s="376">
        <f>+SUM('2025 AOP'!F28:H28)</f>
        <v>0</v>
      </c>
      <c r="F39" s="376">
        <f>+SUM('2025 AOP'!I28:K28)</f>
        <v>0</v>
      </c>
      <c r="H39" s="376">
        <f>+SUM('2025 AOP'!L28:N28)</f>
        <v>0</v>
      </c>
    </row>
    <row r="40" spans="2:11" x14ac:dyDescent="0.3">
      <c r="B40" t="s">
        <v>310</v>
      </c>
      <c r="C40" s="377">
        <f>+AVERAGE('2025 AOP'!C15:E15)</f>
        <v>34.733333333333327</v>
      </c>
      <c r="D40" s="377">
        <f>+AVERAGE('2025 AOP'!F15:H15)</f>
        <v>31.666666666666657</v>
      </c>
      <c r="F40" s="377">
        <f>+AVERAGE('2025 AOP'!I15:K15)</f>
        <v>37.199999999999989</v>
      </c>
      <c r="H40" s="377">
        <f>+AVERAGE('2025 AOP'!L15:N15)</f>
        <v>43.599999999999987</v>
      </c>
    </row>
  </sheetData>
  <pageMargins left="0.25" right="0.25" top="0.75" bottom="0.75" header="0.3" footer="0.3"/>
  <pageSetup scale="50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691E-3F63-4C69-9719-9B3845E3F8A6}">
  <sheetPr>
    <tabColor theme="1"/>
    <pageSetUpPr fitToPage="1"/>
  </sheetPr>
  <dimension ref="B10:T31"/>
  <sheetViews>
    <sheetView showGridLines="0" topLeftCell="A5" workbookViewId="0">
      <selection activeCell="N28" sqref="L28:N28"/>
    </sheetView>
  </sheetViews>
  <sheetFormatPr defaultColWidth="8.6640625" defaultRowHeight="14.4" outlineLevelCol="1" x14ac:dyDescent="0.3"/>
  <cols>
    <col min="2" max="2" width="32.109375" bestFit="1" customWidth="1"/>
    <col min="3" max="9" width="12.33203125" hidden="1" customWidth="1" outlineLevel="1"/>
    <col min="10" max="10" width="9.44140625" bestFit="1" customWidth="1" collapsed="1"/>
    <col min="11" max="12" width="11.109375" bestFit="1" customWidth="1"/>
    <col min="13" max="13" width="10.6640625" bestFit="1" customWidth="1"/>
    <col min="14" max="14" width="10.44140625" bestFit="1" customWidth="1"/>
    <col min="15" max="15" width="0.6640625" customWidth="1"/>
    <col min="16" max="16" width="8.6640625" bestFit="1" customWidth="1"/>
  </cols>
  <sheetData>
    <row r="10" spans="2:16" ht="15.6" x14ac:dyDescent="0.3">
      <c r="B10" s="68"/>
      <c r="C10" s="69" t="str">
        <f>TEXT('Monthly Detail'!D4,"mmmm")</f>
        <v>January</v>
      </c>
      <c r="D10" s="69" t="str">
        <f>TEXT('Monthly Detail'!E4,"mmmm")</f>
        <v>February</v>
      </c>
      <c r="E10" s="69" t="str">
        <f>TEXT('Monthly Detail'!F4,"mmmm")</f>
        <v>March</v>
      </c>
      <c r="F10" s="69" t="str">
        <f>TEXT('Monthly Detail'!G4,"mmmm")</f>
        <v>April</v>
      </c>
      <c r="G10" s="69" t="str">
        <f>TEXT('Monthly Detail'!H4,"mmmm")</f>
        <v>May</v>
      </c>
      <c r="H10" s="69" t="str">
        <f>TEXT('Monthly Detail'!I4,"mmmm")</f>
        <v>June</v>
      </c>
      <c r="I10" s="69" t="str">
        <f>TEXT('Monthly Detail'!J4,"mmmm")</f>
        <v>July</v>
      </c>
      <c r="J10" s="69" t="str">
        <f>TEXT('Monthly Detail'!K4,"mmmm")</f>
        <v>August</v>
      </c>
      <c r="K10" s="69" t="str">
        <f>TEXT('Monthly Detail'!L4,"mmmm")</f>
        <v>September</v>
      </c>
      <c r="L10" s="69" t="str">
        <f>TEXT('Monthly Detail'!M4,"mmmm")</f>
        <v>October</v>
      </c>
      <c r="M10" s="69" t="str">
        <f>TEXT('Monthly Detail'!N4,"mmmm")</f>
        <v>November</v>
      </c>
      <c r="N10" s="147" t="str">
        <f>TEXT('Monthly Detail'!O4,"mmmm")</f>
        <v>December</v>
      </c>
      <c r="O10" s="70"/>
      <c r="P10" s="71" t="s">
        <v>0</v>
      </c>
    </row>
    <row r="11" spans="2:16" ht="1.5" customHeight="1" x14ac:dyDescent="0.3">
      <c r="B11" s="7"/>
      <c r="C11" s="91">
        <v>44592</v>
      </c>
      <c r="D11" s="91">
        <v>44620</v>
      </c>
      <c r="E11" s="91">
        <v>44651</v>
      </c>
      <c r="F11" s="91">
        <v>44681</v>
      </c>
      <c r="G11" s="91">
        <v>44712</v>
      </c>
      <c r="H11" s="91">
        <v>44742</v>
      </c>
      <c r="I11" s="91">
        <v>44773</v>
      </c>
      <c r="J11" s="91">
        <v>44804</v>
      </c>
      <c r="K11" s="91">
        <v>44834</v>
      </c>
      <c r="L11" s="91">
        <v>44865</v>
      </c>
      <c r="M11" s="91">
        <v>44895</v>
      </c>
      <c r="N11" s="148">
        <v>44926</v>
      </c>
    </row>
    <row r="12" spans="2:16" x14ac:dyDescent="0.3">
      <c r="B12" s="72" t="s">
        <v>60</v>
      </c>
      <c r="C12" s="73">
        <f>SUMIF('Monthly Detail'!$4:$4, '2022 Overview'!C$11, 'Monthly Detail'!12:12)</f>
        <v>0</v>
      </c>
      <c r="D12" s="73">
        <f>SUMIF('Monthly Detail'!$4:$4, '2022 Overview'!D$11, 'Monthly Detail'!12:12)</f>
        <v>0</v>
      </c>
      <c r="E12" s="73">
        <f>SUMIF('Monthly Detail'!$4:$4, '2022 Overview'!E$11, 'Monthly Detail'!12:12)</f>
        <v>0</v>
      </c>
      <c r="F12" s="73">
        <f>SUMIF('Monthly Detail'!$4:$4, '2022 Overview'!F$11, 'Monthly Detail'!12:12)</f>
        <v>0</v>
      </c>
      <c r="G12" s="73">
        <f>SUMIF('Monthly Detail'!$4:$4, '2022 Overview'!G$11, 'Monthly Detail'!12:12)</f>
        <v>0</v>
      </c>
      <c r="H12" s="73">
        <f>SUMIF('Monthly Detail'!$4:$4, '2022 Overview'!H$11, 'Monthly Detail'!12:12)</f>
        <v>0</v>
      </c>
      <c r="I12" s="73">
        <f>SUMIF('Monthly Detail'!$4:$4, '2022 Overview'!I$11, 'Monthly Detail'!12:12)</f>
        <v>0</v>
      </c>
      <c r="J12" s="73">
        <f>SUMIF('Monthly Detail'!$4:$4, '2022 Overview'!J$11, 'Monthly Detail'!12:12)</f>
        <v>375</v>
      </c>
      <c r="K12" s="73">
        <f>SUMIF('Monthly Detail'!$4:$4, '2022 Overview'!K$11, 'Monthly Detail'!12:12)</f>
        <v>1075</v>
      </c>
      <c r="L12" s="73">
        <f>SUMIF('Monthly Detail'!$4:$4, '2022 Overview'!L$11, 'Monthly Detail'!12:12)</f>
        <v>3640</v>
      </c>
      <c r="M12" s="73">
        <f>SUMIF('Monthly Detail'!$4:$4, '2022 Overview'!M$11, 'Monthly Detail'!12:12)</f>
        <v>2090</v>
      </c>
      <c r="N12" s="149">
        <f>SUMIF('Monthly Detail'!$4:$4, '2022 Overview'!N$11, 'Monthly Detail'!12:12)</f>
        <v>2032.5</v>
      </c>
      <c r="O12" s="73"/>
      <c r="P12" s="73">
        <f>SUM(C12:O12)</f>
        <v>9212.5</v>
      </c>
    </row>
    <row r="13" spans="2:16" x14ac:dyDescent="0.3">
      <c r="B13" s="72" t="s">
        <v>174</v>
      </c>
      <c r="C13" s="73">
        <f>SUMIF('Monthly Detail'!$4:$4, '2022 Overview'!C$11, 'Monthly Detail'!13:13)</f>
        <v>0</v>
      </c>
      <c r="D13" s="73">
        <f>SUMIF('Monthly Detail'!$4:$4, '2022 Overview'!D$11, 'Monthly Detail'!13:13)</f>
        <v>0</v>
      </c>
      <c r="E13" s="73">
        <f>SUMIF('Monthly Detail'!$4:$4, '2022 Overview'!E$11, 'Monthly Detail'!13:13)</f>
        <v>0</v>
      </c>
      <c r="F13" s="73">
        <f>SUMIF('Monthly Detail'!$4:$4, '2022 Overview'!F$11, 'Monthly Detail'!13:13)</f>
        <v>0</v>
      </c>
      <c r="G13" s="73">
        <f>SUMIF('Monthly Detail'!$4:$4, '2022 Overview'!G$11, 'Monthly Detail'!13:13)</f>
        <v>0</v>
      </c>
      <c r="H13" s="73">
        <f>SUMIF('Monthly Detail'!$4:$4, '2022 Overview'!H$11, 'Monthly Detail'!13:13)</f>
        <v>0</v>
      </c>
      <c r="I13" s="73">
        <f>SUMIF('Monthly Detail'!$4:$4, '2022 Overview'!I$11, 'Monthly Detail'!13:13)</f>
        <v>0</v>
      </c>
      <c r="J13" s="73">
        <f>SUMIF('Monthly Detail'!$4:$4, '2022 Overview'!J$11, 'Monthly Detail'!13:13)</f>
        <v>0</v>
      </c>
      <c r="K13" s="73">
        <f>SUMIF('Monthly Detail'!$4:$4, '2022 Overview'!K$11, 'Monthly Detail'!13:13)</f>
        <v>0</v>
      </c>
      <c r="L13" s="73">
        <f>SUMIF('Monthly Detail'!$4:$4, '2022 Overview'!L$11, 'Monthly Detail'!13:13)</f>
        <v>125</v>
      </c>
      <c r="M13" s="133">
        <f>SUMIF('Monthly Detail'!$4:$4, '2022 Overview'!M$11, 'Monthly Detail'!13:13)</f>
        <v>0</v>
      </c>
      <c r="N13" s="149">
        <f>SUMIF('Monthly Detail'!$4:$4, '2022 Overview'!N$11, 'Monthly Detail'!13:13)</f>
        <v>0</v>
      </c>
      <c r="O13" s="73"/>
      <c r="P13" s="73"/>
    </row>
    <row r="14" spans="2:16" x14ac:dyDescent="0.3">
      <c r="B14" s="74" t="s">
        <v>7</v>
      </c>
      <c r="C14" s="74">
        <v>0.1</v>
      </c>
      <c r="D14" s="74">
        <v>0.1</v>
      </c>
      <c r="E14" s="74">
        <v>0.1</v>
      </c>
      <c r="F14" s="74">
        <v>0.1</v>
      </c>
      <c r="G14" s="74">
        <v>0.1</v>
      </c>
      <c r="H14" s="74">
        <v>0.1</v>
      </c>
      <c r="I14" s="74">
        <v>0.1</v>
      </c>
      <c r="J14" s="74">
        <f>SUM(J12:J13)</f>
        <v>375</v>
      </c>
      <c r="K14" s="74">
        <f>SUM(K12:K13)</f>
        <v>1075</v>
      </c>
      <c r="L14" s="74">
        <f>SUM(L12:L13)</f>
        <v>3765</v>
      </c>
      <c r="M14" s="74">
        <f>SUM(M12:M13)</f>
        <v>2090</v>
      </c>
      <c r="N14" s="150">
        <f>SUM(N12:N13)</f>
        <v>2032.5</v>
      </c>
      <c r="O14" s="75"/>
      <c r="P14" s="74">
        <f>SUM(P12:P12)</f>
        <v>9212.5</v>
      </c>
    </row>
    <row r="15" spans="2:16" x14ac:dyDescent="0.3">
      <c r="B15" s="7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51"/>
      <c r="P15" s="76"/>
    </row>
    <row r="16" spans="2:16" ht="15.6" x14ac:dyDescent="0.3">
      <c r="B16" s="87" t="s">
        <v>165</v>
      </c>
      <c r="C16" s="88">
        <f>C14</f>
        <v>0.1</v>
      </c>
      <c r="D16" s="88">
        <f t="shared" ref="D16:N16" si="0">D14</f>
        <v>0.1</v>
      </c>
      <c r="E16" s="88">
        <f t="shared" si="0"/>
        <v>0.1</v>
      </c>
      <c r="F16" s="88">
        <f t="shared" si="0"/>
        <v>0.1</v>
      </c>
      <c r="G16" s="88">
        <f t="shared" si="0"/>
        <v>0.1</v>
      </c>
      <c r="H16" s="88">
        <f t="shared" si="0"/>
        <v>0.1</v>
      </c>
      <c r="I16" s="88">
        <f t="shared" si="0"/>
        <v>0.1</v>
      </c>
      <c r="J16" s="88">
        <f t="shared" si="0"/>
        <v>375</v>
      </c>
      <c r="K16" s="88">
        <f t="shared" si="0"/>
        <v>1075</v>
      </c>
      <c r="L16" s="88">
        <f t="shared" si="0"/>
        <v>3765</v>
      </c>
      <c r="M16" s="88">
        <f t="shared" si="0"/>
        <v>2090</v>
      </c>
      <c r="N16" s="152">
        <f t="shared" si="0"/>
        <v>2032.5</v>
      </c>
      <c r="O16" s="77"/>
      <c r="P16" s="88">
        <f>P14</f>
        <v>9212.5</v>
      </c>
    </row>
    <row r="17" spans="2:20" x14ac:dyDescent="0.3">
      <c r="B17" s="89" t="s">
        <v>166</v>
      </c>
      <c r="C17" s="90">
        <f t="shared" ref="C17:N17" si="1">C16/C14</f>
        <v>1</v>
      </c>
      <c r="D17" s="90">
        <f t="shared" si="1"/>
        <v>1</v>
      </c>
      <c r="E17" s="90">
        <f t="shared" si="1"/>
        <v>1</v>
      </c>
      <c r="F17" s="90">
        <f t="shared" si="1"/>
        <v>1</v>
      </c>
      <c r="G17" s="90">
        <f t="shared" si="1"/>
        <v>1</v>
      </c>
      <c r="H17" s="90">
        <f t="shared" si="1"/>
        <v>1</v>
      </c>
      <c r="I17" s="90">
        <f t="shared" si="1"/>
        <v>1</v>
      </c>
      <c r="J17" s="90">
        <f t="shared" si="1"/>
        <v>1</v>
      </c>
      <c r="K17" s="90">
        <f t="shared" si="1"/>
        <v>1</v>
      </c>
      <c r="L17" s="90">
        <f t="shared" si="1"/>
        <v>1</v>
      </c>
      <c r="M17" s="90">
        <f t="shared" si="1"/>
        <v>1</v>
      </c>
      <c r="N17" s="153">
        <f t="shared" si="1"/>
        <v>1</v>
      </c>
      <c r="O17" s="7"/>
      <c r="P17" s="90">
        <f>P16/P14</f>
        <v>1</v>
      </c>
    </row>
    <row r="18" spans="2:20" x14ac:dyDescent="0.3">
      <c r="B18" s="7"/>
      <c r="N18" s="116"/>
    </row>
    <row r="19" spans="2:20" x14ac:dyDescent="0.3">
      <c r="B19" s="7" t="s">
        <v>203</v>
      </c>
      <c r="C19" s="73">
        <f>SUMIF('Monthly Detail'!$4:$4, '2023 Overview'!C$11, 'Monthly Detail'!$95:$95)</f>
        <v>235.13</v>
      </c>
      <c r="D19" s="73">
        <f>SUMIF('Monthly Detail'!$4:$4, '2023 Overview'!D$11, 'Monthly Detail'!$95:$95)</f>
        <v>153.76</v>
      </c>
      <c r="E19" s="73">
        <f>SUMIF('Monthly Detail'!$4:$4, '2023 Overview'!E$11, 'Monthly Detail'!$95:$95)</f>
        <v>105.36</v>
      </c>
      <c r="F19" s="73">
        <f>SUMIF('Monthly Detail'!$4:$4, '2023 Overview'!F$11, 'Monthly Detail'!$95:$95)</f>
        <v>272.83999999999997</v>
      </c>
      <c r="G19" s="73">
        <f>SUMIF('Monthly Detail'!$4:$4, '2023 Overview'!G$11, 'Monthly Detail'!$95:$95)</f>
        <v>551</v>
      </c>
      <c r="H19" s="73">
        <f>SUMIF('Monthly Detail'!$4:$4, '2023 Overview'!H$11, 'Monthly Detail'!$95:$95)</f>
        <v>647.26</v>
      </c>
      <c r="I19" s="73">
        <f>SUMIF('Monthly Detail'!$4:$4, '2023 Overview'!I$11, 'Monthly Detail'!$95:$95)</f>
        <v>432.76</v>
      </c>
      <c r="J19" s="73">
        <f>SUMIF('Monthly Detail'!$4:$4, '2023 Overview'!J$11, 'Monthly Detail'!$95:$95)</f>
        <v>851.95</v>
      </c>
      <c r="K19" s="73">
        <f>SUMIF('Monthly Detail'!$4:$4, '2023 Overview'!K$11, 'Monthly Detail'!$95:$95)</f>
        <v>1646.3600000000001</v>
      </c>
      <c r="L19" s="73">
        <f>SUMIF('Monthly Detail'!$4:$4, '2023 Overview'!L$11, 'Monthly Detail'!$95:$95)</f>
        <v>1347.4700000000003</v>
      </c>
      <c r="M19" s="73">
        <f>SUMIF('Monthly Detail'!$4:$4, '2023 Overview'!M$11, 'Monthly Detail'!$95:$95)</f>
        <v>906.43000000000006</v>
      </c>
      <c r="N19" s="149">
        <f>SUMIF('Monthly Detail'!$4:$4, '2023 Overview'!N$11, 'Monthly Detail'!$95:$95)</f>
        <v>797.47</v>
      </c>
      <c r="P19" s="73">
        <f>SUM(C19:O19)</f>
        <v>7947.7900000000009</v>
      </c>
      <c r="T19" s="1"/>
    </row>
    <row r="20" spans="2:20" x14ac:dyDescent="0.3">
      <c r="B20" s="7" t="s">
        <v>202</v>
      </c>
      <c r="C20" s="73">
        <f>SUMIF('Monthly Detail'!$4:$4, '2022 Overview'!C$11, 'Monthly Detail'!52:52)</f>
        <v>0</v>
      </c>
      <c r="D20" s="73">
        <f>SUMIF('Monthly Detail'!$4:$4, '2022 Overview'!D$11, 'Monthly Detail'!52:52)</f>
        <v>0</v>
      </c>
      <c r="E20" s="73">
        <f>SUMIF('Monthly Detail'!$4:$4, '2022 Overview'!E$11, 'Monthly Detail'!52:52)</f>
        <v>0</v>
      </c>
      <c r="F20" s="73">
        <f>SUMIF('Monthly Detail'!$4:$4, '2022 Overview'!F$11, 'Monthly Detail'!52:52)</f>
        <v>0</v>
      </c>
      <c r="G20" s="73">
        <f>SUMIF('Monthly Detail'!$4:$4, '2022 Overview'!G$11, 'Monthly Detail'!52:52)</f>
        <v>0</v>
      </c>
      <c r="H20" s="73">
        <f>SUMIF('Monthly Detail'!$4:$4, '2022 Overview'!H$11, 'Monthly Detail'!52:52)</f>
        <v>0</v>
      </c>
      <c r="I20" s="73">
        <f>SUMIF('Monthly Detail'!$4:$4, '2022 Overview'!I$11, 'Monthly Detail'!52:52)</f>
        <v>0</v>
      </c>
      <c r="J20" s="73">
        <f>SUMIF('Monthly Detail'!$4:$4, '2022 Overview'!J$11, 'Monthly Detail'!52:52)</f>
        <v>0</v>
      </c>
      <c r="K20" s="73">
        <f>SUMIF('Monthly Detail'!$4:$4, '2022 Overview'!K$11, 'Monthly Detail'!52:52)</f>
        <v>0</v>
      </c>
      <c r="L20" s="73">
        <f>SUMIF('Monthly Detail'!$4:$4, '2022 Overview'!L$11, 'Monthly Detail'!52:52)</f>
        <v>0</v>
      </c>
      <c r="M20" s="73">
        <f>SUMIF('Monthly Detail'!$4:$4, '2022 Overview'!M$11, 'Monthly Detail'!52:52)</f>
        <v>0</v>
      </c>
      <c r="N20" s="149">
        <f>SUMIF('Monthly Detail'!$4:$4, '2022 Overview'!N$11, 'Monthly Detail'!52:52)</f>
        <v>0</v>
      </c>
      <c r="P20" s="73">
        <f>SUM(C20:O20)</f>
        <v>0</v>
      </c>
      <c r="T20" s="1"/>
    </row>
    <row r="21" spans="2:20" x14ac:dyDescent="0.3">
      <c r="B21" s="78" t="s">
        <v>167</v>
      </c>
      <c r="C21" s="79">
        <f>SUM(C19:C20)</f>
        <v>235.13</v>
      </c>
      <c r="D21" s="79">
        <f t="shared" ref="D21:N21" si="2">SUM(D19:D20)</f>
        <v>153.76</v>
      </c>
      <c r="E21" s="79">
        <f t="shared" si="2"/>
        <v>105.36</v>
      </c>
      <c r="F21" s="79">
        <f t="shared" si="2"/>
        <v>272.83999999999997</v>
      </c>
      <c r="G21" s="79">
        <f t="shared" si="2"/>
        <v>551</v>
      </c>
      <c r="H21" s="79">
        <f t="shared" si="2"/>
        <v>647.26</v>
      </c>
      <c r="I21" s="79">
        <f t="shared" si="2"/>
        <v>432.76</v>
      </c>
      <c r="J21" s="79">
        <f t="shared" si="2"/>
        <v>851.95</v>
      </c>
      <c r="K21" s="79">
        <f t="shared" si="2"/>
        <v>1646.3600000000001</v>
      </c>
      <c r="L21" s="79">
        <f t="shared" si="2"/>
        <v>1347.4700000000003</v>
      </c>
      <c r="M21" s="79">
        <f t="shared" si="2"/>
        <v>906.43000000000006</v>
      </c>
      <c r="N21" s="154">
        <f t="shared" si="2"/>
        <v>797.47</v>
      </c>
      <c r="O21" s="80"/>
      <c r="P21" s="79">
        <f>SUM(P19:P20)</f>
        <v>7947.7900000000009</v>
      </c>
    </row>
    <row r="22" spans="2:20" ht="3" customHeight="1" x14ac:dyDescent="0.3">
      <c r="B22" s="7"/>
      <c r="N22" s="116"/>
    </row>
    <row r="23" spans="2:20" ht="15.6" x14ac:dyDescent="0.3">
      <c r="B23" s="87" t="s">
        <v>168</v>
      </c>
      <c r="C23" s="88">
        <f t="shared" ref="C23:N23" si="3">C16-C21</f>
        <v>-235.03</v>
      </c>
      <c r="D23" s="88">
        <f t="shared" si="3"/>
        <v>-153.66</v>
      </c>
      <c r="E23" s="88">
        <f t="shared" si="3"/>
        <v>-105.26</v>
      </c>
      <c r="F23" s="88">
        <f t="shared" si="3"/>
        <v>-272.73999999999995</v>
      </c>
      <c r="G23" s="88">
        <f t="shared" si="3"/>
        <v>-550.9</v>
      </c>
      <c r="H23" s="88">
        <f t="shared" si="3"/>
        <v>-647.16</v>
      </c>
      <c r="I23" s="88">
        <f t="shared" si="3"/>
        <v>-432.65999999999997</v>
      </c>
      <c r="J23" s="88">
        <f t="shared" si="3"/>
        <v>-476.95000000000005</v>
      </c>
      <c r="K23" s="88">
        <f t="shared" si="3"/>
        <v>-571.36000000000013</v>
      </c>
      <c r="L23" s="88">
        <f t="shared" si="3"/>
        <v>2417.5299999999997</v>
      </c>
      <c r="M23" s="88">
        <f t="shared" si="3"/>
        <v>1183.57</v>
      </c>
      <c r="N23" s="152">
        <f t="shared" si="3"/>
        <v>1235.03</v>
      </c>
      <c r="O23" s="77"/>
      <c r="P23" s="88">
        <f>P16-P21</f>
        <v>1264.7099999999991</v>
      </c>
    </row>
    <row r="24" spans="2:20" x14ac:dyDescent="0.3">
      <c r="B24" s="89" t="s">
        <v>169</v>
      </c>
      <c r="C24" s="90">
        <f>C23/C14</f>
        <v>-2350.2999999999997</v>
      </c>
      <c r="D24" s="90">
        <f t="shared" ref="D24:N24" si="4">D23/D14</f>
        <v>-1536.6</v>
      </c>
      <c r="E24" s="90">
        <f t="shared" si="4"/>
        <v>-1052.5999999999999</v>
      </c>
      <c r="F24" s="90">
        <f t="shared" si="4"/>
        <v>-2727.3999999999992</v>
      </c>
      <c r="G24" s="90">
        <f t="shared" si="4"/>
        <v>-5508.9999999999991</v>
      </c>
      <c r="H24" s="90">
        <f t="shared" si="4"/>
        <v>-6471.5999999999995</v>
      </c>
      <c r="I24" s="90">
        <f t="shared" si="4"/>
        <v>-4326.5999999999995</v>
      </c>
      <c r="J24" s="90">
        <f t="shared" si="4"/>
        <v>-1.2718666666666667</v>
      </c>
      <c r="K24" s="90">
        <f t="shared" si="4"/>
        <v>-0.53149767441860474</v>
      </c>
      <c r="L24" s="90">
        <f t="shared" si="4"/>
        <v>0.64210624169986708</v>
      </c>
      <c r="M24" s="90">
        <f t="shared" si="4"/>
        <v>0.56630143540669853</v>
      </c>
      <c r="N24" s="153">
        <f t="shared" si="4"/>
        <v>0.60764083640836408</v>
      </c>
      <c r="O24" s="7"/>
      <c r="P24" s="90">
        <f>P23/P14</f>
        <v>0.13728195386702841</v>
      </c>
    </row>
    <row r="25" spans="2:20" ht="8.25" customHeight="1" x14ac:dyDescent="0.3">
      <c r="B25" s="81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155"/>
      <c r="P25" s="82"/>
    </row>
    <row r="26" spans="2:20" x14ac:dyDescent="0.3">
      <c r="B26" s="7" t="s">
        <v>170</v>
      </c>
      <c r="C26" s="73">
        <f>SUMIF('Monthly Detail'!$4:$4, '2022 Overview'!C$11, 'Monthly Detail'!88:88)</f>
        <v>0</v>
      </c>
      <c r="D26" s="73">
        <f>SUMIF('Monthly Detail'!$4:$4, '2022 Overview'!D$11, 'Monthly Detail'!88:88)</f>
        <v>0</v>
      </c>
      <c r="E26" s="73">
        <f>SUMIF('Monthly Detail'!$4:$4, '2022 Overview'!E$11, 'Monthly Detail'!88:88)</f>
        <v>0</v>
      </c>
      <c r="F26" s="73">
        <f>SUMIF('Monthly Detail'!$4:$4, '2022 Overview'!F$11, 'Monthly Detail'!88:88)</f>
        <v>0</v>
      </c>
      <c r="G26" s="73">
        <f>SUMIF('Monthly Detail'!$4:$4, '2022 Overview'!G$11, 'Monthly Detail'!88:88)</f>
        <v>0</v>
      </c>
      <c r="H26" s="73">
        <f>SUMIF('Monthly Detail'!$4:$4, '2022 Overview'!H$11, 'Monthly Detail'!88:88)</f>
        <v>0</v>
      </c>
      <c r="I26" s="73">
        <f>SUMIF('Monthly Detail'!$4:$4, '2022 Overview'!I$11, 'Monthly Detail'!88:88)</f>
        <v>0</v>
      </c>
      <c r="J26" s="73">
        <f>SUMIF('Monthly Detail'!$4:$4, '2022 Overview'!J$11, 'Monthly Detail'!88:88)</f>
        <v>0</v>
      </c>
      <c r="K26" s="73">
        <f>SUMIF('Monthly Detail'!$4:$4, '2022 Overview'!K$11, 'Monthly Detail'!88:88)</f>
        <v>0</v>
      </c>
      <c r="L26" s="129">
        <f>SUMIF('Monthly Detail'!$4:$4, '2022 Overview'!L$11, 'Monthly Detail'!88:88)</f>
        <v>279.60000000000002</v>
      </c>
      <c r="M26" s="132">
        <f>SUMIF('Monthly Detail'!$4:$4, '2022 Overview'!M$11, 'Monthly Detail'!88:88)</f>
        <v>75</v>
      </c>
      <c r="N26" s="156">
        <f>SUMIF('Monthly Detail'!$4:$4, '2022 Overview'!N$11, 'Monthly Detail'!88:88)</f>
        <v>75</v>
      </c>
      <c r="O26" s="73"/>
      <c r="P26" s="129">
        <f>SUM(C26:O26)</f>
        <v>429.6</v>
      </c>
    </row>
    <row r="27" spans="2:20" ht="15.6" x14ac:dyDescent="0.3">
      <c r="B27" s="87" t="s">
        <v>16</v>
      </c>
      <c r="C27" s="88">
        <f t="shared" ref="C27:N27" si="5">C23+SUM(C26:C26)</f>
        <v>-235.03</v>
      </c>
      <c r="D27" s="88">
        <f t="shared" si="5"/>
        <v>-153.66</v>
      </c>
      <c r="E27" s="88">
        <f t="shared" si="5"/>
        <v>-105.26</v>
      </c>
      <c r="F27" s="88">
        <f t="shared" si="5"/>
        <v>-272.73999999999995</v>
      </c>
      <c r="G27" s="88">
        <f t="shared" si="5"/>
        <v>-550.9</v>
      </c>
      <c r="H27" s="88">
        <f t="shared" si="5"/>
        <v>-647.16</v>
      </c>
      <c r="I27" s="88">
        <f t="shared" si="5"/>
        <v>-432.65999999999997</v>
      </c>
      <c r="J27" s="88">
        <f t="shared" si="5"/>
        <v>-476.95000000000005</v>
      </c>
      <c r="K27" s="88">
        <f t="shared" si="5"/>
        <v>-571.36000000000013</v>
      </c>
      <c r="L27" s="88">
        <f t="shared" si="5"/>
        <v>2697.1299999999997</v>
      </c>
      <c r="M27" s="88">
        <f t="shared" si="5"/>
        <v>1258.57</v>
      </c>
      <c r="N27" s="152">
        <f t="shared" si="5"/>
        <v>1310.03</v>
      </c>
      <c r="O27" s="77"/>
      <c r="P27" s="88">
        <f>P23+SUM(P26:P26)</f>
        <v>1694.309999999999</v>
      </c>
    </row>
    <row r="28" spans="2:20" x14ac:dyDescent="0.3">
      <c r="B28" s="89" t="s">
        <v>171</v>
      </c>
      <c r="C28" s="90">
        <f t="shared" ref="C28:N28" si="6">C27/C14</f>
        <v>-2350.2999999999997</v>
      </c>
      <c r="D28" s="90">
        <f t="shared" si="6"/>
        <v>-1536.6</v>
      </c>
      <c r="E28" s="90">
        <f t="shared" si="6"/>
        <v>-1052.5999999999999</v>
      </c>
      <c r="F28" s="90">
        <f t="shared" si="6"/>
        <v>-2727.3999999999992</v>
      </c>
      <c r="G28" s="90">
        <f t="shared" si="6"/>
        <v>-5508.9999999999991</v>
      </c>
      <c r="H28" s="90">
        <f t="shared" si="6"/>
        <v>-6471.5999999999995</v>
      </c>
      <c r="I28" s="90">
        <f t="shared" si="6"/>
        <v>-4326.5999999999995</v>
      </c>
      <c r="J28" s="90">
        <f t="shared" si="6"/>
        <v>-1.2718666666666667</v>
      </c>
      <c r="K28" s="90">
        <f t="shared" si="6"/>
        <v>-0.53149767441860474</v>
      </c>
      <c r="L28" s="90">
        <f t="shared" si="6"/>
        <v>0.71636918990703846</v>
      </c>
      <c r="M28" s="90">
        <f t="shared" si="6"/>
        <v>0.60218660287081338</v>
      </c>
      <c r="N28" s="153">
        <f t="shared" si="6"/>
        <v>0.64454120541205406</v>
      </c>
      <c r="O28" s="7"/>
      <c r="P28" s="90">
        <f>P27/P14</f>
        <v>0.18391424694708267</v>
      </c>
    </row>
    <row r="29" spans="2:20" ht="15" thickBot="1" x14ac:dyDescent="0.35">
      <c r="B29" s="7"/>
      <c r="M29" s="109"/>
      <c r="N29" s="116"/>
    </row>
    <row r="30" spans="2:20" x14ac:dyDescent="0.3">
      <c r="B30" s="83" t="s">
        <v>172</v>
      </c>
      <c r="C30" s="84">
        <f>SUMIF('Monthly Detail'!$4:$4, '2022 Overview'!C$11, 'Monthly Detail'!174:174)</f>
        <v>0</v>
      </c>
      <c r="D30" s="84">
        <f>SUMIF('Monthly Detail'!$4:$4, '2022 Overview'!D$11, 'Monthly Detail'!174:174)</f>
        <v>0</v>
      </c>
      <c r="E30" s="84">
        <f>SUMIF('Monthly Detail'!$4:$4, '2022 Overview'!E$11, 'Monthly Detail'!174:174)</f>
        <v>0</v>
      </c>
      <c r="F30" s="84">
        <f>SUMIF('Monthly Detail'!$4:$4, '2022 Overview'!F$11, 'Monthly Detail'!174:174)</f>
        <v>0</v>
      </c>
      <c r="G30" s="84">
        <f>SUMIF('Monthly Detail'!$4:$4, '2022 Overview'!G$11, 'Monthly Detail'!174:174)</f>
        <v>0</v>
      </c>
      <c r="H30" s="84">
        <f>SUMIF('Monthly Detail'!$4:$4, '2022 Overview'!H$11, 'Monthly Detail'!174:174)</f>
        <v>0</v>
      </c>
      <c r="I30" s="84">
        <f>SUMIF('Monthly Detail'!$4:$4, '2022 Overview'!I$11, 'Monthly Detail'!174:174)</f>
        <v>0</v>
      </c>
      <c r="J30" s="84">
        <f>SUMIF('Monthly Detail'!$4:$4, '2022 Overview'!J$11, 'Monthly Detail'!174:174)</f>
        <v>255</v>
      </c>
      <c r="K30" s="84">
        <f>SUMIF('Monthly Detail'!$4:$4, '2022 Overview'!K$11, 'Monthly Detail'!174:174)</f>
        <v>478</v>
      </c>
      <c r="L30" s="84">
        <f>SUMIF('Monthly Detail'!$4:$4, '2022 Overview'!L$11, 'Monthly Detail'!174:174)</f>
        <v>1020.3600000000001</v>
      </c>
      <c r="M30" s="84">
        <f>SUMIF('Monthly Detail'!$4:$4, '2022 Overview'!M$11, 'Monthly Detail'!174:174)</f>
        <v>862.40000000000009</v>
      </c>
      <c r="N30" s="157">
        <f>SUMIF('Monthly Detail'!$4:$4, '2022 Overview'!N$11, 'Monthly Detail'!174:174)</f>
        <v>-55.899999999999864</v>
      </c>
    </row>
    <row r="31" spans="2:20" ht="15" thickBot="1" x14ac:dyDescent="0.35">
      <c r="B31" s="85" t="s">
        <v>173</v>
      </c>
      <c r="C31" s="86">
        <f>SUMIF('Monthly Detail'!$4:$4, '2022 Overview'!C$11, 'Monthly Detail'!160:160)</f>
        <v>0</v>
      </c>
      <c r="D31" s="86">
        <f>D30-C30</f>
        <v>0</v>
      </c>
      <c r="E31" s="86">
        <f t="shared" ref="E31:N31" si="7">E30-D30</f>
        <v>0</v>
      </c>
      <c r="F31" s="86">
        <f t="shared" si="7"/>
        <v>0</v>
      </c>
      <c r="G31" s="86">
        <f t="shared" si="7"/>
        <v>0</v>
      </c>
      <c r="H31" s="86">
        <f t="shared" si="7"/>
        <v>0</v>
      </c>
      <c r="I31" s="86">
        <f t="shared" si="7"/>
        <v>0</v>
      </c>
      <c r="J31" s="86">
        <f t="shared" si="7"/>
        <v>255</v>
      </c>
      <c r="K31" s="86">
        <f t="shared" si="7"/>
        <v>223</v>
      </c>
      <c r="L31" s="86">
        <f t="shared" si="7"/>
        <v>542.36000000000013</v>
      </c>
      <c r="M31" s="86">
        <f t="shared" si="7"/>
        <v>-157.96000000000004</v>
      </c>
      <c r="N31" s="158">
        <f t="shared" si="7"/>
        <v>-918.3</v>
      </c>
    </row>
  </sheetData>
  <pageMargins left="0.7" right="0.7" top="0.75" bottom="0.75" header="0.3" footer="0.3"/>
  <pageSetup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1F7F-3B90-4D8D-8E65-DF0E18797B46}">
  <dimension ref="A1"/>
  <sheetViews>
    <sheetView showGridLines="0" zoomScaleNormal="100" workbookViewId="0">
      <selection activeCell="M27" sqref="M27"/>
    </sheetView>
  </sheetViews>
  <sheetFormatPr defaultColWidth="8.6640625" defaultRowHeight="14.4" x14ac:dyDescent="0.3"/>
  <sheetData/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  <pageSetUpPr fitToPage="1"/>
  </sheetPr>
  <dimension ref="A1:DJ176"/>
  <sheetViews>
    <sheetView tabSelected="1" topLeftCell="B1" zoomScale="63" zoomScaleNormal="140" workbookViewId="0">
      <pane xSplit="2" ySplit="4" topLeftCell="AQ5" activePane="bottomRight" state="frozen"/>
      <selection activeCell="B1" sqref="B1"/>
      <selection pane="topRight" activeCell="D1" sqref="D1"/>
      <selection pane="bottomLeft" activeCell="B5" sqref="B5"/>
      <selection pane="bottomRight" activeCell="D4" sqref="D4:DG4"/>
    </sheetView>
  </sheetViews>
  <sheetFormatPr defaultColWidth="8.6640625" defaultRowHeight="14.4" outlineLevelCol="1" x14ac:dyDescent="0.3"/>
  <cols>
    <col min="1" max="1" width="0" hidden="1" customWidth="1" outlineLevel="1"/>
    <col min="2" max="2" width="36.44140625" bestFit="1" customWidth="1" collapsed="1"/>
    <col min="3" max="3" width="30.44140625" bestFit="1" customWidth="1"/>
    <col min="4" max="9" width="10.6640625" hidden="1" customWidth="1" outlineLevel="1"/>
    <col min="10" max="10" width="10.6640625" hidden="1" customWidth="1" outlineLevel="1" collapsed="1"/>
    <col min="11" max="11" width="10.6640625" hidden="1" customWidth="1" outlineLevel="1"/>
    <col min="12" max="12" width="14.33203125" hidden="1" customWidth="1" outlineLevel="1"/>
    <col min="13" max="15" width="13.109375" hidden="1" customWidth="1" outlineLevel="1"/>
    <col min="16" max="16" width="13.109375" hidden="1" customWidth="1" outlineLevel="1" collapsed="1"/>
    <col min="17" max="25" width="13.109375" hidden="1" customWidth="1" outlineLevel="1"/>
    <col min="26" max="27" width="14.33203125" hidden="1" customWidth="1" outlineLevel="1"/>
    <col min="28" max="28" width="13.109375" hidden="1" customWidth="1" outlineLevel="1" collapsed="1"/>
    <col min="29" max="30" width="13.109375" hidden="1" customWidth="1" outlineLevel="1"/>
    <col min="31" max="31" width="14.109375" hidden="1" customWidth="1" outlineLevel="1"/>
    <col min="32" max="32" width="13.109375" hidden="1" customWidth="1" outlineLevel="1"/>
    <col min="33" max="33" width="14.109375" hidden="1" customWidth="1" outlineLevel="1"/>
    <col min="34" max="34" width="15" hidden="1" customWidth="1" outlineLevel="1"/>
    <col min="35" max="35" width="16.44140625" hidden="1" customWidth="1" outlineLevel="1"/>
    <col min="36" max="36" width="16" hidden="1" customWidth="1" outlineLevel="1"/>
    <col min="37" max="38" width="15" hidden="1" customWidth="1" outlineLevel="1"/>
    <col min="39" max="39" width="14.33203125" style="97" hidden="1" customWidth="1" outlineLevel="1"/>
    <col min="40" max="40" width="14.33203125" hidden="1" customWidth="1" outlineLevel="1" collapsed="1"/>
    <col min="41" max="42" width="15.44140625" hidden="1" customWidth="1" outlineLevel="1"/>
    <col min="43" max="43" width="15.44140625" bestFit="1" customWidth="1" collapsed="1"/>
    <col min="44" max="44" width="15.44140625" bestFit="1" customWidth="1"/>
    <col min="45" max="50" width="16.44140625" bestFit="1" customWidth="1"/>
    <col min="51" max="51" width="16.6640625" bestFit="1" customWidth="1"/>
    <col min="52" max="111" width="13.44140625" bestFit="1" customWidth="1"/>
    <col min="112" max="113" width="5.109375" bestFit="1" customWidth="1"/>
    <col min="114" max="114" width="8.44140625" bestFit="1" customWidth="1"/>
  </cols>
  <sheetData>
    <row r="1" spans="1:114" ht="15" thickBot="1" x14ac:dyDescent="0.35">
      <c r="A1" s="29"/>
      <c r="B1" s="29"/>
      <c r="C1" s="29"/>
      <c r="D1" s="30">
        <f t="shared" ref="D1:AD1" si="0">YEAR(D4)</f>
        <v>2022</v>
      </c>
      <c r="E1" s="30">
        <f t="shared" si="0"/>
        <v>2022</v>
      </c>
      <c r="F1" s="30">
        <f t="shared" si="0"/>
        <v>2022</v>
      </c>
      <c r="G1" s="30">
        <f t="shared" si="0"/>
        <v>2022</v>
      </c>
      <c r="H1" s="30">
        <f t="shared" si="0"/>
        <v>2022</v>
      </c>
      <c r="I1" s="30">
        <f t="shared" si="0"/>
        <v>2022</v>
      </c>
      <c r="J1" s="30">
        <f t="shared" si="0"/>
        <v>2022</v>
      </c>
      <c r="K1" s="30">
        <f t="shared" si="0"/>
        <v>2022</v>
      </c>
      <c r="L1" s="30">
        <f t="shared" si="0"/>
        <v>2022</v>
      </c>
      <c r="M1" s="30">
        <f t="shared" si="0"/>
        <v>2022</v>
      </c>
      <c r="N1" s="30">
        <f t="shared" si="0"/>
        <v>2022</v>
      </c>
      <c r="O1" s="30">
        <f t="shared" si="0"/>
        <v>2022</v>
      </c>
      <c r="P1" s="30">
        <f t="shared" si="0"/>
        <v>2023</v>
      </c>
      <c r="Q1" s="30">
        <f t="shared" si="0"/>
        <v>2023</v>
      </c>
      <c r="R1" s="30">
        <f t="shared" si="0"/>
        <v>2023</v>
      </c>
      <c r="S1" s="30">
        <f t="shared" si="0"/>
        <v>2023</v>
      </c>
      <c r="T1" s="30">
        <f t="shared" si="0"/>
        <v>2023</v>
      </c>
      <c r="U1" s="30">
        <f t="shared" si="0"/>
        <v>2023</v>
      </c>
      <c r="V1" s="30">
        <f t="shared" si="0"/>
        <v>2023</v>
      </c>
      <c r="W1" s="30">
        <f t="shared" si="0"/>
        <v>2023</v>
      </c>
      <c r="X1" s="30">
        <f t="shared" si="0"/>
        <v>2023</v>
      </c>
      <c r="Y1" s="30">
        <f t="shared" si="0"/>
        <v>2023</v>
      </c>
      <c r="Z1" s="30">
        <f t="shared" si="0"/>
        <v>2023</v>
      </c>
      <c r="AA1" s="30">
        <f t="shared" si="0"/>
        <v>2023</v>
      </c>
      <c r="AB1" s="30">
        <f>YEAR(AB4)</f>
        <v>2024</v>
      </c>
      <c r="AC1" s="30">
        <f t="shared" si="0"/>
        <v>2024</v>
      </c>
      <c r="AD1" s="30">
        <f t="shared" si="0"/>
        <v>2024</v>
      </c>
      <c r="AE1" s="30">
        <f t="shared" ref="AE1:AF1" si="1">YEAR(AE4)</f>
        <v>2024</v>
      </c>
      <c r="AF1" s="30">
        <f t="shared" si="1"/>
        <v>2024</v>
      </c>
      <c r="AG1" s="30">
        <f t="shared" ref="AG1" si="2">YEAR(AG4)</f>
        <v>2024</v>
      </c>
      <c r="AH1" s="30">
        <f>YEAR(AH4)</f>
        <v>2024</v>
      </c>
      <c r="AI1" s="301">
        <f>YEAR(AI4)</f>
        <v>2024</v>
      </c>
      <c r="AJ1" s="30">
        <f>YEAR(AJ4)</f>
        <v>2024</v>
      </c>
      <c r="AK1" s="30">
        <f t="shared" ref="AK1:BO1" si="3">YEAR(AK4)</f>
        <v>2024</v>
      </c>
      <c r="AL1" s="30">
        <f t="shared" si="3"/>
        <v>2024</v>
      </c>
      <c r="AM1" s="52">
        <f t="shared" si="3"/>
        <v>2024</v>
      </c>
      <c r="AN1" s="30">
        <f t="shared" si="3"/>
        <v>2025</v>
      </c>
      <c r="AO1" s="30">
        <f t="shared" si="3"/>
        <v>2025</v>
      </c>
      <c r="AP1" s="30">
        <f t="shared" ref="AP1:AQ1" si="4">YEAR(AP4)</f>
        <v>2025</v>
      </c>
      <c r="AQ1" s="30">
        <f t="shared" si="4"/>
        <v>2025</v>
      </c>
      <c r="AR1" s="30">
        <f t="shared" ref="AR1" si="5">YEAR(AR4)</f>
        <v>2025</v>
      </c>
      <c r="AS1" s="30">
        <f t="shared" ref="AS1:AT1" si="6">YEAR(AS4)</f>
        <v>2025</v>
      </c>
      <c r="AT1" s="30">
        <f t="shared" si="6"/>
        <v>2025</v>
      </c>
      <c r="AU1" s="301">
        <f t="shared" ref="AU1:AV1" si="7">YEAR(AU4)</f>
        <v>2025</v>
      </c>
      <c r="AV1" s="30">
        <f t="shared" si="7"/>
        <v>2025</v>
      </c>
      <c r="AW1" s="301">
        <f t="shared" ref="AW1" si="8">YEAR(AW4)</f>
        <v>2025</v>
      </c>
      <c r="AX1" s="30">
        <f t="shared" ref="AX1" si="9">YEAR(AX4)</f>
        <v>2025</v>
      </c>
      <c r="AY1" s="301">
        <f t="shared" si="3"/>
        <v>2025</v>
      </c>
      <c r="AZ1" s="30">
        <f t="shared" si="3"/>
        <v>2026</v>
      </c>
      <c r="BA1" s="30">
        <f t="shared" si="3"/>
        <v>2026</v>
      </c>
      <c r="BB1" s="30">
        <f t="shared" si="3"/>
        <v>2026</v>
      </c>
      <c r="BC1" s="30">
        <f t="shared" si="3"/>
        <v>2026</v>
      </c>
      <c r="BD1" s="30">
        <f t="shared" si="3"/>
        <v>2026</v>
      </c>
      <c r="BE1" s="30">
        <f t="shared" si="3"/>
        <v>2026</v>
      </c>
      <c r="BF1" s="30">
        <f t="shared" si="3"/>
        <v>2026</v>
      </c>
      <c r="BG1" s="30">
        <f t="shared" si="3"/>
        <v>2026</v>
      </c>
      <c r="BH1" s="30">
        <f t="shared" si="3"/>
        <v>2026</v>
      </c>
      <c r="BI1" s="30">
        <f t="shared" si="3"/>
        <v>2026</v>
      </c>
      <c r="BJ1" s="30">
        <f t="shared" si="3"/>
        <v>2026</v>
      </c>
      <c r="BK1" s="301">
        <f t="shared" si="3"/>
        <v>2026</v>
      </c>
      <c r="BL1" s="30">
        <f t="shared" si="3"/>
        <v>2027</v>
      </c>
      <c r="BM1" s="30">
        <f t="shared" si="3"/>
        <v>2027</v>
      </c>
      <c r="BN1" s="30">
        <f t="shared" si="3"/>
        <v>2027</v>
      </c>
      <c r="BO1" s="30">
        <f t="shared" si="3"/>
        <v>2027</v>
      </c>
      <c r="BP1" s="30">
        <f t="shared" ref="BP1:CU1" si="10">YEAR(BP4)</f>
        <v>2027</v>
      </c>
      <c r="BQ1" s="30">
        <f t="shared" si="10"/>
        <v>2027</v>
      </c>
      <c r="BR1" s="30">
        <f t="shared" si="10"/>
        <v>2027</v>
      </c>
      <c r="BS1" s="30">
        <f t="shared" si="10"/>
        <v>2027</v>
      </c>
      <c r="BT1" s="30">
        <f t="shared" si="10"/>
        <v>2027</v>
      </c>
      <c r="BU1" s="30">
        <f t="shared" si="10"/>
        <v>2027</v>
      </c>
      <c r="BV1" s="30">
        <f t="shared" si="10"/>
        <v>2027</v>
      </c>
      <c r="BW1" s="301">
        <f t="shared" si="10"/>
        <v>2027</v>
      </c>
      <c r="BX1" s="30">
        <f t="shared" si="10"/>
        <v>2028</v>
      </c>
      <c r="BY1" s="30">
        <f t="shared" si="10"/>
        <v>2028</v>
      </c>
      <c r="BZ1" s="30">
        <f t="shared" si="10"/>
        <v>2028</v>
      </c>
      <c r="CA1" s="30">
        <f t="shared" si="10"/>
        <v>2028</v>
      </c>
      <c r="CB1" s="30">
        <f t="shared" si="10"/>
        <v>2028</v>
      </c>
      <c r="CC1" s="30">
        <f t="shared" si="10"/>
        <v>2028</v>
      </c>
      <c r="CD1" s="30">
        <f t="shared" si="10"/>
        <v>2028</v>
      </c>
      <c r="CE1" s="30">
        <f t="shared" si="10"/>
        <v>2028</v>
      </c>
      <c r="CF1" s="30">
        <f t="shared" si="10"/>
        <v>2028</v>
      </c>
      <c r="CG1" s="30">
        <f t="shared" si="10"/>
        <v>2028</v>
      </c>
      <c r="CH1" s="30">
        <f t="shared" si="10"/>
        <v>2028</v>
      </c>
      <c r="CI1" s="301">
        <f t="shared" si="10"/>
        <v>2028</v>
      </c>
      <c r="CJ1" s="30">
        <f t="shared" si="10"/>
        <v>2029</v>
      </c>
      <c r="CK1" s="30">
        <f t="shared" si="10"/>
        <v>2029</v>
      </c>
      <c r="CL1" s="30">
        <f t="shared" si="10"/>
        <v>2029</v>
      </c>
      <c r="CM1" s="30">
        <f t="shared" si="10"/>
        <v>2029</v>
      </c>
      <c r="CN1" s="30">
        <f t="shared" si="10"/>
        <v>2029</v>
      </c>
      <c r="CO1" s="30">
        <f t="shared" si="10"/>
        <v>2029</v>
      </c>
      <c r="CP1" s="30">
        <f t="shared" si="10"/>
        <v>2029</v>
      </c>
      <c r="CQ1" s="30">
        <f t="shared" si="10"/>
        <v>2029</v>
      </c>
      <c r="CR1" s="30">
        <f t="shared" si="10"/>
        <v>2029</v>
      </c>
      <c r="CS1" s="30">
        <f t="shared" si="10"/>
        <v>2029</v>
      </c>
      <c r="CT1" s="30">
        <f t="shared" si="10"/>
        <v>2029</v>
      </c>
      <c r="CU1" s="301">
        <f t="shared" si="10"/>
        <v>2029</v>
      </c>
      <c r="CV1" s="30">
        <f t="shared" ref="CV1:DG1" si="11">YEAR(CV4)</f>
        <v>2030</v>
      </c>
      <c r="CW1" s="30">
        <f t="shared" si="11"/>
        <v>2030</v>
      </c>
      <c r="CX1" s="30">
        <f t="shared" si="11"/>
        <v>2030</v>
      </c>
      <c r="CY1" s="30">
        <f t="shared" si="11"/>
        <v>2030</v>
      </c>
      <c r="CZ1" s="30">
        <f t="shared" si="11"/>
        <v>2030</v>
      </c>
      <c r="DA1" s="30">
        <f t="shared" si="11"/>
        <v>2030</v>
      </c>
      <c r="DB1" s="30">
        <f t="shared" si="11"/>
        <v>2030</v>
      </c>
      <c r="DC1" s="30">
        <f t="shared" si="11"/>
        <v>2030</v>
      </c>
      <c r="DD1" s="30">
        <f t="shared" si="11"/>
        <v>2030</v>
      </c>
      <c r="DE1" s="30">
        <f t="shared" si="11"/>
        <v>2030</v>
      </c>
      <c r="DF1" s="30">
        <f t="shared" si="11"/>
        <v>2030</v>
      </c>
      <c r="DG1" s="30">
        <f t="shared" si="11"/>
        <v>2030</v>
      </c>
      <c r="DH1" s="30"/>
      <c r="DI1" s="30"/>
      <c r="DJ1" s="52"/>
    </row>
    <row r="2" spans="1:114" x14ac:dyDescent="0.3">
      <c r="A2" s="29"/>
      <c r="B2" s="29"/>
      <c r="C2" s="479"/>
      <c r="D2" s="299"/>
      <c r="E2" s="299"/>
      <c r="F2" s="299"/>
      <c r="G2" s="300" t="s">
        <v>205</v>
      </c>
      <c r="H2" s="300" t="s">
        <v>205</v>
      </c>
      <c r="I2" s="300" t="s">
        <v>207</v>
      </c>
      <c r="J2" s="300" t="s">
        <v>207</v>
      </c>
      <c r="K2" s="300" t="s">
        <v>206</v>
      </c>
      <c r="L2" s="300" t="s">
        <v>207</v>
      </c>
      <c r="M2" s="300" t="s">
        <v>207</v>
      </c>
      <c r="N2" s="300" t="s">
        <v>206</v>
      </c>
      <c r="O2" s="300" t="s">
        <v>207</v>
      </c>
      <c r="P2" s="300" t="s">
        <v>207</v>
      </c>
      <c r="Q2" s="300" t="s">
        <v>205</v>
      </c>
      <c r="R2" s="300" t="s">
        <v>207</v>
      </c>
      <c r="S2" s="300" t="s">
        <v>207</v>
      </c>
      <c r="T2" s="300" t="s">
        <v>205</v>
      </c>
      <c r="U2" s="300" t="s">
        <v>207</v>
      </c>
      <c r="V2" s="300" t="s">
        <v>205</v>
      </c>
      <c r="W2" s="300" t="s">
        <v>205</v>
      </c>
      <c r="X2" s="300" t="s">
        <v>205</v>
      </c>
      <c r="Y2" s="300" t="s">
        <v>207</v>
      </c>
      <c r="Z2" s="300" t="s">
        <v>206</v>
      </c>
      <c r="AA2" s="560" t="s">
        <v>206</v>
      </c>
      <c r="AB2" s="300" t="str">
        <f>+P2</f>
        <v>Shoulder</v>
      </c>
      <c r="AC2" s="300" t="str">
        <f t="shared" ref="AC2:CN2" si="12">+Q2</f>
        <v>Peak</v>
      </c>
      <c r="AD2" s="300" t="str">
        <f t="shared" si="12"/>
        <v>Shoulder</v>
      </c>
      <c r="AE2" s="300" t="str">
        <f t="shared" si="12"/>
        <v>Shoulder</v>
      </c>
      <c r="AF2" s="300" t="str">
        <f t="shared" si="12"/>
        <v>Peak</v>
      </c>
      <c r="AG2" s="300" t="str">
        <f t="shared" si="12"/>
        <v>Shoulder</v>
      </c>
      <c r="AH2" s="300" t="str">
        <f t="shared" si="12"/>
        <v>Peak</v>
      </c>
      <c r="AI2" s="302" t="str">
        <f t="shared" si="12"/>
        <v>Peak</v>
      </c>
      <c r="AJ2" s="300" t="str">
        <f t="shared" si="12"/>
        <v>Peak</v>
      </c>
      <c r="AK2" s="300" t="str">
        <f t="shared" si="12"/>
        <v>Shoulder</v>
      </c>
      <c r="AL2" s="300" t="str">
        <f t="shared" si="12"/>
        <v>Trough</v>
      </c>
      <c r="AM2" s="560" t="str">
        <f t="shared" si="12"/>
        <v>Trough</v>
      </c>
      <c r="AN2" s="300" t="str">
        <f t="shared" si="12"/>
        <v>Shoulder</v>
      </c>
      <c r="AO2" s="300" t="str">
        <f t="shared" si="12"/>
        <v>Peak</v>
      </c>
      <c r="AP2" s="300" t="str">
        <f t="shared" si="12"/>
        <v>Shoulder</v>
      </c>
      <c r="AQ2" s="300" t="str">
        <f t="shared" si="12"/>
        <v>Shoulder</v>
      </c>
      <c r="AR2" s="300" t="str">
        <f t="shared" si="12"/>
        <v>Peak</v>
      </c>
      <c r="AS2" s="300" t="str">
        <f t="shared" ref="AS2:AW2" si="13">+AG2</f>
        <v>Shoulder</v>
      </c>
      <c r="AT2" s="300" t="str">
        <f t="shared" si="13"/>
        <v>Peak</v>
      </c>
      <c r="AU2" s="302" t="str">
        <f t="shared" si="13"/>
        <v>Peak</v>
      </c>
      <c r="AV2" s="300" t="str">
        <f t="shared" si="13"/>
        <v>Peak</v>
      </c>
      <c r="AW2" s="302" t="str">
        <f t="shared" si="13"/>
        <v>Shoulder</v>
      </c>
      <c r="AX2" s="300" t="str">
        <f t="shared" si="12"/>
        <v>Trough</v>
      </c>
      <c r="AY2" s="560" t="str">
        <f t="shared" ref="AY2:BG2" si="14">+AM2</f>
        <v>Trough</v>
      </c>
      <c r="AZ2" s="30" t="str">
        <f t="shared" si="14"/>
        <v>Shoulder</v>
      </c>
      <c r="BA2" s="30" t="str">
        <f t="shared" si="14"/>
        <v>Peak</v>
      </c>
      <c r="BB2" s="30" t="str">
        <f t="shared" si="14"/>
        <v>Shoulder</v>
      </c>
      <c r="BC2" s="30" t="str">
        <f t="shared" si="14"/>
        <v>Shoulder</v>
      </c>
      <c r="BD2" s="30" t="str">
        <f t="shared" si="14"/>
        <v>Peak</v>
      </c>
      <c r="BE2" s="30" t="str">
        <f t="shared" si="14"/>
        <v>Shoulder</v>
      </c>
      <c r="BF2" s="30" t="str">
        <f t="shared" si="14"/>
        <v>Peak</v>
      </c>
      <c r="BG2" s="30" t="str">
        <f t="shared" si="14"/>
        <v>Peak</v>
      </c>
      <c r="BH2" s="30" t="str">
        <f t="shared" si="12"/>
        <v>Peak</v>
      </c>
      <c r="BI2" s="30" t="str">
        <f t="shared" si="12"/>
        <v>Shoulder</v>
      </c>
      <c r="BJ2" s="30" t="str">
        <f t="shared" si="12"/>
        <v>Trough</v>
      </c>
      <c r="BK2" s="301" t="str">
        <f t="shared" si="12"/>
        <v>Trough</v>
      </c>
      <c r="BL2" s="30" t="str">
        <f t="shared" si="12"/>
        <v>Shoulder</v>
      </c>
      <c r="BM2" s="30" t="str">
        <f t="shared" si="12"/>
        <v>Peak</v>
      </c>
      <c r="BN2" s="30" t="str">
        <f t="shared" si="12"/>
        <v>Shoulder</v>
      </c>
      <c r="BO2" s="30" t="str">
        <f t="shared" si="12"/>
        <v>Shoulder</v>
      </c>
      <c r="BP2" s="30" t="str">
        <f t="shared" si="12"/>
        <v>Peak</v>
      </c>
      <c r="BQ2" s="30" t="str">
        <f t="shared" si="12"/>
        <v>Shoulder</v>
      </c>
      <c r="BR2" s="30" t="str">
        <f t="shared" si="12"/>
        <v>Peak</v>
      </c>
      <c r="BS2" s="30" t="str">
        <f t="shared" si="12"/>
        <v>Peak</v>
      </c>
      <c r="BT2" s="30" t="str">
        <f t="shared" si="12"/>
        <v>Peak</v>
      </c>
      <c r="BU2" s="30" t="str">
        <f t="shared" si="12"/>
        <v>Shoulder</v>
      </c>
      <c r="BV2" s="30" t="str">
        <f t="shared" si="12"/>
        <v>Trough</v>
      </c>
      <c r="BW2" s="301" t="str">
        <f t="shared" si="12"/>
        <v>Trough</v>
      </c>
      <c r="BX2" s="30" t="str">
        <f t="shared" si="12"/>
        <v>Shoulder</v>
      </c>
      <c r="BY2" s="30" t="str">
        <f t="shared" si="12"/>
        <v>Peak</v>
      </c>
      <c r="BZ2" s="30" t="str">
        <f t="shared" si="12"/>
        <v>Shoulder</v>
      </c>
      <c r="CA2" s="30" t="str">
        <f t="shared" si="12"/>
        <v>Shoulder</v>
      </c>
      <c r="CB2" s="30" t="str">
        <f t="shared" si="12"/>
        <v>Peak</v>
      </c>
      <c r="CC2" s="30" t="str">
        <f t="shared" si="12"/>
        <v>Shoulder</v>
      </c>
      <c r="CD2" s="30" t="str">
        <f t="shared" si="12"/>
        <v>Peak</v>
      </c>
      <c r="CE2" s="30" t="str">
        <f t="shared" si="12"/>
        <v>Peak</v>
      </c>
      <c r="CF2" s="30" t="str">
        <f t="shared" si="12"/>
        <v>Peak</v>
      </c>
      <c r="CG2" s="30" t="str">
        <f t="shared" si="12"/>
        <v>Shoulder</v>
      </c>
      <c r="CH2" s="30" t="str">
        <f t="shared" si="12"/>
        <v>Trough</v>
      </c>
      <c r="CI2" s="301" t="str">
        <f t="shared" si="12"/>
        <v>Trough</v>
      </c>
      <c r="CJ2" s="30" t="str">
        <f t="shared" si="12"/>
        <v>Shoulder</v>
      </c>
      <c r="CK2" s="30" t="str">
        <f t="shared" si="12"/>
        <v>Peak</v>
      </c>
      <c r="CL2" s="30" t="str">
        <f t="shared" si="12"/>
        <v>Shoulder</v>
      </c>
      <c r="CM2" s="30" t="str">
        <f t="shared" si="12"/>
        <v>Shoulder</v>
      </c>
      <c r="CN2" s="30" t="str">
        <f t="shared" si="12"/>
        <v>Peak</v>
      </c>
      <c r="CO2" s="30" t="str">
        <f t="shared" ref="CO2:DG2" si="15">+CC2</f>
        <v>Shoulder</v>
      </c>
      <c r="CP2" s="30" t="str">
        <f t="shared" si="15"/>
        <v>Peak</v>
      </c>
      <c r="CQ2" s="30" t="str">
        <f t="shared" si="15"/>
        <v>Peak</v>
      </c>
      <c r="CR2" s="30" t="str">
        <f t="shared" si="15"/>
        <v>Peak</v>
      </c>
      <c r="CS2" s="30" t="str">
        <f t="shared" si="15"/>
        <v>Shoulder</v>
      </c>
      <c r="CT2" s="30" t="str">
        <f t="shared" si="15"/>
        <v>Trough</v>
      </c>
      <c r="CU2" s="301" t="str">
        <f t="shared" si="15"/>
        <v>Trough</v>
      </c>
      <c r="CV2" s="30" t="str">
        <f t="shared" si="15"/>
        <v>Shoulder</v>
      </c>
      <c r="CW2" s="30" t="str">
        <f t="shared" si="15"/>
        <v>Peak</v>
      </c>
      <c r="CX2" s="30" t="str">
        <f t="shared" si="15"/>
        <v>Shoulder</v>
      </c>
      <c r="CY2" s="30" t="str">
        <f t="shared" si="15"/>
        <v>Shoulder</v>
      </c>
      <c r="CZ2" s="30" t="str">
        <f t="shared" si="15"/>
        <v>Peak</v>
      </c>
      <c r="DA2" s="30" t="str">
        <f t="shared" si="15"/>
        <v>Shoulder</v>
      </c>
      <c r="DB2" s="30" t="str">
        <f t="shared" si="15"/>
        <v>Peak</v>
      </c>
      <c r="DC2" s="30" t="str">
        <f t="shared" si="15"/>
        <v>Peak</v>
      </c>
      <c r="DD2" s="30" t="str">
        <f t="shared" si="15"/>
        <v>Peak</v>
      </c>
      <c r="DE2" s="30" t="str">
        <f t="shared" si="15"/>
        <v>Shoulder</v>
      </c>
      <c r="DF2" s="30" t="str">
        <f t="shared" si="15"/>
        <v>Trough</v>
      </c>
      <c r="DG2" s="30" t="str">
        <f t="shared" si="15"/>
        <v>Trough</v>
      </c>
      <c r="DH2" s="30"/>
      <c r="DI2" s="30"/>
      <c r="DJ2" s="30"/>
    </row>
    <row r="3" spans="1:114" x14ac:dyDescent="0.3">
      <c r="A3" s="29"/>
      <c r="B3" s="29"/>
      <c r="C3" s="480"/>
      <c r="D3" s="164" t="str">
        <f>+"Q1 "&amp;D1</f>
        <v>Q1 2022</v>
      </c>
      <c r="E3" s="164" t="str">
        <f>+"Q1 "&amp;E1</f>
        <v>Q1 2022</v>
      </c>
      <c r="F3" s="164" t="str">
        <f>+"Q1 "&amp;F1</f>
        <v>Q1 2022</v>
      </c>
      <c r="G3" s="164" t="str">
        <f>+"Q2 "&amp;G1</f>
        <v>Q2 2022</v>
      </c>
      <c r="H3" s="164" t="str">
        <f>+"Q2 "&amp;H1</f>
        <v>Q2 2022</v>
      </c>
      <c r="I3" s="164" t="str">
        <f>+"Q2 "&amp;I1</f>
        <v>Q2 2022</v>
      </c>
      <c r="J3" s="164" t="str">
        <f>+"Q3 "&amp;J1</f>
        <v>Q3 2022</v>
      </c>
      <c r="K3" s="164" t="str">
        <f>+"Q3 "&amp;K1</f>
        <v>Q3 2022</v>
      </c>
      <c r="L3" s="164" t="str">
        <f>+"Q3 "&amp;L1</f>
        <v>Q3 2022</v>
      </c>
      <c r="M3" s="164" t="str">
        <f>+"Q4 "&amp;M1</f>
        <v>Q4 2022</v>
      </c>
      <c r="N3" s="164" t="str">
        <f>+"Q4 "&amp;N1</f>
        <v>Q4 2022</v>
      </c>
      <c r="O3" s="164" t="str">
        <f>+"Q4 "&amp;O1</f>
        <v>Q4 2022</v>
      </c>
      <c r="P3" s="164" t="str">
        <f>+"Q1 "&amp;P1</f>
        <v>Q1 2023</v>
      </c>
      <c r="Q3" s="164" t="str">
        <f>+"Q1 "&amp;Q1</f>
        <v>Q1 2023</v>
      </c>
      <c r="R3" s="164" t="str">
        <f>+"Q1 "&amp;R1</f>
        <v>Q1 2023</v>
      </c>
      <c r="S3" s="164" t="str">
        <f>+"Q2 "&amp;S1</f>
        <v>Q2 2023</v>
      </c>
      <c r="T3" s="164" t="str">
        <f>+"Q2 "&amp;T1</f>
        <v>Q2 2023</v>
      </c>
      <c r="U3" s="164" t="str">
        <f>+"Q2 "&amp;U1</f>
        <v>Q2 2023</v>
      </c>
      <c r="V3" s="164" t="str">
        <f>+"Q3 "&amp;V1</f>
        <v>Q3 2023</v>
      </c>
      <c r="W3" s="164" t="str">
        <f>+"Q3 "&amp;W1</f>
        <v>Q3 2023</v>
      </c>
      <c r="X3" s="164" t="str">
        <f>+"Q3 "&amp;X1</f>
        <v>Q3 2023</v>
      </c>
      <c r="Y3" s="164" t="str">
        <f>+"Q4 "&amp;Y1</f>
        <v>Q4 2023</v>
      </c>
      <c r="Z3" s="164" t="str">
        <f>+"Q4 "&amp;Z1</f>
        <v>Q4 2023</v>
      </c>
      <c r="AA3" s="512" t="str">
        <f>+"Q4 "&amp;AA1</f>
        <v>Q4 2023</v>
      </c>
      <c r="AB3" s="164" t="str">
        <f>+"Q1 "&amp;AB1</f>
        <v>Q1 2024</v>
      </c>
      <c r="AC3" s="164" t="str">
        <f>+"Q1 "&amp;AC1</f>
        <v>Q1 2024</v>
      </c>
      <c r="AD3" s="164" t="str">
        <f>+"Q1 "&amp;AD1</f>
        <v>Q1 2024</v>
      </c>
      <c r="AE3" s="164" t="str">
        <f>+"Q2 "&amp;AE1</f>
        <v>Q2 2024</v>
      </c>
      <c r="AF3" s="164" t="str">
        <f>+"Q2 "&amp;AF1</f>
        <v>Q2 2024</v>
      </c>
      <c r="AG3" s="164" t="str">
        <f>+"Q2 "&amp;AG1</f>
        <v>Q2 2024</v>
      </c>
      <c r="AH3" s="164" t="str">
        <f>+"Q3 "&amp;AH1</f>
        <v>Q3 2024</v>
      </c>
      <c r="AI3" s="303" t="str">
        <f>+"Q3 "&amp;AI1</f>
        <v>Q3 2024</v>
      </c>
      <c r="AJ3" s="164" t="str">
        <f>+"Q3 "&amp;AJ1</f>
        <v>Q3 2024</v>
      </c>
      <c r="AK3" s="164" t="str">
        <f>+"Q4 "&amp;AK1</f>
        <v>Q4 2024</v>
      </c>
      <c r="AL3" s="164" t="str">
        <f>+"Q4 "&amp;AL1</f>
        <v>Q4 2024</v>
      </c>
      <c r="AM3" s="512" t="str">
        <f>+"Q4 "&amp;AM1</f>
        <v>Q4 2024</v>
      </c>
      <c r="AN3" s="164" t="str">
        <f>+"Q1 "&amp;AN1</f>
        <v>Q1 2025</v>
      </c>
      <c r="AO3" s="164" t="str">
        <f>+"Q1 "&amp;AO1</f>
        <v>Q1 2025</v>
      </c>
      <c r="AP3" s="164" t="str">
        <f>+"Q1 "&amp;AP1</f>
        <v>Q1 2025</v>
      </c>
      <c r="AQ3" s="164" t="str">
        <f t="shared" ref="AQ3:AR3" si="16">+"Q2 "&amp;AQ1</f>
        <v>Q2 2025</v>
      </c>
      <c r="AR3" s="164" t="str">
        <f t="shared" si="16"/>
        <v>Q2 2025</v>
      </c>
      <c r="AS3" s="164" t="str">
        <f>+"Q2 "&amp;AS1</f>
        <v>Q2 2025</v>
      </c>
      <c r="AT3" s="164" t="str">
        <f>+"Q3 "&amp;AT1</f>
        <v>Q3 2025</v>
      </c>
      <c r="AU3" s="164" t="str">
        <f>+"Q3 "&amp;AU1</f>
        <v>Q3 2025</v>
      </c>
      <c r="AV3" s="164" t="str">
        <f>+"Q3 "&amp;AV1</f>
        <v>Q3 2025</v>
      </c>
      <c r="AW3" s="164" t="str">
        <f>+"Q4 "&amp;AW1</f>
        <v>Q4 2025</v>
      </c>
      <c r="AX3" s="164" t="str">
        <f>+"Q4 "&amp;AX1</f>
        <v>Q4 2025</v>
      </c>
      <c r="AY3" s="512" t="str">
        <f>+"Q4 "&amp;AY1</f>
        <v>Q4 2025</v>
      </c>
      <c r="AZ3" s="164" t="str">
        <f>+"Q1 "&amp;AZ1</f>
        <v>Q1 2026</v>
      </c>
      <c r="BA3" s="164" t="str">
        <f>+"Q1 "&amp;BA1</f>
        <v>Q1 2026</v>
      </c>
      <c r="BB3" s="164" t="str">
        <f>+"Q1 "&amp;BB1</f>
        <v>Q1 2026</v>
      </c>
      <c r="BC3" s="164" t="str">
        <f>+"Q2 "&amp;BC1</f>
        <v>Q2 2026</v>
      </c>
      <c r="BD3" s="164" t="str">
        <f>+"Q2 "&amp;BD1</f>
        <v>Q2 2026</v>
      </c>
      <c r="BE3" s="164" t="str">
        <f>+"Q2 "&amp;BE1</f>
        <v>Q2 2026</v>
      </c>
      <c r="BF3" s="164" t="str">
        <f>+"Q3 "&amp;BF1</f>
        <v>Q3 2026</v>
      </c>
      <c r="BG3" s="164" t="str">
        <f>+"Q3 "&amp;BG1</f>
        <v>Q3 2026</v>
      </c>
      <c r="BH3" s="164" t="str">
        <f>+"Q3 "&amp;BH1</f>
        <v>Q3 2026</v>
      </c>
      <c r="BI3" s="164" t="str">
        <f>+"Q4 "&amp;BI1</f>
        <v>Q4 2026</v>
      </c>
      <c r="BJ3" s="164" t="str">
        <f>+"Q4 "&amp;BJ1</f>
        <v>Q4 2026</v>
      </c>
      <c r="BK3" s="303" t="str">
        <f>+"Q4 "&amp;BK1</f>
        <v>Q4 2026</v>
      </c>
      <c r="BL3" s="164" t="str">
        <f>+"Q1 "&amp;BL1</f>
        <v>Q1 2027</v>
      </c>
      <c r="BM3" s="164" t="str">
        <f>+"Q1 "&amp;BM1</f>
        <v>Q1 2027</v>
      </c>
      <c r="BN3" s="164" t="str">
        <f>+"Q1 "&amp;BN1</f>
        <v>Q1 2027</v>
      </c>
      <c r="BO3" s="164" t="str">
        <f>+"Q2 "&amp;BO1</f>
        <v>Q2 2027</v>
      </c>
      <c r="BP3" s="164" t="str">
        <f>+"Q2 "&amp;BP1</f>
        <v>Q2 2027</v>
      </c>
      <c r="BQ3" s="164" t="str">
        <f>+"Q2 "&amp;BQ1</f>
        <v>Q2 2027</v>
      </c>
      <c r="BR3" s="164" t="str">
        <f>+"Q3 "&amp;BR1</f>
        <v>Q3 2027</v>
      </c>
      <c r="BS3" s="164" t="str">
        <f>+"Q3 "&amp;BS1</f>
        <v>Q3 2027</v>
      </c>
      <c r="BT3" s="164" t="str">
        <f>+"Q3 "&amp;BT1</f>
        <v>Q3 2027</v>
      </c>
      <c r="BU3" s="164" t="str">
        <f>+"Q4 "&amp;BU1</f>
        <v>Q4 2027</v>
      </c>
      <c r="BV3" s="164" t="str">
        <f>+"Q4 "&amp;BV1</f>
        <v>Q4 2027</v>
      </c>
      <c r="BW3" s="303" t="str">
        <f>+"Q4 "&amp;BW1</f>
        <v>Q4 2027</v>
      </c>
      <c r="BX3" s="164" t="str">
        <f>+"Q1 "&amp;BX1</f>
        <v>Q1 2028</v>
      </c>
      <c r="BY3" s="164" t="str">
        <f>+"Q1 "&amp;BY1</f>
        <v>Q1 2028</v>
      </c>
      <c r="BZ3" s="164" t="str">
        <f>+"Q1 "&amp;BZ1</f>
        <v>Q1 2028</v>
      </c>
      <c r="CA3" s="164" t="str">
        <f>+"Q2 "&amp;CA1</f>
        <v>Q2 2028</v>
      </c>
      <c r="CB3" s="164" t="str">
        <f>+"Q2 "&amp;CB1</f>
        <v>Q2 2028</v>
      </c>
      <c r="CC3" s="164" t="str">
        <f>+"Q2 "&amp;CC1</f>
        <v>Q2 2028</v>
      </c>
      <c r="CD3" s="164" t="str">
        <f>+"Q3 "&amp;CD1</f>
        <v>Q3 2028</v>
      </c>
      <c r="CE3" s="164" t="str">
        <f>+"Q3 "&amp;CE1</f>
        <v>Q3 2028</v>
      </c>
      <c r="CF3" s="164" t="str">
        <f>+"Q3 "&amp;CF1</f>
        <v>Q3 2028</v>
      </c>
      <c r="CG3" s="164" t="str">
        <f>+"Q4 "&amp;CG1</f>
        <v>Q4 2028</v>
      </c>
      <c r="CH3" s="164" t="str">
        <f>+"Q4 "&amp;CH1</f>
        <v>Q4 2028</v>
      </c>
      <c r="CI3" s="303" t="str">
        <f>+"Q4 "&amp;CI1</f>
        <v>Q4 2028</v>
      </c>
      <c r="CJ3" s="164" t="str">
        <f>+"Q1 "&amp;CJ1</f>
        <v>Q1 2029</v>
      </c>
      <c r="CK3" s="164" t="str">
        <f>+"Q1 "&amp;CK1</f>
        <v>Q1 2029</v>
      </c>
      <c r="CL3" s="164" t="str">
        <f>+"Q1 "&amp;CL1</f>
        <v>Q1 2029</v>
      </c>
      <c r="CM3" s="164" t="str">
        <f>+"Q2 "&amp;CM1</f>
        <v>Q2 2029</v>
      </c>
      <c r="CN3" s="164" t="str">
        <f>+"Q2 "&amp;CN1</f>
        <v>Q2 2029</v>
      </c>
      <c r="CO3" s="164" t="str">
        <f>+"Q2 "&amp;CO1</f>
        <v>Q2 2029</v>
      </c>
      <c r="CP3" s="164" t="str">
        <f>+"Q3 "&amp;CP1</f>
        <v>Q3 2029</v>
      </c>
      <c r="CQ3" s="164" t="str">
        <f>+"Q3 "&amp;CQ1</f>
        <v>Q3 2029</v>
      </c>
      <c r="CR3" s="164" t="str">
        <f>+"Q3 "&amp;CR1</f>
        <v>Q3 2029</v>
      </c>
      <c r="CS3" s="164" t="str">
        <f>+"Q4 "&amp;CS1</f>
        <v>Q4 2029</v>
      </c>
      <c r="CT3" s="164" t="str">
        <f>+"Q4 "&amp;CT1</f>
        <v>Q4 2029</v>
      </c>
      <c r="CU3" s="303" t="str">
        <f>+"Q4 "&amp;CU1</f>
        <v>Q4 2029</v>
      </c>
      <c r="CV3" s="164" t="str">
        <f>+"Q1 "&amp;CV1</f>
        <v>Q1 2030</v>
      </c>
      <c r="CW3" s="164" t="str">
        <f>+"Q1 "&amp;CW1</f>
        <v>Q1 2030</v>
      </c>
      <c r="CX3" s="164" t="str">
        <f>+"Q1 "&amp;CX1</f>
        <v>Q1 2030</v>
      </c>
      <c r="CY3" s="164" t="str">
        <f>+"Q2 "&amp;CY1</f>
        <v>Q2 2030</v>
      </c>
      <c r="CZ3" s="164" t="str">
        <f>+"Q2 "&amp;CZ1</f>
        <v>Q2 2030</v>
      </c>
      <c r="DA3" s="164" t="str">
        <f>+"Q2 "&amp;DA1</f>
        <v>Q2 2030</v>
      </c>
      <c r="DB3" s="164" t="str">
        <f>+"Q3 "&amp;DB1</f>
        <v>Q3 2030</v>
      </c>
      <c r="DC3" s="164" t="str">
        <f>+"Q3 "&amp;DC1</f>
        <v>Q3 2030</v>
      </c>
      <c r="DD3" s="164" t="str">
        <f>+"Q3 "&amp;DD1</f>
        <v>Q3 2030</v>
      </c>
      <c r="DE3" s="164" t="str">
        <f>+"Q4 "&amp;DE1</f>
        <v>Q4 2030</v>
      </c>
      <c r="DF3" s="164" t="str">
        <f>+"Q4 "&amp;DF1</f>
        <v>Q4 2030</v>
      </c>
      <c r="DG3" s="164" t="str">
        <f>+"Q4 "&amp;DG1</f>
        <v>Q4 2030</v>
      </c>
      <c r="DH3" s="30"/>
      <c r="DI3" s="30"/>
      <c r="DJ3" s="30"/>
    </row>
    <row r="4" spans="1:114" ht="15" thickBot="1" x14ac:dyDescent="0.35">
      <c r="A4" s="31"/>
      <c r="B4" s="32"/>
      <c r="C4" s="481"/>
      <c r="D4" s="731">
        <v>44592</v>
      </c>
      <c r="E4" s="731">
        <v>44620</v>
      </c>
      <c r="F4" s="731">
        <v>44651</v>
      </c>
      <c r="G4" s="33">
        <v>44681</v>
      </c>
      <c r="H4" s="33">
        <v>44712</v>
      </c>
      <c r="I4" s="33">
        <v>44742</v>
      </c>
      <c r="J4" s="33">
        <v>44773</v>
      </c>
      <c r="K4" s="33">
        <v>44804</v>
      </c>
      <c r="L4" s="33">
        <v>44834</v>
      </c>
      <c r="M4" s="33">
        <v>44865</v>
      </c>
      <c r="N4" s="33">
        <v>44895</v>
      </c>
      <c r="O4" s="33">
        <v>44926</v>
      </c>
      <c r="P4" s="162">
        <v>44957</v>
      </c>
      <c r="Q4" s="33">
        <v>44985</v>
      </c>
      <c r="R4" s="33">
        <v>45016</v>
      </c>
      <c r="S4" s="33">
        <v>45046</v>
      </c>
      <c r="T4" s="33">
        <v>45077</v>
      </c>
      <c r="U4" s="33">
        <v>45107</v>
      </c>
      <c r="V4" s="33">
        <v>45138</v>
      </c>
      <c r="W4" s="33">
        <v>45169</v>
      </c>
      <c r="X4" s="33">
        <v>45199</v>
      </c>
      <c r="Y4" s="33">
        <v>45230</v>
      </c>
      <c r="Z4" s="33">
        <v>45260</v>
      </c>
      <c r="AA4" s="53">
        <v>45291</v>
      </c>
      <c r="AB4" s="33">
        <v>45322</v>
      </c>
      <c r="AC4" s="33">
        <v>45351</v>
      </c>
      <c r="AD4" s="33">
        <v>45382</v>
      </c>
      <c r="AE4" s="33">
        <v>45412</v>
      </c>
      <c r="AF4" s="33">
        <v>45443</v>
      </c>
      <c r="AG4" s="33">
        <v>45473</v>
      </c>
      <c r="AH4" s="33">
        <v>45504</v>
      </c>
      <c r="AI4" s="304">
        <v>45535</v>
      </c>
      <c r="AJ4" s="33">
        <v>45565</v>
      </c>
      <c r="AK4" s="33">
        <v>45596</v>
      </c>
      <c r="AL4" s="33">
        <v>45626</v>
      </c>
      <c r="AM4" s="53">
        <v>45657</v>
      </c>
      <c r="AN4" s="33">
        <v>45688</v>
      </c>
      <c r="AO4" s="33">
        <v>45716</v>
      </c>
      <c r="AP4" s="33">
        <v>45747</v>
      </c>
      <c r="AQ4" s="33">
        <v>45777</v>
      </c>
      <c r="AR4" s="33">
        <v>45808</v>
      </c>
      <c r="AS4" s="33">
        <v>45838</v>
      </c>
      <c r="AT4" s="33">
        <v>45869</v>
      </c>
      <c r="AU4" s="304">
        <v>45900</v>
      </c>
      <c r="AV4" s="33">
        <v>45930</v>
      </c>
      <c r="AW4" s="304">
        <v>45961</v>
      </c>
      <c r="AX4" s="33">
        <v>45991</v>
      </c>
      <c r="AY4" s="53">
        <v>46022</v>
      </c>
      <c r="AZ4" s="33">
        <v>46053</v>
      </c>
      <c r="BA4" s="33">
        <v>46081</v>
      </c>
      <c r="BB4" s="33">
        <v>46112</v>
      </c>
      <c r="BC4" s="33">
        <v>46142</v>
      </c>
      <c r="BD4" s="33">
        <v>46173</v>
      </c>
      <c r="BE4" s="33">
        <v>46203</v>
      </c>
      <c r="BF4" s="33">
        <v>46234</v>
      </c>
      <c r="BG4" s="33">
        <v>46265</v>
      </c>
      <c r="BH4" s="33">
        <v>46295</v>
      </c>
      <c r="BI4" s="33">
        <v>46326</v>
      </c>
      <c r="BJ4" s="33">
        <v>46356</v>
      </c>
      <c r="BK4" s="304">
        <v>46387</v>
      </c>
      <c r="BL4" s="33">
        <v>46418</v>
      </c>
      <c r="BM4" s="33">
        <v>46446</v>
      </c>
      <c r="BN4" s="33">
        <v>46477</v>
      </c>
      <c r="BO4" s="33">
        <v>46507</v>
      </c>
      <c r="BP4" s="33">
        <v>46538</v>
      </c>
      <c r="BQ4" s="33">
        <v>46568</v>
      </c>
      <c r="BR4" s="33">
        <v>46599</v>
      </c>
      <c r="BS4" s="33">
        <v>46630</v>
      </c>
      <c r="BT4" s="33">
        <v>46660</v>
      </c>
      <c r="BU4" s="33">
        <v>46691</v>
      </c>
      <c r="BV4" s="33">
        <v>46721</v>
      </c>
      <c r="BW4" s="304">
        <v>46752</v>
      </c>
      <c r="BX4" s="33">
        <v>46783</v>
      </c>
      <c r="BY4" s="33">
        <v>46812</v>
      </c>
      <c r="BZ4" s="33">
        <v>46843</v>
      </c>
      <c r="CA4" s="33">
        <v>46873</v>
      </c>
      <c r="CB4" s="33">
        <v>46904</v>
      </c>
      <c r="CC4" s="33">
        <v>46934</v>
      </c>
      <c r="CD4" s="33">
        <v>46965</v>
      </c>
      <c r="CE4" s="33">
        <v>46996</v>
      </c>
      <c r="CF4" s="33">
        <v>47026</v>
      </c>
      <c r="CG4" s="33">
        <v>47057</v>
      </c>
      <c r="CH4" s="33">
        <v>47087</v>
      </c>
      <c r="CI4" s="304">
        <v>47118</v>
      </c>
      <c r="CJ4" s="33">
        <v>47149</v>
      </c>
      <c r="CK4" s="33">
        <v>47177</v>
      </c>
      <c r="CL4" s="33">
        <v>47208</v>
      </c>
      <c r="CM4" s="33">
        <v>47238</v>
      </c>
      <c r="CN4" s="33">
        <v>47269</v>
      </c>
      <c r="CO4" s="33">
        <v>47299</v>
      </c>
      <c r="CP4" s="33">
        <v>47330</v>
      </c>
      <c r="CQ4" s="33">
        <v>47361</v>
      </c>
      <c r="CR4" s="33">
        <v>47391</v>
      </c>
      <c r="CS4" s="33">
        <v>47422</v>
      </c>
      <c r="CT4" s="33">
        <v>47452</v>
      </c>
      <c r="CU4" s="304">
        <v>47483</v>
      </c>
      <c r="CV4" s="33">
        <v>47514</v>
      </c>
      <c r="CW4" s="33">
        <v>47542</v>
      </c>
      <c r="CX4" s="33">
        <v>47573</v>
      </c>
      <c r="CY4" s="33">
        <v>47603</v>
      </c>
      <c r="CZ4" s="33">
        <v>47634</v>
      </c>
      <c r="DA4" s="33">
        <v>47664</v>
      </c>
      <c r="DB4" s="33">
        <v>47695</v>
      </c>
      <c r="DC4" s="33">
        <v>47726</v>
      </c>
      <c r="DD4" s="33">
        <v>47756</v>
      </c>
      <c r="DE4" s="33">
        <v>47787</v>
      </c>
      <c r="DF4" s="33">
        <v>47817</v>
      </c>
      <c r="DG4" s="33">
        <v>47848</v>
      </c>
      <c r="DH4" s="33"/>
      <c r="DI4" s="33"/>
      <c r="DJ4" s="53"/>
    </row>
    <row r="5" spans="1:114" x14ac:dyDescent="0.3">
      <c r="B5" s="1" t="s">
        <v>1</v>
      </c>
      <c r="C5" s="482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AA5" s="97"/>
      <c r="AW5" s="184"/>
      <c r="AY5" s="97"/>
      <c r="BK5" s="184"/>
      <c r="BW5" s="184"/>
      <c r="CI5" s="184"/>
      <c r="CU5" s="184"/>
    </row>
    <row r="6" spans="1:114" s="113" customFormat="1" x14ac:dyDescent="0.3">
      <c r="A6"/>
      <c r="B6" s="1" t="s">
        <v>2</v>
      </c>
      <c r="C6" s="482"/>
      <c r="D6" s="115">
        <f>0</f>
        <v>0</v>
      </c>
      <c r="E6" s="115">
        <f>0</f>
        <v>0</v>
      </c>
      <c r="F6" s="115">
        <f>0</f>
        <v>0</v>
      </c>
      <c r="G6" s="115">
        <f>0</f>
        <v>0</v>
      </c>
      <c r="H6" s="115">
        <f>0</f>
        <v>0</v>
      </c>
      <c r="I6" s="115">
        <f>0</f>
        <v>0</v>
      </c>
      <c r="J6" s="115">
        <f>0</f>
        <v>0</v>
      </c>
      <c r="K6" s="115">
        <v>0</v>
      </c>
      <c r="L6" s="115">
        <v>0</v>
      </c>
      <c r="M6" s="115">
        <v>0</v>
      </c>
      <c r="N6" s="115"/>
      <c r="O6" s="159"/>
      <c r="P6" s="159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513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513"/>
      <c r="AN6" s="115"/>
      <c r="AO6" s="115"/>
      <c r="AP6" s="115"/>
      <c r="AQ6" s="115"/>
      <c r="AR6" s="115"/>
      <c r="AS6" s="115"/>
      <c r="AT6" s="115"/>
      <c r="AU6" s="115"/>
      <c r="AV6" s="115"/>
      <c r="AW6" s="185"/>
      <c r="AX6" s="115"/>
      <c r="AY6" s="513"/>
      <c r="BK6" s="185"/>
      <c r="BW6" s="185"/>
      <c r="CI6" s="185"/>
      <c r="CU6" s="185"/>
    </row>
    <row r="7" spans="1:114" s="113" customFormat="1" x14ac:dyDescent="0.3">
      <c r="A7"/>
      <c r="B7" s="1" t="s">
        <v>3</v>
      </c>
      <c r="C7" s="482"/>
      <c r="D7" s="115">
        <f>0</f>
        <v>0</v>
      </c>
      <c r="E7" s="115">
        <f>0</f>
        <v>0</v>
      </c>
      <c r="F7" s="115">
        <f>0</f>
        <v>0</v>
      </c>
      <c r="G7" s="115">
        <f>0</f>
        <v>0</v>
      </c>
      <c r="H7" s="115">
        <f>0</f>
        <v>0</v>
      </c>
      <c r="I7" s="115">
        <f>0</f>
        <v>0</v>
      </c>
      <c r="J7" s="115">
        <v>0</v>
      </c>
      <c r="K7" s="115">
        <v>50</v>
      </c>
      <c r="L7" s="115">
        <v>350</v>
      </c>
      <c r="M7" s="115">
        <v>2640</v>
      </c>
      <c r="N7" s="115">
        <v>1865</v>
      </c>
      <c r="O7" s="115">
        <v>1932.5</v>
      </c>
      <c r="P7" s="115">
        <v>1360</v>
      </c>
      <c r="Q7" s="115">
        <v>1225</v>
      </c>
      <c r="R7" s="115">
        <v>1177.5</v>
      </c>
      <c r="S7" s="115">
        <v>1875</v>
      </c>
      <c r="T7" s="115">
        <v>2446.25</v>
      </c>
      <c r="U7" s="115">
        <v>1963.75</v>
      </c>
      <c r="V7" s="115">
        <v>2220</v>
      </c>
      <c r="W7" s="115">
        <v>5316.66</v>
      </c>
      <c r="X7" s="115">
        <v>4203.34</v>
      </c>
      <c r="Y7" s="115">
        <v>3105</v>
      </c>
      <c r="Z7" s="115">
        <v>2692.5</v>
      </c>
      <c r="AA7" s="513">
        <v>1350</v>
      </c>
      <c r="AB7" s="115">
        <v>1342.5</v>
      </c>
      <c r="AC7" s="115">
        <v>2167.5</v>
      </c>
      <c r="AD7" s="115">
        <v>1847.5</v>
      </c>
      <c r="AE7" s="115">
        <v>2035</v>
      </c>
      <c r="AF7" s="115">
        <v>1725</v>
      </c>
      <c r="AG7" s="115">
        <v>1285</v>
      </c>
      <c r="AH7" s="115">
        <v>1122.52</v>
      </c>
      <c r="AI7" s="115">
        <v>506.26</v>
      </c>
      <c r="AJ7" s="115">
        <v>326.25</v>
      </c>
      <c r="AK7" s="115">
        <v>135</v>
      </c>
      <c r="AL7" s="115">
        <v>727.5</v>
      </c>
      <c r="AM7" s="513">
        <v>585</v>
      </c>
      <c r="AN7" s="115">
        <v>371.25</v>
      </c>
      <c r="AO7" s="115">
        <v>1108.75</v>
      </c>
      <c r="AP7" s="115">
        <v>1537.5</v>
      </c>
      <c r="AQ7" s="115">
        <v>435</v>
      </c>
      <c r="AR7" s="115">
        <v>281.25</v>
      </c>
      <c r="AS7" s="115"/>
      <c r="AT7" s="115">
        <v>168.75</v>
      </c>
      <c r="AU7" s="115">
        <v>843.75</v>
      </c>
      <c r="AV7" s="115">
        <f>1443.75</f>
        <v>1443.75</v>
      </c>
      <c r="AW7" s="185">
        <f>1871.26</f>
        <v>1871.26</v>
      </c>
      <c r="AX7" s="115">
        <f t="shared" ref="AX7:CC7" si="17">+(AX36*AX28)+(AX32*AX40)</f>
        <v>1001.1961722488039</v>
      </c>
      <c r="AY7" s="513">
        <f t="shared" si="17"/>
        <v>1084.1189931350116</v>
      </c>
      <c r="AZ7" s="113">
        <f t="shared" si="17"/>
        <v>802.26467391304345</v>
      </c>
      <c r="BA7" s="113">
        <f t="shared" si="17"/>
        <v>1922.5071428571428</v>
      </c>
      <c r="BB7" s="113">
        <f t="shared" si="17"/>
        <v>3350.2857142857133</v>
      </c>
      <c r="BC7" s="113">
        <f t="shared" si="17"/>
        <v>920.68695652173881</v>
      </c>
      <c r="BD7" s="113">
        <f t="shared" si="17"/>
        <v>691.03124999999989</v>
      </c>
      <c r="BE7" s="113">
        <f t="shared" si="17"/>
        <v>0</v>
      </c>
      <c r="BF7" s="113">
        <f t="shared" si="17"/>
        <v>227.02792207792211</v>
      </c>
      <c r="BG7" s="113">
        <f t="shared" si="17"/>
        <v>911.24999999999989</v>
      </c>
      <c r="BH7" s="113">
        <f t="shared" si="17"/>
        <v>1561.2763157894733</v>
      </c>
      <c r="BI7" s="113">
        <f t="shared" si="17"/>
        <v>1741.8689162881242</v>
      </c>
      <c r="BJ7" s="113">
        <f t="shared" si="17"/>
        <v>1283.3612440191384</v>
      </c>
      <c r="BK7" s="185">
        <f t="shared" si="17"/>
        <v>2142.3157894736837</v>
      </c>
      <c r="BL7" s="113">
        <f t="shared" si="17"/>
        <v>1352.9352717391303</v>
      </c>
      <c r="BM7" s="113">
        <f t="shared" si="17"/>
        <v>3160.7957142857126</v>
      </c>
      <c r="BN7" s="113">
        <f t="shared" si="17"/>
        <v>5563.1386904761875</v>
      </c>
      <c r="BO7" s="113">
        <f t="shared" si="17"/>
        <v>1413.7878260869556</v>
      </c>
      <c r="BP7" s="113">
        <f t="shared" si="17"/>
        <v>1023.8215909090906</v>
      </c>
      <c r="BQ7" s="113">
        <f t="shared" si="17"/>
        <v>0</v>
      </c>
      <c r="BR7" s="113">
        <f t="shared" si="17"/>
        <v>309.8057142857142</v>
      </c>
      <c r="BS7" s="113">
        <f t="shared" si="17"/>
        <v>1358.5982142857135</v>
      </c>
      <c r="BT7" s="113">
        <f t="shared" si="17"/>
        <v>2211.115789473683</v>
      </c>
      <c r="BU7" s="113">
        <f t="shared" si="17"/>
        <v>2347.8027255029192</v>
      </c>
      <c r="BV7" s="113">
        <f t="shared" si="17"/>
        <v>1898.0526315789464</v>
      </c>
      <c r="BW7" s="185">
        <f t="shared" si="17"/>
        <v>3018.1894736842087</v>
      </c>
      <c r="BX7" s="113">
        <f t="shared" si="17"/>
        <v>1909.2887282608685</v>
      </c>
      <c r="BY7" s="113">
        <f t="shared" si="17"/>
        <v>4703.8571999999967</v>
      </c>
      <c r="BZ7" s="113">
        <f t="shared" si="17"/>
        <v>7900.6560714285661</v>
      </c>
      <c r="CA7" s="113">
        <f t="shared" si="17"/>
        <v>1833.753675889327</v>
      </c>
      <c r="CB7" s="113">
        <f t="shared" si="17"/>
        <v>1596.3228409090898</v>
      </c>
      <c r="CC7" s="113">
        <f t="shared" si="17"/>
        <v>0</v>
      </c>
      <c r="CD7" s="113">
        <f t="shared" ref="CD7:DG7" si="18">+(CD36*CD28)+(CD32*CD40)</f>
        <v>421.37672727272695</v>
      </c>
      <c r="CE7" s="113">
        <f t="shared" si="18"/>
        <v>2030.8486607142843</v>
      </c>
      <c r="CF7" s="113">
        <f t="shared" si="18"/>
        <v>3008.0455263157878</v>
      </c>
      <c r="CG7" s="113">
        <f t="shared" si="18"/>
        <v>3501.1565217391285</v>
      </c>
      <c r="CH7" s="113">
        <f t="shared" si="18"/>
        <v>2696.7473684210513</v>
      </c>
      <c r="CI7" s="185">
        <f t="shared" si="18"/>
        <v>3915.6994050343228</v>
      </c>
      <c r="CJ7" s="113">
        <f t="shared" si="18"/>
        <v>2952.5135499999978</v>
      </c>
      <c r="CK7" s="113">
        <f t="shared" si="18"/>
        <v>6303.0953142857097</v>
      </c>
      <c r="CL7" s="113">
        <f t="shared" si="18"/>
        <v>10633.699476190466</v>
      </c>
      <c r="CM7" s="113">
        <f t="shared" si="18"/>
        <v>2702.8392474308275</v>
      </c>
      <c r="CN7" s="113">
        <f t="shared" si="18"/>
        <v>2246.6133409090889</v>
      </c>
      <c r="CO7" s="113">
        <f t="shared" si="18"/>
        <v>0</v>
      </c>
      <c r="CP7" s="113">
        <f t="shared" si="18"/>
        <v>618.01919999999927</v>
      </c>
      <c r="CQ7" s="113">
        <f t="shared" si="18"/>
        <v>2835.4872321428538</v>
      </c>
      <c r="CR7" s="113">
        <f t="shared" si="18"/>
        <v>3992.3063157894699</v>
      </c>
      <c r="CS7" s="113">
        <f t="shared" si="18"/>
        <v>5118.9349253731289</v>
      </c>
      <c r="CT7" s="113">
        <f t="shared" si="18"/>
        <v>3771.4989473684172</v>
      </c>
      <c r="CU7" s="185">
        <f t="shared" si="18"/>
        <v>5493.5123478260821</v>
      </c>
      <c r="CV7" s="113">
        <f t="shared" si="18"/>
        <v>4150.1439699999974</v>
      </c>
      <c r="CW7" s="113">
        <f t="shared" si="18"/>
        <v>8847.7977257142793</v>
      </c>
      <c r="CX7" s="113">
        <f t="shared" si="18"/>
        <v>14248.926799999983</v>
      </c>
      <c r="CY7" s="113">
        <f t="shared" si="18"/>
        <v>3983.0772730434746</v>
      </c>
      <c r="CZ7" s="113">
        <f t="shared" si="18"/>
        <v>3162.90072272727</v>
      </c>
      <c r="DA7" s="113">
        <f t="shared" si="18"/>
        <v>0</v>
      </c>
      <c r="DB7" s="113">
        <f t="shared" si="18"/>
        <v>911.61219272727169</v>
      </c>
      <c r="DC7" s="113">
        <f t="shared" si="18"/>
        <v>3819.1854642857111</v>
      </c>
      <c r="DD7" s="113">
        <f t="shared" si="18"/>
        <v>5897.7034421052576</v>
      </c>
      <c r="DE7" s="113">
        <f t="shared" si="18"/>
        <v>7215.8745671641746</v>
      </c>
      <c r="DF7" s="113">
        <f t="shared" si="18"/>
        <v>5066.4696459330107</v>
      </c>
      <c r="DG7" s="113">
        <f t="shared" si="18"/>
        <v>8117.5633427917546</v>
      </c>
    </row>
    <row r="8" spans="1:114" s="113" customFormat="1" x14ac:dyDescent="0.3">
      <c r="A8"/>
      <c r="B8" s="1" t="s">
        <v>4</v>
      </c>
      <c r="C8" s="482"/>
      <c r="D8" s="115">
        <f>0</f>
        <v>0</v>
      </c>
      <c r="E8" s="115">
        <f>0</f>
        <v>0</v>
      </c>
      <c r="F8" s="115">
        <f>0</f>
        <v>0</v>
      </c>
      <c r="G8" s="115">
        <f>0</f>
        <v>0</v>
      </c>
      <c r="H8" s="115">
        <f>0</f>
        <v>0</v>
      </c>
      <c r="I8" s="115">
        <f>0</f>
        <v>0</v>
      </c>
      <c r="J8" s="115">
        <v>0</v>
      </c>
      <c r="K8" s="115">
        <v>175</v>
      </c>
      <c r="L8" s="115">
        <v>50</v>
      </c>
      <c r="M8" s="115">
        <v>325</v>
      </c>
      <c r="N8" s="115">
        <v>225</v>
      </c>
      <c r="O8" s="115">
        <v>0</v>
      </c>
      <c r="P8" s="115"/>
      <c r="Q8" s="115"/>
      <c r="R8" s="115"/>
      <c r="S8" s="115"/>
      <c r="T8" s="115"/>
      <c r="U8" s="115"/>
      <c r="V8" s="115">
        <v>150</v>
      </c>
      <c r="W8" s="115">
        <v>140</v>
      </c>
      <c r="X8" s="115">
        <v>1827.5</v>
      </c>
      <c r="Y8" s="115">
        <v>1620</v>
      </c>
      <c r="Z8" s="115">
        <v>1070</v>
      </c>
      <c r="AA8" s="513">
        <v>700</v>
      </c>
      <c r="AB8" s="115">
        <v>1110</v>
      </c>
      <c r="AC8" s="115">
        <v>2115</v>
      </c>
      <c r="AD8" s="115">
        <v>1470</v>
      </c>
      <c r="AE8" s="115">
        <v>1935</v>
      </c>
      <c r="AF8" s="115">
        <v>3645</v>
      </c>
      <c r="AG8" s="115">
        <v>1305.01</v>
      </c>
      <c r="AH8" s="115">
        <v>4406.25</v>
      </c>
      <c r="AI8" s="115">
        <v>8085</v>
      </c>
      <c r="AJ8" s="115">
        <v>1530</v>
      </c>
      <c r="AK8" s="115">
        <v>2085</v>
      </c>
      <c r="AL8" s="115">
        <v>956.25</v>
      </c>
      <c r="AM8" s="513">
        <v>1706.25</v>
      </c>
      <c r="AN8" s="115">
        <v>3195</v>
      </c>
      <c r="AO8" s="115">
        <v>4511.25</v>
      </c>
      <c r="AP8" s="115">
        <v>5467.5</v>
      </c>
      <c r="AQ8" s="115">
        <v>2733.75</v>
      </c>
      <c r="AR8" s="115">
        <v>4901.25</v>
      </c>
      <c r="AS8" s="115">
        <v>2047.5</v>
      </c>
      <c r="AT8" s="115">
        <v>5011.25</v>
      </c>
      <c r="AU8" s="115">
        <v>5946.25</v>
      </c>
      <c r="AV8" s="115">
        <f>8113.75</f>
        <v>8113.75</v>
      </c>
      <c r="AW8" s="185">
        <f>4536.25</f>
        <v>4536.25</v>
      </c>
      <c r="AX8" s="115">
        <f t="shared" ref="AX8:CC8" si="19">+AX37*AX29</f>
        <v>1401.6746411483255</v>
      </c>
      <c r="AY8" s="513">
        <f t="shared" si="19"/>
        <v>3387.8718535469111</v>
      </c>
      <c r="AZ8" s="113">
        <f t="shared" si="19"/>
        <v>5639.9809782608691</v>
      </c>
      <c r="BA8" s="113">
        <f t="shared" si="19"/>
        <v>8295.7499999999982</v>
      </c>
      <c r="BB8" s="113">
        <f t="shared" si="19"/>
        <v>12134.571428571426</v>
      </c>
      <c r="BC8" s="113">
        <f t="shared" si="19"/>
        <v>5873.3478260869551</v>
      </c>
      <c r="BD8" s="113">
        <f t="shared" si="19"/>
        <v>12300.356249999997</v>
      </c>
      <c r="BE8" s="113">
        <f t="shared" si="19"/>
        <v>3910.0285714285706</v>
      </c>
      <c r="BF8" s="113">
        <f t="shared" si="19"/>
        <v>6836.0629870129869</v>
      </c>
      <c r="BG8" s="113">
        <f t="shared" si="19"/>
        <v>6338.2499999999991</v>
      </c>
      <c r="BH8" s="113">
        <f t="shared" si="19"/>
        <v>8597.1578947368398</v>
      </c>
      <c r="BI8" s="113">
        <f t="shared" si="19"/>
        <v>4105.8338741077214</v>
      </c>
      <c r="BJ8" s="113">
        <f t="shared" si="19"/>
        <v>1796.705741626794</v>
      </c>
      <c r="BK8" s="185">
        <f t="shared" si="19"/>
        <v>6694.7368421052615</v>
      </c>
      <c r="BL8" s="113">
        <f t="shared" si="19"/>
        <v>9511.2366847826052</v>
      </c>
      <c r="BM8" s="113">
        <f t="shared" si="19"/>
        <v>13639.049999999992</v>
      </c>
      <c r="BN8" s="113">
        <f t="shared" si="19"/>
        <v>20149.416964285705</v>
      </c>
      <c r="BO8" s="113">
        <f t="shared" si="19"/>
        <v>9018.9913043478209</v>
      </c>
      <c r="BP8" s="113">
        <f t="shared" si="19"/>
        <v>18224.024318181811</v>
      </c>
      <c r="BQ8" s="113">
        <f t="shared" si="19"/>
        <v>5681.4685714285679</v>
      </c>
      <c r="BR8" s="113">
        <f t="shared" si="19"/>
        <v>9328.5942857142818</v>
      </c>
      <c r="BS8" s="113">
        <f t="shared" si="19"/>
        <v>9449.80535714285</v>
      </c>
      <c r="BT8" s="113">
        <f t="shared" si="19"/>
        <v>12175.494736842098</v>
      </c>
      <c r="BU8" s="113">
        <f t="shared" si="19"/>
        <v>5534.1064243997371</v>
      </c>
      <c r="BV8" s="113">
        <f t="shared" si="19"/>
        <v>2657.2736842105251</v>
      </c>
      <c r="BW8" s="185">
        <f t="shared" si="19"/>
        <v>9431.8421052631529</v>
      </c>
      <c r="BX8" s="113">
        <f t="shared" si="19"/>
        <v>13422.443315217382</v>
      </c>
      <c r="BY8" s="113">
        <f t="shared" si="19"/>
        <v>20297.465999999986</v>
      </c>
      <c r="BZ8" s="113">
        <f t="shared" si="19"/>
        <v>28615.790892857127</v>
      </c>
      <c r="CA8" s="113">
        <f t="shared" si="19"/>
        <v>11698.083794466394</v>
      </c>
      <c r="CB8" s="113">
        <f t="shared" si="19"/>
        <v>28414.546568181799</v>
      </c>
      <c r="CC8" s="113">
        <f t="shared" si="19"/>
        <v>8092.3417142857088</v>
      </c>
      <c r="CD8" s="113">
        <f t="shared" ref="CD8:DG8" si="20">+CD37*CD29</f>
        <v>12688.121454545444</v>
      </c>
      <c r="CE8" s="113">
        <f t="shared" si="20"/>
        <v>14125.680684523797</v>
      </c>
      <c r="CF8" s="113">
        <f t="shared" si="20"/>
        <v>16563.783157894726</v>
      </c>
      <c r="CG8" s="113">
        <f t="shared" si="20"/>
        <v>8252.7260869565162</v>
      </c>
      <c r="CH8" s="113">
        <f t="shared" si="20"/>
        <v>3775.4463157894716</v>
      </c>
      <c r="CI8" s="185">
        <f t="shared" si="20"/>
        <v>12236.560640732259</v>
      </c>
      <c r="CJ8" s="113">
        <f t="shared" si="20"/>
        <v>20756.392249999986</v>
      </c>
      <c r="CK8" s="113">
        <f t="shared" si="20"/>
        <v>27198.287999999982</v>
      </c>
      <c r="CL8" s="113">
        <f t="shared" si="20"/>
        <v>38514.740785714261</v>
      </c>
      <c r="CM8" s="113">
        <f t="shared" si="20"/>
        <v>17242.250371541482</v>
      </c>
      <c r="CN8" s="113">
        <f t="shared" si="20"/>
        <v>39989.717468181785</v>
      </c>
      <c r="CO8" s="113">
        <f t="shared" si="20"/>
        <v>10814.311199999986</v>
      </c>
      <c r="CP8" s="113">
        <f t="shared" si="20"/>
        <v>18609.244799999979</v>
      </c>
      <c r="CQ8" s="113">
        <f t="shared" si="20"/>
        <v>19722.388970238073</v>
      </c>
      <c r="CR8" s="113">
        <f t="shared" si="20"/>
        <v>21983.608803827727</v>
      </c>
      <c r="CS8" s="113">
        <f t="shared" si="20"/>
        <v>12066.060895522374</v>
      </c>
      <c r="CT8" s="113">
        <f t="shared" si="20"/>
        <v>5280.0985263157845</v>
      </c>
      <c r="CU8" s="185">
        <f t="shared" si="20"/>
        <v>17167.226086956507</v>
      </c>
      <c r="CV8" s="113">
        <f t="shared" si="20"/>
        <v>29175.824149999975</v>
      </c>
      <c r="CW8" s="113">
        <f t="shared" si="20"/>
        <v>38178.853199999969</v>
      </c>
      <c r="CX8" s="113">
        <f t="shared" si="20"/>
        <v>51608.917799999952</v>
      </c>
      <c r="CY8" s="113">
        <f t="shared" si="20"/>
        <v>25409.286052173884</v>
      </c>
      <c r="CZ8" s="113">
        <f t="shared" si="20"/>
        <v>56299.632864545405</v>
      </c>
      <c r="DA8" s="113">
        <f t="shared" si="20"/>
        <v>14560.510171428552</v>
      </c>
      <c r="DB8" s="113">
        <f t="shared" si="20"/>
        <v>27449.656025454515</v>
      </c>
      <c r="DC8" s="113">
        <f t="shared" si="20"/>
        <v>26564.5566738095</v>
      </c>
      <c r="DD8" s="113">
        <f t="shared" si="20"/>
        <v>32475.665707176999</v>
      </c>
      <c r="DE8" s="113">
        <f t="shared" si="20"/>
        <v>17008.847194029837</v>
      </c>
      <c r="DF8" s="113">
        <f t="shared" si="20"/>
        <v>7093.0575043062154</v>
      </c>
      <c r="DG8" s="113">
        <f t="shared" si="20"/>
        <v>25367.385446224231</v>
      </c>
    </row>
    <row r="9" spans="1:114" s="113" customFormat="1" x14ac:dyDescent="0.3">
      <c r="A9"/>
      <c r="B9" s="1" t="s">
        <v>289</v>
      </c>
      <c r="C9" s="482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513"/>
      <c r="AB9" s="115"/>
      <c r="AC9" s="115"/>
      <c r="AD9" s="115"/>
      <c r="AE9" s="115"/>
      <c r="AF9" s="115"/>
      <c r="AG9" s="115"/>
      <c r="AH9" s="115"/>
      <c r="AI9" s="115">
        <v>851.25</v>
      </c>
      <c r="AJ9" s="115">
        <v>997.5</v>
      </c>
      <c r="AK9" s="115">
        <v>1592.5</v>
      </c>
      <c r="AL9" s="115">
        <v>150</v>
      </c>
      <c r="AM9" s="513"/>
      <c r="AN9" s="115"/>
      <c r="AO9" s="115">
        <v>562.5</v>
      </c>
      <c r="AP9" s="115"/>
      <c r="AQ9" s="115"/>
      <c r="AR9" s="115">
        <v>450</v>
      </c>
      <c r="AS9" s="115">
        <v>637.5</v>
      </c>
      <c r="AT9" s="115">
        <v>1212.5</v>
      </c>
      <c r="AU9" s="115">
        <v>1750</v>
      </c>
      <c r="AV9" s="115">
        <f>2272.5</f>
        <v>2272.5</v>
      </c>
      <c r="AW9" s="185">
        <f>2393.75</f>
        <v>2393.75</v>
      </c>
      <c r="AX9" s="115">
        <f t="shared" ref="AX9:CC9" si="21">+AX38*AX30</f>
        <v>315.37679425837325</v>
      </c>
      <c r="AY9" s="513">
        <f t="shared" si="21"/>
        <v>0</v>
      </c>
      <c r="AZ9" s="113">
        <f t="shared" si="21"/>
        <v>0</v>
      </c>
      <c r="BA9" s="113">
        <f t="shared" si="21"/>
        <v>888.830357142857</v>
      </c>
      <c r="BB9" s="113">
        <f t="shared" si="21"/>
        <v>0</v>
      </c>
      <c r="BC9" s="113">
        <f t="shared" si="21"/>
        <v>0</v>
      </c>
      <c r="BD9" s="113">
        <f t="shared" si="21"/>
        <v>746.31374999999991</v>
      </c>
      <c r="BE9" s="113">
        <f t="shared" si="21"/>
        <v>1407.6102857142853</v>
      </c>
      <c r="BF9" s="113">
        <f t="shared" si="21"/>
        <v>1589.1954545454546</v>
      </c>
      <c r="BG9" s="113">
        <f t="shared" si="21"/>
        <v>1786.0499999999997</v>
      </c>
      <c r="BH9" s="113">
        <f t="shared" si="21"/>
        <v>2445.3236842105262</v>
      </c>
      <c r="BI9" s="113">
        <f t="shared" si="21"/>
        <v>2335.5262816353011</v>
      </c>
      <c r="BJ9" s="113">
        <f t="shared" si="21"/>
        <v>404.25879186602862</v>
      </c>
      <c r="BK9" s="185">
        <f t="shared" si="21"/>
        <v>0</v>
      </c>
      <c r="BL9" s="113">
        <f t="shared" si="21"/>
        <v>0</v>
      </c>
      <c r="BM9" s="113">
        <f t="shared" si="21"/>
        <v>1461.3267857142851</v>
      </c>
      <c r="BN9" s="113">
        <f t="shared" si="21"/>
        <v>0</v>
      </c>
      <c r="BO9" s="113">
        <f t="shared" si="21"/>
        <v>0</v>
      </c>
      <c r="BP9" s="113">
        <f t="shared" si="21"/>
        <v>1105.7273181818177</v>
      </c>
      <c r="BQ9" s="113">
        <f t="shared" si="21"/>
        <v>2045.3286857142841</v>
      </c>
      <c r="BR9" s="113">
        <f t="shared" si="21"/>
        <v>2168.639999999999</v>
      </c>
      <c r="BS9" s="113">
        <f t="shared" si="21"/>
        <v>2662.8524999999986</v>
      </c>
      <c r="BT9" s="113">
        <f t="shared" si="21"/>
        <v>3463.1242105263136</v>
      </c>
      <c r="BU9" s="113">
        <f t="shared" si="21"/>
        <v>3147.9722258273832</v>
      </c>
      <c r="BV9" s="113">
        <f t="shared" si="21"/>
        <v>597.88657894736809</v>
      </c>
      <c r="BW9" s="185">
        <f t="shared" si="21"/>
        <v>0</v>
      </c>
      <c r="BX9" s="113">
        <f t="shared" si="21"/>
        <v>0</v>
      </c>
      <c r="BY9" s="113">
        <f t="shared" si="21"/>
        <v>2174.7284999999983</v>
      </c>
      <c r="BZ9" s="113">
        <f t="shared" si="21"/>
        <v>0</v>
      </c>
      <c r="CA9" s="113">
        <f t="shared" si="21"/>
        <v>0</v>
      </c>
      <c r="CB9" s="113">
        <f t="shared" si="21"/>
        <v>1724.0286681818168</v>
      </c>
      <c r="CC9" s="113">
        <f t="shared" si="21"/>
        <v>2913.2430171428546</v>
      </c>
      <c r="CD9" s="113">
        <f t="shared" ref="CD9:DG9" si="22">+CD38*CD30</f>
        <v>2949.6370909090883</v>
      </c>
      <c r="CE9" s="113">
        <f t="shared" si="22"/>
        <v>3980.4633749999966</v>
      </c>
      <c r="CF9" s="113">
        <f t="shared" si="22"/>
        <v>4711.3024736842081</v>
      </c>
      <c r="CG9" s="113">
        <f t="shared" si="22"/>
        <v>4694.4078260869546</v>
      </c>
      <c r="CH9" s="113">
        <f t="shared" si="22"/>
        <v>849.47542105263108</v>
      </c>
      <c r="CI9" s="185">
        <f t="shared" si="22"/>
        <v>0</v>
      </c>
      <c r="CJ9" s="113">
        <f t="shared" si="22"/>
        <v>0</v>
      </c>
      <c r="CK9" s="113">
        <f t="shared" si="22"/>
        <v>2914.1022857142839</v>
      </c>
      <c r="CL9" s="113">
        <f t="shared" si="22"/>
        <v>0</v>
      </c>
      <c r="CM9" s="113">
        <f t="shared" si="22"/>
        <v>0</v>
      </c>
      <c r="CN9" s="113">
        <f t="shared" si="22"/>
        <v>2426.3424081818162</v>
      </c>
      <c r="CO9" s="113">
        <f t="shared" si="22"/>
        <v>3893.1520319999945</v>
      </c>
      <c r="CP9" s="113">
        <f t="shared" si="22"/>
        <v>4326.1343999999945</v>
      </c>
      <c r="CQ9" s="113">
        <f t="shared" si="22"/>
        <v>5557.5549749999927</v>
      </c>
      <c r="CR9" s="113">
        <f t="shared" si="22"/>
        <v>6252.8849569377935</v>
      </c>
      <c r="CS9" s="113">
        <f t="shared" si="22"/>
        <v>6863.5515223880529</v>
      </c>
      <c r="CT9" s="113">
        <f t="shared" si="22"/>
        <v>1188.0221684210517</v>
      </c>
      <c r="CU9" s="185">
        <f t="shared" si="22"/>
        <v>0</v>
      </c>
      <c r="CV9" s="113">
        <f t="shared" si="22"/>
        <v>0</v>
      </c>
      <c r="CW9" s="113">
        <f t="shared" si="22"/>
        <v>4090.5914142857105</v>
      </c>
      <c r="CX9" s="113">
        <f t="shared" si="22"/>
        <v>0</v>
      </c>
      <c r="CY9" s="113">
        <f t="shared" si="22"/>
        <v>0</v>
      </c>
      <c r="CZ9" s="113">
        <f t="shared" si="22"/>
        <v>3415.9327805454514</v>
      </c>
      <c r="DA9" s="113">
        <f t="shared" si="22"/>
        <v>5241.7836617142784</v>
      </c>
      <c r="DB9" s="113">
        <f t="shared" si="22"/>
        <v>6381.285349090901</v>
      </c>
      <c r="DC9" s="113">
        <f t="shared" si="22"/>
        <v>7485.6035099999926</v>
      </c>
      <c r="DD9" s="113">
        <f t="shared" si="22"/>
        <v>9237.1822742583645</v>
      </c>
      <c r="DE9" s="113">
        <f t="shared" si="22"/>
        <v>9675.1624298507413</v>
      </c>
      <c r="DF9" s="113">
        <f t="shared" si="22"/>
        <v>1595.9379384688984</v>
      </c>
      <c r="DG9" s="113">
        <f t="shared" si="22"/>
        <v>0</v>
      </c>
    </row>
    <row r="10" spans="1:114" s="113" customFormat="1" x14ac:dyDescent="0.3">
      <c r="A10"/>
      <c r="B10" s="1" t="s">
        <v>5</v>
      </c>
      <c r="C10" s="482"/>
      <c r="D10" s="115">
        <f>0</f>
        <v>0</v>
      </c>
      <c r="E10" s="115">
        <f>0</f>
        <v>0</v>
      </c>
      <c r="F10" s="115">
        <f>0</f>
        <v>0</v>
      </c>
      <c r="G10" s="115">
        <f>0</f>
        <v>0</v>
      </c>
      <c r="H10" s="115">
        <f>0</f>
        <v>0</v>
      </c>
      <c r="I10" s="115">
        <f>0</f>
        <v>0</v>
      </c>
      <c r="J10" s="115">
        <v>0</v>
      </c>
      <c r="K10" s="115">
        <v>150</v>
      </c>
      <c r="L10" s="115">
        <v>675</v>
      </c>
      <c r="M10" s="115">
        <v>675</v>
      </c>
      <c r="N10" s="115">
        <v>0</v>
      </c>
      <c r="O10" s="115">
        <v>100</v>
      </c>
      <c r="P10" s="115">
        <v>150</v>
      </c>
      <c r="Q10" s="115"/>
      <c r="R10" s="115"/>
      <c r="S10" s="115">
        <v>44.91</v>
      </c>
      <c r="T10" s="115"/>
      <c r="U10" s="115">
        <v>75</v>
      </c>
      <c r="V10" s="115">
        <v>415</v>
      </c>
      <c r="W10" s="115">
        <v>1595</v>
      </c>
      <c r="X10" s="115">
        <v>2690</v>
      </c>
      <c r="Y10" s="115">
        <v>3315</v>
      </c>
      <c r="Z10" s="115">
        <v>1065</v>
      </c>
      <c r="AA10" s="513">
        <v>45</v>
      </c>
      <c r="AB10" s="115">
        <v>195</v>
      </c>
      <c r="AC10" s="115">
        <v>75</v>
      </c>
      <c r="AD10" s="115">
        <v>150</v>
      </c>
      <c r="AE10" s="115">
        <v>30</v>
      </c>
      <c r="AF10" s="115"/>
      <c r="AG10" s="115">
        <v>1706.25</v>
      </c>
      <c r="AH10" s="115">
        <v>3502.5</v>
      </c>
      <c r="AI10" s="115">
        <v>4631.25</v>
      </c>
      <c r="AJ10" s="115">
        <v>7043.75</v>
      </c>
      <c r="AK10" s="115">
        <v>13573.75</v>
      </c>
      <c r="AL10" s="115">
        <v>7730</v>
      </c>
      <c r="AM10" s="513">
        <v>2868.75</v>
      </c>
      <c r="AN10" s="115">
        <v>2911.25</v>
      </c>
      <c r="AO10" s="115">
        <v>1870</v>
      </c>
      <c r="AP10" s="115">
        <v>625</v>
      </c>
      <c r="AQ10" s="115">
        <v>587.5</v>
      </c>
      <c r="AR10" s="115">
        <v>400</v>
      </c>
      <c r="AS10" s="115">
        <v>4137.5</v>
      </c>
      <c r="AT10" s="115">
        <v>8462.5</v>
      </c>
      <c r="AU10" s="115">
        <v>11872.5</v>
      </c>
      <c r="AV10" s="115">
        <f>16427.5</f>
        <v>16427.5</v>
      </c>
      <c r="AW10" s="185">
        <f>30345</f>
        <v>30345</v>
      </c>
      <c r="AX10" s="115">
        <f t="shared" ref="AX10:CC10" si="23">+AX39*AX31</f>
        <v>10010.023923444976</v>
      </c>
      <c r="AY10" s="513">
        <f t="shared" si="23"/>
        <v>7256.8215102974846</v>
      </c>
      <c r="AZ10" s="113">
        <f t="shared" si="23"/>
        <v>8577.5967391304348</v>
      </c>
      <c r="BA10" s="113">
        <f t="shared" si="23"/>
        <v>4562.6624999999985</v>
      </c>
      <c r="BB10" s="113">
        <f t="shared" si="23"/>
        <v>1691.485714285714</v>
      </c>
      <c r="BC10" s="113">
        <f t="shared" si="23"/>
        <v>1357.2195652173909</v>
      </c>
      <c r="BD10" s="113">
        <f t="shared" si="23"/>
        <v>995.08499999999981</v>
      </c>
      <c r="BE10" s="113">
        <f t="shared" si="23"/>
        <v>7677.8742857142834</v>
      </c>
      <c r="BF10" s="113">
        <f t="shared" si="23"/>
        <v>11078.962597402597</v>
      </c>
      <c r="BG10" s="113">
        <f t="shared" si="23"/>
        <v>12064.949999999999</v>
      </c>
      <c r="BH10" s="113">
        <f t="shared" si="23"/>
        <v>17117.26578947368</v>
      </c>
      <c r="BI10" s="113">
        <f t="shared" si="23"/>
        <v>26554.613887086303</v>
      </c>
      <c r="BJ10" s="113">
        <f t="shared" si="23"/>
        <v>12831.128515202963</v>
      </c>
      <c r="BK10" s="185">
        <f t="shared" si="23"/>
        <v>14340.126315789472</v>
      </c>
      <c r="BL10" s="113">
        <f t="shared" si="23"/>
        <v>14465.217717391302</v>
      </c>
      <c r="BM10" s="113">
        <f t="shared" si="23"/>
        <v>7501.4774999999954</v>
      </c>
      <c r="BN10" s="113">
        <f t="shared" si="23"/>
        <v>2808.7066071428558</v>
      </c>
      <c r="BO10" s="113">
        <f t="shared" si="23"/>
        <v>2084.118260869564</v>
      </c>
      <c r="BP10" s="113">
        <f t="shared" si="23"/>
        <v>1474.3030909090905</v>
      </c>
      <c r="BQ10" s="113">
        <f t="shared" si="23"/>
        <v>11156.338285714279</v>
      </c>
      <c r="BR10" s="113">
        <f t="shared" si="23"/>
        <v>15118.51885714285</v>
      </c>
      <c r="BS10" s="113">
        <f t="shared" si="23"/>
        <v>17987.840357142846</v>
      </c>
      <c r="BT10" s="113">
        <f t="shared" si="23"/>
        <v>24241.869473684194</v>
      </c>
      <c r="BU10" s="113">
        <f t="shared" si="23"/>
        <v>35792.012978585313</v>
      </c>
      <c r="BV10" s="113">
        <f t="shared" si="23"/>
        <v>18976.8526655348</v>
      </c>
      <c r="BW10" s="185">
        <f t="shared" si="23"/>
        <v>20203.005789473675</v>
      </c>
      <c r="BX10" s="113">
        <f t="shared" si="23"/>
        <v>20413.598282608684</v>
      </c>
      <c r="BY10" s="113">
        <f t="shared" si="23"/>
        <v>11163.60629999999</v>
      </c>
      <c r="BZ10" s="113">
        <f t="shared" si="23"/>
        <v>3988.8678214285692</v>
      </c>
      <c r="CA10" s="113">
        <f t="shared" si="23"/>
        <v>2703.2058498023698</v>
      </c>
      <c r="CB10" s="113">
        <f t="shared" si="23"/>
        <v>2298.7048909090895</v>
      </c>
      <c r="CC10" s="113">
        <f t="shared" si="23"/>
        <v>15890.416457142846</v>
      </c>
      <c r="CD10" s="113">
        <f t="shared" ref="CD10:DG10" si="24">+CD39*CD31</f>
        <v>20563.184290909074</v>
      </c>
      <c r="CE10" s="113">
        <f t="shared" si="24"/>
        <v>26888.436267857123</v>
      </c>
      <c r="CF10" s="113">
        <f t="shared" si="24"/>
        <v>32979.117315789452</v>
      </c>
      <c r="CG10" s="113">
        <f t="shared" si="24"/>
        <v>53374.773913043449</v>
      </c>
      <c r="CH10" s="113">
        <f t="shared" si="24"/>
        <v>26962.254173174864</v>
      </c>
      <c r="CI10" s="185">
        <f t="shared" si="24"/>
        <v>26210.7128924485</v>
      </c>
      <c r="CJ10" s="113">
        <f t="shared" si="24"/>
        <v>31567.475699999981</v>
      </c>
      <c r="CK10" s="113">
        <f t="shared" si="24"/>
        <v>14959.058399999989</v>
      </c>
      <c r="CL10" s="113">
        <f t="shared" si="24"/>
        <v>5368.7214428571388</v>
      </c>
      <c r="CM10" s="113">
        <f t="shared" si="24"/>
        <v>3984.3578561264785</v>
      </c>
      <c r="CN10" s="113">
        <f t="shared" si="24"/>
        <v>3235.1232109090884</v>
      </c>
      <c r="CO10" s="113">
        <f t="shared" si="24"/>
        <v>21235.374719999971</v>
      </c>
      <c r="CP10" s="113">
        <f t="shared" si="24"/>
        <v>30159.336959999957</v>
      </c>
      <c r="CQ10" s="113">
        <f t="shared" si="24"/>
        <v>37541.850953571389</v>
      </c>
      <c r="CR10" s="113">
        <f t="shared" si="24"/>
        <v>43770.194698564548</v>
      </c>
      <c r="CS10" s="113">
        <f t="shared" si="24"/>
        <v>78037.640597014833</v>
      </c>
      <c r="CT10" s="113">
        <f t="shared" si="24"/>
        <v>37707.689798302177</v>
      </c>
      <c r="CU10" s="185">
        <f t="shared" si="24"/>
        <v>36772.198278260839</v>
      </c>
      <c r="CV10" s="113">
        <f t="shared" si="24"/>
        <v>44372.215979999964</v>
      </c>
      <c r="CW10" s="113">
        <f t="shared" si="24"/>
        <v>20998.369259999981</v>
      </c>
      <c r="CX10" s="113">
        <f t="shared" si="24"/>
        <v>7193.970359999993</v>
      </c>
      <c r="CY10" s="113">
        <f t="shared" si="24"/>
        <v>5871.6052904347762</v>
      </c>
      <c r="CZ10" s="113">
        <f t="shared" si="24"/>
        <v>4554.5770407272685</v>
      </c>
      <c r="DA10" s="113">
        <f t="shared" si="24"/>
        <v>28591.54724571425</v>
      </c>
      <c r="DB10" s="113">
        <f t="shared" si="24"/>
        <v>44486.675005090852</v>
      </c>
      <c r="DC10" s="113">
        <f t="shared" si="24"/>
        <v>50566.015547142808</v>
      </c>
      <c r="DD10" s="113">
        <f t="shared" si="24"/>
        <v>64660.275919808548</v>
      </c>
      <c r="DE10" s="113">
        <f t="shared" si="24"/>
        <v>110005.27146268649</v>
      </c>
      <c r="DF10" s="113">
        <f t="shared" si="24"/>
        <v>50654.890389047665</v>
      </c>
      <c r="DG10" s="113">
        <f t="shared" si="24"/>
        <v>54336.939625812302</v>
      </c>
    </row>
    <row r="11" spans="1:114" s="113" customFormat="1" x14ac:dyDescent="0.3">
      <c r="A11"/>
      <c r="B11" s="1" t="s">
        <v>258</v>
      </c>
      <c r="C11" s="482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513"/>
      <c r="AB11" s="115">
        <v>237.5</v>
      </c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513"/>
      <c r="AN11" s="115"/>
      <c r="AO11" s="115"/>
      <c r="AP11" s="115"/>
      <c r="AQ11" s="115"/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85">
        <f>187.5</f>
        <v>187.5</v>
      </c>
      <c r="AX11" s="115"/>
      <c r="AY11" s="513"/>
      <c r="BK11" s="185"/>
      <c r="BW11" s="185"/>
      <c r="CI11" s="185"/>
      <c r="CU11" s="185"/>
    </row>
    <row r="12" spans="1:114" s="3" customFormat="1" x14ac:dyDescent="0.3">
      <c r="B12" s="4" t="s">
        <v>6</v>
      </c>
      <c r="C12" s="483"/>
      <c r="D12" s="55">
        <f t="shared" ref="D12:J12" si="25">(((D6)+(D7))+(D8))+(D10)</f>
        <v>0</v>
      </c>
      <c r="E12" s="55">
        <f t="shared" si="25"/>
        <v>0</v>
      </c>
      <c r="F12" s="55">
        <f t="shared" si="25"/>
        <v>0</v>
      </c>
      <c r="G12" s="55">
        <f t="shared" si="25"/>
        <v>0</v>
      </c>
      <c r="H12" s="55">
        <f t="shared" si="25"/>
        <v>0</v>
      </c>
      <c r="I12" s="55">
        <f t="shared" si="25"/>
        <v>0</v>
      </c>
      <c r="J12" s="55">
        <f t="shared" si="25"/>
        <v>0</v>
      </c>
      <c r="K12" s="55">
        <f t="shared" ref="K12:Z12" si="26">SUM(K7:K10)</f>
        <v>375</v>
      </c>
      <c r="L12" s="55">
        <f t="shared" si="26"/>
        <v>1075</v>
      </c>
      <c r="M12" s="55">
        <f t="shared" si="26"/>
        <v>3640</v>
      </c>
      <c r="N12" s="55">
        <f t="shared" si="26"/>
        <v>2090</v>
      </c>
      <c r="O12" s="55">
        <f t="shared" si="26"/>
        <v>2032.5</v>
      </c>
      <c r="P12" s="55">
        <f t="shared" si="26"/>
        <v>1510</v>
      </c>
      <c r="Q12" s="55">
        <f t="shared" si="26"/>
        <v>1225</v>
      </c>
      <c r="R12" s="55">
        <f t="shared" si="26"/>
        <v>1177.5</v>
      </c>
      <c r="S12" s="55">
        <f t="shared" si="26"/>
        <v>1919.91</v>
      </c>
      <c r="T12" s="55">
        <f t="shared" si="26"/>
        <v>2446.25</v>
      </c>
      <c r="U12" s="55">
        <f t="shared" si="26"/>
        <v>2038.75</v>
      </c>
      <c r="V12" s="55">
        <f t="shared" si="26"/>
        <v>2785</v>
      </c>
      <c r="W12" s="55">
        <f t="shared" si="26"/>
        <v>7051.66</v>
      </c>
      <c r="X12" s="55">
        <f t="shared" si="26"/>
        <v>8720.84</v>
      </c>
      <c r="Y12" s="55">
        <f t="shared" si="26"/>
        <v>8040</v>
      </c>
      <c r="Z12" s="55">
        <f t="shared" si="26"/>
        <v>4827.5</v>
      </c>
      <c r="AA12" s="514">
        <f t="shared" ref="AA12:BF12" si="27">SUM(AA7:AA11)</f>
        <v>2095</v>
      </c>
      <c r="AB12" s="55">
        <f t="shared" si="27"/>
        <v>2885</v>
      </c>
      <c r="AC12" s="55">
        <f t="shared" si="27"/>
        <v>4357.5</v>
      </c>
      <c r="AD12" s="55">
        <f t="shared" si="27"/>
        <v>3467.5</v>
      </c>
      <c r="AE12" s="55">
        <f t="shared" si="27"/>
        <v>4000</v>
      </c>
      <c r="AF12" s="55">
        <f t="shared" si="27"/>
        <v>5370</v>
      </c>
      <c r="AG12" s="55">
        <f t="shared" si="27"/>
        <v>4296.26</v>
      </c>
      <c r="AH12" s="55">
        <f t="shared" ref="AH12" si="28">SUM(AH7:AH11)</f>
        <v>9031.27</v>
      </c>
      <c r="AI12" s="55">
        <f t="shared" ref="AI12:AJ12" si="29">SUM(AI7:AI11)</f>
        <v>14073.76</v>
      </c>
      <c r="AJ12" s="55">
        <f t="shared" si="29"/>
        <v>9897.5</v>
      </c>
      <c r="AK12" s="55">
        <f t="shared" ref="AK12:AL12" si="30">SUM(AK7:AK11)</f>
        <v>17386.25</v>
      </c>
      <c r="AL12" s="55">
        <f t="shared" si="30"/>
        <v>9563.75</v>
      </c>
      <c r="AM12" s="514">
        <f t="shared" ref="AM12" si="31">SUM(AM7:AM11)</f>
        <v>5160</v>
      </c>
      <c r="AN12" s="55">
        <f t="shared" ref="AN12:AO12" si="32">SUM(AN7:AN11)</f>
        <v>6477.5</v>
      </c>
      <c r="AO12" s="577">
        <f t="shared" si="32"/>
        <v>8052.5</v>
      </c>
      <c r="AP12" s="577">
        <f t="shared" ref="AP12:AQ12" si="33">SUM(AP7:AP11)</f>
        <v>7630</v>
      </c>
      <c r="AQ12" s="577">
        <f t="shared" si="33"/>
        <v>3756.25</v>
      </c>
      <c r="AR12" s="577">
        <f t="shared" ref="AR12:AS12" si="34">SUM(AR7:AR11)</f>
        <v>6032.5</v>
      </c>
      <c r="AS12" s="577">
        <f t="shared" si="34"/>
        <v>6822.5</v>
      </c>
      <c r="AT12" s="577">
        <f t="shared" ref="AT12:AU12" si="35">SUM(AT7:AT11)</f>
        <v>14855</v>
      </c>
      <c r="AU12" s="577">
        <f t="shared" si="35"/>
        <v>20412.5</v>
      </c>
      <c r="AV12" s="577">
        <f t="shared" ref="AV12:AW12" si="36">SUM(AV7:AV11)</f>
        <v>28257.5</v>
      </c>
      <c r="AW12" s="581">
        <f t="shared" si="36"/>
        <v>39333.760000000002</v>
      </c>
      <c r="AX12" s="65">
        <f t="shared" ref="AX12" si="37">SUM(AX7:AX11)</f>
        <v>12728.271531100479</v>
      </c>
      <c r="AY12" s="732">
        <f t="shared" si="27"/>
        <v>11728.812356979408</v>
      </c>
      <c r="AZ12" s="65">
        <f t="shared" si="27"/>
        <v>15019.842391304348</v>
      </c>
      <c r="BA12" s="65">
        <f t="shared" si="27"/>
        <v>15669.749999999996</v>
      </c>
      <c r="BB12" s="65">
        <f t="shared" si="27"/>
        <v>17176.342857142852</v>
      </c>
      <c r="BC12" s="65">
        <f t="shared" si="27"/>
        <v>8151.254347826085</v>
      </c>
      <c r="BD12" s="65">
        <f t="shared" si="27"/>
        <v>14732.786249999996</v>
      </c>
      <c r="BE12" s="65">
        <f t="shared" si="27"/>
        <v>12995.51314285714</v>
      </c>
      <c r="BF12" s="65">
        <f t="shared" si="27"/>
        <v>19731.24896103896</v>
      </c>
      <c r="BG12" s="65">
        <f t="shared" ref="BG12:CL12" si="38">SUM(BG7:BG11)</f>
        <v>21100.5</v>
      </c>
      <c r="BH12" s="65">
        <f t="shared" si="38"/>
        <v>29721.023684210519</v>
      </c>
      <c r="BI12" s="65">
        <f t="shared" si="38"/>
        <v>34737.84295911745</v>
      </c>
      <c r="BJ12" s="65">
        <f t="shared" si="38"/>
        <v>16315.454292714925</v>
      </c>
      <c r="BK12" s="323">
        <f t="shared" si="38"/>
        <v>23177.178947368418</v>
      </c>
      <c r="BL12" s="65">
        <f t="shared" si="38"/>
        <v>25329.389673913036</v>
      </c>
      <c r="BM12" s="65">
        <f t="shared" si="38"/>
        <v>25762.649999999987</v>
      </c>
      <c r="BN12" s="65">
        <f t="shared" si="38"/>
        <v>28521.262261904747</v>
      </c>
      <c r="BO12" s="65">
        <f t="shared" si="38"/>
        <v>12516.897391304341</v>
      </c>
      <c r="BP12" s="65">
        <f t="shared" si="38"/>
        <v>21827.87631818181</v>
      </c>
      <c r="BQ12" s="65">
        <f t="shared" si="38"/>
        <v>18883.13554285713</v>
      </c>
      <c r="BR12" s="65">
        <f t="shared" si="38"/>
        <v>26925.558857142845</v>
      </c>
      <c r="BS12" s="65">
        <f t="shared" si="38"/>
        <v>31459.096428571407</v>
      </c>
      <c r="BT12" s="65">
        <f t="shared" si="38"/>
        <v>42091.60421052629</v>
      </c>
      <c r="BU12" s="65">
        <f t="shared" si="38"/>
        <v>46821.894354315351</v>
      </c>
      <c r="BV12" s="65">
        <f t="shared" si="38"/>
        <v>24130.06556027164</v>
      </c>
      <c r="BW12" s="323">
        <f t="shared" si="38"/>
        <v>32653.037368421035</v>
      </c>
      <c r="BX12" s="65">
        <f t="shared" si="38"/>
        <v>35745.330326086936</v>
      </c>
      <c r="BY12" s="65">
        <f t="shared" si="38"/>
        <v>38339.657999999974</v>
      </c>
      <c r="BZ12" s="65">
        <f t="shared" si="38"/>
        <v>40505.314785714261</v>
      </c>
      <c r="CA12" s="65">
        <f t="shared" si="38"/>
        <v>16235.043320158093</v>
      </c>
      <c r="CB12" s="65">
        <f t="shared" si="38"/>
        <v>34033.602968181796</v>
      </c>
      <c r="CC12" s="65">
        <f t="shared" si="38"/>
        <v>26896.001188571412</v>
      </c>
      <c r="CD12" s="65">
        <f t="shared" si="38"/>
        <v>36622.319563636338</v>
      </c>
      <c r="CE12" s="65">
        <f t="shared" si="38"/>
        <v>47025.428988095198</v>
      </c>
      <c r="CF12" s="65">
        <f t="shared" si="38"/>
        <v>57262.248473684172</v>
      </c>
      <c r="CG12" s="65">
        <f t="shared" si="38"/>
        <v>69823.064347826046</v>
      </c>
      <c r="CH12" s="65">
        <f t="shared" si="38"/>
        <v>34283.923278438015</v>
      </c>
      <c r="CI12" s="323">
        <f t="shared" si="38"/>
        <v>42362.972938215084</v>
      </c>
      <c r="CJ12" s="65">
        <f t="shared" si="38"/>
        <v>55276.381499999967</v>
      </c>
      <c r="CK12" s="65">
        <f t="shared" si="38"/>
        <v>51374.543999999958</v>
      </c>
      <c r="CL12" s="65">
        <f t="shared" si="38"/>
        <v>54517.161704761864</v>
      </c>
      <c r="CM12" s="65">
        <f t="shared" ref="CM12:DG12" si="39">SUM(CM7:CM11)</f>
        <v>23929.447475098787</v>
      </c>
      <c r="CN12" s="65">
        <f t="shared" si="39"/>
        <v>47897.796428181777</v>
      </c>
      <c r="CO12" s="65">
        <f t="shared" si="39"/>
        <v>35942.837951999951</v>
      </c>
      <c r="CP12" s="65">
        <f t="shared" si="39"/>
        <v>53712.735359999933</v>
      </c>
      <c r="CQ12" s="65">
        <f t="shared" si="39"/>
        <v>65657.282130952313</v>
      </c>
      <c r="CR12" s="65">
        <f t="shared" si="39"/>
        <v>75998.994775119529</v>
      </c>
      <c r="CS12" s="65">
        <f t="shared" si="39"/>
        <v>102086.18794029839</v>
      </c>
      <c r="CT12" s="65">
        <f t="shared" si="39"/>
        <v>47947.309440407429</v>
      </c>
      <c r="CU12" s="323">
        <f t="shared" si="39"/>
        <v>59432.936713043426</v>
      </c>
      <c r="CV12" s="65">
        <f t="shared" si="39"/>
        <v>77698.18409999994</v>
      </c>
      <c r="CW12" s="65">
        <f t="shared" si="39"/>
        <v>72115.611599999931</v>
      </c>
      <c r="CX12" s="65">
        <f t="shared" si="39"/>
        <v>73051.814959999931</v>
      </c>
      <c r="CY12" s="65">
        <f t="shared" si="39"/>
        <v>35263.968615652135</v>
      </c>
      <c r="CZ12" s="65">
        <f t="shared" si="39"/>
        <v>67433.043408545389</v>
      </c>
      <c r="DA12" s="65">
        <f t="shared" si="39"/>
        <v>48393.841078857076</v>
      </c>
      <c r="DB12" s="65">
        <f t="shared" si="39"/>
        <v>79229.228572363543</v>
      </c>
      <c r="DC12" s="65">
        <f t="shared" si="39"/>
        <v>88435.361195238016</v>
      </c>
      <c r="DD12" s="65">
        <f t="shared" si="39"/>
        <v>112270.82734334917</v>
      </c>
      <c r="DE12" s="65">
        <f t="shared" si="39"/>
        <v>143905.15565373126</v>
      </c>
      <c r="DF12" s="65">
        <f t="shared" si="39"/>
        <v>64410.355477755787</v>
      </c>
      <c r="DG12" s="65">
        <f t="shared" si="39"/>
        <v>87821.888414828281</v>
      </c>
    </row>
    <row r="13" spans="1:114" s="113" customFormat="1" x14ac:dyDescent="0.3">
      <c r="B13" s="114" t="s">
        <v>223</v>
      </c>
      <c r="C13" s="484"/>
      <c r="D13" s="115">
        <f>0</f>
        <v>0</v>
      </c>
      <c r="E13" s="115">
        <f>0</f>
        <v>0</v>
      </c>
      <c r="F13" s="115">
        <f>0</f>
        <v>0</v>
      </c>
      <c r="G13" s="115">
        <f>0</f>
        <v>0</v>
      </c>
      <c r="H13" s="115">
        <f>0</f>
        <v>0</v>
      </c>
      <c r="I13" s="115">
        <f>0</f>
        <v>0</v>
      </c>
      <c r="J13" s="115">
        <f>0</f>
        <v>0</v>
      </c>
      <c r="K13" s="115">
        <v>0</v>
      </c>
      <c r="L13" s="115">
        <v>0</v>
      </c>
      <c r="M13" s="115">
        <v>125</v>
      </c>
      <c r="N13" s="115">
        <v>0</v>
      </c>
      <c r="O13" s="115">
        <v>0</v>
      </c>
      <c r="P13" s="115">
        <v>35.99</v>
      </c>
      <c r="Q13" s="115">
        <v>30.75</v>
      </c>
      <c r="R13" s="115">
        <v>29.25</v>
      </c>
      <c r="S13" s="115">
        <v>37.5</v>
      </c>
      <c r="T13" s="115">
        <v>40.68</v>
      </c>
      <c r="U13" s="115">
        <v>4.68</v>
      </c>
      <c r="V13" s="115">
        <v>50.5</v>
      </c>
      <c r="W13" s="115">
        <v>27</v>
      </c>
      <c r="X13" s="115">
        <v>35.25</v>
      </c>
      <c r="Y13" s="115">
        <v>156.37</v>
      </c>
      <c r="Z13" s="115">
        <v>110.62</v>
      </c>
      <c r="AA13" s="513">
        <v>49.5</v>
      </c>
      <c r="AB13" s="115">
        <v>117</v>
      </c>
      <c r="AC13" s="115"/>
      <c r="AD13" s="115">
        <v>12</v>
      </c>
      <c r="AE13" s="115">
        <v>18</v>
      </c>
      <c r="AF13" s="115">
        <v>50.08</v>
      </c>
      <c r="AG13" s="115">
        <v>12</v>
      </c>
      <c r="AH13" s="115">
        <v>29.62</v>
      </c>
      <c r="AI13" s="115">
        <v>37.5</v>
      </c>
      <c r="AJ13" s="115"/>
      <c r="AK13" s="115">
        <v>19.5</v>
      </c>
      <c r="AL13" s="115">
        <v>9.75</v>
      </c>
      <c r="AM13" s="513">
        <v>34</v>
      </c>
      <c r="AN13" s="115">
        <v>108</v>
      </c>
      <c r="AO13" s="115">
        <v>59.62</v>
      </c>
      <c r="AP13" s="115">
        <v>52.37</v>
      </c>
      <c r="AQ13" s="115"/>
      <c r="AR13" s="115">
        <v>12</v>
      </c>
      <c r="AS13" s="115">
        <v>93.5</v>
      </c>
      <c r="AT13" s="115">
        <v>75</v>
      </c>
      <c r="AU13" s="115">
        <v>44.5</v>
      </c>
      <c r="AV13" s="115">
        <v>50</v>
      </c>
      <c r="AW13" s="185">
        <v>29.37</v>
      </c>
      <c r="AX13" s="115">
        <f t="shared" ref="AX13" si="40">+AX15*AX12</f>
        <v>53.965429936069107</v>
      </c>
      <c r="AY13" s="513">
        <f t="shared" ref="AY13:CT13" si="41">+AY15*AY12</f>
        <v>49.727914739822438</v>
      </c>
      <c r="AZ13" s="113">
        <f t="shared" si="41"/>
        <v>63.681250846842644</v>
      </c>
      <c r="BA13" s="113">
        <f t="shared" si="41"/>
        <v>66.436734451689247</v>
      </c>
      <c r="BB13" s="113">
        <f t="shared" si="41"/>
        <v>72.8243991927867</v>
      </c>
      <c r="BC13" s="113">
        <f t="shared" si="41"/>
        <v>34.559754977245916</v>
      </c>
      <c r="BD13" s="113">
        <f t="shared" si="41"/>
        <v>62.464187866733589</v>
      </c>
      <c r="BE13" s="113">
        <f t="shared" si="41"/>
        <v>55.098483111436856</v>
      </c>
      <c r="BF13" s="113">
        <f t="shared" si="41"/>
        <v>83.656711027598732</v>
      </c>
      <c r="BG13" s="113">
        <f t="shared" si="41"/>
        <v>89.462072802557117</v>
      </c>
      <c r="BH13" s="113">
        <f t="shared" si="41"/>
        <v>126.01143975751123</v>
      </c>
      <c r="BI13" s="113">
        <f t="shared" si="41"/>
        <v>147.28179122828186</v>
      </c>
      <c r="BJ13" s="113">
        <f t="shared" si="41"/>
        <v>69.174396802997833</v>
      </c>
      <c r="BK13" s="185">
        <f t="shared" si="41"/>
        <v>98.266793220415039</v>
      </c>
      <c r="BL13" s="113">
        <f t="shared" si="41"/>
        <v>107.39175389454972</v>
      </c>
      <c r="BM13" s="113">
        <f t="shared" si="41"/>
        <v>109.2286945753322</v>
      </c>
      <c r="BN13" s="113">
        <f t="shared" si="41"/>
        <v>120.92468144808642</v>
      </c>
      <c r="BO13" s="113">
        <f t="shared" si="41"/>
        <v>53.069244126111052</v>
      </c>
      <c r="BP13" s="113">
        <f t="shared" si="41"/>
        <v>92.546008876680347</v>
      </c>
      <c r="BQ13" s="113">
        <f t="shared" si="41"/>
        <v>80.060872807546673</v>
      </c>
      <c r="BR13" s="113">
        <f t="shared" si="41"/>
        <v>114.15920507700054</v>
      </c>
      <c r="BS13" s="113">
        <f t="shared" si="41"/>
        <v>133.3805348212374</v>
      </c>
      <c r="BT13" s="113">
        <f t="shared" si="41"/>
        <v>178.46032844048827</v>
      </c>
      <c r="BU13" s="113">
        <f t="shared" si="41"/>
        <v>198.51585135325695</v>
      </c>
      <c r="BV13" s="113">
        <f t="shared" si="41"/>
        <v>102.30684968998354</v>
      </c>
      <c r="BW13" s="185">
        <f t="shared" si="41"/>
        <v>138.44261540145024</v>
      </c>
      <c r="BX13" s="113">
        <f t="shared" si="41"/>
        <v>151.55334442235218</v>
      </c>
      <c r="BY13" s="113">
        <f t="shared" si="41"/>
        <v>162.5527961527518</v>
      </c>
      <c r="BZ13" s="113">
        <f t="shared" si="41"/>
        <v>171.73476553873428</v>
      </c>
      <c r="CA13" s="113">
        <f t="shared" si="41"/>
        <v>68.833469702644578</v>
      </c>
      <c r="CB13" s="113">
        <f t="shared" si="41"/>
        <v>144.29594874400152</v>
      </c>
      <c r="CC13" s="113">
        <f t="shared" si="41"/>
        <v>114.03388623158875</v>
      </c>
      <c r="CD13" s="113">
        <f t="shared" si="41"/>
        <v>155.27161057797426</v>
      </c>
      <c r="CE13" s="113">
        <f t="shared" si="41"/>
        <v>199.37879916136833</v>
      </c>
      <c r="CF13" s="113">
        <f t="shared" si="41"/>
        <v>242.78095029932223</v>
      </c>
      <c r="CG13" s="113">
        <f t="shared" si="41"/>
        <v>296.03640036884644</v>
      </c>
      <c r="CH13" s="113">
        <f t="shared" si="41"/>
        <v>145.35725884661048</v>
      </c>
      <c r="CI13" s="185">
        <f t="shared" si="41"/>
        <v>179.61087979580364</v>
      </c>
      <c r="CJ13" s="113">
        <f t="shared" si="41"/>
        <v>234.36125523162571</v>
      </c>
      <c r="CK13" s="113">
        <f t="shared" si="41"/>
        <v>217.81821262653349</v>
      </c>
      <c r="CL13" s="113">
        <f t="shared" si="41"/>
        <v>231.14230892254614</v>
      </c>
      <c r="CM13" s="113">
        <f t="shared" si="41"/>
        <v>101.45626748855497</v>
      </c>
      <c r="CN13" s="113">
        <f t="shared" si="41"/>
        <v>203.07746978223543</v>
      </c>
      <c r="CO13" s="113">
        <f t="shared" si="41"/>
        <v>152.39073887312304</v>
      </c>
      <c r="CP13" s="113">
        <f t="shared" si="41"/>
        <v>227.73169551436212</v>
      </c>
      <c r="CQ13" s="113">
        <f t="shared" si="41"/>
        <v>278.37428279032667</v>
      </c>
      <c r="CR13" s="113">
        <f t="shared" si="41"/>
        <v>322.22116080154029</v>
      </c>
      <c r="CS13" s="113">
        <f t="shared" si="41"/>
        <v>432.82585614798239</v>
      </c>
      <c r="CT13" s="113">
        <f t="shared" si="41"/>
        <v>203.28739545719122</v>
      </c>
      <c r="CU13" s="185">
        <f t="shared" ref="CU13:DG13" si="42">+CU15*CU12</f>
        <v>251.98425208369758</v>
      </c>
      <c r="CV13" s="113">
        <f t="shared" si="42"/>
        <v>329.42539762473308</v>
      </c>
      <c r="CW13" s="113">
        <f t="shared" si="42"/>
        <v>305.75636099429522</v>
      </c>
      <c r="CX13" s="113">
        <f t="shared" si="42"/>
        <v>309.72568367149808</v>
      </c>
      <c r="CY13" s="113">
        <f t="shared" si="42"/>
        <v>149.51246309805742</v>
      </c>
      <c r="CZ13" s="113">
        <f t="shared" si="42"/>
        <v>285.90317000607956</v>
      </c>
      <c r="DA13" s="113">
        <f t="shared" si="42"/>
        <v>205.18060395687738</v>
      </c>
      <c r="DB13" s="113">
        <f t="shared" si="42"/>
        <v>335.91673252440586</v>
      </c>
      <c r="DC13" s="113">
        <f t="shared" si="42"/>
        <v>374.94896905612751</v>
      </c>
      <c r="DD13" s="113">
        <f t="shared" si="42"/>
        <v>476.00677374441477</v>
      </c>
      <c r="DE13" s="113">
        <f t="shared" si="42"/>
        <v>610.13025813404511</v>
      </c>
      <c r="DF13" s="113">
        <f t="shared" si="42"/>
        <v>273.08755294848805</v>
      </c>
      <c r="DG13" s="113">
        <f t="shared" si="42"/>
        <v>372.3479621348032</v>
      </c>
    </row>
    <row r="14" spans="1:114" s="3" customFormat="1" x14ac:dyDescent="0.3">
      <c r="B14" s="4" t="s">
        <v>7</v>
      </c>
      <c r="C14" s="490" t="s">
        <v>346</v>
      </c>
      <c r="D14" s="55">
        <f t="shared" ref="D14:J14" si="43">(D12)+(D13)</f>
        <v>0</v>
      </c>
      <c r="E14" s="55">
        <f t="shared" si="43"/>
        <v>0</v>
      </c>
      <c r="F14" s="55">
        <f t="shared" si="43"/>
        <v>0</v>
      </c>
      <c r="G14" s="55">
        <f t="shared" si="43"/>
        <v>0</v>
      </c>
      <c r="H14" s="55">
        <f t="shared" si="43"/>
        <v>0</v>
      </c>
      <c r="I14" s="55">
        <f t="shared" si="43"/>
        <v>0</v>
      </c>
      <c r="J14" s="55">
        <f t="shared" si="43"/>
        <v>0</v>
      </c>
      <c r="K14" s="55">
        <f>K13+K12</f>
        <v>375</v>
      </c>
      <c r="L14" s="55">
        <f>L13+L12</f>
        <v>1075</v>
      </c>
      <c r="M14" s="55">
        <f>M13+M12</f>
        <v>3765</v>
      </c>
      <c r="N14" s="55">
        <f t="shared" ref="N14:AO14" si="44">N13+N12</f>
        <v>2090</v>
      </c>
      <c r="O14" s="55">
        <f t="shared" si="44"/>
        <v>2032.5</v>
      </c>
      <c r="P14" s="55">
        <f>P13+P12</f>
        <v>1545.99</v>
      </c>
      <c r="Q14" s="55">
        <f t="shared" ref="Q14:V14" si="45">Q13+Q12</f>
        <v>1255.75</v>
      </c>
      <c r="R14" s="55">
        <f t="shared" si="45"/>
        <v>1206.75</v>
      </c>
      <c r="S14" s="55">
        <f t="shared" si="45"/>
        <v>1957.41</v>
      </c>
      <c r="T14" s="55">
        <f t="shared" si="45"/>
        <v>2486.9299999999998</v>
      </c>
      <c r="U14" s="55">
        <f t="shared" si="45"/>
        <v>2043.43</v>
      </c>
      <c r="V14" s="55">
        <f t="shared" si="45"/>
        <v>2835.5</v>
      </c>
      <c r="W14" s="55">
        <f>W13+W12</f>
        <v>7078.66</v>
      </c>
      <c r="X14" s="55">
        <f>X13+X12</f>
        <v>8756.09</v>
      </c>
      <c r="Y14" s="55">
        <f>Y13+Y12</f>
        <v>8196.3700000000008</v>
      </c>
      <c r="Z14" s="55">
        <f>Z13+Z12</f>
        <v>4938.12</v>
      </c>
      <c r="AA14" s="514">
        <f>AA13+AA12</f>
        <v>2144.5</v>
      </c>
      <c r="AB14" s="55">
        <f t="shared" ref="AB14" si="46">AB13+AB12</f>
        <v>3002</v>
      </c>
      <c r="AC14" s="55">
        <f t="shared" ref="AC14:AD14" si="47">AC13+AC12</f>
        <v>4357.5</v>
      </c>
      <c r="AD14" s="55">
        <f t="shared" si="47"/>
        <v>3479.5</v>
      </c>
      <c r="AE14" s="55">
        <f t="shared" ref="AE14" si="48">AE13+AE12</f>
        <v>4018</v>
      </c>
      <c r="AF14" s="55">
        <f t="shared" ref="AF14:AG14" si="49">AF13+AF12</f>
        <v>5420.08</v>
      </c>
      <c r="AG14" s="55">
        <f t="shared" si="49"/>
        <v>4308.26</v>
      </c>
      <c r="AH14" s="55">
        <f t="shared" ref="AH14" si="50">AH13+AH12</f>
        <v>9060.8900000000012</v>
      </c>
      <c r="AI14" s="55">
        <f t="shared" ref="AI14:AJ14" si="51">AI13+AI12</f>
        <v>14111.26</v>
      </c>
      <c r="AJ14" s="55">
        <f t="shared" si="51"/>
        <v>9897.5</v>
      </c>
      <c r="AK14" s="55">
        <f t="shared" ref="AK14:AL14" si="52">AK13+AK12</f>
        <v>17405.75</v>
      </c>
      <c r="AL14" s="55">
        <f t="shared" si="52"/>
        <v>9573.5</v>
      </c>
      <c r="AM14" s="514">
        <f t="shared" ref="AM14" si="53">AM13+AM12</f>
        <v>5194</v>
      </c>
      <c r="AN14" s="55">
        <f t="shared" ref="AN14" si="54">AN13+AN12</f>
        <v>6585.5</v>
      </c>
      <c r="AO14" s="55">
        <f t="shared" si="44"/>
        <v>8112.12</v>
      </c>
      <c r="AP14" s="55">
        <f t="shared" ref="AP14:AQ14" si="55">AP13+AP12</f>
        <v>7682.37</v>
      </c>
      <c r="AQ14" s="55">
        <f t="shared" si="55"/>
        <v>3756.25</v>
      </c>
      <c r="AR14" s="55">
        <f t="shared" ref="AR14:AS14" si="56">AR13+AR12</f>
        <v>6044.5</v>
      </c>
      <c r="AS14" s="55">
        <f t="shared" si="56"/>
        <v>6916</v>
      </c>
      <c r="AT14" s="55">
        <f t="shared" ref="AT14:AU14" si="57">AT13+AT12</f>
        <v>14930</v>
      </c>
      <c r="AU14" s="55">
        <f t="shared" si="57"/>
        <v>20457</v>
      </c>
      <c r="AV14" s="55">
        <f t="shared" ref="AV14:AW14" si="58">AV13+AV12</f>
        <v>28307.5</v>
      </c>
      <c r="AW14" s="305">
        <f t="shared" si="58"/>
        <v>39363.130000000005</v>
      </c>
      <c r="AX14" s="55">
        <f t="shared" ref="AX14" si="59">AX13+AX12</f>
        <v>12782.236961036549</v>
      </c>
      <c r="AY14" s="514">
        <f t="shared" ref="AY14:BY14" si="60">AY13+AY12</f>
        <v>11778.54027171923</v>
      </c>
      <c r="AZ14" s="55">
        <f t="shared" si="60"/>
        <v>15083.523642151191</v>
      </c>
      <c r="BA14" s="55">
        <f t="shared" si="60"/>
        <v>15736.186734451685</v>
      </c>
      <c r="BB14" s="55">
        <f t="shared" si="60"/>
        <v>17249.167256335641</v>
      </c>
      <c r="BC14" s="55">
        <f t="shared" si="60"/>
        <v>8185.8141028033306</v>
      </c>
      <c r="BD14" s="55">
        <f t="shared" si="60"/>
        <v>14795.250437866729</v>
      </c>
      <c r="BE14" s="55">
        <f t="shared" si="60"/>
        <v>13050.611625968577</v>
      </c>
      <c r="BF14" s="55">
        <f t="shared" si="60"/>
        <v>19814.905672066558</v>
      </c>
      <c r="BG14" s="55">
        <f t="shared" si="60"/>
        <v>21189.962072802558</v>
      </c>
      <c r="BH14" s="55">
        <f t="shared" si="60"/>
        <v>29847.035123968031</v>
      </c>
      <c r="BI14" s="55">
        <f t="shared" si="60"/>
        <v>34885.124750345734</v>
      </c>
      <c r="BJ14" s="55">
        <f t="shared" si="60"/>
        <v>16384.628689517922</v>
      </c>
      <c r="BK14" s="305">
        <f t="shared" si="60"/>
        <v>23275.445740588835</v>
      </c>
      <c r="BL14" s="55">
        <f t="shared" si="60"/>
        <v>25436.781427807586</v>
      </c>
      <c r="BM14" s="55">
        <f t="shared" si="60"/>
        <v>25871.87869457532</v>
      </c>
      <c r="BN14" s="55">
        <f t="shared" si="60"/>
        <v>28642.186943352834</v>
      </c>
      <c r="BO14" s="55">
        <f t="shared" si="60"/>
        <v>12569.966635430452</v>
      </c>
      <c r="BP14" s="55">
        <f t="shared" si="60"/>
        <v>21920.422327058492</v>
      </c>
      <c r="BQ14" s="55">
        <f t="shared" si="60"/>
        <v>18963.196415664675</v>
      </c>
      <c r="BR14" s="55">
        <f t="shared" si="60"/>
        <v>27039.718062219847</v>
      </c>
      <c r="BS14" s="55">
        <f t="shared" si="60"/>
        <v>31592.476963392644</v>
      </c>
      <c r="BT14" s="55">
        <f t="shared" si="60"/>
        <v>42270.064538966777</v>
      </c>
      <c r="BU14" s="55">
        <f t="shared" si="60"/>
        <v>47020.41020566861</v>
      </c>
      <c r="BV14" s="55">
        <f t="shared" si="60"/>
        <v>24232.372409961623</v>
      </c>
      <c r="BW14" s="305">
        <f t="shared" si="60"/>
        <v>32791.479983822486</v>
      </c>
      <c r="BX14" s="55">
        <f t="shared" si="60"/>
        <v>35896.883670509291</v>
      </c>
      <c r="BY14" s="55">
        <f t="shared" si="60"/>
        <v>38502.210796152729</v>
      </c>
      <c r="BZ14" s="55">
        <f t="shared" ref="BZ14:DE14" si="61">BZ13+BZ12</f>
        <v>40677.049551252996</v>
      </c>
      <c r="CA14" s="55">
        <f t="shared" si="61"/>
        <v>16303.876789860737</v>
      </c>
      <c r="CB14" s="55">
        <f t="shared" si="61"/>
        <v>34177.898916925798</v>
      </c>
      <c r="CC14" s="55">
        <f t="shared" si="61"/>
        <v>27010.035074803</v>
      </c>
      <c r="CD14" s="55">
        <f t="shared" si="61"/>
        <v>36777.591174214314</v>
      </c>
      <c r="CE14" s="55">
        <f t="shared" si="61"/>
        <v>47224.80778725657</v>
      </c>
      <c r="CF14" s="55">
        <f t="shared" si="61"/>
        <v>57505.029423983491</v>
      </c>
      <c r="CG14" s="55">
        <f t="shared" si="61"/>
        <v>70119.100748194891</v>
      </c>
      <c r="CH14" s="55">
        <f t="shared" si="61"/>
        <v>34429.280537284627</v>
      </c>
      <c r="CI14" s="305">
        <f t="shared" si="61"/>
        <v>42542.583818010884</v>
      </c>
      <c r="CJ14" s="55">
        <f t="shared" si="61"/>
        <v>55510.742755231593</v>
      </c>
      <c r="CK14" s="55">
        <f t="shared" si="61"/>
        <v>51592.362212626489</v>
      </c>
      <c r="CL14" s="55">
        <f t="shared" si="61"/>
        <v>54748.304013684407</v>
      </c>
      <c r="CM14" s="55">
        <f t="shared" si="61"/>
        <v>24030.903742587343</v>
      </c>
      <c r="CN14" s="55">
        <f t="shared" si="61"/>
        <v>48100.873897964011</v>
      </c>
      <c r="CO14" s="55">
        <f t="shared" si="61"/>
        <v>36095.228690873075</v>
      </c>
      <c r="CP14" s="55">
        <f t="shared" si="61"/>
        <v>53940.467055514295</v>
      </c>
      <c r="CQ14" s="55">
        <f t="shared" si="61"/>
        <v>65935.656413742647</v>
      </c>
      <c r="CR14" s="55">
        <f t="shared" si="61"/>
        <v>76321.215935921064</v>
      </c>
      <c r="CS14" s="55">
        <f t="shared" si="61"/>
        <v>102519.01379644638</v>
      </c>
      <c r="CT14" s="55">
        <f t="shared" si="61"/>
        <v>48150.596835864621</v>
      </c>
      <c r="CU14" s="305">
        <f t="shared" si="61"/>
        <v>59684.920965127123</v>
      </c>
      <c r="CV14" s="55">
        <f t="shared" si="61"/>
        <v>78027.609497624668</v>
      </c>
      <c r="CW14" s="55">
        <f t="shared" si="61"/>
        <v>72421.367960994219</v>
      </c>
      <c r="CX14" s="55">
        <f t="shared" si="61"/>
        <v>73361.540643671426</v>
      </c>
      <c r="CY14" s="55">
        <f t="shared" si="61"/>
        <v>35413.481078750192</v>
      </c>
      <c r="CZ14" s="55">
        <f t="shared" si="61"/>
        <v>67718.946578551462</v>
      </c>
      <c r="DA14" s="55">
        <f t="shared" si="61"/>
        <v>48599.021682813953</v>
      </c>
      <c r="DB14" s="55">
        <f t="shared" si="61"/>
        <v>79565.145304887948</v>
      </c>
      <c r="DC14" s="55">
        <f t="shared" si="61"/>
        <v>88810.310164294147</v>
      </c>
      <c r="DD14" s="55">
        <f t="shared" si="61"/>
        <v>112746.83411709359</v>
      </c>
      <c r="DE14" s="55">
        <f t="shared" si="61"/>
        <v>144515.2859118653</v>
      </c>
      <c r="DF14" s="55">
        <f>DF13+DF12</f>
        <v>64683.443030704278</v>
      </c>
      <c r="DG14" s="55">
        <f>DG13+DG12</f>
        <v>88194.23637696309</v>
      </c>
    </row>
    <row r="15" spans="1:114" s="363" customFormat="1" x14ac:dyDescent="0.3">
      <c r="B15" s="364"/>
      <c r="C15" s="491" t="s">
        <v>294</v>
      </c>
      <c r="D15" s="365"/>
      <c r="E15" s="365"/>
      <c r="F15" s="365"/>
      <c r="G15" s="365"/>
      <c r="H15" s="365"/>
      <c r="I15" s="365"/>
      <c r="J15" s="365"/>
      <c r="K15" s="366">
        <f t="shared" ref="K15:AA15" si="62">+K13/K12</f>
        <v>0</v>
      </c>
      <c r="L15" s="366">
        <f t="shared" si="62"/>
        <v>0</v>
      </c>
      <c r="M15" s="366">
        <f t="shared" si="62"/>
        <v>3.4340659340659344E-2</v>
      </c>
      <c r="N15" s="366">
        <f t="shared" si="62"/>
        <v>0</v>
      </c>
      <c r="O15" s="366">
        <f t="shared" si="62"/>
        <v>0</v>
      </c>
      <c r="P15" s="366">
        <f t="shared" si="62"/>
        <v>2.3834437086092716E-2</v>
      </c>
      <c r="Q15" s="366">
        <f t="shared" si="62"/>
        <v>2.510204081632653E-2</v>
      </c>
      <c r="R15" s="366">
        <f t="shared" si="62"/>
        <v>2.4840764331210193E-2</v>
      </c>
      <c r="S15" s="366">
        <f t="shared" si="62"/>
        <v>1.9532165570261106E-2</v>
      </c>
      <c r="T15" s="366">
        <f t="shared" si="62"/>
        <v>1.6629535002554929E-2</v>
      </c>
      <c r="U15" s="366">
        <f t="shared" si="62"/>
        <v>2.2955242182709991E-3</v>
      </c>
      <c r="V15" s="366">
        <f t="shared" si="62"/>
        <v>1.8132854578096949E-2</v>
      </c>
      <c r="W15" s="366">
        <f t="shared" si="62"/>
        <v>3.8288856808184175E-3</v>
      </c>
      <c r="X15" s="366">
        <f t="shared" si="62"/>
        <v>4.0420418216593817E-3</v>
      </c>
      <c r="Y15" s="366">
        <f t="shared" si="62"/>
        <v>1.9449004975124379E-2</v>
      </c>
      <c r="Z15" s="366">
        <f t="shared" si="62"/>
        <v>2.2914552045572242E-2</v>
      </c>
      <c r="AA15" s="515">
        <f t="shared" si="62"/>
        <v>2.3627684964200476E-2</v>
      </c>
      <c r="AB15" s="366">
        <f>+AB13/AB12</f>
        <v>4.0554592720970541E-2</v>
      </c>
      <c r="AC15" s="366">
        <f t="shared" ref="AC15:AG15" si="63">+AC13/AC12</f>
        <v>0</v>
      </c>
      <c r="AD15" s="366">
        <f t="shared" si="63"/>
        <v>3.4607065609228551E-3</v>
      </c>
      <c r="AE15" s="366">
        <f t="shared" si="63"/>
        <v>4.4999999999999997E-3</v>
      </c>
      <c r="AF15" s="366">
        <f t="shared" si="63"/>
        <v>9.3258845437616377E-3</v>
      </c>
      <c r="AG15" s="366">
        <f t="shared" si="63"/>
        <v>2.7931270453836589E-3</v>
      </c>
      <c r="AH15" s="366">
        <f t="shared" ref="AH15" si="64">+AH13/AH12</f>
        <v>3.2797159203522869E-3</v>
      </c>
      <c r="AI15" s="366">
        <f t="shared" ref="AI15:AJ15" si="65">+AI13/AI12</f>
        <v>2.6645331453712439E-3</v>
      </c>
      <c r="AJ15" s="366">
        <f t="shared" si="65"/>
        <v>0</v>
      </c>
      <c r="AK15" s="366">
        <f t="shared" ref="AK15:AL15" si="66">+AK13/AK12</f>
        <v>1.1215759580127974E-3</v>
      </c>
      <c r="AL15" s="366">
        <f t="shared" si="66"/>
        <v>1.0194745784864723E-3</v>
      </c>
      <c r="AM15" s="515">
        <f t="shared" ref="AM15:AO15" si="67">+AM13/AM12</f>
        <v>6.5891472868217053E-3</v>
      </c>
      <c r="AN15" s="366">
        <f t="shared" si="67"/>
        <v>1.6673099189502123E-2</v>
      </c>
      <c r="AO15" s="366">
        <f t="shared" si="67"/>
        <v>7.4039118286246507E-3</v>
      </c>
      <c r="AP15" s="366">
        <f t="shared" ref="AP15:AQ15" si="68">+AP13/AP12</f>
        <v>6.8636959370904325E-3</v>
      </c>
      <c r="AQ15" s="366">
        <f t="shared" si="68"/>
        <v>0</v>
      </c>
      <c r="AR15" s="366">
        <f t="shared" ref="AR15:AS15" si="69">+AR13/AR12</f>
        <v>1.989225031081641E-3</v>
      </c>
      <c r="AS15" s="366">
        <f t="shared" si="69"/>
        <v>1.3704653719311103E-2</v>
      </c>
      <c r="AT15" s="366">
        <f t="shared" ref="AT15:AU15" si="70">+AT13/AT12</f>
        <v>5.0488051161225178E-3</v>
      </c>
      <c r="AU15" s="366">
        <f t="shared" si="70"/>
        <v>2.180036742192284E-3</v>
      </c>
      <c r="AV15" s="366">
        <f t="shared" ref="AV15:AW15" si="71">+AV13/AV12</f>
        <v>1.7694417411306732E-3</v>
      </c>
      <c r="AW15" s="367">
        <f t="shared" si="71"/>
        <v>7.466868156006443E-4</v>
      </c>
      <c r="AX15" s="711">
        <f>+AVERAGE(AR15:AW15)</f>
        <v>4.2398081942398103E-3</v>
      </c>
      <c r="AY15" s="515">
        <f t="shared" ref="AY15:CU15" si="72">+AX15</f>
        <v>4.2398081942398103E-3</v>
      </c>
      <c r="AZ15" s="366">
        <f t="shared" si="72"/>
        <v>4.2398081942398103E-3</v>
      </c>
      <c r="BA15" s="366">
        <f t="shared" si="72"/>
        <v>4.2398081942398103E-3</v>
      </c>
      <c r="BB15" s="366">
        <f t="shared" si="72"/>
        <v>4.2398081942398103E-3</v>
      </c>
      <c r="BC15" s="366">
        <f t="shared" si="72"/>
        <v>4.2398081942398103E-3</v>
      </c>
      <c r="BD15" s="366">
        <f t="shared" si="72"/>
        <v>4.2398081942398103E-3</v>
      </c>
      <c r="BE15" s="366">
        <f t="shared" si="72"/>
        <v>4.2398081942398103E-3</v>
      </c>
      <c r="BF15" s="366">
        <f t="shared" si="72"/>
        <v>4.2398081942398103E-3</v>
      </c>
      <c r="BG15" s="366">
        <f t="shared" si="72"/>
        <v>4.2398081942398103E-3</v>
      </c>
      <c r="BH15" s="366">
        <f t="shared" si="72"/>
        <v>4.2398081942398103E-3</v>
      </c>
      <c r="BI15" s="366">
        <f t="shared" si="72"/>
        <v>4.2398081942398103E-3</v>
      </c>
      <c r="BJ15" s="366">
        <f t="shared" si="72"/>
        <v>4.2398081942398103E-3</v>
      </c>
      <c r="BK15" s="367">
        <f t="shared" si="72"/>
        <v>4.2398081942398103E-3</v>
      </c>
      <c r="BL15" s="366">
        <f t="shared" si="72"/>
        <v>4.2398081942398103E-3</v>
      </c>
      <c r="BM15" s="366">
        <f t="shared" si="72"/>
        <v>4.2398081942398103E-3</v>
      </c>
      <c r="BN15" s="366">
        <f t="shared" si="72"/>
        <v>4.2398081942398103E-3</v>
      </c>
      <c r="BO15" s="366">
        <f t="shared" si="72"/>
        <v>4.2398081942398103E-3</v>
      </c>
      <c r="BP15" s="366">
        <f t="shared" si="72"/>
        <v>4.2398081942398103E-3</v>
      </c>
      <c r="BQ15" s="366">
        <f t="shared" si="72"/>
        <v>4.2398081942398103E-3</v>
      </c>
      <c r="BR15" s="366">
        <f t="shared" si="72"/>
        <v>4.2398081942398103E-3</v>
      </c>
      <c r="BS15" s="366">
        <f t="shared" si="72"/>
        <v>4.2398081942398103E-3</v>
      </c>
      <c r="BT15" s="366">
        <f t="shared" si="72"/>
        <v>4.2398081942398103E-3</v>
      </c>
      <c r="BU15" s="366">
        <f t="shared" si="72"/>
        <v>4.2398081942398103E-3</v>
      </c>
      <c r="BV15" s="366">
        <f t="shared" si="72"/>
        <v>4.2398081942398103E-3</v>
      </c>
      <c r="BW15" s="367">
        <f t="shared" si="72"/>
        <v>4.2398081942398103E-3</v>
      </c>
      <c r="BX15" s="366">
        <f t="shared" si="72"/>
        <v>4.2398081942398103E-3</v>
      </c>
      <c r="BY15" s="366">
        <f t="shared" si="72"/>
        <v>4.2398081942398103E-3</v>
      </c>
      <c r="BZ15" s="366">
        <f t="shared" si="72"/>
        <v>4.2398081942398103E-3</v>
      </c>
      <c r="CA15" s="366">
        <f t="shared" si="72"/>
        <v>4.2398081942398103E-3</v>
      </c>
      <c r="CB15" s="366">
        <f t="shared" si="72"/>
        <v>4.2398081942398103E-3</v>
      </c>
      <c r="CC15" s="366">
        <f t="shared" si="72"/>
        <v>4.2398081942398103E-3</v>
      </c>
      <c r="CD15" s="366">
        <f t="shared" si="72"/>
        <v>4.2398081942398103E-3</v>
      </c>
      <c r="CE15" s="366">
        <f t="shared" si="72"/>
        <v>4.2398081942398103E-3</v>
      </c>
      <c r="CF15" s="366">
        <f t="shared" si="72"/>
        <v>4.2398081942398103E-3</v>
      </c>
      <c r="CG15" s="366">
        <f t="shared" si="72"/>
        <v>4.2398081942398103E-3</v>
      </c>
      <c r="CH15" s="366">
        <f t="shared" si="72"/>
        <v>4.2398081942398103E-3</v>
      </c>
      <c r="CI15" s="367">
        <f t="shared" si="72"/>
        <v>4.2398081942398103E-3</v>
      </c>
      <c r="CJ15" s="366">
        <f t="shared" si="72"/>
        <v>4.2398081942398103E-3</v>
      </c>
      <c r="CK15" s="366">
        <f t="shared" si="72"/>
        <v>4.2398081942398103E-3</v>
      </c>
      <c r="CL15" s="366">
        <f t="shared" si="72"/>
        <v>4.2398081942398103E-3</v>
      </c>
      <c r="CM15" s="366">
        <f t="shared" si="72"/>
        <v>4.2398081942398103E-3</v>
      </c>
      <c r="CN15" s="366">
        <f t="shared" si="72"/>
        <v>4.2398081942398103E-3</v>
      </c>
      <c r="CO15" s="366">
        <f t="shared" si="72"/>
        <v>4.2398081942398103E-3</v>
      </c>
      <c r="CP15" s="366">
        <f t="shared" si="72"/>
        <v>4.2398081942398103E-3</v>
      </c>
      <c r="CQ15" s="366">
        <f t="shared" si="72"/>
        <v>4.2398081942398103E-3</v>
      </c>
      <c r="CR15" s="366">
        <f t="shared" si="72"/>
        <v>4.2398081942398103E-3</v>
      </c>
      <c r="CS15" s="366">
        <f t="shared" si="72"/>
        <v>4.2398081942398103E-3</v>
      </c>
      <c r="CT15" s="366">
        <f t="shared" si="72"/>
        <v>4.2398081942398103E-3</v>
      </c>
      <c r="CU15" s="367">
        <f t="shared" si="72"/>
        <v>4.2398081942398103E-3</v>
      </c>
      <c r="CV15" s="366">
        <f t="shared" ref="CV15:DG15" si="73">+CU15</f>
        <v>4.2398081942398103E-3</v>
      </c>
      <c r="CW15" s="366">
        <f t="shared" si="73"/>
        <v>4.2398081942398103E-3</v>
      </c>
      <c r="CX15" s="366">
        <f t="shared" si="73"/>
        <v>4.2398081942398103E-3</v>
      </c>
      <c r="CY15" s="366">
        <f t="shared" si="73"/>
        <v>4.2398081942398103E-3</v>
      </c>
      <c r="CZ15" s="366">
        <f t="shared" si="73"/>
        <v>4.2398081942398103E-3</v>
      </c>
      <c r="DA15" s="366">
        <f t="shared" si="73"/>
        <v>4.2398081942398103E-3</v>
      </c>
      <c r="DB15" s="366">
        <f t="shared" si="73"/>
        <v>4.2398081942398103E-3</v>
      </c>
      <c r="DC15" s="366">
        <f t="shared" si="73"/>
        <v>4.2398081942398103E-3</v>
      </c>
      <c r="DD15" s="366">
        <f t="shared" si="73"/>
        <v>4.2398081942398103E-3</v>
      </c>
      <c r="DE15" s="366">
        <f t="shared" si="73"/>
        <v>4.2398081942398103E-3</v>
      </c>
      <c r="DF15" s="366">
        <f t="shared" si="73"/>
        <v>4.2398081942398103E-3</v>
      </c>
      <c r="DG15" s="366">
        <f t="shared" si="73"/>
        <v>4.2398081942398103E-3</v>
      </c>
    </row>
    <row r="16" spans="1:114" hidden="1" x14ac:dyDescent="0.3">
      <c r="B16" s="1"/>
      <c r="C16" s="485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16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16"/>
      <c r="AN16" s="57"/>
      <c r="AO16" s="57"/>
      <c r="AP16" s="57"/>
      <c r="AQ16" s="57"/>
      <c r="AR16" s="57"/>
      <c r="AS16" s="57"/>
      <c r="AT16" s="57"/>
      <c r="AU16" s="57"/>
      <c r="AV16" s="57"/>
      <c r="AW16" s="306"/>
      <c r="AX16" s="57"/>
      <c r="AY16" s="516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306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306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306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306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</row>
    <row r="17" spans="1:111" s="3" customFormat="1" x14ac:dyDescent="0.3">
      <c r="A17" s="142"/>
      <c r="B17" s="142"/>
      <c r="C17" s="486" t="s">
        <v>66</v>
      </c>
      <c r="D17" s="143"/>
      <c r="E17" s="144">
        <v>12</v>
      </c>
      <c r="F17" s="144">
        <v>8</v>
      </c>
      <c r="G17" s="144">
        <v>7</v>
      </c>
      <c r="H17" s="144">
        <v>10</v>
      </c>
      <c r="I17" s="144">
        <v>13</v>
      </c>
      <c r="J17" s="144">
        <v>11</v>
      </c>
      <c r="K17" s="144">
        <v>5</v>
      </c>
      <c r="L17" s="144">
        <v>9</v>
      </c>
      <c r="M17" s="144">
        <v>17</v>
      </c>
      <c r="N17" s="144">
        <v>11</v>
      </c>
      <c r="O17" s="144">
        <v>7</v>
      </c>
      <c r="P17" s="144">
        <v>12</v>
      </c>
      <c r="Q17" s="144">
        <v>10</v>
      </c>
      <c r="R17" s="144">
        <v>10</v>
      </c>
      <c r="S17" s="144">
        <v>7</v>
      </c>
      <c r="T17" s="144">
        <v>9</v>
      </c>
      <c r="U17" s="144">
        <v>13</v>
      </c>
      <c r="V17" s="144">
        <v>8</v>
      </c>
      <c r="W17" s="144">
        <v>19</v>
      </c>
      <c r="X17" s="144">
        <v>29</v>
      </c>
      <c r="Y17" s="144">
        <v>32</v>
      </c>
      <c r="Z17" s="144">
        <v>32</v>
      </c>
      <c r="AA17" s="517">
        <v>19</v>
      </c>
      <c r="AB17" s="144">
        <v>16</v>
      </c>
      <c r="AC17" s="144">
        <v>15</v>
      </c>
      <c r="AD17" s="144">
        <v>20</v>
      </c>
      <c r="AE17" s="144">
        <v>17</v>
      </c>
      <c r="AF17" s="144">
        <v>20</v>
      </c>
      <c r="AG17" s="144">
        <v>24</v>
      </c>
      <c r="AH17" s="144">
        <v>30</v>
      </c>
      <c r="AI17" s="144">
        <v>38</v>
      </c>
      <c r="AJ17" s="144">
        <v>42</v>
      </c>
      <c r="AK17" s="144">
        <v>48</v>
      </c>
      <c r="AL17" s="144">
        <v>44</v>
      </c>
      <c r="AM17" s="517">
        <v>23</v>
      </c>
      <c r="AN17" s="144">
        <v>24</v>
      </c>
      <c r="AO17" s="144">
        <v>28</v>
      </c>
      <c r="AP17" s="144">
        <v>24</v>
      </c>
      <c r="AQ17" s="144">
        <v>23</v>
      </c>
      <c r="AR17" s="144">
        <v>20</v>
      </c>
      <c r="AS17" s="144">
        <v>25</v>
      </c>
      <c r="AT17" s="144">
        <v>35</v>
      </c>
      <c r="AU17" s="144">
        <v>48</v>
      </c>
      <c r="AV17" s="144">
        <v>57</v>
      </c>
      <c r="AW17" s="582">
        <v>67</v>
      </c>
      <c r="AX17" s="145">
        <f>+AW17+AX19</f>
        <v>62</v>
      </c>
      <c r="AY17" s="733">
        <f>+AX17+AY19</f>
        <v>37.6</v>
      </c>
      <c r="AZ17" s="145">
        <f t="shared" ref="AZ17:CM17" si="74">+AY17+AZ19</f>
        <v>40.36</v>
      </c>
      <c r="BA17" s="145">
        <f t="shared" si="74"/>
        <v>49.16</v>
      </c>
      <c r="BB17" s="145">
        <f t="shared" si="74"/>
        <v>49.919999999999995</v>
      </c>
      <c r="BC17" s="145">
        <f t="shared" si="74"/>
        <v>48.679999999999993</v>
      </c>
      <c r="BD17" s="145">
        <f t="shared" si="74"/>
        <v>51.47999999999999</v>
      </c>
      <c r="BE17" s="145">
        <f t="shared" si="74"/>
        <v>45.239999999999988</v>
      </c>
      <c r="BF17" s="145">
        <f t="shared" si="74"/>
        <v>45.039999999999992</v>
      </c>
      <c r="BG17" s="145">
        <f t="shared" si="74"/>
        <v>51.839999999999989</v>
      </c>
      <c r="BH17" s="145">
        <f t="shared" si="74"/>
        <v>61.639999999999986</v>
      </c>
      <c r="BI17" s="145">
        <f t="shared" si="74"/>
        <v>66.399999999999977</v>
      </c>
      <c r="BJ17" s="145">
        <f t="shared" si="74"/>
        <v>68.119999999999976</v>
      </c>
      <c r="BK17" s="146">
        <f t="shared" si="74"/>
        <v>67.839999999999975</v>
      </c>
      <c r="BL17" s="145">
        <f t="shared" si="74"/>
        <v>71.303999999999974</v>
      </c>
      <c r="BM17" s="145">
        <f t="shared" si="74"/>
        <v>80.82399999999997</v>
      </c>
      <c r="BN17" s="145">
        <f t="shared" si="74"/>
        <v>79.287999999999968</v>
      </c>
      <c r="BO17" s="145">
        <f t="shared" si="74"/>
        <v>74.751999999999967</v>
      </c>
      <c r="BP17" s="145">
        <f t="shared" si="74"/>
        <v>76.271999999999963</v>
      </c>
      <c r="BQ17" s="145">
        <f t="shared" si="74"/>
        <v>65.735999999999962</v>
      </c>
      <c r="BR17" s="145">
        <f t="shared" si="74"/>
        <v>64.255999999999958</v>
      </c>
      <c r="BS17" s="145">
        <f t="shared" si="74"/>
        <v>73.775999999999954</v>
      </c>
      <c r="BT17" s="145">
        <f t="shared" si="74"/>
        <v>87.29599999999995</v>
      </c>
      <c r="BU17" s="145">
        <f t="shared" si="74"/>
        <v>93.759999999999948</v>
      </c>
      <c r="BV17" s="145">
        <f t="shared" si="74"/>
        <v>96.16799999999995</v>
      </c>
      <c r="BW17" s="146">
        <f t="shared" si="74"/>
        <v>95.575999999999951</v>
      </c>
      <c r="BX17" s="145">
        <f t="shared" si="74"/>
        <v>100.62559999999993</v>
      </c>
      <c r="BY17" s="145">
        <f t="shared" si="74"/>
        <v>114.55359999999993</v>
      </c>
      <c r="BZ17" s="145">
        <f t="shared" si="74"/>
        <v>112.60319999999993</v>
      </c>
      <c r="CA17" s="145">
        <f t="shared" si="74"/>
        <v>106.65279999999993</v>
      </c>
      <c r="CB17" s="145">
        <f t="shared" si="74"/>
        <v>108.58079999999993</v>
      </c>
      <c r="CC17" s="145">
        <f t="shared" si="74"/>
        <v>93.630399999999923</v>
      </c>
      <c r="CD17" s="145">
        <f t="shared" si="74"/>
        <v>91.558399999999921</v>
      </c>
      <c r="CE17" s="145">
        <f t="shared" si="74"/>
        <v>105.48639999999992</v>
      </c>
      <c r="CF17" s="145">
        <f t="shared" si="74"/>
        <v>124.41439999999992</v>
      </c>
      <c r="CG17" s="145">
        <f t="shared" si="74"/>
        <v>133.46399999999991</v>
      </c>
      <c r="CH17" s="145">
        <f t="shared" si="74"/>
        <v>136.63519999999991</v>
      </c>
      <c r="CI17" s="146">
        <f t="shared" si="74"/>
        <v>135.80639999999991</v>
      </c>
      <c r="CJ17" s="145">
        <f t="shared" si="74"/>
        <v>142.07583999999991</v>
      </c>
      <c r="CK17" s="145">
        <f t="shared" si="74"/>
        <v>161.17503999999991</v>
      </c>
      <c r="CL17" s="145">
        <f t="shared" si="74"/>
        <v>158.44447999999988</v>
      </c>
      <c r="CM17" s="145">
        <f t="shared" si="74"/>
        <v>149.71391999999986</v>
      </c>
      <c r="CN17" s="145">
        <f t="shared" ref="CN17:DG17" si="75">+CM17+CN19</f>
        <v>152.81311999999986</v>
      </c>
      <c r="CO17" s="145">
        <f t="shared" si="75"/>
        <v>131.08255999999983</v>
      </c>
      <c r="CP17" s="145">
        <f t="shared" si="75"/>
        <v>128.18175999999983</v>
      </c>
      <c r="CQ17" s="145">
        <f t="shared" si="75"/>
        <v>147.28095999999982</v>
      </c>
      <c r="CR17" s="145">
        <f t="shared" si="75"/>
        <v>173.38015999999982</v>
      </c>
      <c r="CS17" s="145">
        <f t="shared" si="75"/>
        <v>186.64959999999979</v>
      </c>
      <c r="CT17" s="145">
        <f t="shared" si="75"/>
        <v>191.0892799999998</v>
      </c>
      <c r="CU17" s="146">
        <f t="shared" si="75"/>
        <v>190.52895999999981</v>
      </c>
      <c r="CV17" s="145">
        <f t="shared" si="75"/>
        <v>199.7061759999998</v>
      </c>
      <c r="CW17" s="145">
        <f t="shared" si="75"/>
        <v>226.24505599999981</v>
      </c>
      <c r="CX17" s="145">
        <f t="shared" si="75"/>
        <v>222.42227199999979</v>
      </c>
      <c r="CY17" s="145">
        <f t="shared" si="75"/>
        <v>210.59948799999978</v>
      </c>
      <c r="CZ17" s="145">
        <f t="shared" si="75"/>
        <v>215.13836799999979</v>
      </c>
      <c r="DA17" s="145">
        <f t="shared" si="75"/>
        <v>185.31558399999977</v>
      </c>
      <c r="DB17" s="145">
        <f t="shared" si="75"/>
        <v>180.85446399999978</v>
      </c>
      <c r="DC17" s="145">
        <f t="shared" si="75"/>
        <v>207.39334399999979</v>
      </c>
      <c r="DD17" s="145">
        <f t="shared" si="75"/>
        <v>243.93222399999979</v>
      </c>
      <c r="DE17" s="145">
        <f t="shared" si="75"/>
        <v>263.10943999999978</v>
      </c>
      <c r="DF17" s="145">
        <f t="shared" si="75"/>
        <v>268.92499199999975</v>
      </c>
      <c r="DG17" s="146">
        <f t="shared" si="75"/>
        <v>268.74054399999972</v>
      </c>
    </row>
    <row r="18" spans="1:111" x14ac:dyDescent="0.3">
      <c r="A18" s="34"/>
      <c r="B18" s="34"/>
      <c r="C18" s="488" t="s">
        <v>383</v>
      </c>
      <c r="D18" s="15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1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519"/>
      <c r="AN18" s="49"/>
      <c r="AO18" s="49">
        <v>18</v>
      </c>
      <c r="AP18" s="49">
        <v>21</v>
      </c>
      <c r="AQ18" s="49">
        <v>19</v>
      </c>
      <c r="AR18" s="49">
        <v>19</v>
      </c>
      <c r="AS18" s="49">
        <v>19</v>
      </c>
      <c r="AT18" s="49">
        <v>19</v>
      </c>
      <c r="AU18" s="49">
        <v>19</v>
      </c>
      <c r="AV18" s="49">
        <v>19</v>
      </c>
      <c r="AW18" s="583">
        <v>51</v>
      </c>
      <c r="AX18" s="145"/>
      <c r="AY18" s="733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6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6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6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6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6"/>
    </row>
    <row r="19" spans="1:111" x14ac:dyDescent="0.3">
      <c r="A19" s="34"/>
      <c r="B19" s="34"/>
      <c r="C19" s="487" t="s">
        <v>67</v>
      </c>
      <c r="D19" s="15"/>
      <c r="E19" s="50">
        <f t="shared" ref="E19:L19" si="76">E17-D17</f>
        <v>12</v>
      </c>
      <c r="F19" s="50">
        <f>F17-E17</f>
        <v>-4</v>
      </c>
      <c r="G19" s="50">
        <f t="shared" si="76"/>
        <v>-1</v>
      </c>
      <c r="H19" s="50">
        <f t="shared" si="76"/>
        <v>3</v>
      </c>
      <c r="I19" s="50">
        <f t="shared" si="76"/>
        <v>3</v>
      </c>
      <c r="J19" s="50">
        <f t="shared" si="76"/>
        <v>-2</v>
      </c>
      <c r="K19" s="50">
        <f t="shared" si="76"/>
        <v>-6</v>
      </c>
      <c r="L19" s="50">
        <f t="shared" si="76"/>
        <v>4</v>
      </c>
      <c r="M19" s="50">
        <f t="shared" ref="M19:AH19" si="77">M17-L17</f>
        <v>8</v>
      </c>
      <c r="N19" s="50">
        <f t="shared" si="77"/>
        <v>-6</v>
      </c>
      <c r="O19" s="50">
        <f t="shared" si="77"/>
        <v>-4</v>
      </c>
      <c r="P19" s="50">
        <f t="shared" si="77"/>
        <v>5</v>
      </c>
      <c r="Q19" s="50">
        <f t="shared" si="77"/>
        <v>-2</v>
      </c>
      <c r="R19" s="50">
        <f t="shared" si="77"/>
        <v>0</v>
      </c>
      <c r="S19" s="50">
        <f t="shared" si="77"/>
        <v>-3</v>
      </c>
      <c r="T19" s="50">
        <f t="shared" si="77"/>
        <v>2</v>
      </c>
      <c r="U19" s="50">
        <f t="shared" si="77"/>
        <v>4</v>
      </c>
      <c r="V19" s="50">
        <f t="shared" si="77"/>
        <v>-5</v>
      </c>
      <c r="W19" s="50">
        <f t="shared" si="77"/>
        <v>11</v>
      </c>
      <c r="X19" s="50">
        <f t="shared" si="77"/>
        <v>10</v>
      </c>
      <c r="Y19" s="50">
        <f t="shared" si="77"/>
        <v>3</v>
      </c>
      <c r="Z19" s="50">
        <f t="shared" si="77"/>
        <v>0</v>
      </c>
      <c r="AA19" s="518">
        <f t="shared" si="77"/>
        <v>-13</v>
      </c>
      <c r="AB19" s="50">
        <f t="shared" si="77"/>
        <v>-3</v>
      </c>
      <c r="AC19" s="50">
        <f t="shared" si="77"/>
        <v>-1</v>
      </c>
      <c r="AD19" s="50">
        <f t="shared" si="77"/>
        <v>5</v>
      </c>
      <c r="AE19" s="50">
        <f t="shared" si="77"/>
        <v>-3</v>
      </c>
      <c r="AF19" s="50">
        <f t="shared" si="77"/>
        <v>3</v>
      </c>
      <c r="AG19" s="50">
        <f t="shared" si="77"/>
        <v>4</v>
      </c>
      <c r="AH19" s="50">
        <f t="shared" si="77"/>
        <v>6</v>
      </c>
      <c r="AI19" s="50">
        <f t="shared" ref="AI19:AP19" si="78">AI17-AH17</f>
        <v>8</v>
      </c>
      <c r="AJ19" s="50">
        <f t="shared" si="78"/>
        <v>4</v>
      </c>
      <c r="AK19" s="50">
        <f t="shared" si="78"/>
        <v>6</v>
      </c>
      <c r="AL19" s="50">
        <f t="shared" si="78"/>
        <v>-4</v>
      </c>
      <c r="AM19" s="518">
        <f t="shared" si="78"/>
        <v>-21</v>
      </c>
      <c r="AN19" s="50">
        <f t="shared" si="78"/>
        <v>1</v>
      </c>
      <c r="AO19" s="50">
        <f t="shared" si="78"/>
        <v>4</v>
      </c>
      <c r="AP19" s="50">
        <f t="shared" si="78"/>
        <v>-4</v>
      </c>
      <c r="AQ19" s="50">
        <f t="shared" ref="AQ19:AV19" si="79">AQ17-AP17</f>
        <v>-1</v>
      </c>
      <c r="AR19" s="50">
        <f t="shared" si="79"/>
        <v>-3</v>
      </c>
      <c r="AS19" s="50">
        <f t="shared" si="79"/>
        <v>5</v>
      </c>
      <c r="AT19" s="50">
        <f t="shared" si="79"/>
        <v>10</v>
      </c>
      <c r="AU19" s="50">
        <f t="shared" si="79"/>
        <v>13</v>
      </c>
      <c r="AV19" s="50">
        <f t="shared" si="79"/>
        <v>9</v>
      </c>
      <c r="AW19" s="584">
        <f>AW17-AV17</f>
        <v>10</v>
      </c>
      <c r="AX19" s="712">
        <f t="shared" ref="AX19" si="80">+AX20+AX21</f>
        <v>-5</v>
      </c>
      <c r="AY19" s="734">
        <f t="shared" ref="AY19:CK19" si="81">+AY20+AY21</f>
        <v>-24.4</v>
      </c>
      <c r="AZ19" s="60">
        <f t="shared" si="81"/>
        <v>2.759999999999998</v>
      </c>
      <c r="BA19" s="60">
        <f t="shared" si="81"/>
        <v>8.8000000000000007</v>
      </c>
      <c r="BB19" s="60">
        <f t="shared" si="81"/>
        <v>0.75999999999999801</v>
      </c>
      <c r="BC19" s="60">
        <f t="shared" si="81"/>
        <v>-1.240000000000002</v>
      </c>
      <c r="BD19" s="60">
        <f t="shared" si="81"/>
        <v>2.8000000000000007</v>
      </c>
      <c r="BE19" s="60">
        <f t="shared" si="81"/>
        <v>-6.240000000000002</v>
      </c>
      <c r="BF19" s="60">
        <f t="shared" si="81"/>
        <v>-0.19999999999999929</v>
      </c>
      <c r="BG19" s="60">
        <f t="shared" si="81"/>
        <v>6.8000000000000007</v>
      </c>
      <c r="BH19" s="60">
        <f t="shared" si="81"/>
        <v>9.8000000000000007</v>
      </c>
      <c r="BI19" s="60">
        <f t="shared" si="81"/>
        <v>4.759999999999998</v>
      </c>
      <c r="BJ19" s="60">
        <f t="shared" si="81"/>
        <v>1.7199999999999998</v>
      </c>
      <c r="BK19" s="140">
        <f t="shared" si="81"/>
        <v>-0.28000000000000025</v>
      </c>
      <c r="BL19" s="60">
        <f t="shared" si="81"/>
        <v>3.4639999999999951</v>
      </c>
      <c r="BM19" s="60">
        <f t="shared" si="81"/>
        <v>9.52</v>
      </c>
      <c r="BN19" s="60">
        <f t="shared" si="81"/>
        <v>-1.5360000000000049</v>
      </c>
      <c r="BO19" s="60">
        <f t="shared" si="81"/>
        <v>-4.5360000000000049</v>
      </c>
      <c r="BP19" s="60">
        <f t="shared" si="81"/>
        <v>1.5199999999999996</v>
      </c>
      <c r="BQ19" s="60">
        <f t="shared" si="81"/>
        <v>-10.536000000000005</v>
      </c>
      <c r="BR19" s="60">
        <f t="shared" si="81"/>
        <v>-1.4800000000000004</v>
      </c>
      <c r="BS19" s="60">
        <f t="shared" si="81"/>
        <v>9.52</v>
      </c>
      <c r="BT19" s="60">
        <f t="shared" si="81"/>
        <v>13.52</v>
      </c>
      <c r="BU19" s="60">
        <f t="shared" si="81"/>
        <v>6.4639999999999951</v>
      </c>
      <c r="BV19" s="60">
        <f t="shared" si="81"/>
        <v>2.4079999999999995</v>
      </c>
      <c r="BW19" s="140">
        <f t="shared" si="81"/>
        <v>-0.59200000000000053</v>
      </c>
      <c r="BX19" s="60">
        <f t="shared" si="81"/>
        <v>5.049599999999991</v>
      </c>
      <c r="BY19" s="60">
        <f t="shared" si="81"/>
        <v>13.927999999999997</v>
      </c>
      <c r="BZ19" s="60">
        <f t="shared" si="81"/>
        <v>-1.950400000000009</v>
      </c>
      <c r="CA19" s="60">
        <f t="shared" si="81"/>
        <v>-5.950400000000009</v>
      </c>
      <c r="CB19" s="60">
        <f t="shared" si="81"/>
        <v>1.9279999999999973</v>
      </c>
      <c r="CC19" s="60">
        <f t="shared" si="81"/>
        <v>-14.950400000000009</v>
      </c>
      <c r="CD19" s="60">
        <f t="shared" si="81"/>
        <v>-2.0720000000000027</v>
      </c>
      <c r="CE19" s="60">
        <f t="shared" si="81"/>
        <v>13.927999999999997</v>
      </c>
      <c r="CF19" s="60">
        <f t="shared" si="81"/>
        <v>18.927999999999997</v>
      </c>
      <c r="CG19" s="60">
        <f t="shared" si="81"/>
        <v>9.049599999999991</v>
      </c>
      <c r="CH19" s="60">
        <f t="shared" si="81"/>
        <v>3.1711999999999989</v>
      </c>
      <c r="CI19" s="140">
        <f t="shared" si="81"/>
        <v>-0.82880000000000109</v>
      </c>
      <c r="CJ19" s="60">
        <f t="shared" si="81"/>
        <v>6.2694399999999888</v>
      </c>
      <c r="CK19" s="60">
        <f t="shared" si="81"/>
        <v>19.099199999999996</v>
      </c>
      <c r="CL19" s="60">
        <f t="shared" ref="CL19:DG19" si="82">+CL20+CL21</f>
        <v>-2.7305600000000112</v>
      </c>
      <c r="CM19" s="60">
        <f t="shared" si="82"/>
        <v>-8.7305600000000112</v>
      </c>
      <c r="CN19" s="60">
        <f t="shared" si="82"/>
        <v>3.0991999999999962</v>
      </c>
      <c r="CO19" s="60">
        <f t="shared" si="82"/>
        <v>-21.730560000000011</v>
      </c>
      <c r="CP19" s="60">
        <f t="shared" si="82"/>
        <v>-2.9008000000000038</v>
      </c>
      <c r="CQ19" s="60">
        <f t="shared" si="82"/>
        <v>19.099199999999996</v>
      </c>
      <c r="CR19" s="60">
        <f t="shared" si="82"/>
        <v>26.099199999999996</v>
      </c>
      <c r="CS19" s="60">
        <f t="shared" si="82"/>
        <v>13.269439999999989</v>
      </c>
      <c r="CT19" s="60">
        <f t="shared" si="82"/>
        <v>4.4396799999999956</v>
      </c>
      <c r="CU19" s="140">
        <f t="shared" si="82"/>
        <v>-0.56032000000000437</v>
      </c>
      <c r="CV19" s="60">
        <f t="shared" si="82"/>
        <v>9.1772159999999801</v>
      </c>
      <c r="CW19" s="60">
        <f t="shared" si="82"/>
        <v>26.538879999999992</v>
      </c>
      <c r="CX19" s="60">
        <f t="shared" si="82"/>
        <v>-3.8227840000000199</v>
      </c>
      <c r="CY19" s="60">
        <f t="shared" si="82"/>
        <v>-11.82278400000002</v>
      </c>
      <c r="CZ19" s="60">
        <f t="shared" si="82"/>
        <v>4.5388799999999918</v>
      </c>
      <c r="DA19" s="60">
        <f t="shared" si="82"/>
        <v>-29.82278400000002</v>
      </c>
      <c r="DB19" s="60">
        <f t="shared" si="82"/>
        <v>-4.4611200000000082</v>
      </c>
      <c r="DC19" s="60">
        <f t="shared" si="82"/>
        <v>26.538879999999992</v>
      </c>
      <c r="DD19" s="60">
        <f t="shared" si="82"/>
        <v>36.538879999999992</v>
      </c>
      <c r="DE19" s="60">
        <f t="shared" si="82"/>
        <v>19.17721599999998</v>
      </c>
      <c r="DF19" s="60">
        <f t="shared" si="82"/>
        <v>5.8155519999999932</v>
      </c>
      <c r="DG19" s="140">
        <f t="shared" si="82"/>
        <v>-0.18444800000000683</v>
      </c>
    </row>
    <row r="20" spans="1:111" x14ac:dyDescent="0.3">
      <c r="A20" s="34"/>
      <c r="B20" s="34"/>
      <c r="C20" s="487" t="s">
        <v>227</v>
      </c>
      <c r="D20" s="15"/>
      <c r="E20" s="50"/>
      <c r="F20" s="50">
        <f>+IF(F17&gt;E17,F17-E17, 0)</f>
        <v>0</v>
      </c>
      <c r="G20" s="50">
        <f t="shared" ref="G20:P20" si="83">+IF(G17&gt;F17,G17-F17, 0)</f>
        <v>0</v>
      </c>
      <c r="H20" s="50">
        <f t="shared" si="83"/>
        <v>3</v>
      </c>
      <c r="I20" s="50">
        <f t="shared" si="83"/>
        <v>3</v>
      </c>
      <c r="J20" s="50">
        <f t="shared" si="83"/>
        <v>0</v>
      </c>
      <c r="K20" s="50">
        <f t="shared" si="83"/>
        <v>0</v>
      </c>
      <c r="L20" s="50">
        <f t="shared" si="83"/>
        <v>4</v>
      </c>
      <c r="M20" s="50">
        <f t="shared" si="83"/>
        <v>8</v>
      </c>
      <c r="N20" s="50">
        <f t="shared" si="83"/>
        <v>0</v>
      </c>
      <c r="O20" s="50">
        <f t="shared" si="83"/>
        <v>0</v>
      </c>
      <c r="P20" s="50">
        <f t="shared" si="83"/>
        <v>5</v>
      </c>
      <c r="Q20" s="50">
        <v>2</v>
      </c>
      <c r="R20" s="50">
        <v>2</v>
      </c>
      <c r="S20" s="50">
        <v>3</v>
      </c>
      <c r="T20" s="50">
        <v>6</v>
      </c>
      <c r="U20" s="50">
        <v>11</v>
      </c>
      <c r="V20" s="50">
        <v>4</v>
      </c>
      <c r="W20" s="50">
        <v>12</v>
      </c>
      <c r="X20" s="50">
        <v>13</v>
      </c>
      <c r="Y20" s="50">
        <v>8</v>
      </c>
      <c r="Z20" s="50">
        <v>14</v>
      </c>
      <c r="AA20" s="518">
        <v>5</v>
      </c>
      <c r="AB20" s="50">
        <v>4</v>
      </c>
      <c r="AC20" s="50">
        <v>5</v>
      </c>
      <c r="AD20" s="50">
        <v>7</v>
      </c>
      <c r="AE20" s="50">
        <v>5</v>
      </c>
      <c r="AF20" s="50">
        <v>6</v>
      </c>
      <c r="AG20" s="50">
        <v>15</v>
      </c>
      <c r="AH20" s="50">
        <v>7</v>
      </c>
      <c r="AI20" s="50">
        <v>10</v>
      </c>
      <c r="AJ20" s="50">
        <v>10</v>
      </c>
      <c r="AK20" s="50">
        <v>9</v>
      </c>
      <c r="AL20" s="50">
        <v>6</v>
      </c>
      <c r="AM20" s="518">
        <v>5</v>
      </c>
      <c r="AN20" s="50">
        <v>5</v>
      </c>
      <c r="AO20" s="50">
        <v>11</v>
      </c>
      <c r="AP20" s="50">
        <v>4</v>
      </c>
      <c r="AQ20" s="50">
        <v>5</v>
      </c>
      <c r="AR20" s="50">
        <v>3</v>
      </c>
      <c r="AS20" s="50">
        <v>3</v>
      </c>
      <c r="AT20" s="50">
        <v>12</v>
      </c>
      <c r="AU20" s="50">
        <v>15</v>
      </c>
      <c r="AV20" s="50">
        <v>15</v>
      </c>
      <c r="AW20" s="584">
        <v>16</v>
      </c>
      <c r="AX20" s="712">
        <f>IF(AX2="Trough",INDEX($H$55:$H$57,MATCH(AX2,$E$55:$E$57,0)),IF(AX2="Shoulder",INDEX($H$55:$H$57,MATCH(AX2,$E$55:$E$57,0)),INDEX($H$55:$H$57,MATCH(AX2,$E$55:$E$57,0))))</f>
        <v>4</v>
      </c>
      <c r="AY20" s="735">
        <f>IF(AY2="Trough",INDEX($I$55:$I$57,MATCH(AY2,$E$55:$E$57,0)),IF(AY2="Shoulder",INDEX($I$55:$I$57,MATCH(AY2,$E$55:$E$57,0)),INDEX($I$55:$I$57,MATCH(AY2,$E$55:$E$57,0))))-20</f>
        <v>-14.4</v>
      </c>
      <c r="AZ20" s="169">
        <f t="shared" ref="AZ20:BK20" si="84">IF(AZ2="Trough",INDEX($J$55:$J$57,MATCH(AZ2,$E$55:$E$57,0)),IF(AZ2="Shoulder",INDEX($J$55:$J$57,MATCH(AZ2,$E$55:$E$57,0)),INDEX($J$55:$J$57,MATCH(AZ2,$E$55:$E$57,0))))</f>
        <v>11.759999999999998</v>
      </c>
      <c r="BA20" s="169">
        <f t="shared" si="84"/>
        <v>16.8</v>
      </c>
      <c r="BB20" s="169">
        <f t="shared" si="84"/>
        <v>11.759999999999998</v>
      </c>
      <c r="BC20" s="169">
        <f t="shared" si="84"/>
        <v>11.759999999999998</v>
      </c>
      <c r="BD20" s="169">
        <f t="shared" si="84"/>
        <v>16.8</v>
      </c>
      <c r="BE20" s="169">
        <f t="shared" si="84"/>
        <v>11.759999999999998</v>
      </c>
      <c r="BF20" s="169">
        <f t="shared" si="84"/>
        <v>16.8</v>
      </c>
      <c r="BG20" s="169">
        <f t="shared" si="84"/>
        <v>16.8</v>
      </c>
      <c r="BH20" s="169">
        <f t="shared" si="84"/>
        <v>16.8</v>
      </c>
      <c r="BI20" s="169">
        <f t="shared" si="84"/>
        <v>11.759999999999998</v>
      </c>
      <c r="BJ20" s="169">
        <f t="shared" si="84"/>
        <v>6.72</v>
      </c>
      <c r="BK20" s="170">
        <f t="shared" si="84"/>
        <v>6.72</v>
      </c>
      <c r="BL20" s="169">
        <f t="shared" ref="BL20:BW20" si="85">IF(BL2="Trough",INDEX($K$55:$K$57,MATCH(BL2,$E$55:$E$57,0)),IF(BL2="Shoulder",INDEX($K$55:$K$57,MATCH(BL2,$E$55:$E$57,0)),INDEX($K$55:$K$57,MATCH(BL2,$E$55:$E$57,0))))</f>
        <v>16.463999999999995</v>
      </c>
      <c r="BM20" s="169">
        <f t="shared" si="85"/>
        <v>23.52</v>
      </c>
      <c r="BN20" s="169">
        <f t="shared" si="85"/>
        <v>16.463999999999995</v>
      </c>
      <c r="BO20" s="169">
        <f t="shared" si="85"/>
        <v>16.463999999999995</v>
      </c>
      <c r="BP20" s="169">
        <f t="shared" si="85"/>
        <v>23.52</v>
      </c>
      <c r="BQ20" s="169">
        <f t="shared" si="85"/>
        <v>16.463999999999995</v>
      </c>
      <c r="BR20" s="169">
        <f t="shared" si="85"/>
        <v>23.52</v>
      </c>
      <c r="BS20" s="169">
        <f t="shared" si="85"/>
        <v>23.52</v>
      </c>
      <c r="BT20" s="169">
        <f t="shared" si="85"/>
        <v>23.52</v>
      </c>
      <c r="BU20" s="169">
        <f t="shared" si="85"/>
        <v>16.463999999999995</v>
      </c>
      <c r="BV20" s="169">
        <f t="shared" si="85"/>
        <v>9.4079999999999995</v>
      </c>
      <c r="BW20" s="170">
        <f t="shared" si="85"/>
        <v>9.4079999999999995</v>
      </c>
      <c r="BX20" s="169">
        <f t="shared" ref="BX20:CI20" si="86">IF(BX2="Trough",INDEX($L$55:$L$57,MATCH(BX2,$E$55:$E$57,0)),IF(BX2="Shoulder",INDEX($L$55:$L$57,MATCH(BX2,$E$55:$E$57,0)),INDEX($L$55:$L$57,MATCH(BX2,$E$55:$E$57,0))))</f>
        <v>23.049599999999991</v>
      </c>
      <c r="BY20" s="169">
        <f t="shared" si="86"/>
        <v>32.927999999999997</v>
      </c>
      <c r="BZ20" s="169">
        <f t="shared" si="86"/>
        <v>23.049599999999991</v>
      </c>
      <c r="CA20" s="169">
        <f t="shared" si="86"/>
        <v>23.049599999999991</v>
      </c>
      <c r="CB20" s="169">
        <f t="shared" si="86"/>
        <v>32.927999999999997</v>
      </c>
      <c r="CC20" s="169">
        <f t="shared" si="86"/>
        <v>23.049599999999991</v>
      </c>
      <c r="CD20" s="169">
        <f t="shared" si="86"/>
        <v>32.927999999999997</v>
      </c>
      <c r="CE20" s="169">
        <f t="shared" si="86"/>
        <v>32.927999999999997</v>
      </c>
      <c r="CF20" s="169">
        <f t="shared" si="86"/>
        <v>32.927999999999997</v>
      </c>
      <c r="CG20" s="169">
        <f t="shared" si="86"/>
        <v>23.049599999999991</v>
      </c>
      <c r="CH20" s="169">
        <f t="shared" si="86"/>
        <v>13.171199999999999</v>
      </c>
      <c r="CI20" s="170">
        <f t="shared" si="86"/>
        <v>13.171199999999999</v>
      </c>
      <c r="CJ20" s="169">
        <f t="shared" ref="CJ20:CU20" si="87">IF(CJ2="Trough",INDEX($M$55:$M$57,MATCH(CJ2,$E$55:$E$57,0)),IF(CJ2="Shoulder",INDEX($M$55:$M$57,MATCH(CJ2,$E$55:$E$57,0)),INDEX($M$55:$M$57,MATCH(CJ2,$E$55:$E$57,0))))</f>
        <v>32.269439999999989</v>
      </c>
      <c r="CK20" s="169">
        <f t="shared" si="87"/>
        <v>46.099199999999996</v>
      </c>
      <c r="CL20" s="169">
        <f t="shared" si="87"/>
        <v>32.269439999999989</v>
      </c>
      <c r="CM20" s="169">
        <f t="shared" si="87"/>
        <v>32.269439999999989</v>
      </c>
      <c r="CN20" s="169">
        <f t="shared" si="87"/>
        <v>46.099199999999996</v>
      </c>
      <c r="CO20" s="169">
        <f t="shared" si="87"/>
        <v>32.269439999999989</v>
      </c>
      <c r="CP20" s="169">
        <f t="shared" si="87"/>
        <v>46.099199999999996</v>
      </c>
      <c r="CQ20" s="169">
        <f t="shared" si="87"/>
        <v>46.099199999999996</v>
      </c>
      <c r="CR20" s="169">
        <f t="shared" si="87"/>
        <v>46.099199999999996</v>
      </c>
      <c r="CS20" s="169">
        <f t="shared" si="87"/>
        <v>32.269439999999989</v>
      </c>
      <c r="CT20" s="169">
        <f t="shared" si="87"/>
        <v>18.439679999999996</v>
      </c>
      <c r="CU20" s="170">
        <f t="shared" si="87"/>
        <v>18.439679999999996</v>
      </c>
      <c r="CV20" s="169">
        <f t="shared" ref="CV20:DG20" si="88">IF(CV2="Trough",INDEX($N$55:$N$57,MATCH(CV2,$E$55:$E$57,0)),IF(CV2="Shoulder",INDEX($N$55:$N$57,MATCH(CV2,$E$55:$E$57,0)),INDEX($N$55:$N$57,MATCH(CV2,$E$55:$E$57,0))))</f>
        <v>45.17721599999998</v>
      </c>
      <c r="CW20" s="169">
        <f t="shared" si="88"/>
        <v>64.538879999999992</v>
      </c>
      <c r="CX20" s="169">
        <f t="shared" si="88"/>
        <v>45.17721599999998</v>
      </c>
      <c r="CY20" s="169">
        <f t="shared" si="88"/>
        <v>45.17721599999998</v>
      </c>
      <c r="CZ20" s="169">
        <f t="shared" si="88"/>
        <v>64.538879999999992</v>
      </c>
      <c r="DA20" s="169">
        <f t="shared" si="88"/>
        <v>45.17721599999998</v>
      </c>
      <c r="DB20" s="169">
        <f t="shared" si="88"/>
        <v>64.538879999999992</v>
      </c>
      <c r="DC20" s="169">
        <f t="shared" si="88"/>
        <v>64.538879999999992</v>
      </c>
      <c r="DD20" s="169">
        <f t="shared" si="88"/>
        <v>64.538879999999992</v>
      </c>
      <c r="DE20" s="169">
        <f t="shared" si="88"/>
        <v>45.17721599999998</v>
      </c>
      <c r="DF20" s="169">
        <f t="shared" si="88"/>
        <v>25.815551999999993</v>
      </c>
      <c r="DG20" s="170">
        <f t="shared" si="88"/>
        <v>25.815551999999993</v>
      </c>
    </row>
    <row r="21" spans="1:111" x14ac:dyDescent="0.3">
      <c r="A21" s="34"/>
      <c r="B21" s="34"/>
      <c r="C21" s="487" t="s">
        <v>228</v>
      </c>
      <c r="D21" s="15"/>
      <c r="E21" s="50"/>
      <c r="F21" s="50">
        <f>+IF(F17&lt;E17,F17-E17, 0)</f>
        <v>-4</v>
      </c>
      <c r="G21" s="50">
        <f t="shared" ref="G21:P21" si="89">+IF(G17&lt;F17,G17-F17, 0)</f>
        <v>-1</v>
      </c>
      <c r="H21" s="50">
        <f t="shared" si="89"/>
        <v>0</v>
      </c>
      <c r="I21" s="50">
        <f t="shared" si="89"/>
        <v>0</v>
      </c>
      <c r="J21" s="50">
        <f t="shared" si="89"/>
        <v>-2</v>
      </c>
      <c r="K21" s="50">
        <f t="shared" si="89"/>
        <v>-6</v>
      </c>
      <c r="L21" s="50">
        <f t="shared" si="89"/>
        <v>0</v>
      </c>
      <c r="M21" s="50">
        <f t="shared" si="89"/>
        <v>0</v>
      </c>
      <c r="N21" s="50">
        <f t="shared" si="89"/>
        <v>-6</v>
      </c>
      <c r="O21" s="50">
        <f t="shared" si="89"/>
        <v>-4</v>
      </c>
      <c r="P21" s="50">
        <f t="shared" si="89"/>
        <v>0</v>
      </c>
      <c r="Q21" s="50">
        <v>-4</v>
      </c>
      <c r="R21" s="50">
        <v>-2</v>
      </c>
      <c r="S21" s="50">
        <v>-6</v>
      </c>
      <c r="T21" s="50">
        <v>-4</v>
      </c>
      <c r="U21" s="50">
        <v>-7</v>
      </c>
      <c r="V21" s="50">
        <v>-9</v>
      </c>
      <c r="W21" s="50">
        <v>-1</v>
      </c>
      <c r="X21" s="50">
        <v>-3</v>
      </c>
      <c r="Y21" s="50">
        <v>-5</v>
      </c>
      <c r="Z21" s="50">
        <v>-14</v>
      </c>
      <c r="AA21" s="518">
        <v>-18</v>
      </c>
      <c r="AB21" s="50">
        <v>-7</v>
      </c>
      <c r="AC21" s="50">
        <v>-4</v>
      </c>
      <c r="AD21" s="50">
        <v>-2</v>
      </c>
      <c r="AE21" s="50">
        <v>-8</v>
      </c>
      <c r="AF21" s="50">
        <v>-3</v>
      </c>
      <c r="AG21" s="50">
        <v>-11</v>
      </c>
      <c r="AH21" s="50">
        <v>-1</v>
      </c>
      <c r="AI21" s="50">
        <v>-2</v>
      </c>
      <c r="AJ21" s="50">
        <v>-6</v>
      </c>
      <c r="AK21" s="50">
        <v>-3</v>
      </c>
      <c r="AL21" s="50">
        <v>-10</v>
      </c>
      <c r="AM21" s="518">
        <v>-26</v>
      </c>
      <c r="AN21" s="50">
        <v>-11</v>
      </c>
      <c r="AO21" s="50">
        <v>-7</v>
      </c>
      <c r="AP21" s="50">
        <v>-8</v>
      </c>
      <c r="AQ21" s="50">
        <v>-6</v>
      </c>
      <c r="AR21" s="50">
        <v>-6</v>
      </c>
      <c r="AS21" s="50">
        <v>-6</v>
      </c>
      <c r="AT21" s="50">
        <v>-2</v>
      </c>
      <c r="AU21" s="50">
        <v>-2</v>
      </c>
      <c r="AV21" s="50">
        <v>-6</v>
      </c>
      <c r="AW21" s="584">
        <v>-6</v>
      </c>
      <c r="AX21" s="712">
        <f t="shared" ref="AX21:CC21" si="90">+ROUNDUP(AW17*AW42, 0)</f>
        <v>-9</v>
      </c>
      <c r="AY21" s="735">
        <f t="shared" si="90"/>
        <v>-10</v>
      </c>
      <c r="AZ21" s="169">
        <f t="shared" si="90"/>
        <v>-9</v>
      </c>
      <c r="BA21" s="169">
        <f t="shared" si="90"/>
        <v>-8</v>
      </c>
      <c r="BB21" s="169">
        <f t="shared" si="90"/>
        <v>-11</v>
      </c>
      <c r="BC21" s="169">
        <f t="shared" si="90"/>
        <v>-13</v>
      </c>
      <c r="BD21" s="169">
        <f t="shared" si="90"/>
        <v>-14</v>
      </c>
      <c r="BE21" s="169">
        <f t="shared" si="90"/>
        <v>-18</v>
      </c>
      <c r="BF21" s="169">
        <f t="shared" si="90"/>
        <v>-17</v>
      </c>
      <c r="BG21" s="169">
        <f t="shared" si="90"/>
        <v>-10</v>
      </c>
      <c r="BH21" s="169">
        <f t="shared" si="90"/>
        <v>-7</v>
      </c>
      <c r="BI21" s="169">
        <f t="shared" si="90"/>
        <v>-7</v>
      </c>
      <c r="BJ21" s="169">
        <f t="shared" si="90"/>
        <v>-5</v>
      </c>
      <c r="BK21" s="170">
        <f t="shared" si="90"/>
        <v>-7</v>
      </c>
      <c r="BL21" s="169">
        <f t="shared" si="90"/>
        <v>-13</v>
      </c>
      <c r="BM21" s="169">
        <f t="shared" si="90"/>
        <v>-14</v>
      </c>
      <c r="BN21" s="169">
        <f t="shared" si="90"/>
        <v>-18</v>
      </c>
      <c r="BO21" s="169">
        <f t="shared" si="90"/>
        <v>-21</v>
      </c>
      <c r="BP21" s="169">
        <f t="shared" si="90"/>
        <v>-22</v>
      </c>
      <c r="BQ21" s="169">
        <f t="shared" si="90"/>
        <v>-27</v>
      </c>
      <c r="BR21" s="169">
        <f t="shared" si="90"/>
        <v>-25</v>
      </c>
      <c r="BS21" s="169">
        <f t="shared" si="90"/>
        <v>-14</v>
      </c>
      <c r="BT21" s="169">
        <f t="shared" si="90"/>
        <v>-10</v>
      </c>
      <c r="BU21" s="169">
        <f t="shared" si="90"/>
        <v>-10</v>
      </c>
      <c r="BV21" s="169">
        <f t="shared" si="90"/>
        <v>-7</v>
      </c>
      <c r="BW21" s="170">
        <f t="shared" si="90"/>
        <v>-10</v>
      </c>
      <c r="BX21" s="169">
        <f t="shared" si="90"/>
        <v>-18</v>
      </c>
      <c r="BY21" s="169">
        <f t="shared" si="90"/>
        <v>-19</v>
      </c>
      <c r="BZ21" s="169">
        <f t="shared" si="90"/>
        <v>-25</v>
      </c>
      <c r="CA21" s="169">
        <f t="shared" si="90"/>
        <v>-29</v>
      </c>
      <c r="CB21" s="169">
        <f t="shared" si="90"/>
        <v>-31</v>
      </c>
      <c r="CC21" s="169">
        <f t="shared" si="90"/>
        <v>-38</v>
      </c>
      <c r="CD21" s="169">
        <f t="shared" ref="CD21:DG21" si="91">+ROUNDUP(CC17*CC42, 0)</f>
        <v>-35</v>
      </c>
      <c r="CE21" s="169">
        <f t="shared" si="91"/>
        <v>-19</v>
      </c>
      <c r="CF21" s="169">
        <f t="shared" si="91"/>
        <v>-14</v>
      </c>
      <c r="CG21" s="169">
        <f t="shared" si="91"/>
        <v>-14</v>
      </c>
      <c r="CH21" s="169">
        <f t="shared" si="91"/>
        <v>-10</v>
      </c>
      <c r="CI21" s="170">
        <f t="shared" si="91"/>
        <v>-14</v>
      </c>
      <c r="CJ21" s="169">
        <f t="shared" si="91"/>
        <v>-26</v>
      </c>
      <c r="CK21" s="169">
        <f t="shared" si="91"/>
        <v>-27</v>
      </c>
      <c r="CL21" s="169">
        <f t="shared" si="91"/>
        <v>-35</v>
      </c>
      <c r="CM21" s="169">
        <f t="shared" si="91"/>
        <v>-41</v>
      </c>
      <c r="CN21" s="169">
        <f t="shared" si="91"/>
        <v>-43</v>
      </c>
      <c r="CO21" s="169">
        <f t="shared" si="91"/>
        <v>-54</v>
      </c>
      <c r="CP21" s="169">
        <f t="shared" si="91"/>
        <v>-49</v>
      </c>
      <c r="CQ21" s="169">
        <f t="shared" si="91"/>
        <v>-27</v>
      </c>
      <c r="CR21" s="169">
        <f t="shared" si="91"/>
        <v>-20</v>
      </c>
      <c r="CS21" s="169">
        <f t="shared" si="91"/>
        <v>-19</v>
      </c>
      <c r="CT21" s="169">
        <f t="shared" si="91"/>
        <v>-14</v>
      </c>
      <c r="CU21" s="170">
        <f t="shared" si="91"/>
        <v>-19</v>
      </c>
      <c r="CV21" s="169">
        <f t="shared" si="91"/>
        <v>-36</v>
      </c>
      <c r="CW21" s="169">
        <f t="shared" si="91"/>
        <v>-38</v>
      </c>
      <c r="CX21" s="169">
        <f t="shared" si="91"/>
        <v>-49</v>
      </c>
      <c r="CY21" s="169">
        <f t="shared" si="91"/>
        <v>-57</v>
      </c>
      <c r="CZ21" s="169">
        <f t="shared" si="91"/>
        <v>-60</v>
      </c>
      <c r="DA21" s="169">
        <f t="shared" si="91"/>
        <v>-75</v>
      </c>
      <c r="DB21" s="169">
        <f t="shared" si="91"/>
        <v>-69</v>
      </c>
      <c r="DC21" s="169">
        <f t="shared" si="91"/>
        <v>-38</v>
      </c>
      <c r="DD21" s="169">
        <f t="shared" si="91"/>
        <v>-28</v>
      </c>
      <c r="DE21" s="169">
        <f t="shared" si="91"/>
        <v>-26</v>
      </c>
      <c r="DF21" s="169">
        <f t="shared" si="91"/>
        <v>-20</v>
      </c>
      <c r="DG21" s="170">
        <f t="shared" si="91"/>
        <v>-26</v>
      </c>
    </row>
    <row r="22" spans="1:111" x14ac:dyDescent="0.3">
      <c r="A22" s="34"/>
      <c r="B22" s="34"/>
      <c r="C22" s="488" t="s">
        <v>327</v>
      </c>
      <c r="D22" s="15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9">
        <v>21</v>
      </c>
      <c r="Q22" s="49">
        <v>22</v>
      </c>
      <c r="R22" s="49">
        <v>20</v>
      </c>
      <c r="S22" s="49">
        <v>16</v>
      </c>
      <c r="T22" s="49">
        <v>25</v>
      </c>
      <c r="U22" s="49">
        <v>22</v>
      </c>
      <c r="V22" s="49">
        <v>23</v>
      </c>
      <c r="W22" s="49">
        <v>70</v>
      </c>
      <c r="X22" s="49">
        <v>110</v>
      </c>
      <c r="Y22" s="49">
        <v>114</v>
      </c>
      <c r="Z22" s="49">
        <v>73</v>
      </c>
      <c r="AA22" s="519">
        <v>31</v>
      </c>
      <c r="AB22" s="49">
        <v>34</v>
      </c>
      <c r="AC22" s="49">
        <v>56</v>
      </c>
      <c r="AD22" s="49">
        <v>36</v>
      </c>
      <c r="AE22" s="49">
        <v>49</v>
      </c>
      <c r="AF22" s="49">
        <v>76</v>
      </c>
      <c r="AG22" s="49">
        <v>45</v>
      </c>
      <c r="AH22" s="49">
        <v>118</v>
      </c>
      <c r="AI22" s="49">
        <v>169</v>
      </c>
      <c r="AJ22" s="49">
        <v>125</v>
      </c>
      <c r="AK22" s="49">
        <v>173</v>
      </c>
      <c r="AL22" s="49">
        <v>90</v>
      </c>
      <c r="AM22" s="519">
        <v>50</v>
      </c>
      <c r="AN22" s="49">
        <v>56</v>
      </c>
      <c r="AO22" s="49">
        <v>66</v>
      </c>
      <c r="AP22" s="49">
        <v>73</v>
      </c>
      <c r="AQ22" s="49">
        <v>37</v>
      </c>
      <c r="AR22" s="49">
        <v>62</v>
      </c>
      <c r="AS22" s="49">
        <v>51</v>
      </c>
      <c r="AT22" s="49">
        <v>120</v>
      </c>
      <c r="AU22" s="49">
        <v>163</v>
      </c>
      <c r="AV22" s="49">
        <v>240</v>
      </c>
      <c r="AW22" s="583">
        <v>275</v>
      </c>
      <c r="AX22" s="144">
        <f>+AVERAGE(AU22:AW22)</f>
        <v>226</v>
      </c>
      <c r="AY22" s="733">
        <f t="shared" ref="AY22:CN22" si="92">+(AX22/AX26)*AY26</f>
        <v>161.64278949828994</v>
      </c>
      <c r="AZ22" s="145">
        <f t="shared" si="92"/>
        <v>214.41900443613318</v>
      </c>
      <c r="BA22" s="145">
        <f t="shared" si="92"/>
        <v>252.80876108550945</v>
      </c>
      <c r="BB22" s="145">
        <f t="shared" si="92"/>
        <v>312.21206840757804</v>
      </c>
      <c r="BC22" s="145">
        <f t="shared" si="92"/>
        <v>144.08308979273801</v>
      </c>
      <c r="BD22" s="145">
        <f t="shared" si="92"/>
        <v>265.3412051612903</v>
      </c>
      <c r="BE22" s="145">
        <f t="shared" si="92"/>
        <v>170.27207432258061</v>
      </c>
      <c r="BF22" s="145">
        <f t="shared" si="92"/>
        <v>268.04284133128522</v>
      </c>
      <c r="BG22" s="145">
        <f t="shared" si="92"/>
        <v>284.07762580645158</v>
      </c>
      <c r="BH22" s="145">
        <f t="shared" si="92"/>
        <v>399.69014772055573</v>
      </c>
      <c r="BI22" s="145">
        <f t="shared" si="92"/>
        <v>416.2514330265455</v>
      </c>
      <c r="BJ22" s="145">
        <f t="shared" si="92"/>
        <v>289.69311827956977</v>
      </c>
      <c r="BK22" s="146">
        <f t="shared" si="92"/>
        <v>319.4205639690623</v>
      </c>
      <c r="BL22" s="145">
        <f t="shared" si="92"/>
        <v>361.59517359513768</v>
      </c>
      <c r="BM22" s="145">
        <f t="shared" si="92"/>
        <v>415.6431103737836</v>
      </c>
      <c r="BN22" s="145">
        <f t="shared" si="92"/>
        <v>518.42713891107655</v>
      </c>
      <c r="BO22" s="145">
        <f t="shared" si="92"/>
        <v>221.25100920679427</v>
      </c>
      <c r="BP22" s="145">
        <f t="shared" si="92"/>
        <v>393.12557109677391</v>
      </c>
      <c r="BQ22" s="145">
        <f t="shared" si="92"/>
        <v>247.41390534193525</v>
      </c>
      <c r="BR22" s="145">
        <f t="shared" si="92"/>
        <v>365.77528947875038</v>
      </c>
      <c r="BS22" s="145">
        <f t="shared" si="92"/>
        <v>423.53619219662022</v>
      </c>
      <c r="BT22" s="145">
        <f t="shared" si="92"/>
        <v>566.05047267056477</v>
      </c>
      <c r="BU22" s="145">
        <f t="shared" si="92"/>
        <v>561.05039811880249</v>
      </c>
      <c r="BV22" s="145">
        <f t="shared" si="92"/>
        <v>428.44739784946205</v>
      </c>
      <c r="BW22" s="146">
        <f t="shared" si="92"/>
        <v>450.01385350688508</v>
      </c>
      <c r="BX22" s="145">
        <f t="shared" si="92"/>
        <v>510.29018428299781</v>
      </c>
      <c r="BY22" s="145">
        <f t="shared" si="92"/>
        <v>618.55495074408543</v>
      </c>
      <c r="BZ22" s="145">
        <f t="shared" si="92"/>
        <v>736.25964595186827</v>
      </c>
      <c r="CA22" s="145">
        <f t="shared" si="92"/>
        <v>286.97364904472471</v>
      </c>
      <c r="CB22" s="145">
        <f t="shared" si="92"/>
        <v>612.95379396128976</v>
      </c>
      <c r="CC22" s="145">
        <f t="shared" si="92"/>
        <v>352.40146833892436</v>
      </c>
      <c r="CD22" s="145">
        <f t="shared" si="92"/>
        <v>497.50274862795646</v>
      </c>
      <c r="CE22" s="145">
        <f t="shared" si="92"/>
        <v>633.10690360266187</v>
      </c>
      <c r="CF22" s="145">
        <f t="shared" si="92"/>
        <v>770.06622633314396</v>
      </c>
      <c r="CG22" s="145">
        <f t="shared" si="92"/>
        <v>836.66538038335602</v>
      </c>
      <c r="CH22" s="145">
        <f t="shared" si="92"/>
        <v>608.73675125447983</v>
      </c>
      <c r="CI22" s="146">
        <f t="shared" si="92"/>
        <v>583.8331204180995</v>
      </c>
      <c r="CJ22" s="145">
        <f t="shared" si="92"/>
        <v>789.10992414432417</v>
      </c>
      <c r="CK22" s="145">
        <f t="shared" si="92"/>
        <v>828.85399064905198</v>
      </c>
      <c r="CL22" s="145">
        <f t="shared" si="92"/>
        <v>990.95109832858736</v>
      </c>
      <c r="CM22" s="145">
        <f t="shared" si="92"/>
        <v>422.98136975259416</v>
      </c>
      <c r="CN22" s="145">
        <f t="shared" si="92"/>
        <v>862.65142337376244</v>
      </c>
      <c r="CO22" s="145">
        <f t="shared" ref="CO22:DG22" si="93">+(CN22/CN26)*CO26</f>
        <v>470.93650768928956</v>
      </c>
      <c r="CP22" s="145">
        <f t="shared" si="93"/>
        <v>729.67069798766909</v>
      </c>
      <c r="CQ22" s="145">
        <f t="shared" si="93"/>
        <v>883.94895024597918</v>
      </c>
      <c r="CR22" s="145">
        <f t="shared" si="93"/>
        <v>1022.0391387265282</v>
      </c>
      <c r="CS22" s="145">
        <f t="shared" si="93"/>
        <v>1223.2631160310259</v>
      </c>
      <c r="CT22" s="145">
        <f t="shared" si="93"/>
        <v>851.34041232974801</v>
      </c>
      <c r="CU22" s="146">
        <f t="shared" si="93"/>
        <v>819.0859727289378</v>
      </c>
      <c r="CV22" s="145">
        <f t="shared" si="93"/>
        <v>1109.1972104089832</v>
      </c>
      <c r="CW22" s="145">
        <f t="shared" si="93"/>
        <v>1163.4811291513761</v>
      </c>
      <c r="CX22" s="145">
        <f t="shared" si="93"/>
        <v>1327.8529917155538</v>
      </c>
      <c r="CY22" s="145">
        <f t="shared" si="93"/>
        <v>623.33247616698065</v>
      </c>
      <c r="CZ22" s="145">
        <f t="shared" si="93"/>
        <v>1214.4861604652028</v>
      </c>
      <c r="DA22" s="145">
        <f t="shared" si="93"/>
        <v>634.0742081018484</v>
      </c>
      <c r="DB22" s="145">
        <f t="shared" si="93"/>
        <v>1076.3042717141775</v>
      </c>
      <c r="DC22" s="145">
        <f t="shared" si="93"/>
        <v>1190.6119497490204</v>
      </c>
      <c r="DD22" s="145">
        <f t="shared" si="93"/>
        <v>1509.824965733316</v>
      </c>
      <c r="DE22" s="145">
        <f t="shared" si="93"/>
        <v>1724.3651924867686</v>
      </c>
      <c r="DF22" s="145">
        <f t="shared" si="93"/>
        <v>1143.6541326451597</v>
      </c>
      <c r="DG22" s="146">
        <f t="shared" si="93"/>
        <v>1210.3335436117688</v>
      </c>
    </row>
    <row r="23" spans="1:111" x14ac:dyDescent="0.3">
      <c r="A23" s="34"/>
      <c r="B23" s="111" t="s">
        <v>176</v>
      </c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520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520"/>
      <c r="AN23" s="15"/>
      <c r="AO23" s="15"/>
      <c r="AP23" s="15"/>
      <c r="AQ23" s="15"/>
      <c r="AR23" s="15"/>
      <c r="AS23" s="15"/>
      <c r="AT23" s="15"/>
      <c r="AU23" s="15"/>
      <c r="AV23" s="15"/>
      <c r="AW23" s="585"/>
      <c r="AX23" s="16"/>
      <c r="AY23" s="17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324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324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324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324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7"/>
    </row>
    <row r="24" spans="1:111" x14ac:dyDescent="0.3">
      <c r="A24" s="35"/>
      <c r="B24" s="112">
        <v>125</v>
      </c>
      <c r="C24" s="489" t="s">
        <v>61</v>
      </c>
      <c r="D24" s="18"/>
      <c r="E24" s="18">
        <f>NETWORKDAYS(D4+1,E4,Holidays!$B$3:$B$62)</f>
        <v>19</v>
      </c>
      <c r="F24" s="18">
        <f>NETWORKDAYS(E4+1,F4,Holidays!$B$3:$B$62)</f>
        <v>23</v>
      </c>
      <c r="G24" s="18">
        <f>NETWORKDAYS(F4+1,G4,Holidays!$B$3:$B$62)</f>
        <v>21</v>
      </c>
      <c r="H24" s="18">
        <f>NETWORKDAYS(G4+1,H4,Holidays!$B$3:$B$62)</f>
        <v>21</v>
      </c>
      <c r="I24" s="18">
        <f>NETWORKDAYS(H4+1,I4,Holidays!$B$3:$B$62)</f>
        <v>22</v>
      </c>
      <c r="J24" s="18">
        <f>NETWORKDAYS(I4+1,J4,Holidays!$B$3:$B$62)</f>
        <v>20</v>
      </c>
      <c r="K24" s="18">
        <f>NETWORKDAYS(J4+1,K4,Holidays!$B$3:$B$62)</f>
        <v>23</v>
      </c>
      <c r="L24" s="18">
        <f>NETWORKDAYS(K4+1,L4,Holidays!$B$3:$B$62)</f>
        <v>21</v>
      </c>
      <c r="M24" s="18">
        <f>NETWORKDAYS(L4+1,M4,Holidays!$B$3:$B$62)</f>
        <v>21</v>
      </c>
      <c r="N24" s="18">
        <f>NETWORKDAYS(M4+1,N4,Holidays!$B$3:$B$62)</f>
        <v>21</v>
      </c>
      <c r="O24" s="18">
        <f>NETWORKDAYS(N4+1,O4,Holidays!$B$3:$B$62)</f>
        <v>21</v>
      </c>
      <c r="P24" s="18">
        <f>NETWORKDAYS(O4+1,P4,Holidays!$B$3:$B$62)</f>
        <v>21</v>
      </c>
      <c r="Q24" s="18">
        <f>NETWORKDAYS(P4+1,Q4,Holidays!$B$3:$B$62)</f>
        <v>19</v>
      </c>
      <c r="R24" s="18">
        <f>NETWORKDAYS(Q4+1,R4,Holidays!$B$3:$B$62)</f>
        <v>23</v>
      </c>
      <c r="S24" s="18">
        <f>NETWORKDAYS(R4+1,S4,Holidays!$B$3:$B$62)</f>
        <v>20</v>
      </c>
      <c r="T24" s="18">
        <f>NETWORKDAYS(S4+1,T4,Holidays!$B$3:$B$62)</f>
        <v>22</v>
      </c>
      <c r="U24" s="18">
        <f>NETWORKDAYS(T4+1,U4,Holidays!$B$3:$B$62)</f>
        <v>22</v>
      </c>
      <c r="V24" s="18">
        <f>NETWORKDAYS(U4+1,V4,Holidays!$B$3:$B$62)</f>
        <v>20</v>
      </c>
      <c r="W24" s="18">
        <f>NETWORKDAYS(V4+1,W4,Holidays!$B$3:$B$62)</f>
        <v>23</v>
      </c>
      <c r="X24" s="18">
        <f>NETWORKDAYS(W4+1,X4,Holidays!$B$3:$B$62)</f>
        <v>20</v>
      </c>
      <c r="Y24" s="18">
        <f>NETWORKDAYS(X4+1,Y4,Holidays!$B$3:$B$62)</f>
        <v>22</v>
      </c>
      <c r="Z24" s="18">
        <f>NETWORKDAYS(Y4+1,Z4,Holidays!$B$3:$B$62)</f>
        <v>20</v>
      </c>
      <c r="AA24" s="521">
        <f>NETWORKDAYS(Z4+1,AA4,Holidays!$B$3:$B$62)</f>
        <v>19</v>
      </c>
      <c r="AB24" s="18">
        <f>NETWORKDAYS(AA4+1,AB4,Holidays!$B$3:$B$62)</f>
        <v>22</v>
      </c>
      <c r="AC24" s="18">
        <f>NETWORKDAYS(AB4+1,AC4,Holidays!$B$3:$B$62)</f>
        <v>21</v>
      </c>
      <c r="AD24" s="18">
        <f>NETWORKDAYS(AC4+1,AD4,Holidays!$B$3:$B$62)</f>
        <v>21</v>
      </c>
      <c r="AE24" s="18">
        <f>NETWORKDAYS(AD4+1,AE4,Holidays!$B$3:$B$62)</f>
        <v>22</v>
      </c>
      <c r="AF24" s="18">
        <f>NETWORKDAYS(AE4+1,AF4,Holidays!$B$3:$B$62)</f>
        <v>23</v>
      </c>
      <c r="AG24" s="18">
        <f>NETWORKDAYS(AF4+1,AG4,Holidays!$B$3:$B$62)</f>
        <v>20</v>
      </c>
      <c r="AH24" s="18">
        <f>NETWORKDAYS(AG4+1,AH4,Holidays!$B$3:$B$62)</f>
        <v>22</v>
      </c>
      <c r="AI24" s="18">
        <f>NETWORKDAYS(AH4+1,AI4,Holidays!$B$3:$B$62)</f>
        <v>22</v>
      </c>
      <c r="AJ24" s="18">
        <f>NETWORKDAYS(AI4+1,AJ4,Holidays!$B$3:$B$62)</f>
        <v>21</v>
      </c>
      <c r="AK24" s="18">
        <f>NETWORKDAYS(AJ4+1,AK4,Holidays!$B$3:$B$62)</f>
        <v>23</v>
      </c>
      <c r="AL24" s="18">
        <f>NETWORKDAYS(AK4+1,AL4,Holidays!$B$3:$B$62)</f>
        <v>19</v>
      </c>
      <c r="AM24" s="521">
        <f>NETWORKDAYS(AL4+1,AM4,Holidays!$B$3:$B$62)</f>
        <v>19</v>
      </c>
      <c r="AN24" s="18">
        <f>NETWORKDAYS(AM4+1,AN4,Holidays!$B$3:$B$62)</f>
        <v>23</v>
      </c>
      <c r="AO24" s="18">
        <f>NETWORKDAYS(AN4+1,AO4,Holidays!$B$3:$B$62)</f>
        <v>20</v>
      </c>
      <c r="AP24" s="18">
        <f>NETWORKDAYS(AO4+1,AP4,Holidays!$B$3:$B$62)</f>
        <v>21</v>
      </c>
      <c r="AQ24" s="18">
        <f>NETWORKDAYS(AP4+1,AQ4,Holidays!$B$3:$B$62)</f>
        <v>22</v>
      </c>
      <c r="AR24" s="18">
        <f>NETWORKDAYS(AQ4+1,AR4,Holidays!$B$3:$B$62)</f>
        <v>22</v>
      </c>
      <c r="AS24" s="18">
        <f>NETWORKDAYS(AR4+1,AS4,Holidays!$B$3:$B$62)</f>
        <v>21</v>
      </c>
      <c r="AT24" s="18">
        <f>NETWORKDAYS(AS4+1,AT4,Holidays!$B$3:$B$62)</f>
        <v>22</v>
      </c>
      <c r="AU24" s="18">
        <f>NETWORKDAYS(AT4+1,AU4,Holidays!$B$3:$B$62)</f>
        <v>21</v>
      </c>
      <c r="AV24" s="18">
        <f>NETWORKDAYS(AU4+1,AV4,Holidays!$B$3:$B$62)</f>
        <v>22</v>
      </c>
      <c r="AW24" s="586">
        <f>NETWORKDAYS(AV4+1,AW4,Holidays!$B$3:$B$62)</f>
        <v>23</v>
      </c>
      <c r="AX24" s="19">
        <f>NETWORKDAYS(AW4+1,AX4,Holidays!$B$3:$B$62)</f>
        <v>18</v>
      </c>
      <c r="AY24" s="20">
        <f>NETWORKDAYS(AX4+1,AY4,Holidays!$B$3:$B$62)</f>
        <v>21</v>
      </c>
      <c r="AZ24" s="19">
        <f>NETWORKDAYS(AY4+1,AZ4,Holidays!$B$3:$B$62)</f>
        <v>22</v>
      </c>
      <c r="BA24" s="19">
        <f>NETWORKDAYS(AZ4+1,BA4,Holidays!$B$3:$B$62)</f>
        <v>20</v>
      </c>
      <c r="BB24" s="19">
        <f>NETWORKDAYS(BA4+1,BB4,Holidays!$B$3:$B$62)</f>
        <v>22</v>
      </c>
      <c r="BC24" s="19">
        <f>NETWORKDAYS(BB4+1,BC4,Holidays!$B$3:$B$62)</f>
        <v>22</v>
      </c>
      <c r="BD24" s="19">
        <f>NETWORKDAYS(BC4+1,BD4,Holidays!$B$3:$B$62)</f>
        <v>21</v>
      </c>
      <c r="BE24" s="19">
        <f>NETWORKDAYS(BD4+1,BE4,Holidays!$B$3:$B$62)</f>
        <v>22</v>
      </c>
      <c r="BF24" s="19">
        <f>NETWORKDAYS(BE4+1,BF4,Holidays!$B$3:$B$62)</f>
        <v>23</v>
      </c>
      <c r="BG24" s="19">
        <f>NETWORKDAYS(BF4+1,BG4,Holidays!$B$3:$B$62)</f>
        <v>21</v>
      </c>
      <c r="BH24" s="19">
        <f>NETWORKDAYS(BG4+1,BH4,Holidays!$B$3:$B$62)</f>
        <v>22</v>
      </c>
      <c r="BI24" s="19">
        <f>NETWORKDAYS(BH4+1,BI4,Holidays!$B$3:$B$62)</f>
        <v>22</v>
      </c>
      <c r="BJ24" s="19">
        <f>NETWORKDAYS(BI4+1,BJ4,Holidays!$B$3:$B$62)</f>
        <v>21</v>
      </c>
      <c r="BK24" s="325">
        <f>NETWORKDAYS(BJ4+1,BK4,Holidays!$B$3:$B$62)</f>
        <v>23</v>
      </c>
      <c r="BL24" s="19">
        <f>NETWORKDAYS(BK4+1,BL4,Holidays!$B$3:$B$62)</f>
        <v>21</v>
      </c>
      <c r="BM24" s="19">
        <f>NETWORKDAYS(BL4+1,BM4,Holidays!$B$3:$B$62)</f>
        <v>20</v>
      </c>
      <c r="BN24" s="19">
        <f>NETWORKDAYS(BM4+1,BN4,Holidays!$B$3:$B$62)</f>
        <v>23</v>
      </c>
      <c r="BO24" s="19">
        <f>NETWORKDAYS(BN4+1,BO4,Holidays!$B$3:$B$62)</f>
        <v>22</v>
      </c>
      <c r="BP24" s="19">
        <f>NETWORKDAYS(BO4+1,BP4,Holidays!$B$3:$B$62)</f>
        <v>21</v>
      </c>
      <c r="BQ24" s="19">
        <f>NETWORKDAYS(BP4+1,BQ4,Holidays!$B$3:$B$62)</f>
        <v>22</v>
      </c>
      <c r="BR24" s="19">
        <f>NETWORKDAYS(BQ4+1,BR4,Holidays!$B$3:$B$62)</f>
        <v>22</v>
      </c>
      <c r="BS24" s="19">
        <f>NETWORKDAYS(BR4+1,BS4,Holidays!$B$3:$B$62)</f>
        <v>22</v>
      </c>
      <c r="BT24" s="19">
        <f>NETWORKDAYS(BS4+1,BT4,Holidays!$B$3:$B$62)</f>
        <v>22</v>
      </c>
      <c r="BU24" s="19">
        <f>NETWORKDAYS(BT4+1,BU4,Holidays!$B$3:$B$62)</f>
        <v>21</v>
      </c>
      <c r="BV24" s="19">
        <f>NETWORKDAYS(BU4+1,BV4,Holidays!$B$3:$B$62)</f>
        <v>22</v>
      </c>
      <c r="BW24" s="325">
        <f>NETWORKDAYS(BV4+1,BW4,Holidays!$B$3:$B$62)</f>
        <v>23</v>
      </c>
      <c r="BX24" s="19">
        <f>NETWORKDAYS(BW4+1,BX4,Holidays!$B$3:$B$62)</f>
        <v>21</v>
      </c>
      <c r="BY24" s="19">
        <f>NETWORKDAYS(BX4+1,BY4,Holidays!$B$3:$B$62)</f>
        <v>21</v>
      </c>
      <c r="BZ24" s="19">
        <f>NETWORKDAYS(BY4+1,BZ4,Holidays!$B$3:$B$62)</f>
        <v>23</v>
      </c>
      <c r="CA24" s="19">
        <f>NETWORKDAYS(BZ4+1,CA4,Holidays!$B$3:$B$62)</f>
        <v>20</v>
      </c>
      <c r="CB24" s="19">
        <f>NETWORKDAYS(CA4+1,CB4,Holidays!$B$3:$B$62)</f>
        <v>23</v>
      </c>
      <c r="CC24" s="19">
        <f>NETWORKDAYS(CB4+1,CC4,Holidays!$B$3:$B$62)</f>
        <v>22</v>
      </c>
      <c r="CD24" s="19">
        <f>NETWORKDAYS(CC4+1,CD4,Holidays!$B$3:$B$62)</f>
        <v>21</v>
      </c>
      <c r="CE24" s="19">
        <f>NETWORKDAYS(CD4+1,CE4,Holidays!$B$3:$B$62)</f>
        <v>23</v>
      </c>
      <c r="CF24" s="19">
        <f>NETWORKDAYS(CE4+1,CF4,Holidays!$B$3:$B$62)</f>
        <v>21</v>
      </c>
      <c r="CG24" s="19">
        <f>NETWORKDAYS(CF4+1,CG4,Holidays!$B$3:$B$62)</f>
        <v>22</v>
      </c>
      <c r="CH24" s="19">
        <f>NETWORKDAYS(CG4+1,CH4,Holidays!$B$3:$B$62)</f>
        <v>22</v>
      </c>
      <c r="CI24" s="325">
        <f>NETWORKDAYS(CH4+1,CI4,Holidays!$B$3:$B$62)</f>
        <v>21</v>
      </c>
      <c r="CJ24" s="19">
        <f>NETWORKDAYS(CI4+1,CJ4,Holidays!$B$3:$B$62)</f>
        <v>23</v>
      </c>
      <c r="CK24" s="19">
        <f>NETWORKDAYS(CJ4+1,CK4,Holidays!$B$3:$B$62)</f>
        <v>20</v>
      </c>
      <c r="CL24" s="19">
        <f>NETWORKDAYS(CK4+1,CL4,Holidays!$B$3:$B$62)</f>
        <v>22</v>
      </c>
      <c r="CM24" s="19">
        <f>NETWORKDAYS(CL4+1,CM4,Holidays!$B$3:$B$62)</f>
        <v>21</v>
      </c>
      <c r="CN24" s="19">
        <f>NETWORKDAYS(CM4+1,CN4,Holidays!$B$3:$B$62)</f>
        <v>23</v>
      </c>
      <c r="CO24" s="19">
        <f>NETWORKDAYS(CN4+1,CO4,Holidays!$B$3:$B$62)</f>
        <v>21</v>
      </c>
      <c r="CP24" s="19">
        <f>NETWORKDAYS(CO4+1,CP4,Holidays!$B$3:$B$62)</f>
        <v>22</v>
      </c>
      <c r="CQ24" s="19">
        <f>NETWORKDAYS(CP4+1,CQ4,Holidays!$B$3:$B$62)</f>
        <v>23</v>
      </c>
      <c r="CR24" s="19">
        <f>NETWORKDAYS(CQ4+1,CR4,Holidays!$B$3:$B$62)</f>
        <v>20</v>
      </c>
      <c r="CS24" s="19">
        <f>NETWORKDAYS(CR4+1,CS4,Holidays!$B$3:$B$62)</f>
        <v>23</v>
      </c>
      <c r="CT24" s="19">
        <f>NETWORKDAYS(CS4+1,CT4,Holidays!$B$3:$B$62)</f>
        <v>22</v>
      </c>
      <c r="CU24" s="325">
        <f>NETWORKDAYS(CT4+1,CU4,Holidays!$B$3:$B$62)</f>
        <v>21</v>
      </c>
      <c r="CV24" s="19">
        <f>NETWORKDAYS(CU4+1,CV4,Holidays!$B$3:$B$62)</f>
        <v>23</v>
      </c>
      <c r="CW24" s="19">
        <f>NETWORKDAYS(CV4+1,CW4,Holidays!$B$3:$B$62)</f>
        <v>20</v>
      </c>
      <c r="CX24" s="19">
        <f>NETWORKDAYS(CW4+1,CX4,Holidays!$B$3:$B$62)</f>
        <v>21</v>
      </c>
      <c r="CY24" s="19">
        <f>NETWORKDAYS(CX4+1,CY4,Holidays!$B$3:$B$62)</f>
        <v>22</v>
      </c>
      <c r="CZ24" s="19">
        <f>NETWORKDAYS(CY4+1,CZ4,Holidays!$B$3:$B$62)</f>
        <v>23</v>
      </c>
      <c r="DA24" s="19">
        <f>NETWORKDAYS(CZ4+1,DA4,Holidays!$B$3:$B$62)</f>
        <v>20</v>
      </c>
      <c r="DB24" s="19">
        <f>NETWORKDAYS(DA4+1,DB4,Holidays!$B$3:$B$62)</f>
        <v>23</v>
      </c>
      <c r="DC24" s="19">
        <f>NETWORKDAYS(DB4+1,DC4,Holidays!$B$3:$B$62)</f>
        <v>22</v>
      </c>
      <c r="DD24" s="19">
        <f>NETWORKDAYS(DC4+1,DD4,Holidays!$B$3:$B$62)</f>
        <v>21</v>
      </c>
      <c r="DE24" s="19">
        <f>NETWORKDAYS(DD4+1,DE4,Holidays!$B$3:$B$62)</f>
        <v>23</v>
      </c>
      <c r="DF24" s="19">
        <f>NETWORKDAYS(DE4+1,DF4,Holidays!$B$3:$B$62)</f>
        <v>21</v>
      </c>
      <c r="DG24" s="20">
        <f>NETWORKDAYS(DF4+1,DG4,Holidays!$B$3:$B$62)</f>
        <v>22</v>
      </c>
    </row>
    <row r="25" spans="1:111" ht="18" x14ac:dyDescent="0.3">
      <c r="A25" s="36"/>
      <c r="B25" s="36"/>
      <c r="C25" s="489" t="s">
        <v>238</v>
      </c>
      <c r="D25" s="21"/>
      <c r="E25" s="21">
        <f t="shared" ref="E25:W25" si="94">+E26/E24/E17</f>
        <v>4.3859649122807015E-3</v>
      </c>
      <c r="F25" s="21">
        <f t="shared" si="94"/>
        <v>5.434782608695652E-3</v>
      </c>
      <c r="G25" s="21">
        <f t="shared" si="94"/>
        <v>6.8027210884353739E-3</v>
      </c>
      <c r="H25" s="21">
        <f t="shared" si="94"/>
        <v>4.7619047619047615E-3</v>
      </c>
      <c r="I25" s="21">
        <f t="shared" si="94"/>
        <v>3.4965034965034965E-3</v>
      </c>
      <c r="J25" s="21">
        <f t="shared" si="94"/>
        <v>4.5454545454545461E-3</v>
      </c>
      <c r="K25" s="21">
        <f t="shared" si="94"/>
        <v>6.5217391304347824E-2</v>
      </c>
      <c r="L25" s="21">
        <f t="shared" si="94"/>
        <v>0.10846560846560846</v>
      </c>
      <c r="M25" s="21">
        <f t="shared" si="94"/>
        <v>0.16036414565826332</v>
      </c>
      <c r="N25" s="21">
        <f t="shared" si="94"/>
        <v>0.13419913419913421</v>
      </c>
      <c r="O25" s="21">
        <f t="shared" si="94"/>
        <v>0.10204081632653061</v>
      </c>
      <c r="P25" s="21">
        <f t="shared" si="94"/>
        <v>0.10448412698412697</v>
      </c>
      <c r="Q25" s="21">
        <f t="shared" si="94"/>
        <v>0.1118421052631579</v>
      </c>
      <c r="R25" s="21">
        <f t="shared" si="94"/>
        <v>9.1304347826086957E-2</v>
      </c>
      <c r="S25" s="21">
        <f t="shared" si="94"/>
        <v>0.13035714285714287</v>
      </c>
      <c r="T25" s="21">
        <f t="shared" si="94"/>
        <v>0.21338383838383837</v>
      </c>
      <c r="U25" s="21">
        <f t="shared" si="94"/>
        <v>0.14685314685314685</v>
      </c>
      <c r="V25" s="21">
        <f t="shared" si="94"/>
        <v>0.19843749999999999</v>
      </c>
      <c r="W25" s="21">
        <f t="shared" si="94"/>
        <v>0.19279176201372997</v>
      </c>
      <c r="X25" s="21">
        <f t="shared" ref="X25:AA25" si="95">+X26/X24/X17</f>
        <v>0.22500000000000001</v>
      </c>
      <c r="Y25" s="21">
        <f t="shared" si="95"/>
        <v>0.19353693181818182</v>
      </c>
      <c r="Z25" s="21">
        <f t="shared" si="95"/>
        <v>0.13125000000000001</v>
      </c>
      <c r="AA25" s="522">
        <f t="shared" si="95"/>
        <v>9.5567867036011084E-2</v>
      </c>
      <c r="AB25" s="21">
        <f>+AB26/AB24/AB17</f>
        <v>0.12784090909090909</v>
      </c>
      <c r="AC25" s="21">
        <f>+AC26/AC24/AC17</f>
        <v>0.2365079365079365</v>
      </c>
      <c r="AD25" s="21">
        <f t="shared" ref="AD25" si="96">+AD26/AD24/AD17</f>
        <v>0.14345238095238094</v>
      </c>
      <c r="AE25" s="21">
        <f t="shared" ref="AE25:AK25" si="97">+AE26/AE24/AE17</f>
        <v>0.18649732620320855</v>
      </c>
      <c r="AF25" s="21">
        <f t="shared" si="97"/>
        <v>0.19456521739130433</v>
      </c>
      <c r="AG25" s="21">
        <f t="shared" si="97"/>
        <v>0.12395833333333334</v>
      </c>
      <c r="AH25" s="21">
        <f t="shared" si="97"/>
        <v>0.20568181818181819</v>
      </c>
      <c r="AI25" s="21">
        <f t="shared" si="97"/>
        <v>0.26525119617224879</v>
      </c>
      <c r="AJ25" s="21">
        <f t="shared" si="97"/>
        <v>0.16241496598639454</v>
      </c>
      <c r="AK25" s="21">
        <f t="shared" si="97"/>
        <v>0.19180253623188406</v>
      </c>
      <c r="AL25" s="21">
        <f t="shared" ref="AL25:AN25" si="98">+AL26/AL24/AL17</f>
        <v>0.14204545454545456</v>
      </c>
      <c r="AM25" s="522">
        <f t="shared" si="98"/>
        <v>0.14359267734553777</v>
      </c>
      <c r="AN25" s="21">
        <f t="shared" si="98"/>
        <v>0.1693840579710145</v>
      </c>
      <c r="AO25" s="21">
        <f t="shared" ref="AO25:AP25" si="99">+AO26/AO24/AO17</f>
        <v>0.18035714285714285</v>
      </c>
      <c r="AP25" s="21">
        <f t="shared" si="99"/>
        <v>0.19940476190476189</v>
      </c>
      <c r="AQ25" s="21">
        <f t="shared" ref="AQ25:AR25" si="100">+AQ26/AQ24/AQ17</f>
        <v>9.4367588932806321E-2</v>
      </c>
      <c r="AR25" s="21">
        <f t="shared" si="100"/>
        <v>0.17215909090909093</v>
      </c>
      <c r="AS25" s="21">
        <f t="shared" ref="AS25:AT25" si="101">+AS26/AS24/AS17</f>
        <v>0.12</v>
      </c>
      <c r="AT25" s="21">
        <f t="shared" si="101"/>
        <v>0.18149350649350651</v>
      </c>
      <c r="AU25" s="21">
        <f t="shared" ref="AU25:AV25" si="102">+AU26/AU24/AU17</f>
        <v>0.1830357142857143</v>
      </c>
      <c r="AV25" s="21">
        <f t="shared" si="102"/>
        <v>0.20673843700159489</v>
      </c>
      <c r="AW25" s="587">
        <f t="shared" ref="AW25" si="103">+AW26/AW24/AW17</f>
        <v>0.19987021414665804</v>
      </c>
      <c r="AX25" s="713">
        <f>+AL25</f>
        <v>0.14204545454545456</v>
      </c>
      <c r="AY25" s="23">
        <f t="shared" ref="AY25:BG25" si="104">+AM25</f>
        <v>0.14359267734553777</v>
      </c>
      <c r="AZ25" s="22">
        <f t="shared" si="104"/>
        <v>0.1693840579710145</v>
      </c>
      <c r="BA25" s="22">
        <f t="shared" si="104"/>
        <v>0.18035714285714285</v>
      </c>
      <c r="BB25" s="22">
        <f t="shared" si="104"/>
        <v>0.19940476190476189</v>
      </c>
      <c r="BC25" s="22">
        <f t="shared" si="104"/>
        <v>9.4367588932806321E-2</v>
      </c>
      <c r="BD25" s="22">
        <f t="shared" si="104"/>
        <v>0.17215909090909093</v>
      </c>
      <c r="BE25" s="22">
        <f t="shared" si="104"/>
        <v>0.12</v>
      </c>
      <c r="BF25" s="22">
        <f t="shared" si="104"/>
        <v>0.18149350649350651</v>
      </c>
      <c r="BG25" s="22">
        <f t="shared" si="104"/>
        <v>0.1830357142857143</v>
      </c>
      <c r="BH25" s="22">
        <f t="shared" ref="BH25:CN25" si="105">+AV25</f>
        <v>0.20673843700159489</v>
      </c>
      <c r="BI25" s="22">
        <f t="shared" si="105"/>
        <v>0.19987021414665804</v>
      </c>
      <c r="BJ25" s="22">
        <f t="shared" si="105"/>
        <v>0.14204545454545456</v>
      </c>
      <c r="BK25" s="326">
        <f t="shared" si="105"/>
        <v>0.14359267734553777</v>
      </c>
      <c r="BL25" s="22">
        <f t="shared" si="105"/>
        <v>0.1693840579710145</v>
      </c>
      <c r="BM25" s="22">
        <f t="shared" si="105"/>
        <v>0.18035714285714285</v>
      </c>
      <c r="BN25" s="22">
        <f t="shared" si="105"/>
        <v>0.19940476190476189</v>
      </c>
      <c r="BO25" s="22">
        <f t="shared" si="105"/>
        <v>9.4367588932806321E-2</v>
      </c>
      <c r="BP25" s="22">
        <f t="shared" si="105"/>
        <v>0.17215909090909093</v>
      </c>
      <c r="BQ25" s="22">
        <f t="shared" si="105"/>
        <v>0.12</v>
      </c>
      <c r="BR25" s="22">
        <f t="shared" si="105"/>
        <v>0.18149350649350651</v>
      </c>
      <c r="BS25" s="22">
        <f t="shared" si="105"/>
        <v>0.1830357142857143</v>
      </c>
      <c r="BT25" s="22">
        <f t="shared" si="105"/>
        <v>0.20673843700159489</v>
      </c>
      <c r="BU25" s="22">
        <f t="shared" si="105"/>
        <v>0.19987021414665804</v>
      </c>
      <c r="BV25" s="22">
        <f t="shared" si="105"/>
        <v>0.14204545454545456</v>
      </c>
      <c r="BW25" s="326">
        <f t="shared" si="105"/>
        <v>0.14359267734553777</v>
      </c>
      <c r="BX25" s="22">
        <f t="shared" si="105"/>
        <v>0.1693840579710145</v>
      </c>
      <c r="BY25" s="22">
        <f t="shared" si="105"/>
        <v>0.18035714285714285</v>
      </c>
      <c r="BZ25" s="22">
        <f t="shared" si="105"/>
        <v>0.19940476190476189</v>
      </c>
      <c r="CA25" s="22">
        <f t="shared" si="105"/>
        <v>9.4367588932806321E-2</v>
      </c>
      <c r="CB25" s="22">
        <f t="shared" si="105"/>
        <v>0.17215909090909093</v>
      </c>
      <c r="CC25" s="22">
        <f t="shared" si="105"/>
        <v>0.12</v>
      </c>
      <c r="CD25" s="22">
        <f t="shared" si="105"/>
        <v>0.18149350649350651</v>
      </c>
      <c r="CE25" s="22">
        <f t="shared" si="105"/>
        <v>0.1830357142857143</v>
      </c>
      <c r="CF25" s="22">
        <f t="shared" si="105"/>
        <v>0.20673843700159489</v>
      </c>
      <c r="CG25" s="22">
        <f t="shared" si="105"/>
        <v>0.19987021414665804</v>
      </c>
      <c r="CH25" s="22">
        <f t="shared" si="105"/>
        <v>0.14204545454545456</v>
      </c>
      <c r="CI25" s="326">
        <f t="shared" si="105"/>
        <v>0.14359267734553777</v>
      </c>
      <c r="CJ25" s="22">
        <f t="shared" si="105"/>
        <v>0.1693840579710145</v>
      </c>
      <c r="CK25" s="22">
        <f t="shared" si="105"/>
        <v>0.18035714285714285</v>
      </c>
      <c r="CL25" s="22">
        <f t="shared" si="105"/>
        <v>0.19940476190476189</v>
      </c>
      <c r="CM25" s="22">
        <f t="shared" si="105"/>
        <v>9.4367588932806321E-2</v>
      </c>
      <c r="CN25" s="22">
        <f t="shared" si="105"/>
        <v>0.17215909090909093</v>
      </c>
      <c r="CO25" s="22">
        <f t="shared" ref="CO25:DG25" si="106">+CC25</f>
        <v>0.12</v>
      </c>
      <c r="CP25" s="22">
        <f t="shared" si="106"/>
        <v>0.18149350649350651</v>
      </c>
      <c r="CQ25" s="22">
        <f t="shared" si="106"/>
        <v>0.1830357142857143</v>
      </c>
      <c r="CR25" s="22">
        <f t="shared" si="106"/>
        <v>0.20673843700159489</v>
      </c>
      <c r="CS25" s="22">
        <f t="shared" si="106"/>
        <v>0.19987021414665804</v>
      </c>
      <c r="CT25" s="22">
        <f t="shared" si="106"/>
        <v>0.14204545454545456</v>
      </c>
      <c r="CU25" s="326">
        <f t="shared" si="106"/>
        <v>0.14359267734553777</v>
      </c>
      <c r="CV25" s="22">
        <f t="shared" si="106"/>
        <v>0.1693840579710145</v>
      </c>
      <c r="CW25" s="22">
        <f t="shared" si="106"/>
        <v>0.18035714285714285</v>
      </c>
      <c r="CX25" s="22">
        <f t="shared" si="106"/>
        <v>0.19940476190476189</v>
      </c>
      <c r="CY25" s="22">
        <f t="shared" si="106"/>
        <v>9.4367588932806321E-2</v>
      </c>
      <c r="CZ25" s="22">
        <f t="shared" si="106"/>
        <v>0.17215909090909093</v>
      </c>
      <c r="DA25" s="22">
        <f t="shared" si="106"/>
        <v>0.12</v>
      </c>
      <c r="DB25" s="22">
        <f t="shared" si="106"/>
        <v>0.18149350649350651</v>
      </c>
      <c r="DC25" s="22">
        <f t="shared" si="106"/>
        <v>0.1830357142857143</v>
      </c>
      <c r="DD25" s="22">
        <f t="shared" si="106"/>
        <v>0.20673843700159489</v>
      </c>
      <c r="DE25" s="22">
        <f t="shared" si="106"/>
        <v>0.19987021414665804</v>
      </c>
      <c r="DF25" s="22">
        <f t="shared" si="106"/>
        <v>0.14204545454545456</v>
      </c>
      <c r="DG25" s="23">
        <f t="shared" si="106"/>
        <v>0.14359267734553777</v>
      </c>
    </row>
    <row r="26" spans="1:111" ht="18" x14ac:dyDescent="0.3">
      <c r="A26" s="36"/>
      <c r="B26" s="36"/>
      <c r="C26" s="489" t="s">
        <v>63</v>
      </c>
      <c r="D26" s="15"/>
      <c r="E26" s="15">
        <v>1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511">
        <v>7.5</v>
      </c>
      <c r="L26" s="511">
        <f>20.5</f>
        <v>20.5</v>
      </c>
      <c r="M26" s="511">
        <v>57.25</v>
      </c>
      <c r="N26" s="511">
        <v>31</v>
      </c>
      <c r="O26" s="511">
        <v>15</v>
      </c>
      <c r="P26" s="511">
        <f t="shared" ref="P26:AD26" si="107">+SUM(P28:P32)</f>
        <v>26.33</v>
      </c>
      <c r="Q26" s="511">
        <f t="shared" si="107"/>
        <v>21.25</v>
      </c>
      <c r="R26" s="511">
        <f t="shared" si="107"/>
        <v>21</v>
      </c>
      <c r="S26" s="511">
        <f t="shared" si="107"/>
        <v>18.25</v>
      </c>
      <c r="T26" s="511">
        <f t="shared" si="107"/>
        <v>42.25</v>
      </c>
      <c r="U26" s="511">
        <f t="shared" si="107"/>
        <v>42</v>
      </c>
      <c r="V26" s="511">
        <f t="shared" si="107"/>
        <v>31.75</v>
      </c>
      <c r="W26" s="511">
        <f t="shared" si="107"/>
        <v>84.25</v>
      </c>
      <c r="X26" s="511">
        <f t="shared" si="107"/>
        <v>130.5</v>
      </c>
      <c r="Y26" s="511">
        <f t="shared" si="107"/>
        <v>136.25</v>
      </c>
      <c r="Z26" s="511">
        <f t="shared" si="107"/>
        <v>84</v>
      </c>
      <c r="AA26" s="561">
        <f t="shared" si="107"/>
        <v>34.5</v>
      </c>
      <c r="AB26" s="511">
        <f t="shared" si="107"/>
        <v>45</v>
      </c>
      <c r="AC26" s="511">
        <f t="shared" si="107"/>
        <v>74.5</v>
      </c>
      <c r="AD26" s="511">
        <f t="shared" si="107"/>
        <v>60.25</v>
      </c>
      <c r="AE26" s="511">
        <f t="shared" ref="AE26:AQ26" si="108">+SUM(AE28:AE32)</f>
        <v>69.75</v>
      </c>
      <c r="AF26" s="511">
        <f t="shared" si="108"/>
        <v>89.5</v>
      </c>
      <c r="AG26" s="511">
        <f t="shared" si="108"/>
        <v>59.5</v>
      </c>
      <c r="AH26" s="511">
        <f t="shared" si="108"/>
        <v>135.75</v>
      </c>
      <c r="AI26" s="511">
        <f t="shared" si="108"/>
        <v>221.75</v>
      </c>
      <c r="AJ26" s="511">
        <f t="shared" si="108"/>
        <v>143.25</v>
      </c>
      <c r="AK26" s="511">
        <f t="shared" si="108"/>
        <v>211.75</v>
      </c>
      <c r="AL26" s="511">
        <f t="shared" si="108"/>
        <v>118.75</v>
      </c>
      <c r="AM26" s="523">
        <f t="shared" si="108"/>
        <v>62.75</v>
      </c>
      <c r="AN26" s="563">
        <f t="shared" si="108"/>
        <v>93.5</v>
      </c>
      <c r="AO26" s="563">
        <f t="shared" si="108"/>
        <v>101</v>
      </c>
      <c r="AP26" s="563">
        <f t="shared" si="108"/>
        <v>100.5</v>
      </c>
      <c r="AQ26" s="563">
        <f t="shared" si="108"/>
        <v>47.75</v>
      </c>
      <c r="AR26" s="563">
        <f t="shared" ref="AR26:AS26" si="109">+SUM(AR28:AR32)</f>
        <v>75.75</v>
      </c>
      <c r="AS26" s="563">
        <f t="shared" si="109"/>
        <v>63</v>
      </c>
      <c r="AT26" s="563">
        <f t="shared" ref="AT26:AU26" si="110">+SUM(AT28:AT32)</f>
        <v>139.75</v>
      </c>
      <c r="AU26" s="563">
        <f t="shared" si="110"/>
        <v>184.5</v>
      </c>
      <c r="AV26" s="563">
        <f t="shared" ref="AV26:AW26" si="111">+SUM(AV28:AV32)</f>
        <v>259.25</v>
      </c>
      <c r="AW26" s="588">
        <f t="shared" si="111"/>
        <v>308</v>
      </c>
      <c r="AX26" s="24">
        <f>+(AX17*AX24*AX25)</f>
        <v>158.52272727272728</v>
      </c>
      <c r="AY26" s="25">
        <f t="shared" ref="AY26:CZ26" si="112">+(AY17*AY24*AY25)</f>
        <v>113.38077803203663</v>
      </c>
      <c r="AZ26" s="24">
        <f t="shared" si="112"/>
        <v>150.39949275362318</v>
      </c>
      <c r="BA26" s="24">
        <f t="shared" si="112"/>
        <v>177.32714285714283</v>
      </c>
      <c r="BB26" s="24">
        <f t="shared" si="112"/>
        <v>218.99428571428567</v>
      </c>
      <c r="BC26" s="24">
        <f t="shared" si="112"/>
        <v>101.06391304347824</v>
      </c>
      <c r="BD26" s="24">
        <f t="shared" si="112"/>
        <v>186.11774999999997</v>
      </c>
      <c r="BE26" s="24">
        <f t="shared" si="112"/>
        <v>119.43359999999997</v>
      </c>
      <c r="BF26" s="24">
        <f t="shared" si="112"/>
        <v>188.01275324675325</v>
      </c>
      <c r="BG26" s="24">
        <f t="shared" si="112"/>
        <v>199.26</v>
      </c>
      <c r="BH26" s="24">
        <f t="shared" si="112"/>
        <v>280.35385964912274</v>
      </c>
      <c r="BI26" s="24">
        <f t="shared" si="112"/>
        <v>291.97040882543797</v>
      </c>
      <c r="BJ26" s="24">
        <f t="shared" si="112"/>
        <v>203.1988636363636</v>
      </c>
      <c r="BK26" s="327">
        <f t="shared" si="112"/>
        <v>224.05052631578943</v>
      </c>
      <c r="BL26" s="24">
        <f t="shared" si="112"/>
        <v>253.63297826086949</v>
      </c>
      <c r="BM26" s="24">
        <f t="shared" si="112"/>
        <v>291.54371428571415</v>
      </c>
      <c r="BN26" s="24">
        <f t="shared" si="112"/>
        <v>363.63930952380935</v>
      </c>
      <c r="BO26" s="24">
        <f t="shared" si="112"/>
        <v>155.19165217391296</v>
      </c>
      <c r="BP26" s="24">
        <f t="shared" si="112"/>
        <v>275.74928181818171</v>
      </c>
      <c r="BQ26" s="24">
        <f t="shared" si="112"/>
        <v>173.54303999999988</v>
      </c>
      <c r="BR26" s="24">
        <f t="shared" si="112"/>
        <v>256.56502857142846</v>
      </c>
      <c r="BS26" s="24">
        <f t="shared" si="112"/>
        <v>297.08014285714268</v>
      </c>
      <c r="BT26" s="24">
        <f t="shared" si="112"/>
        <v>397.04364912280676</v>
      </c>
      <c r="BU26" s="24">
        <f t="shared" si="112"/>
        <v>393.53645684620358</v>
      </c>
      <c r="BV26" s="24">
        <f t="shared" si="112"/>
        <v>300.52499999999986</v>
      </c>
      <c r="BW26" s="327">
        <f t="shared" si="112"/>
        <v>315.6523157894735</v>
      </c>
      <c r="BX26" s="24">
        <f t="shared" si="112"/>
        <v>357.93182173913021</v>
      </c>
      <c r="BY26" s="24">
        <f t="shared" si="112"/>
        <v>433.87175999999971</v>
      </c>
      <c r="BZ26" s="24">
        <f t="shared" si="112"/>
        <v>516.43312857142826</v>
      </c>
      <c r="CA26" s="24">
        <f t="shared" si="112"/>
        <v>201.29135177865601</v>
      </c>
      <c r="CB26" s="24">
        <f t="shared" si="112"/>
        <v>429.94295181818154</v>
      </c>
      <c r="CC26" s="24">
        <f t="shared" si="112"/>
        <v>247.18425599999981</v>
      </c>
      <c r="CD26" s="24">
        <f t="shared" si="112"/>
        <v>348.9623563636361</v>
      </c>
      <c r="CE26" s="24">
        <f t="shared" si="112"/>
        <v>444.07890714285679</v>
      </c>
      <c r="CF26" s="24">
        <f t="shared" si="112"/>
        <v>540.14601052631542</v>
      </c>
      <c r="CG26" s="24">
        <f t="shared" si="112"/>
        <v>586.86052173913015</v>
      </c>
      <c r="CH26" s="24">
        <f t="shared" si="112"/>
        <v>426.98499999999979</v>
      </c>
      <c r="CI26" s="327">
        <f t="shared" si="112"/>
        <v>409.51689610983959</v>
      </c>
      <c r="CJ26" s="24">
        <f t="shared" si="112"/>
        <v>553.50379333333296</v>
      </c>
      <c r="CK26" s="24">
        <f t="shared" si="112"/>
        <v>581.3813942857139</v>
      </c>
      <c r="CL26" s="24">
        <f t="shared" si="112"/>
        <v>695.08084380952323</v>
      </c>
      <c r="CM26" s="24">
        <f t="shared" si="112"/>
        <v>296.69097486165981</v>
      </c>
      <c r="CN26" s="24">
        <f t="shared" si="112"/>
        <v>605.0878598181813</v>
      </c>
      <c r="CO26" s="24">
        <f t="shared" si="112"/>
        <v>330.32805119999955</v>
      </c>
      <c r="CP26" s="24">
        <f t="shared" si="112"/>
        <v>511.81145599999934</v>
      </c>
      <c r="CQ26" s="24">
        <f t="shared" si="112"/>
        <v>620.02654142857068</v>
      </c>
      <c r="CR26" s="24">
        <f t="shared" si="112"/>
        <v>716.88686570972811</v>
      </c>
      <c r="CS26" s="24">
        <f t="shared" si="112"/>
        <v>858.03099701492442</v>
      </c>
      <c r="CT26" s="24">
        <f t="shared" si="112"/>
        <v>597.15399999999943</v>
      </c>
      <c r="CU26" s="327">
        <f t="shared" si="112"/>
        <v>574.52983304347777</v>
      </c>
      <c r="CV26" s="24">
        <f t="shared" si="112"/>
        <v>778.02197733333264</v>
      </c>
      <c r="CW26" s="24">
        <f t="shared" si="112"/>
        <v>816.09823771428501</v>
      </c>
      <c r="CX26" s="24">
        <f t="shared" si="112"/>
        <v>931.39326399999902</v>
      </c>
      <c r="CY26" s="24">
        <f t="shared" si="112"/>
        <v>437.2228500869561</v>
      </c>
      <c r="CZ26" s="24">
        <f t="shared" si="112"/>
        <v>851.87459465454469</v>
      </c>
      <c r="DA26" s="24">
        <f t="shared" ref="DA26:DG26" si="113">+(DA17*DA24*DA25)</f>
        <v>444.75740159999941</v>
      </c>
      <c r="DB26" s="24">
        <f t="shared" si="113"/>
        <v>754.94994923636273</v>
      </c>
      <c r="DC26" s="24">
        <f t="shared" si="113"/>
        <v>835.12855485714203</v>
      </c>
      <c r="DD26" s="24">
        <f t="shared" si="113"/>
        <v>1059.0335012057405</v>
      </c>
      <c r="DE26" s="24">
        <f t="shared" si="113"/>
        <v>1209.5180226865664</v>
      </c>
      <c r="DF26" s="24">
        <f t="shared" si="113"/>
        <v>802.19102727272661</v>
      </c>
      <c r="DG26" s="25">
        <f t="shared" si="113"/>
        <v>848.96183293363765</v>
      </c>
    </row>
    <row r="27" spans="1:111" ht="18" hidden="1" x14ac:dyDescent="0.3">
      <c r="A27" s="36"/>
      <c r="B27" s="36"/>
      <c r="C27" s="489" t="s">
        <v>162</v>
      </c>
      <c r="D27" s="15"/>
      <c r="E27" s="15"/>
      <c r="F27" s="15"/>
      <c r="G27" s="15"/>
      <c r="H27" s="15"/>
      <c r="I27" s="15"/>
      <c r="J27" s="15"/>
      <c r="K27" s="15"/>
      <c r="L27" s="15">
        <v>3.75</v>
      </c>
      <c r="M27" s="15">
        <v>14.75</v>
      </c>
      <c r="N27" s="15">
        <v>13.5</v>
      </c>
      <c r="O27" s="15">
        <v>14</v>
      </c>
      <c r="P27" s="49">
        <v>14</v>
      </c>
      <c r="Q27" s="49">
        <v>14</v>
      </c>
      <c r="R27" s="49">
        <v>5.5</v>
      </c>
      <c r="S27" s="49">
        <v>4.5</v>
      </c>
      <c r="T27" s="49">
        <v>5</v>
      </c>
      <c r="U27" s="49">
        <v>25.75</v>
      </c>
      <c r="V27" s="49">
        <v>11.75</v>
      </c>
      <c r="W27" s="49">
        <v>0</v>
      </c>
      <c r="X27" s="49">
        <v>0</v>
      </c>
      <c r="Y27" s="49">
        <v>0</v>
      </c>
      <c r="Z27" s="49">
        <v>0</v>
      </c>
      <c r="AA27" s="519">
        <v>0</v>
      </c>
      <c r="AB27" s="317">
        <v>0</v>
      </c>
      <c r="AC27" s="317">
        <v>0</v>
      </c>
      <c r="AD27" s="317">
        <v>0</v>
      </c>
      <c r="AE27" s="317">
        <v>0</v>
      </c>
      <c r="AF27" s="317">
        <v>0</v>
      </c>
      <c r="AG27" s="317">
        <v>0</v>
      </c>
      <c r="AH27" s="317">
        <v>0</v>
      </c>
      <c r="AI27" s="317">
        <v>0</v>
      </c>
      <c r="AJ27" s="317">
        <v>0</v>
      </c>
      <c r="AK27" s="317">
        <v>0</v>
      </c>
      <c r="AL27" s="317">
        <v>0</v>
      </c>
      <c r="AM27" s="524">
        <v>0</v>
      </c>
      <c r="AN27" s="317">
        <v>0</v>
      </c>
      <c r="AO27" s="317">
        <v>0</v>
      </c>
      <c r="AP27" s="317">
        <v>0</v>
      </c>
      <c r="AQ27" s="317">
        <v>0</v>
      </c>
      <c r="AR27" s="317">
        <v>0</v>
      </c>
      <c r="AS27" s="317">
        <v>0</v>
      </c>
      <c r="AT27" s="317">
        <v>0</v>
      </c>
      <c r="AU27" s="317">
        <v>0</v>
      </c>
      <c r="AV27" s="317">
        <v>0</v>
      </c>
      <c r="AW27" s="589">
        <v>0</v>
      </c>
      <c r="AX27" s="24">
        <v>0</v>
      </c>
      <c r="AY27" s="25">
        <f t="shared" ref="AY27:CC27" si="114">AX27</f>
        <v>0</v>
      </c>
      <c r="AZ27" s="24">
        <f t="shared" si="114"/>
        <v>0</v>
      </c>
      <c r="BA27" s="24">
        <f t="shared" si="114"/>
        <v>0</v>
      </c>
      <c r="BB27" s="24">
        <f t="shared" si="114"/>
        <v>0</v>
      </c>
      <c r="BC27" s="24">
        <f t="shared" si="114"/>
        <v>0</v>
      </c>
      <c r="BD27" s="24">
        <f t="shared" si="114"/>
        <v>0</v>
      </c>
      <c r="BE27" s="24">
        <f t="shared" si="114"/>
        <v>0</v>
      </c>
      <c r="BF27" s="24">
        <f t="shared" si="114"/>
        <v>0</v>
      </c>
      <c r="BG27" s="24">
        <f t="shared" si="114"/>
        <v>0</v>
      </c>
      <c r="BH27" s="24">
        <f t="shared" si="114"/>
        <v>0</v>
      </c>
      <c r="BI27" s="24">
        <f t="shared" si="114"/>
        <v>0</v>
      </c>
      <c r="BJ27" s="24">
        <f t="shared" si="114"/>
        <v>0</v>
      </c>
      <c r="BK27" s="327">
        <f t="shared" si="114"/>
        <v>0</v>
      </c>
      <c r="BL27" s="24">
        <f t="shared" si="114"/>
        <v>0</v>
      </c>
      <c r="BM27" s="24">
        <f t="shared" si="114"/>
        <v>0</v>
      </c>
      <c r="BN27" s="24">
        <f t="shared" si="114"/>
        <v>0</v>
      </c>
      <c r="BO27" s="24">
        <f t="shared" si="114"/>
        <v>0</v>
      </c>
      <c r="BP27" s="24">
        <f t="shared" si="114"/>
        <v>0</v>
      </c>
      <c r="BQ27" s="24">
        <f t="shared" si="114"/>
        <v>0</v>
      </c>
      <c r="BR27" s="24">
        <f t="shared" si="114"/>
        <v>0</v>
      </c>
      <c r="BS27" s="24">
        <f t="shared" si="114"/>
        <v>0</v>
      </c>
      <c r="BT27" s="24">
        <f t="shared" si="114"/>
        <v>0</v>
      </c>
      <c r="BU27" s="24">
        <f t="shared" si="114"/>
        <v>0</v>
      </c>
      <c r="BV27" s="24">
        <f t="shared" si="114"/>
        <v>0</v>
      </c>
      <c r="BW27" s="327">
        <f t="shared" si="114"/>
        <v>0</v>
      </c>
      <c r="BX27" s="24">
        <f t="shared" si="114"/>
        <v>0</v>
      </c>
      <c r="BY27" s="24">
        <f t="shared" si="114"/>
        <v>0</v>
      </c>
      <c r="BZ27" s="24">
        <f t="shared" si="114"/>
        <v>0</v>
      </c>
      <c r="CA27" s="24">
        <f t="shared" si="114"/>
        <v>0</v>
      </c>
      <c r="CB27" s="24">
        <f t="shared" si="114"/>
        <v>0</v>
      </c>
      <c r="CC27" s="24">
        <f t="shared" si="114"/>
        <v>0</v>
      </c>
      <c r="CD27" s="24">
        <f t="shared" ref="CD27:DG27" si="115">CC27</f>
        <v>0</v>
      </c>
      <c r="CE27" s="24">
        <f t="shared" si="115"/>
        <v>0</v>
      </c>
      <c r="CF27" s="24">
        <f t="shared" si="115"/>
        <v>0</v>
      </c>
      <c r="CG27" s="24">
        <f t="shared" si="115"/>
        <v>0</v>
      </c>
      <c r="CH27" s="24">
        <f t="shared" si="115"/>
        <v>0</v>
      </c>
      <c r="CI27" s="327">
        <f t="shared" si="115"/>
        <v>0</v>
      </c>
      <c r="CJ27" s="24">
        <f t="shared" si="115"/>
        <v>0</v>
      </c>
      <c r="CK27" s="24">
        <f t="shared" si="115"/>
        <v>0</v>
      </c>
      <c r="CL27" s="24">
        <f t="shared" si="115"/>
        <v>0</v>
      </c>
      <c r="CM27" s="24">
        <f t="shared" si="115"/>
        <v>0</v>
      </c>
      <c r="CN27" s="24">
        <f t="shared" si="115"/>
        <v>0</v>
      </c>
      <c r="CO27" s="24">
        <f t="shared" si="115"/>
        <v>0</v>
      </c>
      <c r="CP27" s="24">
        <f t="shared" si="115"/>
        <v>0</v>
      </c>
      <c r="CQ27" s="24">
        <f t="shared" si="115"/>
        <v>0</v>
      </c>
      <c r="CR27" s="24">
        <f t="shared" si="115"/>
        <v>0</v>
      </c>
      <c r="CS27" s="24">
        <f t="shared" si="115"/>
        <v>0</v>
      </c>
      <c r="CT27" s="24">
        <f t="shared" si="115"/>
        <v>0</v>
      </c>
      <c r="CU27" s="327">
        <f t="shared" si="115"/>
        <v>0</v>
      </c>
      <c r="CV27" s="24">
        <f t="shared" si="115"/>
        <v>0</v>
      </c>
      <c r="CW27" s="24">
        <f t="shared" si="115"/>
        <v>0</v>
      </c>
      <c r="CX27" s="24">
        <f t="shared" si="115"/>
        <v>0</v>
      </c>
      <c r="CY27" s="24">
        <f t="shared" si="115"/>
        <v>0</v>
      </c>
      <c r="CZ27" s="24">
        <f t="shared" si="115"/>
        <v>0</v>
      </c>
      <c r="DA27" s="24">
        <f t="shared" si="115"/>
        <v>0</v>
      </c>
      <c r="DB27" s="24">
        <f t="shared" si="115"/>
        <v>0</v>
      </c>
      <c r="DC27" s="24">
        <f t="shared" si="115"/>
        <v>0</v>
      </c>
      <c r="DD27" s="24">
        <f t="shared" si="115"/>
        <v>0</v>
      </c>
      <c r="DE27" s="24">
        <f t="shared" si="115"/>
        <v>0</v>
      </c>
      <c r="DF27" s="24">
        <f>DE27</f>
        <v>0</v>
      </c>
      <c r="DG27" s="25">
        <f t="shared" si="115"/>
        <v>0</v>
      </c>
    </row>
    <row r="28" spans="1:111" ht="18" x14ac:dyDescent="0.3">
      <c r="A28" s="36"/>
      <c r="B28" s="36"/>
      <c r="C28" s="489" t="s">
        <v>281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49">
        <v>21.5</v>
      </c>
      <c r="Q28" s="49">
        <f>8.25+5</f>
        <v>13.25</v>
      </c>
      <c r="R28" s="49">
        <v>18.25</v>
      </c>
      <c r="S28" s="49">
        <v>16.25</v>
      </c>
      <c r="T28" s="49">
        <v>37</v>
      </c>
      <c r="U28" s="49">
        <v>40.75</v>
      </c>
      <c r="V28" s="49">
        <v>22</v>
      </c>
      <c r="W28" s="49">
        <v>56.25</v>
      </c>
      <c r="X28" s="49">
        <v>60</v>
      </c>
      <c r="Y28" s="49">
        <v>58.5</v>
      </c>
      <c r="Z28" s="49">
        <v>47.75</v>
      </c>
      <c r="AA28" s="519">
        <v>21.75</v>
      </c>
      <c r="AB28" s="317">
        <v>22.25</v>
      </c>
      <c r="AC28" s="317">
        <v>36</v>
      </c>
      <c r="AD28" s="317">
        <v>25.75</v>
      </c>
      <c r="AE28" s="317">
        <v>32</v>
      </c>
      <c r="AF28" s="317">
        <v>27.5</v>
      </c>
      <c r="AG28" s="317">
        <v>14</v>
      </c>
      <c r="AH28" s="317">
        <v>15.5</v>
      </c>
      <c r="AI28" s="317">
        <v>14</v>
      </c>
      <c r="AJ28" s="317">
        <v>4.75</v>
      </c>
      <c r="AK28" s="317">
        <v>2.25</v>
      </c>
      <c r="AL28" s="317">
        <v>10</v>
      </c>
      <c r="AM28" s="524">
        <v>8</v>
      </c>
      <c r="AN28" s="317">
        <v>4.25</v>
      </c>
      <c r="AO28" s="317">
        <v>13</v>
      </c>
      <c r="AP28" s="317">
        <v>20.5</v>
      </c>
      <c r="AQ28" s="317">
        <v>5</v>
      </c>
      <c r="AR28" s="317">
        <v>3.75</v>
      </c>
      <c r="AS28" s="317">
        <v>0</v>
      </c>
      <c r="AT28" s="317">
        <v>2.25</v>
      </c>
      <c r="AU28" s="317">
        <v>11.25</v>
      </c>
      <c r="AV28" s="317">
        <v>19.25</v>
      </c>
      <c r="AW28" s="589">
        <v>24.5</v>
      </c>
      <c r="AX28" s="19">
        <f>+IFERROR(AX$26*(AL28/AL$26), 0)</f>
        <v>13.349282296650719</v>
      </c>
      <c r="AY28" s="25">
        <f t="shared" ref="AX28:BG32" si="116">+IFERROR(AY$26*(AM28/AM$26), 0)</f>
        <v>14.45491990846682</v>
      </c>
      <c r="AZ28" s="24">
        <f t="shared" si="116"/>
        <v>6.8363405797101446</v>
      </c>
      <c r="BA28" s="24">
        <f t="shared" si="116"/>
        <v>22.824285714285711</v>
      </c>
      <c r="BB28" s="24">
        <f t="shared" si="116"/>
        <v>44.67047619047618</v>
      </c>
      <c r="BC28" s="24">
        <f t="shared" si="116"/>
        <v>10.582608695652171</v>
      </c>
      <c r="BD28" s="24">
        <f t="shared" si="116"/>
        <v>9.2137499999999992</v>
      </c>
      <c r="BE28" s="24">
        <f t="shared" si="116"/>
        <v>0</v>
      </c>
      <c r="BF28" s="24">
        <f t="shared" si="116"/>
        <v>3.0270389610389614</v>
      </c>
      <c r="BG28" s="24">
        <f t="shared" si="116"/>
        <v>12.149999999999999</v>
      </c>
      <c r="BH28" s="24">
        <f t="shared" ref="BH28:BH32" si="117">+IFERROR(BH$26*(AV28/AV$26), 0)</f>
        <v>20.817017543859645</v>
      </c>
      <c r="BI28" s="24">
        <f t="shared" ref="BI28:BI32" si="118">+IFERROR(BI$26*(AW28/AW$26), 0)</f>
        <v>23.224918883841656</v>
      </c>
      <c r="BJ28" s="24">
        <f t="shared" ref="BJ28:BJ32" si="119">+IFERROR(BJ$26*(AX28/AX$26), 0)</f>
        <v>17.111483253588514</v>
      </c>
      <c r="BK28" s="327">
        <f t="shared" ref="BK28:BK32" si="120">+IFERROR(BK$26*(AY28/AY$26), 0)</f>
        <v>28.564210526315783</v>
      </c>
      <c r="BL28" s="24">
        <f t="shared" ref="BL28:BL32" si="121">+IFERROR(BL$26*(AZ28/AZ$26), 0)</f>
        <v>11.528771739130432</v>
      </c>
      <c r="BM28" s="24">
        <f t="shared" ref="BM28:BM32" si="122">+IFERROR(BM$26*(BA28/BA$26), 0)</f>
        <v>37.525428571428556</v>
      </c>
      <c r="BN28" s="24">
        <f t="shared" ref="BN28:BN32" si="123">+IFERROR(BN$26*(BB28/BB$26), 0)</f>
        <v>74.175182539682496</v>
      </c>
      <c r="BO28" s="24">
        <f t="shared" ref="BO28:BO32" si="124">+IFERROR(BO$26*(BC28/BC$26), 0)</f>
        <v>16.250434782608686</v>
      </c>
      <c r="BP28" s="24">
        <f t="shared" ref="BP28:BP32" si="125">+IFERROR(BP$26*(BD28/BD$26), 0)</f>
        <v>13.650954545454541</v>
      </c>
      <c r="BQ28" s="24">
        <f t="shared" ref="BQ28:BQ32" si="126">+IFERROR(BQ$26*(BE28/BE$26), 0)</f>
        <v>0</v>
      </c>
      <c r="BR28" s="24">
        <f t="shared" ref="BR28:BR32" si="127">+IFERROR(BR$26*(BF28/BF$26), 0)</f>
        <v>4.1307428571428559</v>
      </c>
      <c r="BS28" s="24">
        <f t="shared" ref="BS28:BS32" si="128">+IFERROR(BS$26*(BG28/BG$26), 0)</f>
        <v>18.114642857142847</v>
      </c>
      <c r="BT28" s="24">
        <f t="shared" ref="BT28:BT32" si="129">+IFERROR(BT$26*(BH28/BH$26), 0)</f>
        <v>29.481543859649104</v>
      </c>
      <c r="BU28" s="24">
        <f t="shared" ref="BU28:BU32" si="130">+IFERROR(BU$26*(BI28/BI$26), 0)</f>
        <v>31.30403634003892</v>
      </c>
      <c r="BV28" s="24">
        <f t="shared" ref="BV28:BV32" si="131">+IFERROR(BV$26*(BJ28/BJ$26), 0)</f>
        <v>25.307368421052619</v>
      </c>
      <c r="BW28" s="327">
        <f t="shared" ref="BW28:BW32" si="132">+IFERROR(BW$26*(BK28/BK$26), 0)</f>
        <v>40.242526315789448</v>
      </c>
      <c r="BX28" s="24">
        <f t="shared" ref="BX28:BX32" si="133">+IFERROR(BX$26*(BL28/BL$26), 0)</f>
        <v>16.269628260869556</v>
      </c>
      <c r="BY28" s="24">
        <f t="shared" ref="BY28:BY32" si="134">+IFERROR(BY$26*(BM28/BM$26), 0)</f>
        <v>55.844879999999961</v>
      </c>
      <c r="BZ28" s="24">
        <f t="shared" ref="BZ28:BZ32" si="135">+IFERROR(BZ$26*(BN28/BN$26), 0)</f>
        <v>105.34208095238088</v>
      </c>
      <c r="CA28" s="24">
        <f t="shared" ref="CA28:CA32" si="136">+IFERROR(CA$26*(BO28/BO$26), 0)</f>
        <v>21.077628458498012</v>
      </c>
      <c r="CB28" s="24">
        <f t="shared" ref="CB28:CB32" si="137">+IFERROR(CB$26*(BP28/BP$26), 0)</f>
        <v>21.284304545454532</v>
      </c>
      <c r="CC28" s="24">
        <f t="shared" ref="CC28:CC32" si="138">+IFERROR(CC$26*(BQ28/BQ$26), 0)</f>
        <v>0</v>
      </c>
      <c r="CD28" s="24">
        <f t="shared" ref="CD28:CD32" si="139">+IFERROR(CD$26*(BR28/BR$26), 0)</f>
        <v>5.6183563636363596</v>
      </c>
      <c r="CE28" s="24">
        <f t="shared" ref="CE28:CE32" si="140">+IFERROR(CE$26*(BS28/BS$26), 0)</f>
        <v>27.077982142857124</v>
      </c>
      <c r="CF28" s="24">
        <f t="shared" ref="CF28:CF32" si="141">+IFERROR(CF$26*(BT28/BT$26), 0)</f>
        <v>40.107273684210504</v>
      </c>
      <c r="CG28" s="24">
        <f t="shared" ref="CG28:CG32" si="142">+IFERROR(CG$26*(BU28/BU$26), 0)</f>
        <v>46.682086956521715</v>
      </c>
      <c r="CH28" s="24">
        <f t="shared" ref="CH28:CH32" si="143">+IFERROR(CH$26*(BV28/BV$26), 0)</f>
        <v>35.956631578947352</v>
      </c>
      <c r="CI28" s="327">
        <f t="shared" ref="CI28:CI32" si="144">+IFERROR(CI$26*(BW28/BW$26), 0)</f>
        <v>52.209325400457637</v>
      </c>
      <c r="CJ28" s="24">
        <f t="shared" ref="CJ28:CJ32" si="145">+IFERROR(CJ$26*(BX28/BX$26), 0)</f>
        <v>25.159263333333318</v>
      </c>
      <c r="CK28" s="24">
        <f t="shared" ref="CK28:CK32" si="146">+IFERROR(CK$26*(BY28/BY$26), 0)</f>
        <v>74.831268571428524</v>
      </c>
      <c r="CL28" s="24">
        <f t="shared" ref="CL28:CL32" si="147">+IFERROR(CL$26*(BZ28/BZ$26), 0)</f>
        <v>141.78265968253956</v>
      </c>
      <c r="CM28" s="24">
        <f t="shared" ref="CM28:CM32" si="148">+IFERROR(CM$26*(CA28/CA$26), 0)</f>
        <v>31.067117786561237</v>
      </c>
      <c r="CN28" s="24">
        <f t="shared" ref="CN28:CN32" si="149">+IFERROR(CN$26*(CB28/CB$26), 0)</f>
        <v>29.95484454545452</v>
      </c>
      <c r="CO28" s="24">
        <f t="shared" ref="CO28:CO32" si="150">+IFERROR(CO$26*(CC28/CC$26), 0)</f>
        <v>0</v>
      </c>
      <c r="CP28" s="24">
        <f t="shared" ref="CP28:CP32" si="151">+IFERROR(CP$26*(CD28/CD$26), 0)</f>
        <v>8.2402559999999898</v>
      </c>
      <c r="CQ28" s="24">
        <f t="shared" ref="CQ28:CQ32" si="152">+IFERROR(CQ$26*(CE28/CE$26), 0)</f>
        <v>37.806496428571386</v>
      </c>
      <c r="CR28" s="24">
        <f t="shared" ref="CR28:CR32" si="153">+IFERROR(CR$26*(CF28/CF$26), 0)</f>
        <v>53.230750877192932</v>
      </c>
      <c r="CS28" s="24">
        <f t="shared" ref="CS28:CS32" si="154">+IFERROR(CS$26*(CG28/CG$26), 0)</f>
        <v>68.252465671641716</v>
      </c>
      <c r="CT28" s="24">
        <f t="shared" ref="CT28:CT32" si="155">+IFERROR(CT$26*(CH28/CH$26), 0)</f>
        <v>50.286652631578896</v>
      </c>
      <c r="CU28" s="327">
        <f t="shared" ref="CU28:CU32" si="156">+IFERROR(CU$26*(CI28/CI$26), 0)</f>
        <v>73.246831304347765</v>
      </c>
      <c r="CV28" s="24">
        <f t="shared" ref="CV28:CV32" si="157">+IFERROR(CV$26*(CJ28/CJ$26), 0)</f>
        <v>35.364635333333304</v>
      </c>
      <c r="CW28" s="24">
        <f t="shared" ref="CW28:CW32" si="158">+IFERROR(CW$26*(CK28/CK$26), 0)</f>
        <v>105.04234742857135</v>
      </c>
      <c r="CX28" s="24">
        <f t="shared" ref="CX28:CX32" si="159">+IFERROR(CX$26*(CL28/CL$26), 0)</f>
        <v>189.98569066666644</v>
      </c>
      <c r="CY28" s="24">
        <f t="shared" ref="CY28:CY32" si="160">+IFERROR(CY$26*(CM28/CM$26), 0)</f>
        <v>45.782497391304304</v>
      </c>
      <c r="CZ28" s="24">
        <f t="shared" ref="CZ28:CZ32" si="161">+IFERROR(CZ$26*(CN28/CN$26), 0)</f>
        <v>42.172009636363597</v>
      </c>
      <c r="DA28" s="24">
        <f t="shared" ref="DA28:DA32" si="162">+IFERROR(DA$26*(CO28/CO$26), 0)</f>
        <v>0</v>
      </c>
      <c r="DB28" s="24">
        <f t="shared" ref="DB28:DB32" si="163">+IFERROR(DB$26*(CP28/CP$26), 0)</f>
        <v>12.154829236363623</v>
      </c>
      <c r="DC28" s="24">
        <f t="shared" ref="DC28:DC32" si="164">+IFERROR(DC$26*(CQ28/CQ$26), 0)</f>
        <v>50.922472857142814</v>
      </c>
      <c r="DD28" s="24">
        <f t="shared" ref="DD28:DD32" si="165">+IFERROR(DD$26*(CR28/CR$26), 0)</f>
        <v>78.636045894736768</v>
      </c>
      <c r="DE28" s="24">
        <f t="shared" ref="DE28:DE32" si="166">+IFERROR(DE$26*(CS28/CS$26), 0)</f>
        <v>96.211660895522328</v>
      </c>
      <c r="DF28" s="24">
        <f t="shared" ref="DF28:DF32" si="167">+IFERROR(DF$26*(CT28/CT$26), 0)</f>
        <v>67.552928612440141</v>
      </c>
      <c r="DG28" s="25">
        <f t="shared" ref="DG28:DG32" si="168">+IFERROR(DG$26*(CU28/CU$26), 0)</f>
        <v>108.23417790389006</v>
      </c>
    </row>
    <row r="29" spans="1:111" ht="18" x14ac:dyDescent="0.3">
      <c r="A29" s="36"/>
      <c r="B29" s="36"/>
      <c r="C29" s="489" t="s">
        <v>282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2.5</v>
      </c>
      <c r="W29" s="49">
        <v>1</v>
      </c>
      <c r="X29" s="49">
        <v>25.25</v>
      </c>
      <c r="Y29" s="49">
        <v>22.5</v>
      </c>
      <c r="Z29" s="49">
        <v>16.5</v>
      </c>
      <c r="AA29" s="519">
        <v>10</v>
      </c>
      <c r="AB29" s="317">
        <v>18.5</v>
      </c>
      <c r="AC29" s="317">
        <v>35.25</v>
      </c>
      <c r="AD29" s="317">
        <v>24.5</v>
      </c>
      <c r="AE29" s="317">
        <v>32.25</v>
      </c>
      <c r="AF29" s="317">
        <v>60.75</v>
      </c>
      <c r="AG29" s="317">
        <v>24.5</v>
      </c>
      <c r="AH29" s="317">
        <v>68.25</v>
      </c>
      <c r="AI29" s="317">
        <v>126.75</v>
      </c>
      <c r="AJ29" s="317">
        <v>22</v>
      </c>
      <c r="AK29" s="317">
        <v>30.5</v>
      </c>
      <c r="AL29" s="317">
        <v>14</v>
      </c>
      <c r="AM29" s="524">
        <v>25</v>
      </c>
      <c r="AN29" s="317">
        <v>46.75</v>
      </c>
      <c r="AO29" s="317">
        <v>63</v>
      </c>
      <c r="AP29" s="317">
        <v>74.25</v>
      </c>
      <c r="AQ29" s="317">
        <v>37</v>
      </c>
      <c r="AR29" s="317">
        <v>66.75</v>
      </c>
      <c r="AS29" s="317">
        <v>27.5</v>
      </c>
      <c r="AT29" s="317">
        <v>67.75</v>
      </c>
      <c r="AU29" s="317">
        <v>78.25</v>
      </c>
      <c r="AV29" s="317">
        <v>106</v>
      </c>
      <c r="AW29" s="589">
        <v>57.75</v>
      </c>
      <c r="AX29" s="24">
        <f>+IFERROR(AX$26*(AL29/AL$26), 0)</f>
        <v>18.688995215311007</v>
      </c>
      <c r="AY29" s="25">
        <f t="shared" si="116"/>
        <v>45.171624713958813</v>
      </c>
      <c r="AZ29" s="24">
        <f t="shared" si="116"/>
        <v>75.199746376811589</v>
      </c>
      <c r="BA29" s="24">
        <f t="shared" si="116"/>
        <v>110.60999999999999</v>
      </c>
      <c r="BB29" s="24">
        <f t="shared" si="116"/>
        <v>161.79428571428568</v>
      </c>
      <c r="BC29" s="24">
        <f t="shared" si="116"/>
        <v>78.311304347826066</v>
      </c>
      <c r="BD29" s="24">
        <f t="shared" si="116"/>
        <v>164.00474999999997</v>
      </c>
      <c r="BE29" s="24">
        <f t="shared" si="116"/>
        <v>52.133714285714277</v>
      </c>
      <c r="BF29" s="24">
        <f t="shared" si="116"/>
        <v>91.147506493506498</v>
      </c>
      <c r="BG29" s="24">
        <f t="shared" si="116"/>
        <v>84.509999999999991</v>
      </c>
      <c r="BH29" s="24">
        <f t="shared" si="117"/>
        <v>114.62877192982454</v>
      </c>
      <c r="BI29" s="24">
        <f t="shared" si="118"/>
        <v>54.74445165476962</v>
      </c>
      <c r="BJ29" s="24">
        <f t="shared" si="119"/>
        <v>23.95607655502392</v>
      </c>
      <c r="BK29" s="327">
        <f t="shared" si="120"/>
        <v>89.263157894736821</v>
      </c>
      <c r="BL29" s="24">
        <f t="shared" si="121"/>
        <v>126.81648913043475</v>
      </c>
      <c r="BM29" s="24">
        <f t="shared" si="122"/>
        <v>181.8539999999999</v>
      </c>
      <c r="BN29" s="24">
        <f t="shared" si="123"/>
        <v>268.65889285714275</v>
      </c>
      <c r="BO29" s="24">
        <f t="shared" si="124"/>
        <v>120.25321739130428</v>
      </c>
      <c r="BP29" s="24">
        <f t="shared" si="125"/>
        <v>242.98699090909082</v>
      </c>
      <c r="BQ29" s="24">
        <f t="shared" si="126"/>
        <v>75.75291428571424</v>
      </c>
      <c r="BR29" s="24">
        <f t="shared" si="127"/>
        <v>124.38125714285709</v>
      </c>
      <c r="BS29" s="24">
        <f t="shared" si="128"/>
        <v>125.99740476190468</v>
      </c>
      <c r="BT29" s="24">
        <f t="shared" si="129"/>
        <v>162.3399298245613</v>
      </c>
      <c r="BU29" s="24">
        <f t="shared" si="130"/>
        <v>73.788085658663164</v>
      </c>
      <c r="BV29" s="24">
        <f t="shared" si="131"/>
        <v>35.430315789473667</v>
      </c>
      <c r="BW29" s="327">
        <f t="shared" si="132"/>
        <v>125.75789473684203</v>
      </c>
      <c r="BX29" s="24">
        <f t="shared" si="133"/>
        <v>178.96591086956511</v>
      </c>
      <c r="BY29" s="24">
        <f t="shared" si="134"/>
        <v>270.63287999999983</v>
      </c>
      <c r="BZ29" s="24">
        <f t="shared" si="135"/>
        <v>381.54387857142837</v>
      </c>
      <c r="CA29" s="24">
        <f t="shared" si="136"/>
        <v>155.97445059288526</v>
      </c>
      <c r="CB29" s="24">
        <f t="shared" si="137"/>
        <v>378.86062090909064</v>
      </c>
      <c r="CC29" s="24">
        <f t="shared" si="138"/>
        <v>107.89788952380945</v>
      </c>
      <c r="CD29" s="24">
        <f t="shared" si="139"/>
        <v>169.1749527272726</v>
      </c>
      <c r="CE29" s="24">
        <f t="shared" si="140"/>
        <v>188.34240912698397</v>
      </c>
      <c r="CF29" s="24">
        <f t="shared" si="141"/>
        <v>220.850442105263</v>
      </c>
      <c r="CG29" s="24">
        <f t="shared" si="142"/>
        <v>110.03634782608688</v>
      </c>
      <c r="CH29" s="24">
        <f t="shared" si="143"/>
        <v>50.339284210526287</v>
      </c>
      <c r="CI29" s="327">
        <f t="shared" si="144"/>
        <v>163.15414187643012</v>
      </c>
      <c r="CJ29" s="24">
        <f t="shared" si="145"/>
        <v>276.75189666666648</v>
      </c>
      <c r="CK29" s="24">
        <f t="shared" si="146"/>
        <v>362.64383999999978</v>
      </c>
      <c r="CL29" s="24">
        <f t="shared" si="147"/>
        <v>513.52987714285678</v>
      </c>
      <c r="CM29" s="24">
        <f t="shared" si="148"/>
        <v>229.89667162055312</v>
      </c>
      <c r="CN29" s="24">
        <f t="shared" si="149"/>
        <v>533.19623290909044</v>
      </c>
      <c r="CO29" s="24">
        <f t="shared" si="150"/>
        <v>144.19081599999981</v>
      </c>
      <c r="CP29" s="24">
        <f t="shared" si="151"/>
        <v>248.12326399999969</v>
      </c>
      <c r="CQ29" s="24">
        <f t="shared" si="152"/>
        <v>262.96518626984096</v>
      </c>
      <c r="CR29" s="24">
        <f t="shared" si="153"/>
        <v>293.11478405103634</v>
      </c>
      <c r="CS29" s="24">
        <f t="shared" si="154"/>
        <v>160.88081194029832</v>
      </c>
      <c r="CT29" s="24">
        <f t="shared" si="155"/>
        <v>70.401313684210464</v>
      </c>
      <c r="CU29" s="327">
        <f t="shared" si="156"/>
        <v>228.89634782608675</v>
      </c>
      <c r="CV29" s="24">
        <f t="shared" si="157"/>
        <v>389.01098866666632</v>
      </c>
      <c r="CW29" s="24">
        <f t="shared" si="158"/>
        <v>509.05137599999955</v>
      </c>
      <c r="CX29" s="24">
        <f t="shared" si="159"/>
        <v>688.11890399999936</v>
      </c>
      <c r="CY29" s="24">
        <f t="shared" si="160"/>
        <v>338.79048069565181</v>
      </c>
      <c r="CZ29" s="24">
        <f t="shared" si="161"/>
        <v>750.66177152727209</v>
      </c>
      <c r="DA29" s="24">
        <f t="shared" si="162"/>
        <v>194.14013561904736</v>
      </c>
      <c r="DB29" s="24">
        <f t="shared" si="163"/>
        <v>365.99541367272684</v>
      </c>
      <c r="DC29" s="24">
        <f t="shared" si="164"/>
        <v>354.19408898412667</v>
      </c>
      <c r="DD29" s="24">
        <f t="shared" si="165"/>
        <v>433.00887609569332</v>
      </c>
      <c r="DE29" s="24">
        <f t="shared" si="166"/>
        <v>226.78462925373117</v>
      </c>
      <c r="DF29" s="24">
        <f t="shared" si="167"/>
        <v>94.574100057416203</v>
      </c>
      <c r="DG29" s="25">
        <f t="shared" si="168"/>
        <v>338.2318059496564</v>
      </c>
    </row>
    <row r="30" spans="1:111" ht="18" x14ac:dyDescent="0.3">
      <c r="A30" s="36"/>
      <c r="B30" s="36"/>
      <c r="C30" s="489" t="s">
        <v>290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519"/>
      <c r="AB30" s="317"/>
      <c r="AC30" s="317"/>
      <c r="AD30" s="317"/>
      <c r="AE30" s="317"/>
      <c r="AF30" s="317"/>
      <c r="AG30" s="317"/>
      <c r="AH30" s="317"/>
      <c r="AI30" s="317">
        <v>12.25</v>
      </c>
      <c r="AJ30" s="317">
        <v>15.25</v>
      </c>
      <c r="AK30" s="317">
        <v>21.5</v>
      </c>
      <c r="AL30" s="317">
        <v>1.75</v>
      </c>
      <c r="AM30" s="524">
        <v>0</v>
      </c>
      <c r="AN30" s="317">
        <v>0</v>
      </c>
      <c r="AO30" s="317">
        <v>3.75</v>
      </c>
      <c r="AP30" s="317"/>
      <c r="AQ30" s="317"/>
      <c r="AR30" s="317">
        <v>2.25</v>
      </c>
      <c r="AS30" s="317">
        <v>5.5</v>
      </c>
      <c r="AT30" s="317">
        <v>8.75</v>
      </c>
      <c r="AU30" s="317">
        <v>12.25</v>
      </c>
      <c r="AV30" s="317">
        <v>16.75</v>
      </c>
      <c r="AW30" s="589">
        <f>17+1.25</f>
        <v>18.25</v>
      </c>
      <c r="AX30" s="713">
        <f t="shared" si="116"/>
        <v>2.3361244019138758</v>
      </c>
      <c r="AY30" s="25">
        <f t="shared" si="116"/>
        <v>0</v>
      </c>
      <c r="AZ30" s="24">
        <f t="shared" si="116"/>
        <v>0</v>
      </c>
      <c r="BA30" s="24">
        <f t="shared" si="116"/>
        <v>6.5839285714285705</v>
      </c>
      <c r="BB30" s="24">
        <f t="shared" si="116"/>
        <v>0</v>
      </c>
      <c r="BC30" s="24">
        <f t="shared" si="116"/>
        <v>0</v>
      </c>
      <c r="BD30" s="24">
        <f t="shared" si="116"/>
        <v>5.528249999999999</v>
      </c>
      <c r="BE30" s="24">
        <f t="shared" si="116"/>
        <v>10.426742857142854</v>
      </c>
      <c r="BF30" s="24">
        <f t="shared" si="116"/>
        <v>11.771818181818182</v>
      </c>
      <c r="BG30" s="24">
        <f t="shared" si="116"/>
        <v>13.229999999999999</v>
      </c>
      <c r="BH30" s="24">
        <f t="shared" si="117"/>
        <v>18.113508771929823</v>
      </c>
      <c r="BI30" s="24">
        <f t="shared" si="118"/>
        <v>17.300194678780009</v>
      </c>
      <c r="BJ30" s="24">
        <f t="shared" si="119"/>
        <v>2.99450956937799</v>
      </c>
      <c r="BK30" s="327">
        <f t="shared" si="120"/>
        <v>0</v>
      </c>
      <c r="BL30" s="24">
        <f t="shared" si="121"/>
        <v>0</v>
      </c>
      <c r="BM30" s="24">
        <f t="shared" si="122"/>
        <v>10.824642857142852</v>
      </c>
      <c r="BN30" s="24">
        <f t="shared" si="123"/>
        <v>0</v>
      </c>
      <c r="BO30" s="24">
        <f t="shared" si="124"/>
        <v>0</v>
      </c>
      <c r="BP30" s="24">
        <f t="shared" si="125"/>
        <v>8.1905727272727233</v>
      </c>
      <c r="BQ30" s="24">
        <f t="shared" si="126"/>
        <v>15.150582857142846</v>
      </c>
      <c r="BR30" s="24">
        <f t="shared" si="127"/>
        <v>16.063999999999993</v>
      </c>
      <c r="BS30" s="24">
        <f t="shared" si="128"/>
        <v>19.724833333333322</v>
      </c>
      <c r="BT30" s="24">
        <f t="shared" si="129"/>
        <v>25.652771929824546</v>
      </c>
      <c r="BU30" s="24">
        <f t="shared" si="130"/>
        <v>23.318312783906542</v>
      </c>
      <c r="BV30" s="24">
        <f t="shared" si="131"/>
        <v>4.4287894736842084</v>
      </c>
      <c r="BW30" s="327">
        <f t="shared" si="132"/>
        <v>0</v>
      </c>
      <c r="BX30" s="24">
        <f t="shared" si="133"/>
        <v>0</v>
      </c>
      <c r="BY30" s="24">
        <f t="shared" si="134"/>
        <v>16.109099999999987</v>
      </c>
      <c r="BZ30" s="24">
        <f t="shared" si="135"/>
        <v>0</v>
      </c>
      <c r="CA30" s="24">
        <f t="shared" si="136"/>
        <v>0</v>
      </c>
      <c r="CB30" s="24">
        <f t="shared" si="137"/>
        <v>12.770582727272718</v>
      </c>
      <c r="CC30" s="24">
        <f t="shared" si="138"/>
        <v>21.579577904761887</v>
      </c>
      <c r="CD30" s="24">
        <f t="shared" si="139"/>
        <v>21.849163636363617</v>
      </c>
      <c r="CE30" s="24">
        <f t="shared" si="140"/>
        <v>29.484913888888865</v>
      </c>
      <c r="CF30" s="24">
        <f t="shared" si="141"/>
        <v>34.898536842105244</v>
      </c>
      <c r="CG30" s="24">
        <f t="shared" si="142"/>
        <v>34.773391304347811</v>
      </c>
      <c r="CH30" s="24">
        <f t="shared" si="143"/>
        <v>6.2924105263157859</v>
      </c>
      <c r="CI30" s="327">
        <f t="shared" si="144"/>
        <v>0</v>
      </c>
      <c r="CJ30" s="24">
        <f t="shared" si="145"/>
        <v>0</v>
      </c>
      <c r="CK30" s="24">
        <f t="shared" si="146"/>
        <v>21.585942857142843</v>
      </c>
      <c r="CL30" s="24">
        <f t="shared" si="147"/>
        <v>0</v>
      </c>
      <c r="CM30" s="24">
        <f t="shared" si="148"/>
        <v>0</v>
      </c>
      <c r="CN30" s="24">
        <f t="shared" si="149"/>
        <v>17.972906727272711</v>
      </c>
      <c r="CO30" s="24">
        <f t="shared" si="150"/>
        <v>28.838163199999958</v>
      </c>
      <c r="CP30" s="24">
        <f t="shared" si="151"/>
        <v>32.045439999999957</v>
      </c>
      <c r="CQ30" s="24">
        <f t="shared" si="152"/>
        <v>41.167073888888837</v>
      </c>
      <c r="CR30" s="24">
        <f t="shared" si="153"/>
        <v>46.317666347687357</v>
      </c>
      <c r="CS30" s="24">
        <f t="shared" si="154"/>
        <v>50.841122388059652</v>
      </c>
      <c r="CT30" s="24">
        <f t="shared" si="155"/>
        <v>8.800164210526308</v>
      </c>
      <c r="CU30" s="327">
        <f t="shared" si="156"/>
        <v>0</v>
      </c>
      <c r="CV30" s="24">
        <f t="shared" si="157"/>
        <v>0</v>
      </c>
      <c r="CW30" s="24">
        <f t="shared" si="158"/>
        <v>30.300677142857115</v>
      </c>
      <c r="CX30" s="24">
        <f t="shared" si="159"/>
        <v>0</v>
      </c>
      <c r="CY30" s="24">
        <f t="shared" si="160"/>
        <v>0</v>
      </c>
      <c r="CZ30" s="24">
        <f t="shared" si="161"/>
        <v>25.303205781818157</v>
      </c>
      <c r="DA30" s="24">
        <f t="shared" si="162"/>
        <v>38.82802712380947</v>
      </c>
      <c r="DB30" s="24">
        <f t="shared" si="163"/>
        <v>47.268780363636303</v>
      </c>
      <c r="DC30" s="24">
        <f t="shared" si="164"/>
        <v>55.448914888888837</v>
      </c>
      <c r="DD30" s="24">
        <f t="shared" si="165"/>
        <v>68.423572401913816</v>
      </c>
      <c r="DE30" s="24">
        <f t="shared" si="166"/>
        <v>71.667869850746229</v>
      </c>
      <c r="DF30" s="24">
        <f t="shared" si="167"/>
        <v>11.821762507177025</v>
      </c>
      <c r="DG30" s="25">
        <f t="shared" si="168"/>
        <v>0</v>
      </c>
    </row>
    <row r="31" spans="1:111" ht="18" x14ac:dyDescent="0.3">
      <c r="A31" s="36"/>
      <c r="B31" s="36"/>
      <c r="C31" s="489" t="s">
        <v>298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49">
        <v>3</v>
      </c>
      <c r="Q31" s="49">
        <v>0</v>
      </c>
      <c r="R31" s="49">
        <v>0</v>
      </c>
      <c r="S31" s="49">
        <v>1</v>
      </c>
      <c r="T31" s="49">
        <v>0</v>
      </c>
      <c r="U31" s="49">
        <v>1.25</v>
      </c>
      <c r="V31" s="49">
        <v>7.25</v>
      </c>
      <c r="W31" s="49">
        <v>27</v>
      </c>
      <c r="X31" s="49">
        <v>45.25</v>
      </c>
      <c r="Y31" s="49">
        <v>55.25</v>
      </c>
      <c r="Z31" s="49">
        <v>17.75</v>
      </c>
      <c r="AA31" s="519">
        <v>0.75</v>
      </c>
      <c r="AB31" s="317">
        <v>3.25</v>
      </c>
      <c r="AC31" s="317">
        <v>2.25</v>
      </c>
      <c r="AD31" s="317">
        <v>4</v>
      </c>
      <c r="AE31" s="317">
        <v>0.5</v>
      </c>
      <c r="AF31" s="317">
        <v>1.25</v>
      </c>
      <c r="AG31" s="317">
        <v>20</v>
      </c>
      <c r="AH31" s="317">
        <v>52</v>
      </c>
      <c r="AI31" s="317">
        <v>68.75</v>
      </c>
      <c r="AJ31" s="317">
        <v>101.25</v>
      </c>
      <c r="AK31" s="317">
        <v>157.5</v>
      </c>
      <c r="AL31" s="317">
        <v>93</v>
      </c>
      <c r="AM31" s="524">
        <v>29.75</v>
      </c>
      <c r="AN31" s="317">
        <f>15+9.25+15.25</f>
        <v>39.5</v>
      </c>
      <c r="AO31" s="317">
        <v>19.25</v>
      </c>
      <c r="AP31" s="580">
        <v>5.75</v>
      </c>
      <c r="AQ31" s="317">
        <v>4.75</v>
      </c>
      <c r="AR31" s="317">
        <v>3</v>
      </c>
      <c r="AS31" s="317">
        <v>30</v>
      </c>
      <c r="AT31" s="317">
        <v>61</v>
      </c>
      <c r="AU31" s="317">
        <v>82.75</v>
      </c>
      <c r="AV31" s="317">
        <v>117.25</v>
      </c>
      <c r="AW31" s="589">
        <v>207.5</v>
      </c>
      <c r="AX31" s="713">
        <f>+IFERROR(AX$26*(AL31/AL$26), 0)-50</f>
        <v>74.148325358851679</v>
      </c>
      <c r="AY31" s="25">
        <f t="shared" si="116"/>
        <v>53.754233409610997</v>
      </c>
      <c r="AZ31" s="24">
        <f t="shared" si="116"/>
        <v>63.537753623188408</v>
      </c>
      <c r="BA31" s="24">
        <f t="shared" si="116"/>
        <v>33.797499999999992</v>
      </c>
      <c r="BB31" s="24">
        <f t="shared" si="116"/>
        <v>12.529523809523807</v>
      </c>
      <c r="BC31" s="24">
        <f t="shared" si="116"/>
        <v>10.053478260869563</v>
      </c>
      <c r="BD31" s="24">
        <f t="shared" si="116"/>
        <v>7.3709999999999987</v>
      </c>
      <c r="BE31" s="24">
        <f t="shared" si="116"/>
        <v>56.873142857142838</v>
      </c>
      <c r="BF31" s="24">
        <f t="shared" si="116"/>
        <v>82.066389610389606</v>
      </c>
      <c r="BG31" s="24">
        <f t="shared" si="116"/>
        <v>89.36999999999999</v>
      </c>
      <c r="BH31" s="24">
        <f t="shared" si="117"/>
        <v>126.79456140350874</v>
      </c>
      <c r="BI31" s="24">
        <f t="shared" si="118"/>
        <v>196.70084360804668</v>
      </c>
      <c r="BJ31" s="24">
        <f t="shared" si="119"/>
        <v>95.045396408910833</v>
      </c>
      <c r="BK31" s="327">
        <f t="shared" si="120"/>
        <v>106.22315789473683</v>
      </c>
      <c r="BL31" s="24">
        <f t="shared" si="121"/>
        <v>107.1497608695652</v>
      </c>
      <c r="BM31" s="24">
        <f t="shared" si="122"/>
        <v>55.566499999999969</v>
      </c>
      <c r="BN31" s="24">
        <f t="shared" si="123"/>
        <v>20.805234126984118</v>
      </c>
      <c r="BO31" s="24">
        <f t="shared" si="124"/>
        <v>15.437913043478252</v>
      </c>
      <c r="BP31" s="24">
        <f t="shared" si="125"/>
        <v>10.920763636363633</v>
      </c>
      <c r="BQ31" s="24">
        <f t="shared" si="126"/>
        <v>82.6395428571428</v>
      </c>
      <c r="BR31" s="24">
        <f t="shared" si="127"/>
        <v>111.98902857142852</v>
      </c>
      <c r="BS31" s="24">
        <f t="shared" si="128"/>
        <v>133.24326190476182</v>
      </c>
      <c r="BT31" s="24">
        <f t="shared" si="129"/>
        <v>179.56940350877181</v>
      </c>
      <c r="BU31" s="24">
        <f t="shared" si="130"/>
        <v>265.12602206359492</v>
      </c>
      <c r="BV31" s="24">
        <f t="shared" si="131"/>
        <v>140.56927900396147</v>
      </c>
      <c r="BW31" s="327">
        <f t="shared" si="132"/>
        <v>149.65189473684202</v>
      </c>
      <c r="BX31" s="24">
        <f t="shared" si="133"/>
        <v>151.2118391304347</v>
      </c>
      <c r="BY31" s="24">
        <f t="shared" si="134"/>
        <v>82.693379999999934</v>
      </c>
      <c r="BZ31" s="24">
        <f t="shared" si="135"/>
        <v>29.547169047619033</v>
      </c>
      <c r="CA31" s="24">
        <f t="shared" si="136"/>
        <v>20.023747035573109</v>
      </c>
      <c r="CB31" s="24">
        <f t="shared" si="137"/>
        <v>17.027443636363625</v>
      </c>
      <c r="CC31" s="24">
        <f t="shared" si="138"/>
        <v>117.70678857142849</v>
      </c>
      <c r="CD31" s="24">
        <f t="shared" si="139"/>
        <v>152.3198836363635</v>
      </c>
      <c r="CE31" s="24">
        <f t="shared" si="140"/>
        <v>199.17360198412683</v>
      </c>
      <c r="CF31" s="24">
        <f t="shared" si="141"/>
        <v>244.28975789473668</v>
      </c>
      <c r="CG31" s="24">
        <f t="shared" si="142"/>
        <v>395.3686956521737</v>
      </c>
      <c r="CH31" s="24">
        <f t="shared" si="143"/>
        <v>199.72040128277678</v>
      </c>
      <c r="CI31" s="327">
        <f t="shared" si="144"/>
        <v>194.15342883295185</v>
      </c>
      <c r="CJ31" s="24">
        <f t="shared" si="145"/>
        <v>233.8331533333332</v>
      </c>
      <c r="CK31" s="24">
        <f t="shared" si="146"/>
        <v>110.80783999999991</v>
      </c>
      <c r="CL31" s="24">
        <f t="shared" si="147"/>
        <v>39.768306984126951</v>
      </c>
      <c r="CM31" s="24">
        <f t="shared" si="148"/>
        <v>29.513761897233174</v>
      </c>
      <c r="CN31" s="24">
        <f t="shared" si="149"/>
        <v>23.963875636363618</v>
      </c>
      <c r="CO31" s="24">
        <f t="shared" si="150"/>
        <v>157.2990719999998</v>
      </c>
      <c r="CP31" s="24">
        <f t="shared" si="151"/>
        <v>223.40249599999967</v>
      </c>
      <c r="CQ31" s="24">
        <f t="shared" si="152"/>
        <v>278.08778484126952</v>
      </c>
      <c r="CR31" s="24">
        <f t="shared" si="153"/>
        <v>324.22366443381145</v>
      </c>
      <c r="CS31" s="24">
        <f t="shared" si="154"/>
        <v>578.05659701492471</v>
      </c>
      <c r="CT31" s="24">
        <f t="shared" si="155"/>
        <v>279.3162207281643</v>
      </c>
      <c r="CU31" s="327">
        <f t="shared" si="156"/>
        <v>272.38665391304323</v>
      </c>
      <c r="CV31" s="24">
        <f t="shared" si="157"/>
        <v>328.68308133333306</v>
      </c>
      <c r="CW31" s="24">
        <f t="shared" si="158"/>
        <v>155.54347599999986</v>
      </c>
      <c r="CX31" s="24">
        <f t="shared" si="159"/>
        <v>53.288669333333281</v>
      </c>
      <c r="CY31" s="24">
        <f t="shared" si="160"/>
        <v>43.493372521739083</v>
      </c>
      <c r="CZ31" s="24">
        <f t="shared" si="161"/>
        <v>33.737607709090881</v>
      </c>
      <c r="DA31" s="24">
        <f t="shared" si="162"/>
        <v>211.78923885714258</v>
      </c>
      <c r="DB31" s="24">
        <f t="shared" si="163"/>
        <v>329.53092596363592</v>
      </c>
      <c r="DC31" s="24">
        <f t="shared" si="164"/>
        <v>374.56307812698378</v>
      </c>
      <c r="DD31" s="24">
        <f t="shared" si="165"/>
        <v>478.96500681339666</v>
      </c>
      <c r="DE31" s="24">
        <f t="shared" si="166"/>
        <v>814.85386268656657</v>
      </c>
      <c r="DF31" s="24">
        <f t="shared" si="167"/>
        <v>375.22141028924199</v>
      </c>
      <c r="DG31" s="25">
        <f t="shared" si="168"/>
        <v>402.49584908009115</v>
      </c>
    </row>
    <row r="32" spans="1:111" ht="18" x14ac:dyDescent="0.3">
      <c r="A32" s="36"/>
      <c r="B32" s="36"/>
      <c r="C32" s="489" t="s">
        <v>283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49">
        <v>1.83</v>
      </c>
      <c r="Q32" s="49">
        <v>8</v>
      </c>
      <c r="R32" s="49">
        <v>2.75</v>
      </c>
      <c r="S32" s="49">
        <v>1</v>
      </c>
      <c r="T32" s="49">
        <v>5.25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2</v>
      </c>
      <c r="AA32" s="519">
        <v>2</v>
      </c>
      <c r="AB32" s="317">
        <v>1</v>
      </c>
      <c r="AC32" s="317">
        <v>1</v>
      </c>
      <c r="AD32" s="317">
        <v>6</v>
      </c>
      <c r="AE32" s="317">
        <v>5</v>
      </c>
      <c r="AF32" s="317">
        <v>0</v>
      </c>
      <c r="AG32" s="317">
        <v>1</v>
      </c>
      <c r="AH32" s="317">
        <v>0</v>
      </c>
      <c r="AI32" s="317">
        <v>0</v>
      </c>
      <c r="AJ32" s="317">
        <v>0</v>
      </c>
      <c r="AK32" s="317">
        <v>0</v>
      </c>
      <c r="AL32" s="317">
        <v>0</v>
      </c>
      <c r="AM32" s="524">
        <v>0</v>
      </c>
      <c r="AN32" s="317">
        <v>3</v>
      </c>
      <c r="AO32" s="317">
        <v>2</v>
      </c>
      <c r="AP32" s="317"/>
      <c r="AQ32" s="317">
        <v>1</v>
      </c>
      <c r="AR32" s="317"/>
      <c r="AS32" s="317"/>
      <c r="AT32" s="317"/>
      <c r="AU32" s="317"/>
      <c r="AV32" s="317"/>
      <c r="AW32" s="589"/>
      <c r="AX32" s="24">
        <f>+IFERROR(AX$26*(AL32/AL$26), 0)</f>
        <v>0</v>
      </c>
      <c r="AY32" s="25">
        <f t="shared" si="116"/>
        <v>0</v>
      </c>
      <c r="AZ32" s="24">
        <f t="shared" si="116"/>
        <v>4.8256521739130438</v>
      </c>
      <c r="BA32" s="24">
        <f t="shared" si="116"/>
        <v>3.5114285714285711</v>
      </c>
      <c r="BB32" s="24">
        <f t="shared" si="116"/>
        <v>0</v>
      </c>
      <c r="BC32" s="24">
        <f t="shared" si="116"/>
        <v>2.1165217391304343</v>
      </c>
      <c r="BD32" s="24">
        <f t="shared" si="116"/>
        <v>0</v>
      </c>
      <c r="BE32" s="24">
        <f t="shared" si="116"/>
        <v>0</v>
      </c>
      <c r="BF32" s="24">
        <f t="shared" si="116"/>
        <v>0</v>
      </c>
      <c r="BG32" s="24">
        <f t="shared" si="116"/>
        <v>0</v>
      </c>
      <c r="BH32" s="24">
        <f t="shared" si="117"/>
        <v>0</v>
      </c>
      <c r="BI32" s="24">
        <f t="shared" si="118"/>
        <v>0</v>
      </c>
      <c r="BJ32" s="24">
        <f t="shared" si="119"/>
        <v>0</v>
      </c>
      <c r="BK32" s="327">
        <f t="shared" si="120"/>
        <v>0</v>
      </c>
      <c r="BL32" s="24">
        <f t="shared" si="121"/>
        <v>8.1379565217391292</v>
      </c>
      <c r="BM32" s="24">
        <f t="shared" si="122"/>
        <v>5.7731428571428545</v>
      </c>
      <c r="BN32" s="24">
        <f t="shared" si="123"/>
        <v>0</v>
      </c>
      <c r="BO32" s="24">
        <f t="shared" si="124"/>
        <v>3.2500869565217374</v>
      </c>
      <c r="BP32" s="24">
        <f t="shared" si="125"/>
        <v>0</v>
      </c>
      <c r="BQ32" s="24">
        <f t="shared" si="126"/>
        <v>0</v>
      </c>
      <c r="BR32" s="24">
        <f t="shared" si="127"/>
        <v>0</v>
      </c>
      <c r="BS32" s="24">
        <f t="shared" si="128"/>
        <v>0</v>
      </c>
      <c r="BT32" s="24">
        <f t="shared" si="129"/>
        <v>0</v>
      </c>
      <c r="BU32" s="24">
        <f t="shared" si="130"/>
        <v>0</v>
      </c>
      <c r="BV32" s="24">
        <f t="shared" si="131"/>
        <v>0</v>
      </c>
      <c r="BW32" s="327">
        <f t="shared" si="132"/>
        <v>0</v>
      </c>
      <c r="BX32" s="24">
        <f t="shared" si="133"/>
        <v>11.484443478260864</v>
      </c>
      <c r="BY32" s="24">
        <f t="shared" si="134"/>
        <v>8.5915199999999938</v>
      </c>
      <c r="BZ32" s="24">
        <f t="shared" si="135"/>
        <v>0</v>
      </c>
      <c r="CA32" s="24">
        <f t="shared" si="136"/>
        <v>4.2155256916996029</v>
      </c>
      <c r="CB32" s="24">
        <f t="shared" si="137"/>
        <v>0</v>
      </c>
      <c r="CC32" s="24">
        <f t="shared" si="138"/>
        <v>0</v>
      </c>
      <c r="CD32" s="24">
        <f t="shared" si="139"/>
        <v>0</v>
      </c>
      <c r="CE32" s="24">
        <f t="shared" si="140"/>
        <v>0</v>
      </c>
      <c r="CF32" s="24">
        <f t="shared" si="141"/>
        <v>0</v>
      </c>
      <c r="CG32" s="24">
        <f t="shared" si="142"/>
        <v>0</v>
      </c>
      <c r="CH32" s="24">
        <f t="shared" si="143"/>
        <v>0</v>
      </c>
      <c r="CI32" s="327">
        <f t="shared" si="144"/>
        <v>0</v>
      </c>
      <c r="CJ32" s="24">
        <f t="shared" si="145"/>
        <v>17.759479999999989</v>
      </c>
      <c r="CK32" s="24">
        <f t="shared" si="146"/>
        <v>11.512502857142849</v>
      </c>
      <c r="CL32" s="24">
        <f t="shared" si="147"/>
        <v>0</v>
      </c>
      <c r="CM32" s="24">
        <f t="shared" si="148"/>
        <v>6.2134235573122485</v>
      </c>
      <c r="CN32" s="24">
        <f t="shared" si="149"/>
        <v>0</v>
      </c>
      <c r="CO32" s="24">
        <f t="shared" si="150"/>
        <v>0</v>
      </c>
      <c r="CP32" s="24">
        <f t="shared" si="151"/>
        <v>0</v>
      </c>
      <c r="CQ32" s="24">
        <f t="shared" si="152"/>
        <v>0</v>
      </c>
      <c r="CR32" s="24">
        <f t="shared" si="153"/>
        <v>0</v>
      </c>
      <c r="CS32" s="24">
        <f t="shared" si="154"/>
        <v>0</v>
      </c>
      <c r="CT32" s="24">
        <f t="shared" si="155"/>
        <v>0</v>
      </c>
      <c r="CU32" s="327">
        <f t="shared" si="156"/>
        <v>0</v>
      </c>
      <c r="CV32" s="24">
        <f t="shared" si="157"/>
        <v>24.963271999999982</v>
      </c>
      <c r="CW32" s="24">
        <f t="shared" si="158"/>
        <v>16.160361142857131</v>
      </c>
      <c r="CX32" s="24">
        <f t="shared" si="159"/>
        <v>0</v>
      </c>
      <c r="CY32" s="24">
        <f t="shared" si="160"/>
        <v>9.1564994782608622</v>
      </c>
      <c r="CZ32" s="24">
        <f t="shared" si="161"/>
        <v>0</v>
      </c>
      <c r="DA32" s="24">
        <f t="shared" si="162"/>
        <v>0</v>
      </c>
      <c r="DB32" s="24">
        <f t="shared" si="163"/>
        <v>0</v>
      </c>
      <c r="DC32" s="24">
        <f t="shared" si="164"/>
        <v>0</v>
      </c>
      <c r="DD32" s="24">
        <f t="shared" si="165"/>
        <v>0</v>
      </c>
      <c r="DE32" s="24">
        <f t="shared" si="166"/>
        <v>0</v>
      </c>
      <c r="DF32" s="24">
        <f t="shared" si="167"/>
        <v>0</v>
      </c>
      <c r="DG32" s="25">
        <f t="shared" si="168"/>
        <v>0</v>
      </c>
    </row>
    <row r="33" spans="1:111" ht="18" x14ac:dyDescent="0.3">
      <c r="A33" s="36"/>
      <c r="B33" s="36"/>
      <c r="C33" s="489" t="s">
        <v>394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19"/>
      <c r="AB33" s="317"/>
      <c r="AC33" s="317"/>
      <c r="AD33" s="317"/>
      <c r="AE33" s="317"/>
      <c r="AF33" s="317"/>
      <c r="AG33" s="317"/>
      <c r="AH33" s="317"/>
      <c r="AI33" s="317"/>
      <c r="AJ33" s="317"/>
      <c r="AK33" s="317"/>
      <c r="AL33" s="317"/>
      <c r="AM33" s="524"/>
      <c r="AN33" s="317"/>
      <c r="AO33" s="317"/>
      <c r="AP33" s="317"/>
      <c r="AQ33" s="317"/>
      <c r="AR33" s="317"/>
      <c r="AS33" s="317"/>
      <c r="AT33" s="317"/>
      <c r="AU33" s="317"/>
      <c r="AV33" s="317"/>
      <c r="AW33" s="589">
        <v>105</v>
      </c>
      <c r="AX33" s="24">
        <f>+AX30+(SUM(AX28:AX29,AX31)/3)</f>
        <v>37.731658692185015</v>
      </c>
      <c r="AY33" s="25">
        <f t="shared" ref="AY33:DG33" si="169">+AY30+(SUM(AY28:AY29,AY31)/3)</f>
        <v>37.793592677345544</v>
      </c>
      <c r="AZ33" s="24">
        <f t="shared" si="169"/>
        <v>48.524613526570043</v>
      </c>
      <c r="BA33" s="24">
        <f t="shared" si="169"/>
        <v>62.327857142857134</v>
      </c>
      <c r="BB33" s="24">
        <f t="shared" si="169"/>
        <v>72.998095238095217</v>
      </c>
      <c r="BC33" s="24">
        <f t="shared" si="169"/>
        <v>32.982463768115934</v>
      </c>
      <c r="BD33" s="24">
        <f t="shared" si="169"/>
        <v>65.724749999999986</v>
      </c>
      <c r="BE33" s="24">
        <f t="shared" si="169"/>
        <v>46.762361904761896</v>
      </c>
      <c r="BF33" s="24">
        <f t="shared" si="169"/>
        <v>70.518796536796529</v>
      </c>
      <c r="BG33" s="24">
        <f t="shared" si="169"/>
        <v>75.239999999999995</v>
      </c>
      <c r="BH33" s="24">
        <f t="shared" si="169"/>
        <v>105.52695906432746</v>
      </c>
      <c r="BI33" s="24">
        <f t="shared" si="169"/>
        <v>108.85693272766599</v>
      </c>
      <c r="BJ33" s="24">
        <f t="shared" si="169"/>
        <v>48.365494975219079</v>
      </c>
      <c r="BK33" s="327">
        <f t="shared" si="169"/>
        <v>74.683508771929809</v>
      </c>
      <c r="BL33" s="24">
        <f t="shared" si="169"/>
        <v>81.83167391304346</v>
      </c>
      <c r="BM33" s="24">
        <f t="shared" si="169"/>
        <v>102.47328571428567</v>
      </c>
      <c r="BN33" s="24">
        <f t="shared" si="169"/>
        <v>121.21310317460313</v>
      </c>
      <c r="BO33" s="24">
        <f t="shared" si="169"/>
        <v>50.647188405797074</v>
      </c>
      <c r="BP33" s="24">
        <f t="shared" si="169"/>
        <v>97.376809090909063</v>
      </c>
      <c r="BQ33" s="24">
        <f t="shared" si="169"/>
        <v>67.948068571428522</v>
      </c>
      <c r="BR33" s="24">
        <f t="shared" si="169"/>
        <v>96.231009523809476</v>
      </c>
      <c r="BS33" s="24">
        <f t="shared" si="169"/>
        <v>112.1766031746031</v>
      </c>
      <c r="BT33" s="24">
        <f t="shared" si="169"/>
        <v>149.44973099415193</v>
      </c>
      <c r="BU33" s="24">
        <f t="shared" si="169"/>
        <v>146.72436080467222</v>
      </c>
      <c r="BV33" s="24">
        <f t="shared" si="169"/>
        <v>71.531110545180127</v>
      </c>
      <c r="BW33" s="327">
        <f t="shared" si="169"/>
        <v>105.21743859649116</v>
      </c>
      <c r="BX33" s="24">
        <f t="shared" si="169"/>
        <v>115.48245942028979</v>
      </c>
      <c r="BY33" s="24">
        <f t="shared" si="169"/>
        <v>152.49947999999989</v>
      </c>
      <c r="BZ33" s="24">
        <f t="shared" si="169"/>
        <v>172.14437619047609</v>
      </c>
      <c r="CA33" s="24">
        <f t="shared" si="169"/>
        <v>65.691942028985451</v>
      </c>
      <c r="CB33" s="24">
        <f t="shared" si="169"/>
        <v>151.82803909090896</v>
      </c>
      <c r="CC33" s="24">
        <f t="shared" si="169"/>
        <v>96.78113726984121</v>
      </c>
      <c r="CD33" s="24">
        <f t="shared" si="169"/>
        <v>130.88689454545445</v>
      </c>
      <c r="CE33" s="24">
        <f t="shared" si="169"/>
        <v>167.6829116402115</v>
      </c>
      <c r="CF33" s="24">
        <f t="shared" si="169"/>
        <v>203.31436140350866</v>
      </c>
      <c r="CG33" s="24">
        <f t="shared" si="169"/>
        <v>218.80243478260854</v>
      </c>
      <c r="CH33" s="24">
        <f t="shared" si="169"/>
        <v>101.63118288373261</v>
      </c>
      <c r="CI33" s="327">
        <f t="shared" si="169"/>
        <v>136.50563203661321</v>
      </c>
      <c r="CJ33" s="24">
        <f t="shared" si="169"/>
        <v>178.58143777777767</v>
      </c>
      <c r="CK33" s="24">
        <f t="shared" si="169"/>
        <v>204.34692571428559</v>
      </c>
      <c r="CL33" s="24">
        <f t="shared" si="169"/>
        <v>231.69361460317444</v>
      </c>
      <c r="CM33" s="24">
        <f t="shared" si="169"/>
        <v>96.82585043478251</v>
      </c>
      <c r="CN33" s="24">
        <f t="shared" si="169"/>
        <v>213.6778910909089</v>
      </c>
      <c r="CO33" s="24">
        <f t="shared" si="169"/>
        <v>129.33479253333317</v>
      </c>
      <c r="CP33" s="24">
        <f t="shared" si="169"/>
        <v>191.96744533333307</v>
      </c>
      <c r="CQ33" s="24">
        <f t="shared" si="169"/>
        <v>234.12022973544947</v>
      </c>
      <c r="CR33" s="24">
        <f t="shared" si="169"/>
        <v>269.84073280170094</v>
      </c>
      <c r="CS33" s="24">
        <f t="shared" si="169"/>
        <v>319.90441393034791</v>
      </c>
      <c r="CT33" s="24">
        <f t="shared" si="169"/>
        <v>142.13489322517754</v>
      </c>
      <c r="CU33" s="327">
        <f t="shared" si="169"/>
        <v>191.50994434782592</v>
      </c>
      <c r="CV33" s="24">
        <f t="shared" si="169"/>
        <v>251.01956844444422</v>
      </c>
      <c r="CW33" s="24">
        <f t="shared" si="169"/>
        <v>286.84641028571406</v>
      </c>
      <c r="CX33" s="24">
        <f t="shared" si="169"/>
        <v>310.46442133333301</v>
      </c>
      <c r="CY33" s="24">
        <f t="shared" si="169"/>
        <v>142.68878353623174</v>
      </c>
      <c r="CZ33" s="24">
        <f t="shared" si="169"/>
        <v>300.827002072727</v>
      </c>
      <c r="DA33" s="24">
        <f t="shared" si="169"/>
        <v>174.13781861587279</v>
      </c>
      <c r="DB33" s="24">
        <f t="shared" si="169"/>
        <v>283.16250332121177</v>
      </c>
      <c r="DC33" s="24">
        <f t="shared" si="169"/>
        <v>315.34212821163993</v>
      </c>
      <c r="DD33" s="24">
        <f t="shared" si="169"/>
        <v>398.62688200318939</v>
      </c>
      <c r="DE33" s="24">
        <f t="shared" si="169"/>
        <v>450.95125412935295</v>
      </c>
      <c r="DF33" s="24">
        <f t="shared" si="169"/>
        <v>190.93790882687645</v>
      </c>
      <c r="DG33" s="25">
        <f t="shared" si="169"/>
        <v>282.98727764454588</v>
      </c>
    </row>
    <row r="34" spans="1:111" ht="18" x14ac:dyDescent="0.3">
      <c r="A34" s="36"/>
      <c r="B34" s="36"/>
      <c r="C34" s="489" t="s">
        <v>395</v>
      </c>
      <c r="D34" s="15"/>
      <c r="E34" s="15"/>
      <c r="F34" s="15"/>
      <c r="G34" s="15"/>
      <c r="H34" s="15"/>
      <c r="I34" s="15"/>
      <c r="J34" s="15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511"/>
      <c r="Y34" s="511"/>
      <c r="Z34" s="511"/>
      <c r="AA34" s="561"/>
      <c r="AB34" s="511"/>
      <c r="AC34" s="511"/>
      <c r="AD34" s="511"/>
      <c r="AE34" s="511"/>
      <c r="AF34" s="511"/>
      <c r="AG34" s="511"/>
      <c r="AH34" s="511"/>
      <c r="AI34" s="511"/>
      <c r="AJ34" s="511"/>
      <c r="AK34" s="511"/>
      <c r="AL34" s="511"/>
      <c r="AM34" s="523"/>
      <c r="AN34" s="563"/>
      <c r="AO34" s="563"/>
      <c r="AP34" s="563"/>
      <c r="AQ34" s="563"/>
      <c r="AR34" s="563"/>
      <c r="AS34" s="563"/>
      <c r="AT34" s="563"/>
      <c r="AU34" s="563"/>
      <c r="AV34" s="563"/>
      <c r="AW34" s="588">
        <f>+AW26-AW33</f>
        <v>203</v>
      </c>
      <c r="AX34" s="24">
        <f t="shared" ref="AX34:DG34" si="170">+AX26-AX33</f>
        <v>120.79106858054226</v>
      </c>
      <c r="AY34" s="25">
        <f t="shared" si="170"/>
        <v>75.587185354691087</v>
      </c>
      <c r="AZ34" s="24">
        <f t="shared" si="170"/>
        <v>101.87487922705313</v>
      </c>
      <c r="BA34" s="24">
        <f t="shared" si="170"/>
        <v>114.99928571428569</v>
      </c>
      <c r="BB34" s="24">
        <f t="shared" si="170"/>
        <v>145.99619047619046</v>
      </c>
      <c r="BC34" s="24">
        <f t="shared" si="170"/>
        <v>68.081449275362303</v>
      </c>
      <c r="BD34" s="24">
        <f t="shared" si="170"/>
        <v>120.39299999999999</v>
      </c>
      <c r="BE34" s="24">
        <f t="shared" si="170"/>
        <v>72.671238095238067</v>
      </c>
      <c r="BF34" s="24">
        <f t="shared" si="170"/>
        <v>117.49395670995672</v>
      </c>
      <c r="BG34" s="24">
        <f t="shared" si="170"/>
        <v>124.02</v>
      </c>
      <c r="BH34" s="24">
        <f t="shared" si="170"/>
        <v>174.82690058479528</v>
      </c>
      <c r="BI34" s="24">
        <f t="shared" si="170"/>
        <v>183.11347609777198</v>
      </c>
      <c r="BJ34" s="24">
        <f t="shared" si="170"/>
        <v>154.8333686611445</v>
      </c>
      <c r="BK34" s="327">
        <f t="shared" si="170"/>
        <v>149.36701754385962</v>
      </c>
      <c r="BL34" s="24">
        <f t="shared" si="170"/>
        <v>171.80130434782603</v>
      </c>
      <c r="BM34" s="24">
        <f t="shared" si="170"/>
        <v>189.07042857142847</v>
      </c>
      <c r="BN34" s="24">
        <f t="shared" si="170"/>
        <v>242.42620634920621</v>
      </c>
      <c r="BO34" s="24">
        <f t="shared" si="170"/>
        <v>104.54446376811589</v>
      </c>
      <c r="BP34" s="24">
        <f t="shared" si="170"/>
        <v>178.37247272727265</v>
      </c>
      <c r="BQ34" s="24">
        <f t="shared" si="170"/>
        <v>105.59497142857136</v>
      </c>
      <c r="BR34" s="24">
        <f t="shared" si="170"/>
        <v>160.33401904761899</v>
      </c>
      <c r="BS34" s="24">
        <f t="shared" si="170"/>
        <v>184.90353968253959</v>
      </c>
      <c r="BT34" s="24">
        <f t="shared" si="170"/>
        <v>247.59391812865482</v>
      </c>
      <c r="BU34" s="24">
        <f t="shared" si="170"/>
        <v>246.81209604153136</v>
      </c>
      <c r="BV34" s="24">
        <f t="shared" si="170"/>
        <v>228.99388945481974</v>
      </c>
      <c r="BW34" s="327">
        <f t="shared" si="170"/>
        <v>210.43487719298236</v>
      </c>
      <c r="BX34" s="24">
        <f t="shared" si="170"/>
        <v>242.44936231884043</v>
      </c>
      <c r="BY34" s="24">
        <f t="shared" si="170"/>
        <v>281.37227999999982</v>
      </c>
      <c r="BZ34" s="24">
        <f t="shared" si="170"/>
        <v>344.28875238095213</v>
      </c>
      <c r="CA34" s="24">
        <f t="shared" si="170"/>
        <v>135.59940974967054</v>
      </c>
      <c r="CB34" s="24">
        <f t="shared" si="170"/>
        <v>278.11491272727255</v>
      </c>
      <c r="CC34" s="24">
        <f t="shared" si="170"/>
        <v>150.40311873015861</v>
      </c>
      <c r="CD34" s="24">
        <f t="shared" si="170"/>
        <v>218.07546181818165</v>
      </c>
      <c r="CE34" s="24">
        <f t="shared" si="170"/>
        <v>276.39599550264529</v>
      </c>
      <c r="CF34" s="24">
        <f t="shared" si="170"/>
        <v>336.83164912280677</v>
      </c>
      <c r="CG34" s="24">
        <f t="shared" si="170"/>
        <v>368.05808695652161</v>
      </c>
      <c r="CH34" s="24">
        <f t="shared" si="170"/>
        <v>325.35381711626718</v>
      </c>
      <c r="CI34" s="327">
        <f t="shared" si="170"/>
        <v>273.01126407322636</v>
      </c>
      <c r="CJ34" s="24">
        <f t="shared" si="170"/>
        <v>374.92235555555533</v>
      </c>
      <c r="CK34" s="24">
        <f t="shared" si="170"/>
        <v>377.03446857142831</v>
      </c>
      <c r="CL34" s="24">
        <f t="shared" si="170"/>
        <v>463.38722920634882</v>
      </c>
      <c r="CM34" s="24">
        <f t="shared" si="170"/>
        <v>199.86512442687729</v>
      </c>
      <c r="CN34" s="24">
        <f t="shared" si="170"/>
        <v>391.40996872727237</v>
      </c>
      <c r="CO34" s="24">
        <f t="shared" si="170"/>
        <v>200.99325866666638</v>
      </c>
      <c r="CP34" s="24">
        <f t="shared" si="170"/>
        <v>319.84401066666624</v>
      </c>
      <c r="CQ34" s="24">
        <f t="shared" si="170"/>
        <v>385.90631169312121</v>
      </c>
      <c r="CR34" s="24">
        <f t="shared" si="170"/>
        <v>447.04613290802718</v>
      </c>
      <c r="CS34" s="24">
        <f t="shared" si="170"/>
        <v>538.12658308457651</v>
      </c>
      <c r="CT34" s="24">
        <f t="shared" si="170"/>
        <v>455.01910677482192</v>
      </c>
      <c r="CU34" s="327">
        <f t="shared" si="170"/>
        <v>383.01988869565184</v>
      </c>
      <c r="CV34" s="24">
        <f t="shared" si="170"/>
        <v>527.00240888888845</v>
      </c>
      <c r="CW34" s="24">
        <f t="shared" si="170"/>
        <v>529.251827428571</v>
      </c>
      <c r="CX34" s="24">
        <f t="shared" si="170"/>
        <v>620.92884266666601</v>
      </c>
      <c r="CY34" s="24">
        <f t="shared" si="170"/>
        <v>294.53406655072433</v>
      </c>
      <c r="CZ34" s="24">
        <f t="shared" si="170"/>
        <v>551.04759258181775</v>
      </c>
      <c r="DA34" s="24">
        <f t="shared" si="170"/>
        <v>270.61958298412662</v>
      </c>
      <c r="DB34" s="24">
        <f t="shared" si="170"/>
        <v>471.78744591515095</v>
      </c>
      <c r="DC34" s="24">
        <f t="shared" si="170"/>
        <v>519.78642664550216</v>
      </c>
      <c r="DD34" s="24">
        <f t="shared" si="170"/>
        <v>660.40661920255116</v>
      </c>
      <c r="DE34" s="24">
        <f t="shared" si="170"/>
        <v>758.56676855721344</v>
      </c>
      <c r="DF34" s="24">
        <f t="shared" si="170"/>
        <v>611.25311844585019</v>
      </c>
      <c r="DG34" s="25">
        <f t="shared" si="170"/>
        <v>565.97455528909177</v>
      </c>
    </row>
    <row r="35" spans="1:111" s="3" customFormat="1" ht="18" x14ac:dyDescent="0.3">
      <c r="A35" s="36"/>
      <c r="B35" s="36"/>
      <c r="C35" s="489" t="s">
        <v>64</v>
      </c>
      <c r="D35" s="26"/>
      <c r="E35" s="26">
        <f t="shared" ref="E35:O35" si="171">+E14/(E26+E27)</f>
        <v>0</v>
      </c>
      <c r="F35" s="26">
        <f t="shared" si="171"/>
        <v>0</v>
      </c>
      <c r="G35" s="26">
        <f t="shared" si="171"/>
        <v>0</v>
      </c>
      <c r="H35" s="26">
        <f t="shared" si="171"/>
        <v>0</v>
      </c>
      <c r="I35" s="26">
        <f t="shared" si="171"/>
        <v>0</v>
      </c>
      <c r="J35" s="26">
        <f t="shared" si="171"/>
        <v>0</v>
      </c>
      <c r="K35" s="26">
        <f t="shared" si="171"/>
        <v>50</v>
      </c>
      <c r="L35" s="26">
        <f t="shared" si="171"/>
        <v>44.329896907216494</v>
      </c>
      <c r="M35" s="26">
        <f t="shared" si="171"/>
        <v>52.291666666666664</v>
      </c>
      <c r="N35" s="26">
        <f t="shared" si="171"/>
        <v>46.966292134831463</v>
      </c>
      <c r="O35" s="26">
        <f t="shared" si="171"/>
        <v>70.08620689655173</v>
      </c>
      <c r="P35" s="26">
        <f>+P14/(P26)</f>
        <v>58.71591340676035</v>
      </c>
      <c r="Q35" s="26">
        <f>+Q14/(Q26)</f>
        <v>59.094117647058823</v>
      </c>
      <c r="R35" s="26">
        <f>+R14/(R26)</f>
        <v>57.464285714285715</v>
      </c>
      <c r="S35" s="26">
        <f>+S14/(S26+SUM(Q27:S27))</f>
        <v>46.329230769230769</v>
      </c>
      <c r="T35" s="26">
        <f>+T14/(T26)</f>
        <v>58.862248520710054</v>
      </c>
      <c r="U35" s="26">
        <f>+U14/(U26)</f>
        <v>48.65309523809524</v>
      </c>
      <c r="V35" s="26">
        <f>+V14/(V26+(SUM($T$27:$V$27)/2))</f>
        <v>53.5</v>
      </c>
      <c r="W35" s="26">
        <f>+W14/(W26+(SUM($T$27:$V$27)/2))</f>
        <v>67.096303317535543</v>
      </c>
      <c r="X35" s="26">
        <f t="shared" ref="X35:BC35" si="172">+X14/(X26)</f>
        <v>67.096475095785436</v>
      </c>
      <c r="Y35" s="26">
        <f t="shared" si="172"/>
        <v>60.156844036697251</v>
      </c>
      <c r="Z35" s="26">
        <f t="shared" si="172"/>
        <v>58.787142857142854</v>
      </c>
      <c r="AA35" s="525">
        <f t="shared" si="172"/>
        <v>62.159420289855071</v>
      </c>
      <c r="AB35" s="26">
        <f t="shared" si="172"/>
        <v>66.711111111111109</v>
      </c>
      <c r="AC35" s="26">
        <f t="shared" si="172"/>
        <v>58.489932885906043</v>
      </c>
      <c r="AD35" s="26">
        <f t="shared" si="172"/>
        <v>57.751037344398341</v>
      </c>
      <c r="AE35" s="26">
        <f t="shared" si="172"/>
        <v>57.605734767025091</v>
      </c>
      <c r="AF35" s="26">
        <f t="shared" si="172"/>
        <v>60.559553072625697</v>
      </c>
      <c r="AG35" s="26">
        <f t="shared" si="172"/>
        <v>72.407731092436975</v>
      </c>
      <c r="AH35" s="26">
        <f t="shared" si="172"/>
        <v>66.746887661141812</v>
      </c>
      <c r="AI35" s="26">
        <f t="shared" si="172"/>
        <v>63.635896279594135</v>
      </c>
      <c r="AJ35" s="26">
        <f t="shared" si="172"/>
        <v>69.092495636998251</v>
      </c>
      <c r="AK35" s="26">
        <f t="shared" si="172"/>
        <v>82.199527744982291</v>
      </c>
      <c r="AL35" s="26">
        <f t="shared" si="172"/>
        <v>80.618947368421047</v>
      </c>
      <c r="AM35" s="525">
        <f t="shared" si="172"/>
        <v>82.772908366533869</v>
      </c>
      <c r="AN35" s="26">
        <f t="shared" si="172"/>
        <v>70.433155080213908</v>
      </c>
      <c r="AO35" s="26">
        <f t="shared" si="172"/>
        <v>80.318019801980199</v>
      </c>
      <c r="AP35" s="26">
        <f t="shared" si="172"/>
        <v>76.441492537313437</v>
      </c>
      <c r="AQ35" s="26">
        <f t="shared" si="172"/>
        <v>78.66492146596859</v>
      </c>
      <c r="AR35" s="26">
        <f t="shared" si="172"/>
        <v>79.795379537953792</v>
      </c>
      <c r="AS35" s="26">
        <f t="shared" si="172"/>
        <v>109.77777777777777</v>
      </c>
      <c r="AT35" s="26">
        <f t="shared" si="172"/>
        <v>106.83363148479428</v>
      </c>
      <c r="AU35" s="26">
        <f t="shared" si="172"/>
        <v>110.8780487804878</v>
      </c>
      <c r="AV35" s="26">
        <f t="shared" si="172"/>
        <v>109.18997107039537</v>
      </c>
      <c r="AW35" s="590">
        <f t="shared" si="172"/>
        <v>127.80237012987014</v>
      </c>
      <c r="AX35" s="713">
        <f t="shared" si="172"/>
        <v>80.633466134137365</v>
      </c>
      <c r="AY35" s="28">
        <f t="shared" si="172"/>
        <v>103.88480725005354</v>
      </c>
      <c r="AZ35" s="27">
        <f t="shared" si="172"/>
        <v>100.28972416057449</v>
      </c>
      <c r="BA35" s="27">
        <f t="shared" si="172"/>
        <v>88.740992951817717</v>
      </c>
      <c r="BB35" s="27">
        <f t="shared" si="172"/>
        <v>78.765376000906429</v>
      </c>
      <c r="BC35" s="27">
        <f t="shared" si="172"/>
        <v>80.996409660901904</v>
      </c>
      <c r="BD35" s="27">
        <f t="shared" ref="BD35:CI35" si="173">+BD14/(BD26)</f>
        <v>79.494032341712341</v>
      </c>
      <c r="BE35" s="27">
        <f t="shared" si="173"/>
        <v>109.27085532018276</v>
      </c>
      <c r="BF35" s="27">
        <f t="shared" si="173"/>
        <v>105.39128505852428</v>
      </c>
      <c r="BG35" s="27">
        <f t="shared" si="173"/>
        <v>106.34328050186971</v>
      </c>
      <c r="BH35" s="27">
        <f t="shared" si="173"/>
        <v>106.4620089815176</v>
      </c>
      <c r="BI35" s="27">
        <f t="shared" si="173"/>
        <v>119.48171354311013</v>
      </c>
      <c r="BJ35" s="27">
        <f t="shared" si="173"/>
        <v>80.633466134137365</v>
      </c>
      <c r="BK35" s="328">
        <f t="shared" si="173"/>
        <v>103.88480725005356</v>
      </c>
      <c r="BL35" s="27">
        <f t="shared" si="173"/>
        <v>100.28972416057448</v>
      </c>
      <c r="BM35" s="27">
        <f t="shared" si="173"/>
        <v>88.740992951817731</v>
      </c>
      <c r="BN35" s="27">
        <f t="shared" si="173"/>
        <v>78.765376000906414</v>
      </c>
      <c r="BO35" s="27">
        <f t="shared" si="173"/>
        <v>80.996409660901904</v>
      </c>
      <c r="BP35" s="27">
        <f t="shared" si="173"/>
        <v>79.494032341712355</v>
      </c>
      <c r="BQ35" s="27">
        <f t="shared" si="173"/>
        <v>109.27085532018276</v>
      </c>
      <c r="BR35" s="27">
        <f t="shared" si="173"/>
        <v>105.39128505852429</v>
      </c>
      <c r="BS35" s="27">
        <f t="shared" si="173"/>
        <v>106.3432805018697</v>
      </c>
      <c r="BT35" s="27">
        <f t="shared" si="173"/>
        <v>106.4620089815176</v>
      </c>
      <c r="BU35" s="27">
        <f t="shared" si="173"/>
        <v>119.48171354311012</v>
      </c>
      <c r="BV35" s="27">
        <f t="shared" si="173"/>
        <v>80.633466134137379</v>
      </c>
      <c r="BW35" s="328">
        <f t="shared" si="173"/>
        <v>103.88480725005354</v>
      </c>
      <c r="BX35" s="27">
        <f t="shared" si="173"/>
        <v>100.28972416057449</v>
      </c>
      <c r="BY35" s="27">
        <f t="shared" si="173"/>
        <v>88.740992951817731</v>
      </c>
      <c r="BZ35" s="27">
        <f t="shared" si="173"/>
        <v>78.765376000906429</v>
      </c>
      <c r="CA35" s="27">
        <f t="shared" si="173"/>
        <v>80.996409660901904</v>
      </c>
      <c r="CB35" s="27">
        <f t="shared" si="173"/>
        <v>79.494032341712355</v>
      </c>
      <c r="CC35" s="27">
        <f t="shared" si="173"/>
        <v>109.27085532018278</v>
      </c>
      <c r="CD35" s="27">
        <f t="shared" si="173"/>
        <v>105.3912850585243</v>
      </c>
      <c r="CE35" s="27">
        <f t="shared" si="173"/>
        <v>106.3432805018697</v>
      </c>
      <c r="CF35" s="27">
        <f t="shared" si="173"/>
        <v>106.4620089815176</v>
      </c>
      <c r="CG35" s="27">
        <f t="shared" si="173"/>
        <v>119.4817135431101</v>
      </c>
      <c r="CH35" s="27">
        <f t="shared" si="173"/>
        <v>80.633466134137365</v>
      </c>
      <c r="CI35" s="328">
        <f t="shared" si="173"/>
        <v>103.88480725005354</v>
      </c>
      <c r="CJ35" s="27">
        <f t="shared" ref="CJ35:DG35" si="174">+CJ14/(CJ26)</f>
        <v>100.28972416057449</v>
      </c>
      <c r="CK35" s="27">
        <f t="shared" si="174"/>
        <v>88.740992951817702</v>
      </c>
      <c r="CL35" s="27">
        <f t="shared" si="174"/>
        <v>78.765376000906429</v>
      </c>
      <c r="CM35" s="27">
        <f t="shared" si="174"/>
        <v>80.99640966090189</v>
      </c>
      <c r="CN35" s="27">
        <f t="shared" si="174"/>
        <v>79.494032341712341</v>
      </c>
      <c r="CO35" s="27">
        <f t="shared" si="174"/>
        <v>109.27085532018276</v>
      </c>
      <c r="CP35" s="27">
        <f t="shared" si="174"/>
        <v>105.39128505852429</v>
      </c>
      <c r="CQ35" s="27">
        <f t="shared" si="174"/>
        <v>106.34328050186973</v>
      </c>
      <c r="CR35" s="27">
        <f t="shared" si="174"/>
        <v>106.46200898151758</v>
      </c>
      <c r="CS35" s="27">
        <f t="shared" si="174"/>
        <v>119.48171354311013</v>
      </c>
      <c r="CT35" s="27">
        <f t="shared" si="174"/>
        <v>80.633466134137365</v>
      </c>
      <c r="CU35" s="328">
        <f t="shared" si="174"/>
        <v>103.88480725005353</v>
      </c>
      <c r="CV35" s="27">
        <f t="shared" si="174"/>
        <v>100.28972416057449</v>
      </c>
      <c r="CW35" s="27">
        <f t="shared" si="174"/>
        <v>88.740992951817702</v>
      </c>
      <c r="CX35" s="27">
        <f t="shared" si="174"/>
        <v>78.765376000906429</v>
      </c>
      <c r="CY35" s="27">
        <f t="shared" si="174"/>
        <v>80.99640966090189</v>
      </c>
      <c r="CZ35" s="27">
        <f t="shared" si="174"/>
        <v>79.494032341712341</v>
      </c>
      <c r="DA35" s="27">
        <f t="shared" si="174"/>
        <v>109.27085532018275</v>
      </c>
      <c r="DB35" s="27">
        <f t="shared" si="174"/>
        <v>105.39128505852429</v>
      </c>
      <c r="DC35" s="27">
        <f t="shared" si="174"/>
        <v>106.34328050186971</v>
      </c>
      <c r="DD35" s="27">
        <f t="shared" si="174"/>
        <v>106.46200898151761</v>
      </c>
      <c r="DE35" s="27">
        <f t="shared" si="174"/>
        <v>119.48171354311013</v>
      </c>
      <c r="DF35" s="27">
        <f t="shared" si="174"/>
        <v>80.633466134137379</v>
      </c>
      <c r="DG35" s="28">
        <f t="shared" si="174"/>
        <v>103.88480725005353</v>
      </c>
    </row>
    <row r="36" spans="1:111" ht="18" x14ac:dyDescent="0.3">
      <c r="A36" s="36"/>
      <c r="B36" s="36"/>
      <c r="C36" s="489" t="s">
        <v>285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>
        <f t="shared" ref="P36:AM36" si="175">+(P7-(P32*60))/P28</f>
        <v>58.148837209302329</v>
      </c>
      <c r="Q36" s="26">
        <f t="shared" si="175"/>
        <v>56.226415094339622</v>
      </c>
      <c r="R36" s="26">
        <f t="shared" si="175"/>
        <v>55.479452054794521</v>
      </c>
      <c r="S36" s="26">
        <f t="shared" si="175"/>
        <v>111.69230769230769</v>
      </c>
      <c r="T36" s="26">
        <f t="shared" si="175"/>
        <v>57.601351351351354</v>
      </c>
      <c r="U36" s="26">
        <f t="shared" si="175"/>
        <v>48.190184049079754</v>
      </c>
      <c r="V36" s="26">
        <f t="shared" si="175"/>
        <v>100.90909090909091</v>
      </c>
      <c r="W36" s="26">
        <f t="shared" si="175"/>
        <v>94.5184</v>
      </c>
      <c r="X36" s="26">
        <f t="shared" si="175"/>
        <v>70.055666666666667</v>
      </c>
      <c r="Y36" s="26">
        <f t="shared" si="175"/>
        <v>53.07692307692308</v>
      </c>
      <c r="Z36" s="26">
        <f t="shared" si="175"/>
        <v>53.874345549738223</v>
      </c>
      <c r="AA36" s="525">
        <f t="shared" si="175"/>
        <v>56.551724137931032</v>
      </c>
      <c r="AB36" s="26">
        <f t="shared" si="175"/>
        <v>57.640449438202246</v>
      </c>
      <c r="AC36" s="26">
        <f t="shared" si="175"/>
        <v>58.541666666666664</v>
      </c>
      <c r="AD36" s="26">
        <f t="shared" si="175"/>
        <v>57.766990291262132</v>
      </c>
      <c r="AE36" s="26">
        <f t="shared" si="175"/>
        <v>54.21875</v>
      </c>
      <c r="AF36" s="26">
        <f t="shared" si="175"/>
        <v>62.727272727272727</v>
      </c>
      <c r="AG36" s="26">
        <f t="shared" si="175"/>
        <v>87.5</v>
      </c>
      <c r="AH36" s="470">
        <f t="shared" si="175"/>
        <v>72.420645161290324</v>
      </c>
      <c r="AI36" s="470">
        <f t="shared" si="175"/>
        <v>36.161428571428573</v>
      </c>
      <c r="AJ36" s="470">
        <f t="shared" si="175"/>
        <v>68.684210526315795</v>
      </c>
      <c r="AK36" s="470">
        <f t="shared" si="175"/>
        <v>60</v>
      </c>
      <c r="AL36" s="470">
        <f t="shared" si="175"/>
        <v>72.75</v>
      </c>
      <c r="AM36" s="526">
        <f t="shared" si="175"/>
        <v>73.125</v>
      </c>
      <c r="AN36" s="470">
        <f t="shared" ref="AN36:AW36" si="176">+IFERROR((AN7-(AN32*60))/AN28, 0)</f>
        <v>45</v>
      </c>
      <c r="AO36" s="470">
        <f t="shared" si="176"/>
        <v>76.057692307692307</v>
      </c>
      <c r="AP36" s="470">
        <f t="shared" si="176"/>
        <v>75</v>
      </c>
      <c r="AQ36" s="470">
        <f t="shared" si="176"/>
        <v>75</v>
      </c>
      <c r="AR36" s="470">
        <f t="shared" si="176"/>
        <v>75</v>
      </c>
      <c r="AS36" s="470">
        <f t="shared" si="176"/>
        <v>0</v>
      </c>
      <c r="AT36" s="470">
        <f t="shared" si="176"/>
        <v>75</v>
      </c>
      <c r="AU36" s="470">
        <f t="shared" si="176"/>
        <v>75</v>
      </c>
      <c r="AV36" s="470">
        <f t="shared" si="176"/>
        <v>75</v>
      </c>
      <c r="AW36" s="591">
        <f t="shared" si="176"/>
        <v>76.377959183673468</v>
      </c>
      <c r="AX36" s="713">
        <v>75</v>
      </c>
      <c r="AY36" s="28">
        <f t="shared" ref="AY36:AY39" si="177">+AX36</f>
        <v>75</v>
      </c>
      <c r="AZ36" s="27">
        <f t="shared" ref="AZ36:AZ39" si="178">+AY36</f>
        <v>75</v>
      </c>
      <c r="BA36" s="27">
        <f t="shared" ref="BA36:BA39" si="179">+AZ36</f>
        <v>75</v>
      </c>
      <c r="BB36" s="27">
        <f t="shared" ref="BB36:BB39" si="180">+BA36</f>
        <v>75</v>
      </c>
      <c r="BC36" s="27">
        <f t="shared" ref="BC36:BC39" si="181">+BB36</f>
        <v>75</v>
      </c>
      <c r="BD36" s="27">
        <f t="shared" ref="BD36:BD39" si="182">+BC36</f>
        <v>75</v>
      </c>
      <c r="BE36" s="27">
        <f t="shared" ref="BE36:BE39" si="183">+BD36</f>
        <v>75</v>
      </c>
      <c r="BF36" s="27">
        <f t="shared" ref="BF36:BF39" si="184">+BE36</f>
        <v>75</v>
      </c>
      <c r="BG36" s="27">
        <f t="shared" ref="BG36:BG39" si="185">+BF36</f>
        <v>75</v>
      </c>
      <c r="BH36" s="27">
        <f t="shared" ref="BH36:BH39" si="186">+BG36</f>
        <v>75</v>
      </c>
      <c r="BI36" s="27">
        <f t="shared" ref="BI36:BI39" si="187">+BH36</f>
        <v>75</v>
      </c>
      <c r="BJ36" s="27">
        <f t="shared" ref="BJ36:BJ39" si="188">+BI36</f>
        <v>75</v>
      </c>
      <c r="BK36" s="328">
        <f t="shared" ref="BK36:BK39" si="189">+BJ36</f>
        <v>75</v>
      </c>
      <c r="BL36" s="27">
        <f t="shared" ref="BL36:BL39" si="190">+BK36</f>
        <v>75</v>
      </c>
      <c r="BM36" s="27">
        <f t="shared" ref="BM36:BM39" si="191">+BL36</f>
        <v>75</v>
      </c>
      <c r="BN36" s="27">
        <f t="shared" ref="BN36:BN39" si="192">+BM36</f>
        <v>75</v>
      </c>
      <c r="BO36" s="27">
        <f t="shared" ref="BO36:BO39" si="193">+BN36</f>
        <v>75</v>
      </c>
      <c r="BP36" s="27">
        <f t="shared" ref="BP36:BP39" si="194">+BO36</f>
        <v>75</v>
      </c>
      <c r="BQ36" s="27">
        <f t="shared" ref="BQ36:BQ39" si="195">+BP36</f>
        <v>75</v>
      </c>
      <c r="BR36" s="27">
        <f t="shared" ref="BR36:BR39" si="196">+BQ36</f>
        <v>75</v>
      </c>
      <c r="BS36" s="27">
        <f t="shared" ref="BS36:BS39" si="197">+BR36</f>
        <v>75</v>
      </c>
      <c r="BT36" s="27">
        <f t="shared" ref="BT36:BT39" si="198">+BS36</f>
        <v>75</v>
      </c>
      <c r="BU36" s="27">
        <f t="shared" ref="BU36:BU39" si="199">+BT36</f>
        <v>75</v>
      </c>
      <c r="BV36" s="27">
        <f t="shared" ref="BV36:BV39" si="200">+BU36</f>
        <v>75</v>
      </c>
      <c r="BW36" s="328">
        <f t="shared" ref="BW36:BW39" si="201">+BV36</f>
        <v>75</v>
      </c>
      <c r="BX36" s="27">
        <f t="shared" ref="BX36:BX39" si="202">+BW36</f>
        <v>75</v>
      </c>
      <c r="BY36" s="27">
        <f t="shared" ref="BY36:BY39" si="203">+BX36</f>
        <v>75</v>
      </c>
      <c r="BZ36" s="27">
        <f t="shared" ref="BZ36:BZ39" si="204">+BY36</f>
        <v>75</v>
      </c>
      <c r="CA36" s="27">
        <f t="shared" ref="CA36:CA39" si="205">+BZ36</f>
        <v>75</v>
      </c>
      <c r="CB36" s="27">
        <f t="shared" ref="CB36:CB39" si="206">+CA36</f>
        <v>75</v>
      </c>
      <c r="CC36" s="27">
        <f t="shared" ref="CC36:CC39" si="207">+CB36</f>
        <v>75</v>
      </c>
      <c r="CD36" s="27">
        <f t="shared" ref="CD36:CD39" si="208">+CC36</f>
        <v>75</v>
      </c>
      <c r="CE36" s="27">
        <f t="shared" ref="CE36:CE39" si="209">+CD36</f>
        <v>75</v>
      </c>
      <c r="CF36" s="27">
        <f t="shared" ref="CF36:CF39" si="210">+CE36</f>
        <v>75</v>
      </c>
      <c r="CG36" s="27">
        <f t="shared" ref="CG36:CG39" si="211">+CF36</f>
        <v>75</v>
      </c>
      <c r="CH36" s="27">
        <f t="shared" ref="CH36:CH39" si="212">+CG36</f>
        <v>75</v>
      </c>
      <c r="CI36" s="328">
        <f t="shared" ref="CI36:CI39" si="213">+CH36</f>
        <v>75</v>
      </c>
      <c r="CJ36" s="27">
        <f t="shared" ref="CJ36:CJ39" si="214">+CI36</f>
        <v>75</v>
      </c>
      <c r="CK36" s="27">
        <f t="shared" ref="CK36:CK39" si="215">+CJ36</f>
        <v>75</v>
      </c>
      <c r="CL36" s="27">
        <f t="shared" ref="CL36:CL39" si="216">+CK36</f>
        <v>75</v>
      </c>
      <c r="CM36" s="27">
        <f t="shared" ref="CM36:CM39" si="217">+CL36</f>
        <v>75</v>
      </c>
      <c r="CN36" s="27">
        <f t="shared" ref="CN36:CN39" si="218">+CM36</f>
        <v>75</v>
      </c>
      <c r="CO36" s="27">
        <f t="shared" ref="CO36:CO39" si="219">+CN36</f>
        <v>75</v>
      </c>
      <c r="CP36" s="27">
        <f t="shared" ref="CP36:CP39" si="220">+CO36</f>
        <v>75</v>
      </c>
      <c r="CQ36" s="27">
        <f t="shared" ref="CQ36:CQ39" si="221">+CP36</f>
        <v>75</v>
      </c>
      <c r="CR36" s="27">
        <f t="shared" ref="CR36:CR39" si="222">+CQ36</f>
        <v>75</v>
      </c>
      <c r="CS36" s="27">
        <f t="shared" ref="CS36:CS39" si="223">+CR36</f>
        <v>75</v>
      </c>
      <c r="CT36" s="27">
        <f t="shared" ref="CT36:CT39" si="224">+CS36</f>
        <v>75</v>
      </c>
      <c r="CU36" s="328">
        <f t="shared" ref="CU36:CU39" si="225">+CT36</f>
        <v>75</v>
      </c>
      <c r="CV36" s="27">
        <f t="shared" ref="CV36:CV39" si="226">+CU36</f>
        <v>75</v>
      </c>
      <c r="CW36" s="27">
        <f t="shared" ref="CW36:CW39" si="227">+CV36</f>
        <v>75</v>
      </c>
      <c r="CX36" s="27">
        <f t="shared" ref="CX36:CX39" si="228">+CW36</f>
        <v>75</v>
      </c>
      <c r="CY36" s="27">
        <f t="shared" ref="CY36:CY39" si="229">+CX36</f>
        <v>75</v>
      </c>
      <c r="CZ36" s="27">
        <f t="shared" ref="CZ36:CZ39" si="230">+CY36</f>
        <v>75</v>
      </c>
      <c r="DA36" s="27">
        <f t="shared" ref="DA36:DA39" si="231">+CZ36</f>
        <v>75</v>
      </c>
      <c r="DB36" s="27">
        <f t="shared" ref="DB36:DB39" si="232">+DA36</f>
        <v>75</v>
      </c>
      <c r="DC36" s="27">
        <f t="shared" ref="DC36:DC39" si="233">+DB36</f>
        <v>75</v>
      </c>
      <c r="DD36" s="27">
        <f t="shared" ref="DD36:DD39" si="234">+DC36</f>
        <v>75</v>
      </c>
      <c r="DE36" s="27">
        <f t="shared" ref="DE36:DE39" si="235">+DD36</f>
        <v>75</v>
      </c>
      <c r="DF36" s="27">
        <f t="shared" ref="DF36:DG39" si="236">+DE36</f>
        <v>75</v>
      </c>
      <c r="DG36" s="28">
        <f t="shared" si="236"/>
        <v>75</v>
      </c>
    </row>
    <row r="37" spans="1:111" ht="18" x14ac:dyDescent="0.3">
      <c r="A37" s="36"/>
      <c r="B37" s="36"/>
      <c r="C37" s="489" t="s">
        <v>286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>
        <f t="shared" ref="P37:AW37" si="237">+IFERROR(P8/P29, 0)</f>
        <v>0</v>
      </c>
      <c r="Q37" s="26">
        <f t="shared" si="237"/>
        <v>0</v>
      </c>
      <c r="R37" s="26">
        <f t="shared" si="237"/>
        <v>0</v>
      </c>
      <c r="S37" s="26">
        <f t="shared" si="237"/>
        <v>0</v>
      </c>
      <c r="T37" s="26">
        <f t="shared" si="237"/>
        <v>0</v>
      </c>
      <c r="U37" s="26">
        <f t="shared" si="237"/>
        <v>0</v>
      </c>
      <c r="V37" s="26">
        <f t="shared" si="237"/>
        <v>60</v>
      </c>
      <c r="W37" s="26">
        <f t="shared" si="237"/>
        <v>140</v>
      </c>
      <c r="X37" s="26">
        <f t="shared" si="237"/>
        <v>72.376237623762378</v>
      </c>
      <c r="Y37" s="26">
        <f t="shared" si="237"/>
        <v>72</v>
      </c>
      <c r="Z37" s="26">
        <f t="shared" si="237"/>
        <v>64.848484848484844</v>
      </c>
      <c r="AA37" s="525">
        <f t="shared" si="237"/>
        <v>70</v>
      </c>
      <c r="AB37" s="26">
        <f t="shared" si="237"/>
        <v>60</v>
      </c>
      <c r="AC37" s="26">
        <f t="shared" si="237"/>
        <v>60</v>
      </c>
      <c r="AD37" s="26">
        <f t="shared" si="237"/>
        <v>60</v>
      </c>
      <c r="AE37" s="26">
        <f t="shared" si="237"/>
        <v>60</v>
      </c>
      <c r="AF37" s="26">
        <f t="shared" si="237"/>
        <v>60</v>
      </c>
      <c r="AG37" s="470">
        <f t="shared" si="237"/>
        <v>53.265714285714289</v>
      </c>
      <c r="AH37" s="472">
        <f t="shared" si="237"/>
        <v>64.560439560439562</v>
      </c>
      <c r="AI37" s="472">
        <f t="shared" si="237"/>
        <v>63.786982248520708</v>
      </c>
      <c r="AJ37" s="472">
        <f t="shared" si="237"/>
        <v>69.545454545454547</v>
      </c>
      <c r="AK37" s="472">
        <f t="shared" si="237"/>
        <v>68.360655737704917</v>
      </c>
      <c r="AL37" s="472">
        <f t="shared" si="237"/>
        <v>68.303571428571431</v>
      </c>
      <c r="AM37" s="527">
        <f t="shared" si="237"/>
        <v>68.25</v>
      </c>
      <c r="AN37" s="472">
        <f t="shared" si="237"/>
        <v>68.342245989304814</v>
      </c>
      <c r="AO37" s="472">
        <f t="shared" si="237"/>
        <v>71.607142857142861</v>
      </c>
      <c r="AP37" s="472">
        <f t="shared" si="237"/>
        <v>73.63636363636364</v>
      </c>
      <c r="AQ37" s="472">
        <f t="shared" si="237"/>
        <v>73.88513513513513</v>
      </c>
      <c r="AR37" s="472">
        <f t="shared" si="237"/>
        <v>73.426966292134836</v>
      </c>
      <c r="AS37" s="472">
        <f t="shared" si="237"/>
        <v>74.454545454545453</v>
      </c>
      <c r="AT37" s="472">
        <f t="shared" si="237"/>
        <v>73.966789667896677</v>
      </c>
      <c r="AU37" s="472">
        <f t="shared" si="237"/>
        <v>75.990415335463254</v>
      </c>
      <c r="AV37" s="472">
        <f t="shared" si="237"/>
        <v>76.544811320754718</v>
      </c>
      <c r="AW37" s="592">
        <f t="shared" si="237"/>
        <v>78.549783549783555</v>
      </c>
      <c r="AX37" s="713">
        <v>75</v>
      </c>
      <c r="AY37" s="28">
        <f t="shared" si="177"/>
        <v>75</v>
      </c>
      <c r="AZ37" s="27">
        <f t="shared" si="178"/>
        <v>75</v>
      </c>
      <c r="BA37" s="27">
        <f t="shared" si="179"/>
        <v>75</v>
      </c>
      <c r="BB37" s="27">
        <f t="shared" si="180"/>
        <v>75</v>
      </c>
      <c r="BC37" s="27">
        <f t="shared" si="181"/>
        <v>75</v>
      </c>
      <c r="BD37" s="27">
        <f t="shared" si="182"/>
        <v>75</v>
      </c>
      <c r="BE37" s="27">
        <f t="shared" si="183"/>
        <v>75</v>
      </c>
      <c r="BF37" s="27">
        <f t="shared" si="184"/>
        <v>75</v>
      </c>
      <c r="BG37" s="27">
        <f t="shared" si="185"/>
        <v>75</v>
      </c>
      <c r="BH37" s="27">
        <f t="shared" si="186"/>
        <v>75</v>
      </c>
      <c r="BI37" s="27">
        <f t="shared" si="187"/>
        <v>75</v>
      </c>
      <c r="BJ37" s="27">
        <f t="shared" si="188"/>
        <v>75</v>
      </c>
      <c r="BK37" s="328">
        <f t="shared" si="189"/>
        <v>75</v>
      </c>
      <c r="BL37" s="27">
        <f t="shared" si="190"/>
        <v>75</v>
      </c>
      <c r="BM37" s="27">
        <f t="shared" si="191"/>
        <v>75</v>
      </c>
      <c r="BN37" s="27">
        <f t="shared" si="192"/>
        <v>75</v>
      </c>
      <c r="BO37" s="27">
        <f t="shared" si="193"/>
        <v>75</v>
      </c>
      <c r="BP37" s="27">
        <f t="shared" si="194"/>
        <v>75</v>
      </c>
      <c r="BQ37" s="27">
        <f t="shared" si="195"/>
        <v>75</v>
      </c>
      <c r="BR37" s="27">
        <f t="shared" si="196"/>
        <v>75</v>
      </c>
      <c r="BS37" s="27">
        <f t="shared" si="197"/>
        <v>75</v>
      </c>
      <c r="BT37" s="27">
        <f t="shared" si="198"/>
        <v>75</v>
      </c>
      <c r="BU37" s="27">
        <f t="shared" si="199"/>
        <v>75</v>
      </c>
      <c r="BV37" s="27">
        <f t="shared" si="200"/>
        <v>75</v>
      </c>
      <c r="BW37" s="328">
        <f t="shared" si="201"/>
        <v>75</v>
      </c>
      <c r="BX37" s="27">
        <f t="shared" si="202"/>
        <v>75</v>
      </c>
      <c r="BY37" s="27">
        <f t="shared" si="203"/>
        <v>75</v>
      </c>
      <c r="BZ37" s="27">
        <f t="shared" si="204"/>
        <v>75</v>
      </c>
      <c r="CA37" s="27">
        <f t="shared" si="205"/>
        <v>75</v>
      </c>
      <c r="CB37" s="27">
        <f t="shared" si="206"/>
        <v>75</v>
      </c>
      <c r="CC37" s="27">
        <f t="shared" si="207"/>
        <v>75</v>
      </c>
      <c r="CD37" s="27">
        <f t="shared" si="208"/>
        <v>75</v>
      </c>
      <c r="CE37" s="27">
        <f t="shared" si="209"/>
        <v>75</v>
      </c>
      <c r="CF37" s="27">
        <f t="shared" si="210"/>
        <v>75</v>
      </c>
      <c r="CG37" s="27">
        <f t="shared" si="211"/>
        <v>75</v>
      </c>
      <c r="CH37" s="27">
        <f t="shared" si="212"/>
        <v>75</v>
      </c>
      <c r="CI37" s="328">
        <f t="shared" si="213"/>
        <v>75</v>
      </c>
      <c r="CJ37" s="27">
        <f t="shared" si="214"/>
        <v>75</v>
      </c>
      <c r="CK37" s="27">
        <f t="shared" si="215"/>
        <v>75</v>
      </c>
      <c r="CL37" s="27">
        <f t="shared" si="216"/>
        <v>75</v>
      </c>
      <c r="CM37" s="27">
        <f t="shared" si="217"/>
        <v>75</v>
      </c>
      <c r="CN37" s="27">
        <f t="shared" si="218"/>
        <v>75</v>
      </c>
      <c r="CO37" s="27">
        <f t="shared" si="219"/>
        <v>75</v>
      </c>
      <c r="CP37" s="27">
        <f t="shared" si="220"/>
        <v>75</v>
      </c>
      <c r="CQ37" s="27">
        <f t="shared" si="221"/>
        <v>75</v>
      </c>
      <c r="CR37" s="27">
        <f t="shared" si="222"/>
        <v>75</v>
      </c>
      <c r="CS37" s="27">
        <f t="shared" si="223"/>
        <v>75</v>
      </c>
      <c r="CT37" s="27">
        <f t="shared" si="224"/>
        <v>75</v>
      </c>
      <c r="CU37" s="328">
        <f t="shared" si="225"/>
        <v>75</v>
      </c>
      <c r="CV37" s="27">
        <f t="shared" si="226"/>
        <v>75</v>
      </c>
      <c r="CW37" s="27">
        <f t="shared" si="227"/>
        <v>75</v>
      </c>
      <c r="CX37" s="27">
        <f t="shared" si="228"/>
        <v>75</v>
      </c>
      <c r="CY37" s="27">
        <f t="shared" si="229"/>
        <v>75</v>
      </c>
      <c r="CZ37" s="27">
        <f t="shared" si="230"/>
        <v>75</v>
      </c>
      <c r="DA37" s="27">
        <f t="shared" si="231"/>
        <v>75</v>
      </c>
      <c r="DB37" s="27">
        <f t="shared" si="232"/>
        <v>75</v>
      </c>
      <c r="DC37" s="27">
        <f t="shared" si="233"/>
        <v>75</v>
      </c>
      <c r="DD37" s="27">
        <f t="shared" si="234"/>
        <v>75</v>
      </c>
      <c r="DE37" s="27">
        <f t="shared" si="235"/>
        <v>75</v>
      </c>
      <c r="DF37" s="27">
        <f t="shared" si="236"/>
        <v>75</v>
      </c>
      <c r="DG37" s="28">
        <f t="shared" si="236"/>
        <v>75</v>
      </c>
    </row>
    <row r="38" spans="1:111" ht="18" x14ac:dyDescent="0.3">
      <c r="A38" s="36"/>
      <c r="B38" s="36"/>
      <c r="C38" s="489" t="s">
        <v>296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>
        <f t="shared" ref="P38:AW38" si="238">+IFERROR(P9/P30, 0)</f>
        <v>0</v>
      </c>
      <c r="Q38" s="26">
        <f t="shared" si="238"/>
        <v>0</v>
      </c>
      <c r="R38" s="26">
        <f t="shared" si="238"/>
        <v>0</v>
      </c>
      <c r="S38" s="26">
        <f t="shared" si="238"/>
        <v>0</v>
      </c>
      <c r="T38" s="26">
        <f t="shared" si="238"/>
        <v>0</v>
      </c>
      <c r="U38" s="26">
        <f t="shared" si="238"/>
        <v>0</v>
      </c>
      <c r="V38" s="26">
        <f t="shared" si="238"/>
        <v>0</v>
      </c>
      <c r="W38" s="26">
        <f t="shared" si="238"/>
        <v>0</v>
      </c>
      <c r="X38" s="26">
        <f t="shared" si="238"/>
        <v>0</v>
      </c>
      <c r="Y38" s="26">
        <f t="shared" si="238"/>
        <v>0</v>
      </c>
      <c r="Z38" s="26">
        <f t="shared" si="238"/>
        <v>0</v>
      </c>
      <c r="AA38" s="525">
        <f t="shared" si="238"/>
        <v>0</v>
      </c>
      <c r="AB38" s="26">
        <f t="shared" si="238"/>
        <v>0</v>
      </c>
      <c r="AC38" s="26">
        <f t="shared" si="238"/>
        <v>0</v>
      </c>
      <c r="AD38" s="26">
        <f t="shared" si="238"/>
        <v>0</v>
      </c>
      <c r="AE38" s="26">
        <f t="shared" si="238"/>
        <v>0</v>
      </c>
      <c r="AF38" s="26">
        <f t="shared" si="238"/>
        <v>0</v>
      </c>
      <c r="AG38" s="26">
        <f t="shared" si="238"/>
        <v>0</v>
      </c>
      <c r="AH38" s="26">
        <f t="shared" si="238"/>
        <v>0</v>
      </c>
      <c r="AI38" s="26">
        <f t="shared" si="238"/>
        <v>69.489795918367349</v>
      </c>
      <c r="AJ38" s="26">
        <f t="shared" si="238"/>
        <v>65.409836065573771</v>
      </c>
      <c r="AK38" s="26">
        <f t="shared" si="238"/>
        <v>74.069767441860463</v>
      </c>
      <c r="AL38" s="26">
        <f t="shared" si="238"/>
        <v>85.714285714285708</v>
      </c>
      <c r="AM38" s="525">
        <f t="shared" si="238"/>
        <v>0</v>
      </c>
      <c r="AN38" s="26">
        <f t="shared" si="238"/>
        <v>0</v>
      </c>
      <c r="AO38" s="26">
        <f t="shared" si="238"/>
        <v>150</v>
      </c>
      <c r="AP38" s="26">
        <f t="shared" si="238"/>
        <v>0</v>
      </c>
      <c r="AQ38" s="26">
        <f t="shared" si="238"/>
        <v>0</v>
      </c>
      <c r="AR38" s="26">
        <f t="shared" si="238"/>
        <v>200</v>
      </c>
      <c r="AS38" s="26">
        <f t="shared" si="238"/>
        <v>115.90909090909091</v>
      </c>
      <c r="AT38" s="26">
        <f t="shared" si="238"/>
        <v>138.57142857142858</v>
      </c>
      <c r="AU38" s="26">
        <f t="shared" si="238"/>
        <v>142.85714285714286</v>
      </c>
      <c r="AV38" s="26">
        <f t="shared" si="238"/>
        <v>135.67164179104478</v>
      </c>
      <c r="AW38" s="590">
        <f t="shared" si="238"/>
        <v>131.16438356164383</v>
      </c>
      <c r="AX38" s="713">
        <v>135</v>
      </c>
      <c r="AY38" s="28">
        <f t="shared" ref="AY38" si="239">+AX38</f>
        <v>135</v>
      </c>
      <c r="AZ38" s="27">
        <f t="shared" ref="AZ38" si="240">+AY38</f>
        <v>135</v>
      </c>
      <c r="BA38" s="27">
        <f t="shared" ref="BA38" si="241">+AZ38</f>
        <v>135</v>
      </c>
      <c r="BB38" s="27">
        <f t="shared" ref="BB38" si="242">+BA38</f>
        <v>135</v>
      </c>
      <c r="BC38" s="27">
        <f t="shared" ref="BC38" si="243">+BB38</f>
        <v>135</v>
      </c>
      <c r="BD38" s="27">
        <f t="shared" ref="BD38" si="244">+BC38</f>
        <v>135</v>
      </c>
      <c r="BE38" s="27">
        <f t="shared" ref="BE38" si="245">+BD38</f>
        <v>135</v>
      </c>
      <c r="BF38" s="27">
        <f t="shared" ref="BF38" si="246">+BE38</f>
        <v>135</v>
      </c>
      <c r="BG38" s="27">
        <f t="shared" ref="BG38" si="247">+BF38</f>
        <v>135</v>
      </c>
      <c r="BH38" s="27">
        <f t="shared" ref="BH38" si="248">+BG38</f>
        <v>135</v>
      </c>
      <c r="BI38" s="27">
        <f t="shared" ref="BI38" si="249">+BH38</f>
        <v>135</v>
      </c>
      <c r="BJ38" s="27">
        <f t="shared" ref="BJ38" si="250">+BI38</f>
        <v>135</v>
      </c>
      <c r="BK38" s="328">
        <f t="shared" ref="BK38" si="251">+BJ38</f>
        <v>135</v>
      </c>
      <c r="BL38" s="27">
        <f t="shared" ref="BL38" si="252">+BK38</f>
        <v>135</v>
      </c>
      <c r="BM38" s="27">
        <f t="shared" ref="BM38" si="253">+BL38</f>
        <v>135</v>
      </c>
      <c r="BN38" s="27">
        <f t="shared" ref="BN38" si="254">+BM38</f>
        <v>135</v>
      </c>
      <c r="BO38" s="27">
        <f t="shared" ref="BO38" si="255">+BN38</f>
        <v>135</v>
      </c>
      <c r="BP38" s="27">
        <f t="shared" ref="BP38" si="256">+BO38</f>
        <v>135</v>
      </c>
      <c r="BQ38" s="27">
        <f t="shared" ref="BQ38" si="257">+BP38</f>
        <v>135</v>
      </c>
      <c r="BR38" s="27">
        <f t="shared" ref="BR38" si="258">+BQ38</f>
        <v>135</v>
      </c>
      <c r="BS38" s="27">
        <f t="shared" ref="BS38" si="259">+BR38</f>
        <v>135</v>
      </c>
      <c r="BT38" s="27">
        <f t="shared" ref="BT38" si="260">+BS38</f>
        <v>135</v>
      </c>
      <c r="BU38" s="27">
        <f t="shared" ref="BU38" si="261">+BT38</f>
        <v>135</v>
      </c>
      <c r="BV38" s="27">
        <f t="shared" ref="BV38" si="262">+BU38</f>
        <v>135</v>
      </c>
      <c r="BW38" s="328">
        <f t="shared" ref="BW38" si="263">+BV38</f>
        <v>135</v>
      </c>
      <c r="BX38" s="27">
        <f t="shared" ref="BX38" si="264">+BW38</f>
        <v>135</v>
      </c>
      <c r="BY38" s="27">
        <f t="shared" ref="BY38" si="265">+BX38</f>
        <v>135</v>
      </c>
      <c r="BZ38" s="27">
        <f t="shared" ref="BZ38" si="266">+BY38</f>
        <v>135</v>
      </c>
      <c r="CA38" s="27">
        <f t="shared" ref="CA38" si="267">+BZ38</f>
        <v>135</v>
      </c>
      <c r="CB38" s="27">
        <f t="shared" ref="CB38" si="268">+CA38</f>
        <v>135</v>
      </c>
      <c r="CC38" s="27">
        <f t="shared" ref="CC38" si="269">+CB38</f>
        <v>135</v>
      </c>
      <c r="CD38" s="27">
        <f t="shared" ref="CD38" si="270">+CC38</f>
        <v>135</v>
      </c>
      <c r="CE38" s="27">
        <f t="shared" ref="CE38" si="271">+CD38</f>
        <v>135</v>
      </c>
      <c r="CF38" s="27">
        <f t="shared" ref="CF38" si="272">+CE38</f>
        <v>135</v>
      </c>
      <c r="CG38" s="27">
        <f t="shared" ref="CG38" si="273">+CF38</f>
        <v>135</v>
      </c>
      <c r="CH38" s="27">
        <f t="shared" ref="CH38" si="274">+CG38</f>
        <v>135</v>
      </c>
      <c r="CI38" s="328">
        <f t="shared" ref="CI38" si="275">+CH38</f>
        <v>135</v>
      </c>
      <c r="CJ38" s="27">
        <f t="shared" ref="CJ38" si="276">+CI38</f>
        <v>135</v>
      </c>
      <c r="CK38" s="27">
        <f t="shared" ref="CK38" si="277">+CJ38</f>
        <v>135</v>
      </c>
      <c r="CL38" s="27">
        <f t="shared" ref="CL38" si="278">+CK38</f>
        <v>135</v>
      </c>
      <c r="CM38" s="27">
        <f t="shared" ref="CM38" si="279">+CL38</f>
        <v>135</v>
      </c>
      <c r="CN38" s="27">
        <f t="shared" ref="CN38" si="280">+CM38</f>
        <v>135</v>
      </c>
      <c r="CO38" s="27">
        <f t="shared" ref="CO38" si="281">+CN38</f>
        <v>135</v>
      </c>
      <c r="CP38" s="27">
        <f t="shared" ref="CP38" si="282">+CO38</f>
        <v>135</v>
      </c>
      <c r="CQ38" s="27">
        <f t="shared" ref="CQ38" si="283">+CP38</f>
        <v>135</v>
      </c>
      <c r="CR38" s="27">
        <f t="shared" ref="CR38" si="284">+CQ38</f>
        <v>135</v>
      </c>
      <c r="CS38" s="27">
        <f t="shared" ref="CS38" si="285">+CR38</f>
        <v>135</v>
      </c>
      <c r="CT38" s="27">
        <f t="shared" ref="CT38" si="286">+CS38</f>
        <v>135</v>
      </c>
      <c r="CU38" s="328">
        <f t="shared" ref="CU38" si="287">+CT38</f>
        <v>135</v>
      </c>
      <c r="CV38" s="27">
        <f t="shared" ref="CV38" si="288">+CU38</f>
        <v>135</v>
      </c>
      <c r="CW38" s="27">
        <f t="shared" ref="CW38" si="289">+CV38</f>
        <v>135</v>
      </c>
      <c r="CX38" s="27">
        <f t="shared" ref="CX38" si="290">+CW38</f>
        <v>135</v>
      </c>
      <c r="CY38" s="27">
        <f t="shared" ref="CY38" si="291">+CX38</f>
        <v>135</v>
      </c>
      <c r="CZ38" s="27">
        <f t="shared" ref="CZ38" si="292">+CY38</f>
        <v>135</v>
      </c>
      <c r="DA38" s="27">
        <f t="shared" ref="DA38" si="293">+CZ38</f>
        <v>135</v>
      </c>
      <c r="DB38" s="27">
        <f t="shared" ref="DB38" si="294">+DA38</f>
        <v>135</v>
      </c>
      <c r="DC38" s="27">
        <f t="shared" ref="DC38" si="295">+DB38</f>
        <v>135</v>
      </c>
      <c r="DD38" s="27">
        <f t="shared" ref="DD38" si="296">+DC38</f>
        <v>135</v>
      </c>
      <c r="DE38" s="27">
        <f t="shared" ref="DE38" si="297">+DD38</f>
        <v>135</v>
      </c>
      <c r="DF38" s="27">
        <f t="shared" ref="DF38" si="298">+DE38</f>
        <v>135</v>
      </c>
      <c r="DG38" s="28">
        <f t="shared" ref="DG38" si="299">+DF38</f>
        <v>135</v>
      </c>
    </row>
    <row r="39" spans="1:111" ht="18" x14ac:dyDescent="0.3">
      <c r="A39" s="36"/>
      <c r="B39" s="36"/>
      <c r="C39" s="489" t="s">
        <v>297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>
        <f t="shared" ref="P39:AW39" si="300">IFERROR(P10/P31, 0)</f>
        <v>50</v>
      </c>
      <c r="Q39" s="26">
        <f t="shared" si="300"/>
        <v>0</v>
      </c>
      <c r="R39" s="26">
        <f t="shared" si="300"/>
        <v>0</v>
      </c>
      <c r="S39" s="26">
        <f t="shared" si="300"/>
        <v>44.91</v>
      </c>
      <c r="T39" s="26">
        <f t="shared" si="300"/>
        <v>0</v>
      </c>
      <c r="U39" s="26">
        <f t="shared" si="300"/>
        <v>60</v>
      </c>
      <c r="V39" s="26">
        <f t="shared" si="300"/>
        <v>57.241379310344826</v>
      </c>
      <c r="W39" s="26">
        <f t="shared" si="300"/>
        <v>59.074074074074076</v>
      </c>
      <c r="X39" s="26">
        <f t="shared" si="300"/>
        <v>59.447513812154696</v>
      </c>
      <c r="Y39" s="26">
        <f t="shared" si="300"/>
        <v>60</v>
      </c>
      <c r="Z39" s="26">
        <f t="shared" si="300"/>
        <v>60</v>
      </c>
      <c r="AA39" s="525">
        <f t="shared" si="300"/>
        <v>60</v>
      </c>
      <c r="AB39" s="26">
        <f t="shared" si="300"/>
        <v>60</v>
      </c>
      <c r="AC39" s="26">
        <f t="shared" si="300"/>
        <v>33.333333333333336</v>
      </c>
      <c r="AD39" s="26">
        <f t="shared" si="300"/>
        <v>37.5</v>
      </c>
      <c r="AE39" s="26">
        <f t="shared" si="300"/>
        <v>60</v>
      </c>
      <c r="AF39" s="26">
        <f t="shared" si="300"/>
        <v>0</v>
      </c>
      <c r="AG39" s="470">
        <f t="shared" si="300"/>
        <v>85.3125</v>
      </c>
      <c r="AH39" s="470">
        <f t="shared" si="300"/>
        <v>67.355769230769226</v>
      </c>
      <c r="AI39" s="470">
        <f t="shared" si="300"/>
        <v>67.36363636363636</v>
      </c>
      <c r="AJ39" s="470">
        <f t="shared" si="300"/>
        <v>69.567901234567898</v>
      </c>
      <c r="AK39" s="470">
        <f t="shared" si="300"/>
        <v>86.182539682539684</v>
      </c>
      <c r="AL39" s="470">
        <f t="shared" si="300"/>
        <v>83.118279569892479</v>
      </c>
      <c r="AM39" s="526">
        <f t="shared" si="300"/>
        <v>96.428571428571431</v>
      </c>
      <c r="AN39" s="470">
        <f t="shared" si="300"/>
        <v>73.702531645569621</v>
      </c>
      <c r="AO39" s="470">
        <f t="shared" si="300"/>
        <v>97.142857142857139</v>
      </c>
      <c r="AP39" s="470">
        <f t="shared" si="300"/>
        <v>108.69565217391305</v>
      </c>
      <c r="AQ39" s="470">
        <f t="shared" si="300"/>
        <v>123.68421052631579</v>
      </c>
      <c r="AR39" s="470">
        <f t="shared" si="300"/>
        <v>133.33333333333334</v>
      </c>
      <c r="AS39" s="470">
        <f t="shared" si="300"/>
        <v>137.91666666666666</v>
      </c>
      <c r="AT39" s="470">
        <f t="shared" si="300"/>
        <v>138.7295081967213</v>
      </c>
      <c r="AU39" s="470">
        <f t="shared" si="300"/>
        <v>143.47432024169186</v>
      </c>
      <c r="AV39" s="470">
        <f t="shared" si="300"/>
        <v>140.10660980810235</v>
      </c>
      <c r="AW39" s="591">
        <f t="shared" si="300"/>
        <v>146.24096385542168</v>
      </c>
      <c r="AX39" s="713">
        <v>135</v>
      </c>
      <c r="AY39" s="28">
        <f t="shared" si="177"/>
        <v>135</v>
      </c>
      <c r="AZ39" s="27">
        <f t="shared" si="178"/>
        <v>135</v>
      </c>
      <c r="BA39" s="27">
        <f t="shared" si="179"/>
        <v>135</v>
      </c>
      <c r="BB39" s="27">
        <f t="shared" si="180"/>
        <v>135</v>
      </c>
      <c r="BC39" s="27">
        <f t="shared" si="181"/>
        <v>135</v>
      </c>
      <c r="BD39" s="27">
        <f t="shared" si="182"/>
        <v>135</v>
      </c>
      <c r="BE39" s="27">
        <f t="shared" si="183"/>
        <v>135</v>
      </c>
      <c r="BF39" s="27">
        <f t="shared" si="184"/>
        <v>135</v>
      </c>
      <c r="BG39" s="27">
        <f t="shared" si="185"/>
        <v>135</v>
      </c>
      <c r="BH39" s="27">
        <f t="shared" si="186"/>
        <v>135</v>
      </c>
      <c r="BI39" s="27">
        <f t="shared" si="187"/>
        <v>135</v>
      </c>
      <c r="BJ39" s="27">
        <f t="shared" si="188"/>
        <v>135</v>
      </c>
      <c r="BK39" s="328">
        <f t="shared" si="189"/>
        <v>135</v>
      </c>
      <c r="BL39" s="27">
        <f t="shared" si="190"/>
        <v>135</v>
      </c>
      <c r="BM39" s="27">
        <f t="shared" si="191"/>
        <v>135</v>
      </c>
      <c r="BN39" s="27">
        <f t="shared" si="192"/>
        <v>135</v>
      </c>
      <c r="BO39" s="27">
        <f t="shared" si="193"/>
        <v>135</v>
      </c>
      <c r="BP39" s="27">
        <f t="shared" si="194"/>
        <v>135</v>
      </c>
      <c r="BQ39" s="27">
        <f t="shared" si="195"/>
        <v>135</v>
      </c>
      <c r="BR39" s="27">
        <f t="shared" si="196"/>
        <v>135</v>
      </c>
      <c r="BS39" s="27">
        <f t="shared" si="197"/>
        <v>135</v>
      </c>
      <c r="BT39" s="27">
        <f t="shared" si="198"/>
        <v>135</v>
      </c>
      <c r="BU39" s="27">
        <f t="shared" si="199"/>
        <v>135</v>
      </c>
      <c r="BV39" s="27">
        <f t="shared" si="200"/>
        <v>135</v>
      </c>
      <c r="BW39" s="328">
        <f t="shared" si="201"/>
        <v>135</v>
      </c>
      <c r="BX39" s="27">
        <f t="shared" si="202"/>
        <v>135</v>
      </c>
      <c r="BY39" s="27">
        <f t="shared" si="203"/>
        <v>135</v>
      </c>
      <c r="BZ39" s="27">
        <f t="shared" si="204"/>
        <v>135</v>
      </c>
      <c r="CA39" s="27">
        <f t="shared" si="205"/>
        <v>135</v>
      </c>
      <c r="CB39" s="27">
        <f t="shared" si="206"/>
        <v>135</v>
      </c>
      <c r="CC39" s="27">
        <f t="shared" si="207"/>
        <v>135</v>
      </c>
      <c r="CD39" s="27">
        <f t="shared" si="208"/>
        <v>135</v>
      </c>
      <c r="CE39" s="27">
        <f t="shared" si="209"/>
        <v>135</v>
      </c>
      <c r="CF39" s="27">
        <f t="shared" si="210"/>
        <v>135</v>
      </c>
      <c r="CG39" s="27">
        <f t="shared" si="211"/>
        <v>135</v>
      </c>
      <c r="CH39" s="27">
        <f t="shared" si="212"/>
        <v>135</v>
      </c>
      <c r="CI39" s="328">
        <f t="shared" si="213"/>
        <v>135</v>
      </c>
      <c r="CJ39" s="27">
        <f t="shared" si="214"/>
        <v>135</v>
      </c>
      <c r="CK39" s="27">
        <f t="shared" si="215"/>
        <v>135</v>
      </c>
      <c r="CL39" s="27">
        <f t="shared" si="216"/>
        <v>135</v>
      </c>
      <c r="CM39" s="27">
        <f t="shared" si="217"/>
        <v>135</v>
      </c>
      <c r="CN39" s="27">
        <f t="shared" si="218"/>
        <v>135</v>
      </c>
      <c r="CO39" s="27">
        <f t="shared" si="219"/>
        <v>135</v>
      </c>
      <c r="CP39" s="27">
        <f t="shared" si="220"/>
        <v>135</v>
      </c>
      <c r="CQ39" s="27">
        <f t="shared" si="221"/>
        <v>135</v>
      </c>
      <c r="CR39" s="27">
        <f t="shared" si="222"/>
        <v>135</v>
      </c>
      <c r="CS39" s="27">
        <f t="shared" si="223"/>
        <v>135</v>
      </c>
      <c r="CT39" s="27">
        <f t="shared" si="224"/>
        <v>135</v>
      </c>
      <c r="CU39" s="328">
        <f t="shared" si="225"/>
        <v>135</v>
      </c>
      <c r="CV39" s="27">
        <f t="shared" si="226"/>
        <v>135</v>
      </c>
      <c r="CW39" s="27">
        <f t="shared" si="227"/>
        <v>135</v>
      </c>
      <c r="CX39" s="27">
        <f t="shared" si="228"/>
        <v>135</v>
      </c>
      <c r="CY39" s="27">
        <f t="shared" si="229"/>
        <v>135</v>
      </c>
      <c r="CZ39" s="27">
        <f t="shared" si="230"/>
        <v>135</v>
      </c>
      <c r="DA39" s="27">
        <f t="shared" si="231"/>
        <v>135</v>
      </c>
      <c r="DB39" s="27">
        <f t="shared" si="232"/>
        <v>135</v>
      </c>
      <c r="DC39" s="27">
        <f t="shared" si="233"/>
        <v>135</v>
      </c>
      <c r="DD39" s="27">
        <f t="shared" si="234"/>
        <v>135</v>
      </c>
      <c r="DE39" s="27">
        <f t="shared" si="235"/>
        <v>135</v>
      </c>
      <c r="DF39" s="27">
        <f t="shared" si="236"/>
        <v>135</v>
      </c>
      <c r="DG39" s="28">
        <f t="shared" si="236"/>
        <v>135</v>
      </c>
    </row>
    <row r="40" spans="1:111" ht="18" x14ac:dyDescent="0.3">
      <c r="A40" s="36"/>
      <c r="B40" s="36"/>
      <c r="C40" s="489" t="s">
        <v>287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>
        <f t="shared" ref="P40:AW40" si="301">+IFERROR((P32*60)/P32, 0)</f>
        <v>60.000000000000007</v>
      </c>
      <c r="Q40" s="26">
        <f t="shared" si="301"/>
        <v>60</v>
      </c>
      <c r="R40" s="26">
        <f t="shared" si="301"/>
        <v>60</v>
      </c>
      <c r="S40" s="26">
        <f t="shared" si="301"/>
        <v>60</v>
      </c>
      <c r="T40" s="26">
        <f t="shared" si="301"/>
        <v>60</v>
      </c>
      <c r="U40" s="26">
        <f t="shared" si="301"/>
        <v>0</v>
      </c>
      <c r="V40" s="26">
        <f t="shared" si="301"/>
        <v>0</v>
      </c>
      <c r="W40" s="26">
        <f t="shared" si="301"/>
        <v>0</v>
      </c>
      <c r="X40" s="26">
        <f t="shared" si="301"/>
        <v>0</v>
      </c>
      <c r="Y40" s="26">
        <f t="shared" si="301"/>
        <v>0</v>
      </c>
      <c r="Z40" s="26">
        <f t="shared" si="301"/>
        <v>60</v>
      </c>
      <c r="AA40" s="525">
        <f t="shared" si="301"/>
        <v>60</v>
      </c>
      <c r="AB40" s="26">
        <f t="shared" si="301"/>
        <v>60</v>
      </c>
      <c r="AC40" s="26">
        <f t="shared" si="301"/>
        <v>60</v>
      </c>
      <c r="AD40" s="26">
        <f t="shared" si="301"/>
        <v>60</v>
      </c>
      <c r="AE40" s="26">
        <f t="shared" si="301"/>
        <v>60</v>
      </c>
      <c r="AF40" s="26">
        <f t="shared" si="301"/>
        <v>0</v>
      </c>
      <c r="AG40" s="26">
        <f t="shared" si="301"/>
        <v>60</v>
      </c>
      <c r="AH40" s="26">
        <f t="shared" si="301"/>
        <v>0</v>
      </c>
      <c r="AI40" s="26">
        <f t="shared" si="301"/>
        <v>0</v>
      </c>
      <c r="AJ40" s="26">
        <f t="shared" si="301"/>
        <v>0</v>
      </c>
      <c r="AK40" s="26">
        <f t="shared" si="301"/>
        <v>0</v>
      </c>
      <c r="AL40" s="26">
        <f t="shared" si="301"/>
        <v>0</v>
      </c>
      <c r="AM40" s="525">
        <f t="shared" si="301"/>
        <v>0</v>
      </c>
      <c r="AN40" s="26">
        <f t="shared" si="301"/>
        <v>60</v>
      </c>
      <c r="AO40" s="26">
        <f t="shared" si="301"/>
        <v>60</v>
      </c>
      <c r="AP40" s="26">
        <f t="shared" si="301"/>
        <v>0</v>
      </c>
      <c r="AQ40" s="26">
        <f t="shared" si="301"/>
        <v>60</v>
      </c>
      <c r="AR40" s="26">
        <f t="shared" si="301"/>
        <v>0</v>
      </c>
      <c r="AS40" s="26">
        <f t="shared" si="301"/>
        <v>0</v>
      </c>
      <c r="AT40" s="26">
        <f t="shared" si="301"/>
        <v>0</v>
      </c>
      <c r="AU40" s="26">
        <f t="shared" si="301"/>
        <v>0</v>
      </c>
      <c r="AV40" s="26">
        <f t="shared" si="301"/>
        <v>0</v>
      </c>
      <c r="AW40" s="590">
        <f t="shared" si="301"/>
        <v>0</v>
      </c>
      <c r="AX40" s="713">
        <v>60</v>
      </c>
      <c r="AY40" s="28">
        <f t="shared" ref="AY40" si="302">+AX40</f>
        <v>60</v>
      </c>
      <c r="AZ40" s="27">
        <f t="shared" ref="AZ40" si="303">+AY40</f>
        <v>60</v>
      </c>
      <c r="BA40" s="27">
        <f t="shared" ref="BA40" si="304">+AZ40</f>
        <v>60</v>
      </c>
      <c r="BB40" s="27">
        <f t="shared" ref="BB40" si="305">+BA40</f>
        <v>60</v>
      </c>
      <c r="BC40" s="27">
        <f t="shared" ref="BC40" si="306">+BB40</f>
        <v>60</v>
      </c>
      <c r="BD40" s="27">
        <f t="shared" ref="BD40" si="307">+BC40</f>
        <v>60</v>
      </c>
      <c r="BE40" s="27">
        <f t="shared" ref="BE40" si="308">+BD40</f>
        <v>60</v>
      </c>
      <c r="BF40" s="27">
        <f t="shared" ref="BF40" si="309">+BE40</f>
        <v>60</v>
      </c>
      <c r="BG40" s="27">
        <f t="shared" ref="BG40" si="310">+BF40</f>
        <v>60</v>
      </c>
      <c r="BH40" s="27">
        <f t="shared" ref="BH40" si="311">+BG40</f>
        <v>60</v>
      </c>
      <c r="BI40" s="27">
        <f t="shared" ref="BI40" si="312">+BH40</f>
        <v>60</v>
      </c>
      <c r="BJ40" s="27">
        <f t="shared" ref="BJ40" si="313">+BI40</f>
        <v>60</v>
      </c>
      <c r="BK40" s="328">
        <f t="shared" ref="BK40" si="314">+BJ40</f>
        <v>60</v>
      </c>
      <c r="BL40" s="27">
        <f t="shared" ref="BL40" si="315">+BK40</f>
        <v>60</v>
      </c>
      <c r="BM40" s="27">
        <f t="shared" ref="BM40" si="316">+BL40</f>
        <v>60</v>
      </c>
      <c r="BN40" s="27">
        <f t="shared" ref="BN40" si="317">+BM40</f>
        <v>60</v>
      </c>
      <c r="BO40" s="27">
        <f t="shared" ref="BO40" si="318">+BN40</f>
        <v>60</v>
      </c>
      <c r="BP40" s="27">
        <f t="shared" ref="BP40" si="319">+BO40</f>
        <v>60</v>
      </c>
      <c r="BQ40" s="27">
        <f t="shared" ref="BQ40" si="320">+BP40</f>
        <v>60</v>
      </c>
      <c r="BR40" s="27">
        <f t="shared" ref="BR40" si="321">+BQ40</f>
        <v>60</v>
      </c>
      <c r="BS40" s="27">
        <f t="shared" ref="BS40" si="322">+BR40</f>
        <v>60</v>
      </c>
      <c r="BT40" s="27">
        <f t="shared" ref="BT40" si="323">+BS40</f>
        <v>60</v>
      </c>
      <c r="BU40" s="27">
        <f t="shared" ref="BU40" si="324">+BT40</f>
        <v>60</v>
      </c>
      <c r="BV40" s="27">
        <f t="shared" ref="BV40" si="325">+BU40</f>
        <v>60</v>
      </c>
      <c r="BW40" s="328">
        <f t="shared" ref="BW40" si="326">+BV40</f>
        <v>60</v>
      </c>
      <c r="BX40" s="27">
        <f t="shared" ref="BX40" si="327">+BW40</f>
        <v>60</v>
      </c>
      <c r="BY40" s="27">
        <f t="shared" ref="BY40" si="328">+BX40</f>
        <v>60</v>
      </c>
      <c r="BZ40" s="27">
        <f t="shared" ref="BZ40" si="329">+BY40</f>
        <v>60</v>
      </c>
      <c r="CA40" s="27">
        <f t="shared" ref="CA40" si="330">+BZ40</f>
        <v>60</v>
      </c>
      <c r="CB40" s="27">
        <f t="shared" ref="CB40" si="331">+CA40</f>
        <v>60</v>
      </c>
      <c r="CC40" s="27">
        <f t="shared" ref="CC40" si="332">+CB40</f>
        <v>60</v>
      </c>
      <c r="CD40" s="27">
        <f t="shared" ref="CD40" si="333">+CC40</f>
        <v>60</v>
      </c>
      <c r="CE40" s="27">
        <f t="shared" ref="CE40" si="334">+CD40</f>
        <v>60</v>
      </c>
      <c r="CF40" s="27">
        <f t="shared" ref="CF40" si="335">+CE40</f>
        <v>60</v>
      </c>
      <c r="CG40" s="27">
        <f t="shared" ref="CG40" si="336">+CF40</f>
        <v>60</v>
      </c>
      <c r="CH40" s="27">
        <f t="shared" ref="CH40" si="337">+CG40</f>
        <v>60</v>
      </c>
      <c r="CI40" s="328">
        <f t="shared" ref="CI40" si="338">+CH40</f>
        <v>60</v>
      </c>
      <c r="CJ40" s="27">
        <f t="shared" ref="CJ40" si="339">+CI40</f>
        <v>60</v>
      </c>
      <c r="CK40" s="27">
        <f t="shared" ref="CK40" si="340">+CJ40</f>
        <v>60</v>
      </c>
      <c r="CL40" s="27">
        <f t="shared" ref="CL40" si="341">+CK40</f>
        <v>60</v>
      </c>
      <c r="CM40" s="27">
        <f t="shared" ref="CM40" si="342">+CL40</f>
        <v>60</v>
      </c>
      <c r="CN40" s="27">
        <f t="shared" ref="CN40" si="343">+CM40</f>
        <v>60</v>
      </c>
      <c r="CO40" s="27">
        <f t="shared" ref="CO40" si="344">+CN40</f>
        <v>60</v>
      </c>
      <c r="CP40" s="27">
        <f t="shared" ref="CP40" si="345">+CO40</f>
        <v>60</v>
      </c>
      <c r="CQ40" s="27">
        <f t="shared" ref="CQ40" si="346">+CP40</f>
        <v>60</v>
      </c>
      <c r="CR40" s="27">
        <f t="shared" ref="CR40" si="347">+CQ40</f>
        <v>60</v>
      </c>
      <c r="CS40" s="27">
        <f t="shared" ref="CS40" si="348">+CR40</f>
        <v>60</v>
      </c>
      <c r="CT40" s="27">
        <f t="shared" ref="CT40" si="349">+CS40</f>
        <v>60</v>
      </c>
      <c r="CU40" s="328">
        <f t="shared" ref="CU40" si="350">+CT40</f>
        <v>60</v>
      </c>
      <c r="CV40" s="27">
        <f t="shared" ref="CV40" si="351">+CU40</f>
        <v>60</v>
      </c>
      <c r="CW40" s="27">
        <f t="shared" ref="CW40" si="352">+CV40</f>
        <v>60</v>
      </c>
      <c r="CX40" s="27">
        <f t="shared" ref="CX40" si="353">+CW40</f>
        <v>60</v>
      </c>
      <c r="CY40" s="27">
        <f t="shared" ref="CY40" si="354">+CX40</f>
        <v>60</v>
      </c>
      <c r="CZ40" s="27">
        <f t="shared" ref="CZ40" si="355">+CY40</f>
        <v>60</v>
      </c>
      <c r="DA40" s="27">
        <f t="shared" ref="DA40" si="356">+CZ40</f>
        <v>60</v>
      </c>
      <c r="DB40" s="27">
        <f t="shared" ref="DB40" si="357">+DA40</f>
        <v>60</v>
      </c>
      <c r="DC40" s="27">
        <f t="shared" ref="DC40" si="358">+DB40</f>
        <v>60</v>
      </c>
      <c r="DD40" s="27">
        <f t="shared" ref="DD40" si="359">+DC40</f>
        <v>60</v>
      </c>
      <c r="DE40" s="27">
        <f t="shared" ref="DE40" si="360">+DD40</f>
        <v>60</v>
      </c>
      <c r="DF40" s="27">
        <f t="shared" ref="DF40" si="361">+DE40</f>
        <v>60</v>
      </c>
      <c r="DG40" s="28">
        <f t="shared" ref="DG40" si="362">+DF40</f>
        <v>60</v>
      </c>
    </row>
    <row r="41" spans="1:111" ht="18" x14ac:dyDescent="0.3">
      <c r="A41" s="36"/>
      <c r="B41" s="36"/>
      <c r="C41" s="489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525"/>
      <c r="AB41" s="26"/>
      <c r="AC41" s="26"/>
      <c r="AD41" s="26"/>
      <c r="AE41" s="26"/>
      <c r="AF41" s="26"/>
      <c r="AG41" s="26"/>
      <c r="AH41" s="26"/>
      <c r="AI41" s="26"/>
      <c r="AJ41" s="493"/>
      <c r="AK41" s="493"/>
      <c r="AL41" s="493"/>
      <c r="AM41" s="528"/>
      <c r="AN41" s="493"/>
      <c r="AO41" s="493"/>
      <c r="AP41" s="493"/>
      <c r="AQ41" s="493"/>
      <c r="AR41" s="493"/>
      <c r="AS41" s="493"/>
      <c r="AT41" s="493"/>
      <c r="AU41" s="493"/>
      <c r="AV41" s="493"/>
      <c r="AW41" s="593"/>
      <c r="AX41" s="27"/>
      <c r="AY41" s="28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328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328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328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328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8"/>
    </row>
    <row r="42" spans="1:111" ht="18" x14ac:dyDescent="0.3">
      <c r="A42" s="36"/>
      <c r="B42" s="36"/>
      <c r="C42" s="489" t="s">
        <v>237</v>
      </c>
      <c r="D42" s="26"/>
      <c r="E42" s="26"/>
      <c r="F42" s="26"/>
      <c r="G42" s="26"/>
      <c r="H42" s="26"/>
      <c r="I42" s="168"/>
      <c r="J42" s="168"/>
      <c r="K42" s="168"/>
      <c r="L42" s="168">
        <f t="shared" ref="L42:AW42" si="363">+AVERAGE(F21:L21)/AVERAGE(F17:L17)</f>
        <v>-0.20634920634920637</v>
      </c>
      <c r="M42" s="168">
        <f t="shared" si="363"/>
        <v>-0.125</v>
      </c>
      <c r="N42" s="168">
        <f t="shared" si="363"/>
        <v>-0.18421052631578946</v>
      </c>
      <c r="O42" s="168">
        <f t="shared" si="363"/>
        <v>-0.24657534246575344</v>
      </c>
      <c r="P42" s="167">
        <f t="shared" si="363"/>
        <v>-0.25</v>
      </c>
      <c r="Q42" s="167">
        <f t="shared" si="363"/>
        <v>-0.28169014084507044</v>
      </c>
      <c r="R42" s="167">
        <f t="shared" si="363"/>
        <v>-0.21052631578947367</v>
      </c>
      <c r="S42" s="167">
        <f t="shared" si="363"/>
        <v>-0.29729729729729731</v>
      </c>
      <c r="T42" s="167">
        <f t="shared" si="363"/>
        <v>-0.39393939393939392</v>
      </c>
      <c r="U42" s="167">
        <f t="shared" si="363"/>
        <v>-0.3970588235294118</v>
      </c>
      <c r="V42" s="167">
        <f t="shared" si="363"/>
        <v>-0.46376811594202894</v>
      </c>
      <c r="W42" s="167">
        <f t="shared" si="363"/>
        <v>-0.43421052631578949</v>
      </c>
      <c r="X42" s="167">
        <f t="shared" si="363"/>
        <v>-0.33684210526315789</v>
      </c>
      <c r="Y42" s="167">
        <f t="shared" si="363"/>
        <v>-0.29914529914529914</v>
      </c>
      <c r="Z42" s="167">
        <f t="shared" si="363"/>
        <v>-0.30281690140845074</v>
      </c>
      <c r="AA42" s="529">
        <f t="shared" si="363"/>
        <v>-0.37499999999999994</v>
      </c>
      <c r="AB42" s="167">
        <f t="shared" si="363"/>
        <v>-0.36774193548387096</v>
      </c>
      <c r="AC42" s="167">
        <f t="shared" si="363"/>
        <v>-0.32098765432098769</v>
      </c>
      <c r="AD42" s="167">
        <f t="shared" si="363"/>
        <v>-0.32515337423312884</v>
      </c>
      <c r="AE42" s="167">
        <f t="shared" si="363"/>
        <v>-0.38410596026490068</v>
      </c>
      <c r="AF42" s="167">
        <f t="shared" si="363"/>
        <v>-0.40287769784172661</v>
      </c>
      <c r="AG42" s="167">
        <f t="shared" si="363"/>
        <v>-0.40458015267175568</v>
      </c>
      <c r="AH42" s="167">
        <f t="shared" si="363"/>
        <v>-0.25352112676056343</v>
      </c>
      <c r="AI42" s="167">
        <f t="shared" si="363"/>
        <v>-0.18902439024390247</v>
      </c>
      <c r="AJ42" s="167">
        <f t="shared" si="363"/>
        <v>-0.17277486910994766</v>
      </c>
      <c r="AK42" s="167">
        <f t="shared" si="363"/>
        <v>-0.15525114155251141</v>
      </c>
      <c r="AL42" s="167">
        <f t="shared" si="363"/>
        <v>-0.14634146341463414</v>
      </c>
      <c r="AM42" s="529">
        <f t="shared" si="363"/>
        <v>-0.23694779116465867</v>
      </c>
      <c r="AN42" s="167">
        <f t="shared" si="363"/>
        <v>-0.23694779116465867</v>
      </c>
      <c r="AO42" s="167">
        <f t="shared" si="363"/>
        <v>-0.26315789473684215</v>
      </c>
      <c r="AP42" s="167">
        <f t="shared" si="363"/>
        <v>-0.30472103004291845</v>
      </c>
      <c r="AQ42" s="167">
        <f t="shared" si="363"/>
        <v>-0.33177570093457942</v>
      </c>
      <c r="AR42" s="167">
        <f t="shared" si="363"/>
        <v>-0.39784946236559138</v>
      </c>
      <c r="AS42" s="167">
        <f t="shared" si="363"/>
        <v>-0.41916167664670656</v>
      </c>
      <c r="AT42" s="167">
        <f t="shared" si="363"/>
        <v>-0.25698324022346364</v>
      </c>
      <c r="AU42" s="167">
        <f t="shared" si="363"/>
        <v>-0.18226600985221675</v>
      </c>
      <c r="AV42" s="167">
        <f t="shared" si="363"/>
        <v>-0.15517241379310345</v>
      </c>
      <c r="AW42" s="594">
        <f t="shared" si="363"/>
        <v>-0.12363636363636363</v>
      </c>
      <c r="AX42" s="176">
        <f>+AL42</f>
        <v>-0.14634146341463414</v>
      </c>
      <c r="AY42" s="177">
        <f t="shared" ref="AY42" si="364">+AM42</f>
        <v>-0.23694779116465867</v>
      </c>
      <c r="AZ42" s="737">
        <f>+AN42+0.05</f>
        <v>-0.18694779116465865</v>
      </c>
      <c r="BA42" s="737">
        <f t="shared" ref="BA42:BK42" si="365">+AO42+0.05</f>
        <v>-0.21315789473684216</v>
      </c>
      <c r="BB42" s="737">
        <f t="shared" si="365"/>
        <v>-0.25472103004291846</v>
      </c>
      <c r="BC42" s="737">
        <f t="shared" si="365"/>
        <v>-0.28177570093457943</v>
      </c>
      <c r="BD42" s="737">
        <f t="shared" si="365"/>
        <v>-0.34784946236559139</v>
      </c>
      <c r="BE42" s="737">
        <f t="shared" si="365"/>
        <v>-0.36916167664670657</v>
      </c>
      <c r="BF42" s="737">
        <f t="shared" si="365"/>
        <v>-0.20698324022346365</v>
      </c>
      <c r="BG42" s="737">
        <f t="shared" si="365"/>
        <v>-0.13226600985221676</v>
      </c>
      <c r="BH42" s="737">
        <f t="shared" si="365"/>
        <v>-0.10517241379310345</v>
      </c>
      <c r="BI42" s="737">
        <f t="shared" si="365"/>
        <v>-7.3636363636363625E-2</v>
      </c>
      <c r="BJ42" s="737">
        <f t="shared" si="365"/>
        <v>-9.6341463414634135E-2</v>
      </c>
      <c r="BK42" s="738">
        <f t="shared" si="365"/>
        <v>-0.18694779116465865</v>
      </c>
      <c r="BL42" s="176">
        <f t="shared" ref="BL42:CT42" si="366">+AZ42</f>
        <v>-0.18694779116465865</v>
      </c>
      <c r="BM42" s="176">
        <f t="shared" si="366"/>
        <v>-0.21315789473684216</v>
      </c>
      <c r="BN42" s="176">
        <f t="shared" si="366"/>
        <v>-0.25472103004291846</v>
      </c>
      <c r="BO42" s="176">
        <f t="shared" si="366"/>
        <v>-0.28177570093457943</v>
      </c>
      <c r="BP42" s="176">
        <f t="shared" si="366"/>
        <v>-0.34784946236559139</v>
      </c>
      <c r="BQ42" s="176">
        <f t="shared" si="366"/>
        <v>-0.36916167664670657</v>
      </c>
      <c r="BR42" s="176">
        <f t="shared" si="366"/>
        <v>-0.20698324022346365</v>
      </c>
      <c r="BS42" s="176">
        <f t="shared" si="366"/>
        <v>-0.13226600985221676</v>
      </c>
      <c r="BT42" s="176">
        <f t="shared" si="366"/>
        <v>-0.10517241379310345</v>
      </c>
      <c r="BU42" s="176">
        <f t="shared" si="366"/>
        <v>-7.3636363636363625E-2</v>
      </c>
      <c r="BV42" s="176">
        <f t="shared" si="366"/>
        <v>-9.6341463414634135E-2</v>
      </c>
      <c r="BW42" s="329">
        <f t="shared" si="366"/>
        <v>-0.18694779116465865</v>
      </c>
      <c r="BX42" s="176">
        <f t="shared" si="366"/>
        <v>-0.18694779116465865</v>
      </c>
      <c r="BY42" s="176">
        <f t="shared" si="366"/>
        <v>-0.21315789473684216</v>
      </c>
      <c r="BZ42" s="176">
        <f t="shared" si="366"/>
        <v>-0.25472103004291846</v>
      </c>
      <c r="CA42" s="176">
        <f t="shared" si="366"/>
        <v>-0.28177570093457943</v>
      </c>
      <c r="CB42" s="176">
        <f t="shared" si="366"/>
        <v>-0.34784946236559139</v>
      </c>
      <c r="CC42" s="176">
        <f t="shared" si="366"/>
        <v>-0.36916167664670657</v>
      </c>
      <c r="CD42" s="176">
        <f t="shared" si="366"/>
        <v>-0.20698324022346365</v>
      </c>
      <c r="CE42" s="176">
        <f t="shared" si="366"/>
        <v>-0.13226600985221676</v>
      </c>
      <c r="CF42" s="176">
        <f t="shared" si="366"/>
        <v>-0.10517241379310345</v>
      </c>
      <c r="CG42" s="176">
        <f t="shared" si="366"/>
        <v>-7.3636363636363625E-2</v>
      </c>
      <c r="CH42" s="176">
        <f t="shared" si="366"/>
        <v>-9.6341463414634135E-2</v>
      </c>
      <c r="CI42" s="329">
        <f t="shared" si="366"/>
        <v>-0.18694779116465865</v>
      </c>
      <c r="CJ42" s="176">
        <f t="shared" si="366"/>
        <v>-0.18694779116465865</v>
      </c>
      <c r="CK42" s="176">
        <f t="shared" si="366"/>
        <v>-0.21315789473684216</v>
      </c>
      <c r="CL42" s="176">
        <f t="shared" si="366"/>
        <v>-0.25472103004291846</v>
      </c>
      <c r="CM42" s="176">
        <f t="shared" si="366"/>
        <v>-0.28177570093457943</v>
      </c>
      <c r="CN42" s="176">
        <f t="shared" si="366"/>
        <v>-0.34784946236559139</v>
      </c>
      <c r="CO42" s="176">
        <f t="shared" si="366"/>
        <v>-0.36916167664670657</v>
      </c>
      <c r="CP42" s="176">
        <f t="shared" si="366"/>
        <v>-0.20698324022346365</v>
      </c>
      <c r="CQ42" s="176">
        <f t="shared" si="366"/>
        <v>-0.13226600985221676</v>
      </c>
      <c r="CR42" s="176">
        <f t="shared" si="366"/>
        <v>-0.10517241379310345</v>
      </c>
      <c r="CS42" s="176">
        <f t="shared" si="366"/>
        <v>-7.3636363636363625E-2</v>
      </c>
      <c r="CT42" s="176">
        <f t="shared" si="366"/>
        <v>-9.6341463414634135E-2</v>
      </c>
      <c r="CU42" s="329">
        <f t="shared" ref="CU42:DG42" si="367">+CI42</f>
        <v>-0.18694779116465865</v>
      </c>
      <c r="CV42" s="176">
        <f t="shared" si="367"/>
        <v>-0.18694779116465865</v>
      </c>
      <c r="CW42" s="176">
        <f t="shared" si="367"/>
        <v>-0.21315789473684216</v>
      </c>
      <c r="CX42" s="176">
        <f t="shared" si="367"/>
        <v>-0.25472103004291846</v>
      </c>
      <c r="CY42" s="176">
        <f t="shared" si="367"/>
        <v>-0.28177570093457943</v>
      </c>
      <c r="CZ42" s="176">
        <f t="shared" si="367"/>
        <v>-0.34784946236559139</v>
      </c>
      <c r="DA42" s="176">
        <f t="shared" si="367"/>
        <v>-0.36916167664670657</v>
      </c>
      <c r="DB42" s="176">
        <f t="shared" si="367"/>
        <v>-0.20698324022346365</v>
      </c>
      <c r="DC42" s="176">
        <f t="shared" si="367"/>
        <v>-0.13226600985221676</v>
      </c>
      <c r="DD42" s="176">
        <f t="shared" si="367"/>
        <v>-0.10517241379310345</v>
      </c>
      <c r="DE42" s="176">
        <f t="shared" si="367"/>
        <v>-7.3636363636363625E-2</v>
      </c>
      <c r="DF42" s="176">
        <f t="shared" si="367"/>
        <v>-9.6341463414634135E-2</v>
      </c>
      <c r="DG42" s="177">
        <f t="shared" si="367"/>
        <v>-0.18694779116465865</v>
      </c>
    </row>
    <row r="43" spans="1:111" ht="18" x14ac:dyDescent="0.3">
      <c r="A43" s="36"/>
      <c r="B43" s="36"/>
      <c r="C43" s="489" t="s">
        <v>229</v>
      </c>
      <c r="D43" s="26"/>
      <c r="E43" s="26"/>
      <c r="F43" s="26"/>
      <c r="G43" s="26"/>
      <c r="H43" s="26"/>
      <c r="I43" s="173"/>
      <c r="J43" s="173"/>
      <c r="K43" s="173"/>
      <c r="L43" s="173">
        <f t="shared" ref="L43:Q43" si="368">1/-L42</f>
        <v>4.8461538461538458</v>
      </c>
      <c r="M43" s="173">
        <f t="shared" si="368"/>
        <v>8</v>
      </c>
      <c r="N43" s="173">
        <f t="shared" si="368"/>
        <v>5.4285714285714288</v>
      </c>
      <c r="O43" s="173">
        <f t="shared" si="368"/>
        <v>4.0555555555555554</v>
      </c>
      <c r="P43" s="173">
        <f t="shared" si="368"/>
        <v>4</v>
      </c>
      <c r="Q43" s="173">
        <f t="shared" si="368"/>
        <v>3.55</v>
      </c>
      <c r="R43" s="173">
        <f t="shared" ref="R43:CC43" si="369">1/-R42</f>
        <v>4.75</v>
      </c>
      <c r="S43" s="173">
        <f>1/-S42</f>
        <v>3.3636363636363633</v>
      </c>
      <c r="T43" s="173">
        <f>1/-T42</f>
        <v>2.5384615384615388</v>
      </c>
      <c r="U43" s="173">
        <f>1/-U42</f>
        <v>2.5185185185185182</v>
      </c>
      <c r="V43" s="173">
        <f t="shared" si="369"/>
        <v>2.1562500000000004</v>
      </c>
      <c r="W43" s="173">
        <f t="shared" ref="W43:AB43" si="370">1/-W42</f>
        <v>2.3030303030303028</v>
      </c>
      <c r="X43" s="173">
        <f t="shared" si="370"/>
        <v>2.96875</v>
      </c>
      <c r="Y43" s="173">
        <f t="shared" si="370"/>
        <v>3.342857142857143</v>
      </c>
      <c r="Z43" s="173">
        <f t="shared" si="370"/>
        <v>3.3023255813953485</v>
      </c>
      <c r="AA43" s="530">
        <f t="shared" si="370"/>
        <v>2.666666666666667</v>
      </c>
      <c r="AB43" s="173">
        <f t="shared" si="370"/>
        <v>2.7192982456140351</v>
      </c>
      <c r="AC43" s="173">
        <f t="shared" ref="AC43:AD43" si="371">1/-AC42</f>
        <v>3.115384615384615</v>
      </c>
      <c r="AD43" s="173">
        <f t="shared" si="371"/>
        <v>3.0754716981132075</v>
      </c>
      <c r="AE43" s="173">
        <f t="shared" ref="AE43" si="372">1/-AE42</f>
        <v>2.603448275862069</v>
      </c>
      <c r="AF43" s="173">
        <f t="shared" ref="AF43" si="373">1/-AF42</f>
        <v>2.4821428571428572</v>
      </c>
      <c r="AG43" s="173">
        <f t="shared" ref="AG43:AL43" si="374">1/-AG42</f>
        <v>2.4716981132075473</v>
      </c>
      <c r="AH43" s="173">
        <f t="shared" si="374"/>
        <v>3.9444444444444438</v>
      </c>
      <c r="AI43" s="173">
        <f t="shared" si="374"/>
        <v>5.2903225806451601</v>
      </c>
      <c r="AJ43" s="173">
        <f t="shared" si="374"/>
        <v>5.7878787878787872</v>
      </c>
      <c r="AK43" s="173">
        <f t="shared" si="374"/>
        <v>6.4411764705882355</v>
      </c>
      <c r="AL43" s="173">
        <f t="shared" si="374"/>
        <v>6.8333333333333339</v>
      </c>
      <c r="AM43" s="530">
        <f t="shared" ref="AM43:AN43" si="375">1/-AM42</f>
        <v>4.2203389830508469</v>
      </c>
      <c r="AN43" s="173">
        <f t="shared" si="375"/>
        <v>4.2203389830508469</v>
      </c>
      <c r="AO43" s="173">
        <f t="shared" ref="AO43:AP43" si="376">1/-AO42</f>
        <v>3.7999999999999994</v>
      </c>
      <c r="AP43" s="173">
        <f t="shared" si="376"/>
        <v>3.2816901408450705</v>
      </c>
      <c r="AQ43" s="173">
        <f t="shared" ref="AQ43:AR43" si="377">1/-AQ42</f>
        <v>3.0140845070422535</v>
      </c>
      <c r="AR43" s="173">
        <f t="shared" si="377"/>
        <v>2.5135135135135136</v>
      </c>
      <c r="AS43" s="173">
        <f t="shared" ref="AS43:AT43" si="378">1/-AS42</f>
        <v>2.3857142857142857</v>
      </c>
      <c r="AT43" s="173">
        <f t="shared" si="378"/>
        <v>3.8913043478260878</v>
      </c>
      <c r="AU43" s="173">
        <f t="shared" ref="AU43:AV43" si="379">1/-AU42</f>
        <v>5.4864864864864868</v>
      </c>
      <c r="AV43" s="173">
        <f t="shared" si="379"/>
        <v>6.4444444444444446</v>
      </c>
      <c r="AW43" s="722">
        <f t="shared" ref="AW43" si="380">1/-AW42</f>
        <v>8.0882352941176485</v>
      </c>
      <c r="AX43" s="174">
        <f t="shared" ref="AX43" si="381">1/-AX42</f>
        <v>6.8333333333333339</v>
      </c>
      <c r="AY43" s="175">
        <f t="shared" si="369"/>
        <v>4.2203389830508469</v>
      </c>
      <c r="AZ43" s="174">
        <f t="shared" si="369"/>
        <v>5.3490870032223414</v>
      </c>
      <c r="BA43" s="174">
        <f t="shared" si="369"/>
        <v>4.6913580246913567</v>
      </c>
      <c r="BB43" s="174">
        <f t="shared" si="369"/>
        <v>3.9258635214827295</v>
      </c>
      <c r="BC43" s="174">
        <f t="shared" si="369"/>
        <v>3.5489220563847432</v>
      </c>
      <c r="BD43" s="174">
        <f t="shared" si="369"/>
        <v>2.8748068006182379</v>
      </c>
      <c r="BE43" s="174">
        <f t="shared" si="369"/>
        <v>2.7088402270884022</v>
      </c>
      <c r="BF43" s="174">
        <f t="shared" si="369"/>
        <v>4.8313090418353584</v>
      </c>
      <c r="BG43" s="174">
        <f t="shared" si="369"/>
        <v>7.560521415270018</v>
      </c>
      <c r="BH43" s="174">
        <f t="shared" si="369"/>
        <v>9.5081967213114744</v>
      </c>
      <c r="BI43" s="174">
        <f t="shared" si="369"/>
        <v>13.580246913580249</v>
      </c>
      <c r="BJ43" s="174">
        <f t="shared" si="369"/>
        <v>10.37974683544304</v>
      </c>
      <c r="BK43" s="330">
        <f t="shared" si="369"/>
        <v>5.3490870032223414</v>
      </c>
      <c r="BL43" s="174">
        <f t="shared" si="369"/>
        <v>5.3490870032223414</v>
      </c>
      <c r="BM43" s="174">
        <f t="shared" si="369"/>
        <v>4.6913580246913567</v>
      </c>
      <c r="BN43" s="174">
        <f t="shared" si="369"/>
        <v>3.9258635214827295</v>
      </c>
      <c r="BO43" s="174">
        <f t="shared" si="369"/>
        <v>3.5489220563847432</v>
      </c>
      <c r="BP43" s="174">
        <f t="shared" si="369"/>
        <v>2.8748068006182379</v>
      </c>
      <c r="BQ43" s="174">
        <f t="shared" si="369"/>
        <v>2.7088402270884022</v>
      </c>
      <c r="BR43" s="174">
        <f t="shared" si="369"/>
        <v>4.8313090418353584</v>
      </c>
      <c r="BS43" s="174">
        <f t="shared" si="369"/>
        <v>7.560521415270018</v>
      </c>
      <c r="BT43" s="174">
        <f t="shared" si="369"/>
        <v>9.5081967213114744</v>
      </c>
      <c r="BU43" s="174">
        <f t="shared" si="369"/>
        <v>13.580246913580249</v>
      </c>
      <c r="BV43" s="174">
        <f t="shared" si="369"/>
        <v>10.37974683544304</v>
      </c>
      <c r="BW43" s="330">
        <f t="shared" si="369"/>
        <v>5.3490870032223414</v>
      </c>
      <c r="BX43" s="174">
        <f t="shared" si="369"/>
        <v>5.3490870032223414</v>
      </c>
      <c r="BY43" s="174">
        <f t="shared" si="369"/>
        <v>4.6913580246913567</v>
      </c>
      <c r="BZ43" s="174">
        <f t="shared" si="369"/>
        <v>3.9258635214827295</v>
      </c>
      <c r="CA43" s="174">
        <f t="shared" si="369"/>
        <v>3.5489220563847432</v>
      </c>
      <c r="CB43" s="174">
        <f t="shared" si="369"/>
        <v>2.8748068006182379</v>
      </c>
      <c r="CC43" s="174">
        <f t="shared" si="369"/>
        <v>2.7088402270884022</v>
      </c>
      <c r="CD43" s="174">
        <f t="shared" ref="CD43:DG43" si="382">1/-CD42</f>
        <v>4.8313090418353584</v>
      </c>
      <c r="CE43" s="174">
        <f t="shared" si="382"/>
        <v>7.560521415270018</v>
      </c>
      <c r="CF43" s="174">
        <f t="shared" si="382"/>
        <v>9.5081967213114744</v>
      </c>
      <c r="CG43" s="174">
        <f t="shared" si="382"/>
        <v>13.580246913580249</v>
      </c>
      <c r="CH43" s="174">
        <f t="shared" si="382"/>
        <v>10.37974683544304</v>
      </c>
      <c r="CI43" s="330">
        <f t="shared" si="382"/>
        <v>5.3490870032223414</v>
      </c>
      <c r="CJ43" s="174">
        <f t="shared" si="382"/>
        <v>5.3490870032223414</v>
      </c>
      <c r="CK43" s="174">
        <f t="shared" si="382"/>
        <v>4.6913580246913567</v>
      </c>
      <c r="CL43" s="174">
        <f t="shared" si="382"/>
        <v>3.9258635214827295</v>
      </c>
      <c r="CM43" s="174">
        <f t="shared" si="382"/>
        <v>3.5489220563847432</v>
      </c>
      <c r="CN43" s="174">
        <f t="shared" si="382"/>
        <v>2.8748068006182379</v>
      </c>
      <c r="CO43" s="174">
        <f t="shared" si="382"/>
        <v>2.7088402270884022</v>
      </c>
      <c r="CP43" s="174">
        <f t="shared" si="382"/>
        <v>4.8313090418353584</v>
      </c>
      <c r="CQ43" s="174">
        <f t="shared" si="382"/>
        <v>7.560521415270018</v>
      </c>
      <c r="CR43" s="174">
        <f t="shared" si="382"/>
        <v>9.5081967213114744</v>
      </c>
      <c r="CS43" s="174">
        <f t="shared" si="382"/>
        <v>13.580246913580249</v>
      </c>
      <c r="CT43" s="174">
        <f t="shared" si="382"/>
        <v>10.37974683544304</v>
      </c>
      <c r="CU43" s="330">
        <f t="shared" si="382"/>
        <v>5.3490870032223414</v>
      </c>
      <c r="CV43" s="174">
        <f t="shared" si="382"/>
        <v>5.3490870032223414</v>
      </c>
      <c r="CW43" s="174">
        <f t="shared" si="382"/>
        <v>4.6913580246913567</v>
      </c>
      <c r="CX43" s="174">
        <f t="shared" si="382"/>
        <v>3.9258635214827295</v>
      </c>
      <c r="CY43" s="174">
        <f t="shared" si="382"/>
        <v>3.5489220563847432</v>
      </c>
      <c r="CZ43" s="174">
        <f t="shared" si="382"/>
        <v>2.8748068006182379</v>
      </c>
      <c r="DA43" s="174">
        <f t="shared" si="382"/>
        <v>2.7088402270884022</v>
      </c>
      <c r="DB43" s="174">
        <f t="shared" si="382"/>
        <v>4.8313090418353584</v>
      </c>
      <c r="DC43" s="174">
        <f t="shared" si="382"/>
        <v>7.560521415270018</v>
      </c>
      <c r="DD43" s="174">
        <f t="shared" si="382"/>
        <v>9.5081967213114744</v>
      </c>
      <c r="DE43" s="174">
        <f t="shared" si="382"/>
        <v>13.580246913580249</v>
      </c>
      <c r="DF43" s="174">
        <f t="shared" si="382"/>
        <v>10.37974683544304</v>
      </c>
      <c r="DG43" s="175">
        <f t="shared" si="382"/>
        <v>5.3490870032223414</v>
      </c>
    </row>
    <row r="44" spans="1:111" ht="18" x14ac:dyDescent="0.3">
      <c r="A44" s="36"/>
      <c r="B44" s="36"/>
      <c r="C44" s="489" t="s">
        <v>230</v>
      </c>
      <c r="D44" s="26"/>
      <c r="E44" s="26"/>
      <c r="F44" s="26"/>
      <c r="G44" s="26"/>
      <c r="H44" s="26"/>
      <c r="I44" s="26"/>
      <c r="J44" s="26"/>
      <c r="K44" s="26"/>
      <c r="L44" s="26">
        <f t="shared" ref="L44:AQ44" si="383">+L14/AVERAGE(G17:L17)</f>
        <v>117.27272727272728</v>
      </c>
      <c r="M44" s="26">
        <f t="shared" si="383"/>
        <v>347.53846153846155</v>
      </c>
      <c r="N44" s="26">
        <f t="shared" si="383"/>
        <v>190</v>
      </c>
      <c r="O44" s="26">
        <f t="shared" si="383"/>
        <v>203.25</v>
      </c>
      <c r="P44" s="26">
        <f t="shared" si="383"/>
        <v>152.06459016393444</v>
      </c>
      <c r="Q44" s="26">
        <f t="shared" si="383"/>
        <v>114.15909090909091</v>
      </c>
      <c r="R44" s="26">
        <f t="shared" si="383"/>
        <v>108.06716417910448</v>
      </c>
      <c r="S44" s="26">
        <f t="shared" si="383"/>
        <v>206.04315789473685</v>
      </c>
      <c r="T44" s="26">
        <f t="shared" si="383"/>
        <v>271.30145454545453</v>
      </c>
      <c r="U44" s="26">
        <f t="shared" si="383"/>
        <v>200.99311475409837</v>
      </c>
      <c r="V44" s="26">
        <f t="shared" si="383"/>
        <v>298.4736842105263</v>
      </c>
      <c r="W44" s="26">
        <f t="shared" si="383"/>
        <v>643.51454545454544</v>
      </c>
      <c r="X44" s="26">
        <f t="shared" si="383"/>
        <v>618.07694117647065</v>
      </c>
      <c r="Y44" s="26">
        <f t="shared" si="383"/>
        <v>447.07472727272733</v>
      </c>
      <c r="Z44" s="26">
        <f t="shared" si="383"/>
        <v>222.77233082706766</v>
      </c>
      <c r="AA44" s="525">
        <f t="shared" si="383"/>
        <v>92.568345323740999</v>
      </c>
      <c r="AB44" s="26">
        <f t="shared" si="383"/>
        <v>122.53061224489795</v>
      </c>
      <c r="AC44" s="26">
        <f t="shared" si="383"/>
        <v>182.83216783216784</v>
      </c>
      <c r="AD44" s="26">
        <f t="shared" si="383"/>
        <v>155.79850746268659</v>
      </c>
      <c r="AE44" s="26">
        <f t="shared" si="383"/>
        <v>202.58823529411765</v>
      </c>
      <c r="AF44" s="26">
        <f t="shared" si="383"/>
        <v>303.92971962616826</v>
      </c>
      <c r="AG44" s="26">
        <f t="shared" si="383"/>
        <v>230.79964285714286</v>
      </c>
      <c r="AH44" s="26">
        <f t="shared" si="383"/>
        <v>431.47095238095244</v>
      </c>
      <c r="AI44" s="26">
        <f t="shared" si="383"/>
        <v>568.23865771812086</v>
      </c>
      <c r="AJ44" s="26">
        <f t="shared" si="383"/>
        <v>347.28070175438597</v>
      </c>
      <c r="AK44" s="26">
        <f t="shared" si="383"/>
        <v>517.00247524752479</v>
      </c>
      <c r="AL44" s="26">
        <f t="shared" si="383"/>
        <v>254.1637168141593</v>
      </c>
      <c r="AM44" s="525">
        <f t="shared" si="383"/>
        <v>138.50666666666666</v>
      </c>
      <c r="AN44" s="26">
        <f t="shared" si="383"/>
        <v>180.42465753424656</v>
      </c>
      <c r="AO44" s="26">
        <f t="shared" si="383"/>
        <v>232.88382775119615</v>
      </c>
      <c r="AP44" s="26">
        <f t="shared" si="383"/>
        <v>241.3309947643979</v>
      </c>
      <c r="AQ44" s="26">
        <f t="shared" si="383"/>
        <v>135.76807228915663</v>
      </c>
      <c r="AR44" s="26">
        <f t="shared" ref="AR44:BW44" si="384">+AR14/AVERAGE(AM17:AR17)</f>
        <v>255.40140845070422</v>
      </c>
      <c r="AS44" s="26">
        <f t="shared" si="384"/>
        <v>288.16666666666669</v>
      </c>
      <c r="AT44" s="26">
        <f t="shared" si="384"/>
        <v>577.9354838709678</v>
      </c>
      <c r="AU44" s="26">
        <f t="shared" si="384"/>
        <v>701.38285714285712</v>
      </c>
      <c r="AV44" s="26">
        <f t="shared" si="384"/>
        <v>816.5625</v>
      </c>
      <c r="AW44" s="590">
        <f t="shared" si="384"/>
        <v>937.21738095238106</v>
      </c>
      <c r="AX44" s="27">
        <f t="shared" si="384"/>
        <v>260.86197879666429</v>
      </c>
      <c r="AY44" s="28">
        <f t="shared" si="384"/>
        <v>230.49980962268552</v>
      </c>
      <c r="AZ44" s="27">
        <f t="shared" si="384"/>
        <v>290.10495529204746</v>
      </c>
      <c r="BA44" s="27">
        <f t="shared" si="384"/>
        <v>301.53653681243645</v>
      </c>
      <c r="BB44" s="27">
        <f t="shared" si="384"/>
        <v>338.17475995952765</v>
      </c>
      <c r="BC44" s="27">
        <f t="shared" si="384"/>
        <v>170.70375579320168</v>
      </c>
      <c r="BD44" s="27">
        <f t="shared" si="384"/>
        <v>320.24351597114139</v>
      </c>
      <c r="BE44" s="27">
        <f t="shared" si="384"/>
        <v>274.90405053999251</v>
      </c>
      <c r="BF44" s="27">
        <f t="shared" si="384"/>
        <v>410.64325100994529</v>
      </c>
      <c r="BG44" s="27">
        <f t="shared" si="384"/>
        <v>435.11215755241403</v>
      </c>
      <c r="BH44" s="27">
        <f t="shared" si="384"/>
        <v>589.24128304753947</v>
      </c>
      <c r="BI44" s="27">
        <f t="shared" si="384"/>
        <v>650.76093925529926</v>
      </c>
      <c r="BJ44" s="27">
        <f t="shared" si="384"/>
        <v>290.61065430148864</v>
      </c>
      <c r="BK44" s="328">
        <f t="shared" si="384"/>
        <v>386.97814908981667</v>
      </c>
      <c r="BL44" s="27">
        <f t="shared" si="384"/>
        <v>394.22201704493818</v>
      </c>
      <c r="BM44" s="27">
        <f t="shared" si="384"/>
        <v>373.03731584380768</v>
      </c>
      <c r="BN44" s="27">
        <f t="shared" si="384"/>
        <v>396.17941439848465</v>
      </c>
      <c r="BO44" s="27">
        <f t="shared" si="384"/>
        <v>170.5836314655094</v>
      </c>
      <c r="BP44" s="27">
        <f t="shared" si="384"/>
        <v>292.09055246147068</v>
      </c>
      <c r="BQ44" s="27">
        <f t="shared" si="384"/>
        <v>253.87164527772148</v>
      </c>
      <c r="BR44" s="27">
        <f t="shared" si="384"/>
        <v>367.78057247175229</v>
      </c>
      <c r="BS44" s="27">
        <f t="shared" si="384"/>
        <v>436.68185998054724</v>
      </c>
      <c r="BT44" s="27">
        <f t="shared" si="384"/>
        <v>573.6875627336658</v>
      </c>
      <c r="BU44" s="27">
        <f t="shared" si="384"/>
        <v>611.85189469006843</v>
      </c>
      <c r="BV44" s="27">
        <f t="shared" si="384"/>
        <v>302.27994324182072</v>
      </c>
      <c r="BW44" s="328">
        <f t="shared" si="384"/>
        <v>385.15378813961343</v>
      </c>
      <c r="BX44" s="27">
        <f t="shared" ref="BX44:DC44" si="385">+BX14/AVERAGE(BS17:BX17)</f>
        <v>393.60502970579012</v>
      </c>
      <c r="BY44" s="27">
        <f t="shared" si="385"/>
        <v>392.89360027857538</v>
      </c>
      <c r="BZ44" s="27">
        <f t="shared" si="385"/>
        <v>397.95811110032463</v>
      </c>
      <c r="CA44" s="27">
        <f t="shared" si="385"/>
        <v>156.22246912571427</v>
      </c>
      <c r="CB44" s="27">
        <f t="shared" si="385"/>
        <v>321.12427575283579</v>
      </c>
      <c r="CC44" s="27">
        <f t="shared" si="385"/>
        <v>254.55293621202929</v>
      </c>
      <c r="CD44" s="27">
        <f t="shared" si="385"/>
        <v>351.61386331045713</v>
      </c>
      <c r="CE44" s="27">
        <f t="shared" si="385"/>
        <v>458.11374188946962</v>
      </c>
      <c r="CF44" s="27">
        <f t="shared" si="385"/>
        <v>547.38612912217297</v>
      </c>
      <c r="CG44" s="27">
        <f t="shared" si="385"/>
        <v>640.22611582831416</v>
      </c>
      <c r="CH44" s="27">
        <f t="shared" si="385"/>
        <v>301.48724442621932</v>
      </c>
      <c r="CI44" s="328">
        <f t="shared" si="385"/>
        <v>350.93188852150314</v>
      </c>
      <c r="CJ44" s="27">
        <f t="shared" si="385"/>
        <v>428.16822316368831</v>
      </c>
      <c r="CK44" s="27">
        <f t="shared" si="385"/>
        <v>371.35914977711207</v>
      </c>
      <c r="CL44" s="27">
        <f t="shared" si="385"/>
        <v>378.61855763980105</v>
      </c>
      <c r="CM44" s="27">
        <f t="shared" si="385"/>
        <v>163.13320008859881</v>
      </c>
      <c r="CN44" s="27">
        <f t="shared" si="385"/>
        <v>320.66223146168682</v>
      </c>
      <c r="CO44" s="27">
        <f t="shared" si="385"/>
        <v>241.89676347290495</v>
      </c>
      <c r="CP44" s="27">
        <f t="shared" si="385"/>
        <v>367.18721050174247</v>
      </c>
      <c r="CQ44" s="27">
        <f t="shared" si="385"/>
        <v>456.03029068999734</v>
      </c>
      <c r="CR44" s="27">
        <f t="shared" si="385"/>
        <v>518.92572800693688</v>
      </c>
      <c r="CS44" s="27">
        <f t="shared" si="385"/>
        <v>669.0472093731106</v>
      </c>
      <c r="CT44" s="27">
        <f t="shared" si="385"/>
        <v>301.67520600035306</v>
      </c>
      <c r="CU44" s="328">
        <f t="shared" si="385"/>
        <v>352.08509629193878</v>
      </c>
      <c r="CV44" s="27">
        <f t="shared" si="385"/>
        <v>430.04827008059056</v>
      </c>
      <c r="CW44" s="27">
        <f t="shared" si="385"/>
        <v>372.15527028195726</v>
      </c>
      <c r="CX44" s="27">
        <f t="shared" si="385"/>
        <v>361.79047016014363</v>
      </c>
      <c r="CY44" s="27">
        <f t="shared" si="385"/>
        <v>171.27389021600095</v>
      </c>
      <c r="CZ44" s="27">
        <f t="shared" si="385"/>
        <v>321.28793700908511</v>
      </c>
      <c r="DA44" s="27">
        <f t="shared" si="385"/>
        <v>231.52921373173672</v>
      </c>
      <c r="DB44" s="27">
        <f t="shared" si="385"/>
        <v>384.81412454100013</v>
      </c>
      <c r="DC44" s="27">
        <f t="shared" si="385"/>
        <v>436.15585053626984</v>
      </c>
      <c r="DD44" s="27">
        <f t="shared" ref="DD44:EI44" si="386">+DD14/AVERAGE(CY17:DD17)</f>
        <v>544.13030210190675</v>
      </c>
      <c r="DE44" s="27">
        <f t="shared" si="386"/>
        <v>669.18473164575562</v>
      </c>
      <c r="DF44" s="27">
        <f t="shared" si="386"/>
        <v>287.58207996879372</v>
      </c>
      <c r="DG44" s="28">
        <f t="shared" si="386"/>
        <v>369.28264691320936</v>
      </c>
    </row>
    <row r="45" spans="1:111" ht="18" x14ac:dyDescent="0.3">
      <c r="A45" s="36"/>
      <c r="B45" s="36"/>
      <c r="C45" s="489" t="s">
        <v>231</v>
      </c>
      <c r="D45" s="26"/>
      <c r="E45" s="26"/>
      <c r="F45" s="26"/>
      <c r="G45" s="26"/>
      <c r="H45" s="26"/>
      <c r="I45" s="26"/>
      <c r="J45" s="26"/>
      <c r="K45" s="26"/>
      <c r="L45" s="26">
        <f t="shared" ref="L45:Q45" si="387">+L44*L43</f>
        <v>568.32167832167829</v>
      </c>
      <c r="M45" s="26">
        <f t="shared" si="387"/>
        <v>2780.3076923076924</v>
      </c>
      <c r="N45" s="26">
        <f t="shared" si="387"/>
        <v>1031.4285714285716</v>
      </c>
      <c r="O45" s="26">
        <f t="shared" si="387"/>
        <v>824.29166666666663</v>
      </c>
      <c r="P45" s="26">
        <f t="shared" si="387"/>
        <v>608.25836065573776</v>
      </c>
      <c r="Q45" s="26">
        <f t="shared" si="387"/>
        <v>405.26477272727271</v>
      </c>
      <c r="R45" s="26">
        <f t="shared" ref="R45:CC45" si="388">+R44*R43</f>
        <v>513.31902985074623</v>
      </c>
      <c r="S45" s="26">
        <f t="shared" si="388"/>
        <v>693.0542583732057</v>
      </c>
      <c r="T45" s="26">
        <f t="shared" si="388"/>
        <v>688.68830769230772</v>
      </c>
      <c r="U45" s="26">
        <f t="shared" si="388"/>
        <v>506.20488160291433</v>
      </c>
      <c r="V45" s="26">
        <f t="shared" si="388"/>
        <v>643.58388157894751</v>
      </c>
      <c r="W45" s="26">
        <f t="shared" si="388"/>
        <v>1482.0334986225894</v>
      </c>
      <c r="X45" s="26">
        <f t="shared" ref="X45" si="389">+X44*X43</f>
        <v>1834.9159191176473</v>
      </c>
      <c r="Y45" s="26">
        <f t="shared" ref="Y45:AC45" si="390">+Y44*Y43</f>
        <v>1494.5069454545458</v>
      </c>
      <c r="Z45" s="26">
        <f t="shared" si="390"/>
        <v>735.6667669172931</v>
      </c>
      <c r="AA45" s="525">
        <f t="shared" si="390"/>
        <v>246.84892086330936</v>
      </c>
      <c r="AB45" s="26">
        <f>+AB44*AB43</f>
        <v>333.19727891156458</v>
      </c>
      <c r="AC45" s="26">
        <f t="shared" si="390"/>
        <v>569.59252286175354</v>
      </c>
      <c r="AD45" s="26">
        <f t="shared" ref="AD45:AI45" si="391">+AD44*AD43</f>
        <v>479.15390030977193</v>
      </c>
      <c r="AE45" s="26">
        <f t="shared" si="391"/>
        <v>527.4279918864097</v>
      </c>
      <c r="AF45" s="26">
        <f t="shared" si="391"/>
        <v>754.39698264352478</v>
      </c>
      <c r="AG45" s="26">
        <f t="shared" si="391"/>
        <v>570.46704177897573</v>
      </c>
      <c r="AH45" s="26">
        <f t="shared" si="391"/>
        <v>1701.9132010582009</v>
      </c>
      <c r="AI45" s="26">
        <f t="shared" si="391"/>
        <v>3006.1658021216708</v>
      </c>
      <c r="AJ45" s="26">
        <f t="shared" ref="AJ45:AK45" si="392">+AJ44*AJ43</f>
        <v>2010.0186071238702</v>
      </c>
      <c r="AK45" s="26">
        <f t="shared" si="392"/>
        <v>3330.1041788002331</v>
      </c>
      <c r="AL45" s="26">
        <f t="shared" ref="AL45:AM45" si="393">+AL44*AL43</f>
        <v>1736.7853982300887</v>
      </c>
      <c r="AM45" s="525">
        <f t="shared" si="393"/>
        <v>584.54508474576255</v>
      </c>
      <c r="AN45" s="26">
        <f t="shared" ref="AN45:AO45" si="394">+AN44*AN43</f>
        <v>761.45321569537941</v>
      </c>
      <c r="AO45" s="26">
        <f t="shared" si="394"/>
        <v>884.95854545454517</v>
      </c>
      <c r="AP45" s="26">
        <f t="shared" ref="AP45" si="395">+AP44*AP43</f>
        <v>791.97354619865791</v>
      </c>
      <c r="AQ45" s="26">
        <f t="shared" ref="AQ45:AU45" si="396">+AQ44*AQ43</f>
        <v>409.21644323773972</v>
      </c>
      <c r="AR45" s="26">
        <f t="shared" si="396"/>
        <v>641.95489151122956</v>
      </c>
      <c r="AS45" s="26">
        <f t="shared" si="396"/>
        <v>687.48333333333335</v>
      </c>
      <c r="AT45" s="26">
        <f t="shared" si="396"/>
        <v>2248.9228611500707</v>
      </c>
      <c r="AU45" s="26">
        <f t="shared" si="396"/>
        <v>3848.1275675675679</v>
      </c>
      <c r="AV45" s="26">
        <f>+AV44*AV43</f>
        <v>5262.291666666667</v>
      </c>
      <c r="AW45" s="723">
        <f>+AW44*AW43</f>
        <v>7580.4346988795542</v>
      </c>
      <c r="AX45" s="27">
        <f t="shared" ref="AX45" si="397">+AX44*AX43</f>
        <v>1782.5568551105396</v>
      </c>
      <c r="AY45" s="28">
        <f t="shared" si="388"/>
        <v>972.7873321364184</v>
      </c>
      <c r="AZ45" s="27">
        <f t="shared" si="388"/>
        <v>1551.7966459230895</v>
      </c>
      <c r="BA45" s="27">
        <f t="shared" si="388"/>
        <v>1414.6158517126644</v>
      </c>
      <c r="BB45" s="27">
        <f t="shared" si="388"/>
        <v>1327.627954011288</v>
      </c>
      <c r="BC45" s="27">
        <f t="shared" si="388"/>
        <v>605.81432404220834</v>
      </c>
      <c r="BD45" s="27">
        <f t="shared" si="388"/>
        <v>920.63823756773252</v>
      </c>
      <c r="BE45" s="27">
        <f t="shared" si="388"/>
        <v>744.67115069227486</v>
      </c>
      <c r="BF45" s="27">
        <f t="shared" si="388"/>
        <v>1983.9444515730154</v>
      </c>
      <c r="BG45" s="27">
        <f t="shared" si="388"/>
        <v>3289.6747852193685</v>
      </c>
      <c r="BH45" s="27">
        <f t="shared" si="388"/>
        <v>5602.622035533981</v>
      </c>
      <c r="BI45" s="27">
        <f t="shared" si="388"/>
        <v>8837.4942368003613</v>
      </c>
      <c r="BJ45" s="27">
        <f t="shared" si="388"/>
        <v>3016.465019331908</v>
      </c>
      <c r="BK45" s="328">
        <f t="shared" si="388"/>
        <v>2069.9797878273757</v>
      </c>
      <c r="BL45" s="27">
        <f t="shared" si="388"/>
        <v>2108.7278677591753</v>
      </c>
      <c r="BM45" s="27">
        <f t="shared" si="388"/>
        <v>1750.0516051931713</v>
      </c>
      <c r="BN45" s="27">
        <f t="shared" si="388"/>
        <v>1555.3463109494005</v>
      </c>
      <c r="BO45" s="27">
        <f t="shared" si="388"/>
        <v>605.38801216615275</v>
      </c>
      <c r="BP45" s="27">
        <f t="shared" si="388"/>
        <v>839.70390661257409</v>
      </c>
      <c r="BQ45" s="27">
        <f t="shared" si="388"/>
        <v>687.6977252454094</v>
      </c>
      <c r="BR45" s="27">
        <f t="shared" si="388"/>
        <v>1776.8616051941613</v>
      </c>
      <c r="BS45" s="27">
        <f t="shared" si="388"/>
        <v>3301.542554042871</v>
      </c>
      <c r="BT45" s="27">
        <f t="shared" si="388"/>
        <v>5454.734203041412</v>
      </c>
      <c r="BU45" s="27">
        <f t="shared" si="388"/>
        <v>8309.0998044330299</v>
      </c>
      <c r="BV45" s="27">
        <f t="shared" si="388"/>
        <v>3137.5892842821904</v>
      </c>
      <c r="BW45" s="328">
        <f t="shared" si="388"/>
        <v>2060.2211223794575</v>
      </c>
      <c r="BX45" s="27">
        <f t="shared" si="388"/>
        <v>2105.4275488021854</v>
      </c>
      <c r="BY45" s="27">
        <f t="shared" si="388"/>
        <v>1843.2045445167728</v>
      </c>
      <c r="BZ45" s="27">
        <f t="shared" si="388"/>
        <v>1562.3292314469359</v>
      </c>
      <c r="CA45" s="27">
        <f t="shared" si="388"/>
        <v>554.42136638313195</v>
      </c>
      <c r="CB45" s="27">
        <f t="shared" si="388"/>
        <v>923.17025177785865</v>
      </c>
      <c r="CC45" s="27">
        <f t="shared" si="388"/>
        <v>689.54323353461302</v>
      </c>
      <c r="CD45" s="27">
        <f t="shared" ref="CD45:DG45" si="398">+CD44*CD43</f>
        <v>1698.7552370464732</v>
      </c>
      <c r="CE45" s="27">
        <f t="shared" si="398"/>
        <v>3463.5787561848165</v>
      </c>
      <c r="CF45" s="27">
        <f t="shared" si="398"/>
        <v>5204.6549982108245</v>
      </c>
      <c r="CG45" s="27">
        <f t="shared" si="398"/>
        <v>8694.4287334709334</v>
      </c>
      <c r="CH45" s="27">
        <f t="shared" si="398"/>
        <v>3129.3612712594922</v>
      </c>
      <c r="CI45" s="328">
        <f t="shared" si="398"/>
        <v>1877.1652039066441</v>
      </c>
      <c r="CJ45" s="27">
        <f t="shared" si="398"/>
        <v>2290.3090777176881</v>
      </c>
      <c r="CK45" s="27">
        <f t="shared" si="398"/>
        <v>1742.1787273494142</v>
      </c>
      <c r="CL45" s="27">
        <f t="shared" si="398"/>
        <v>1486.4047839945013</v>
      </c>
      <c r="CM45" s="27">
        <f t="shared" si="398"/>
        <v>578.94701192305388</v>
      </c>
      <c r="CN45" s="27">
        <f t="shared" si="398"/>
        <v>921.84196370747679</v>
      </c>
      <c r="CO45" s="27">
        <f t="shared" si="398"/>
        <v>655.25968369789337</v>
      </c>
      <c r="CP45" s="27">
        <f t="shared" si="398"/>
        <v>1773.9948901433715</v>
      </c>
      <c r="CQ45" s="27">
        <f t="shared" si="398"/>
        <v>3447.8267787735363</v>
      </c>
      <c r="CR45" s="27">
        <f t="shared" si="398"/>
        <v>4934.0479056397271</v>
      </c>
      <c r="CS45" s="27">
        <f t="shared" si="398"/>
        <v>9085.8263001286632</v>
      </c>
      <c r="CT45" s="27">
        <f t="shared" si="398"/>
        <v>3131.3122648137919</v>
      </c>
      <c r="CU45" s="328">
        <f t="shared" si="398"/>
        <v>1883.3338126034964</v>
      </c>
      <c r="CV45" s="27">
        <f t="shared" si="398"/>
        <v>2300.3656122463381</v>
      </c>
      <c r="CW45" s="27">
        <f t="shared" si="398"/>
        <v>1745.913613668441</v>
      </c>
      <c r="CX45" s="27">
        <f t="shared" si="398"/>
        <v>1420.3400092217939</v>
      </c>
      <c r="CY45" s="27">
        <f t="shared" si="398"/>
        <v>607.83768667038487</v>
      </c>
      <c r="CZ45" s="27">
        <f t="shared" si="398"/>
        <v>923.64074627032187</v>
      </c>
      <c r="DA45" s="27">
        <f t="shared" si="398"/>
        <v>627.17564790267693</v>
      </c>
      <c r="DB45" s="27">
        <f t="shared" si="398"/>
        <v>1859.1559593208915</v>
      </c>
      <c r="DC45" s="27">
        <f t="shared" si="398"/>
        <v>3297.5656483747771</v>
      </c>
      <c r="DD45" s="27">
        <f t="shared" si="398"/>
        <v>5173.697954411572</v>
      </c>
      <c r="DE45" s="27">
        <f t="shared" si="398"/>
        <v>9087.6938865473003</v>
      </c>
      <c r="DF45" s="27">
        <f t="shared" si="398"/>
        <v>2985.029184486214</v>
      </c>
      <c r="DG45" s="28">
        <f t="shared" si="398"/>
        <v>1975.3250071189932</v>
      </c>
    </row>
    <row r="46" spans="1:111" s="281" customFormat="1" ht="18" x14ac:dyDescent="0.3">
      <c r="A46" s="36"/>
      <c r="B46" s="36"/>
      <c r="C46" s="489" t="s">
        <v>232</v>
      </c>
      <c r="D46" s="368"/>
      <c r="E46" s="368"/>
      <c r="F46" s="368"/>
      <c r="G46" s="368"/>
      <c r="H46" s="368"/>
      <c r="I46" s="369"/>
      <c r="J46" s="369"/>
      <c r="K46" s="369"/>
      <c r="L46" s="369">
        <f t="shared" ref="L46:AM46" si="399">+L99/L14</f>
        <v>0.97488372093023257</v>
      </c>
      <c r="M46" s="369">
        <f t="shared" si="399"/>
        <v>0.52279946879150074</v>
      </c>
      <c r="N46" s="369">
        <f t="shared" si="399"/>
        <v>0.77405263157894733</v>
      </c>
      <c r="O46" s="369">
        <f t="shared" si="399"/>
        <v>0.92024600246002464</v>
      </c>
      <c r="P46" s="370">
        <f t="shared" si="399"/>
        <v>0.84790975362065735</v>
      </c>
      <c r="Q46" s="370">
        <f t="shared" si="399"/>
        <v>0.87755524586900258</v>
      </c>
      <c r="R46" s="370">
        <f t="shared" si="399"/>
        <v>0.91269111249223134</v>
      </c>
      <c r="S46" s="370">
        <f t="shared" si="399"/>
        <v>0.86061172672051334</v>
      </c>
      <c r="T46" s="370">
        <f t="shared" si="399"/>
        <v>0.7784416931719027</v>
      </c>
      <c r="U46" s="370">
        <f t="shared" si="399"/>
        <v>0.68324826394836136</v>
      </c>
      <c r="V46" s="370">
        <f t="shared" si="399"/>
        <v>0.84737788749779575</v>
      </c>
      <c r="W46" s="370">
        <f t="shared" si="399"/>
        <v>0.8796453000991713</v>
      </c>
      <c r="X46" s="370">
        <f t="shared" si="399"/>
        <v>0.81197543652475013</v>
      </c>
      <c r="Y46" s="370">
        <f t="shared" si="399"/>
        <v>0.83560161388517107</v>
      </c>
      <c r="Z46" s="370">
        <f t="shared" si="399"/>
        <v>0.81644228977829614</v>
      </c>
      <c r="AA46" s="531">
        <f t="shared" si="399"/>
        <v>0.62813243180228495</v>
      </c>
      <c r="AB46" s="370">
        <f t="shared" si="399"/>
        <v>0.86101265822784823</v>
      </c>
      <c r="AC46" s="370">
        <f t="shared" si="399"/>
        <v>0.62926907630522089</v>
      </c>
      <c r="AD46" s="370">
        <f t="shared" si="399"/>
        <v>0.72897542750395183</v>
      </c>
      <c r="AE46" s="370">
        <f t="shared" si="399"/>
        <v>0.30741662518665996</v>
      </c>
      <c r="AF46" s="370">
        <f t="shared" si="399"/>
        <v>0.87270483092500484</v>
      </c>
      <c r="AG46" s="370">
        <f t="shared" si="399"/>
        <v>0.6333972415778063</v>
      </c>
      <c r="AH46" s="370">
        <f t="shared" si="399"/>
        <v>0.69685538617067422</v>
      </c>
      <c r="AI46" s="370">
        <f t="shared" si="399"/>
        <v>0.83443576264628394</v>
      </c>
      <c r="AJ46" s="370">
        <f t="shared" si="399"/>
        <v>0.82862945188178838</v>
      </c>
      <c r="AK46" s="370">
        <f t="shared" si="399"/>
        <v>0.85531390488775272</v>
      </c>
      <c r="AL46" s="370">
        <f t="shared" si="399"/>
        <v>0.76915339217632006</v>
      </c>
      <c r="AM46" s="531">
        <f t="shared" si="399"/>
        <v>0.76526569118213328</v>
      </c>
      <c r="AN46" s="370">
        <f t="shared" ref="AN46:BS46" si="400">+AN66/AN14</f>
        <v>1</v>
      </c>
      <c r="AO46" s="370">
        <f t="shared" si="400"/>
        <v>0.94452744781881925</v>
      </c>
      <c r="AP46" s="370">
        <f t="shared" si="400"/>
        <v>1</v>
      </c>
      <c r="AQ46" s="370">
        <f t="shared" si="400"/>
        <v>1</v>
      </c>
      <c r="AR46" s="370">
        <f t="shared" si="400"/>
        <v>0.95533129291091079</v>
      </c>
      <c r="AS46" s="370">
        <f t="shared" si="400"/>
        <v>1</v>
      </c>
      <c r="AT46" s="370">
        <f t="shared" si="400"/>
        <v>0.89400535833891492</v>
      </c>
      <c r="AU46" s="370">
        <f t="shared" si="400"/>
        <v>0.96656401231852174</v>
      </c>
      <c r="AV46" s="370">
        <f t="shared" si="400"/>
        <v>0.85598374988960513</v>
      </c>
      <c r="AW46" s="595">
        <f t="shared" si="400"/>
        <v>0.8410949535771165</v>
      </c>
      <c r="AX46" s="371">
        <f t="shared" si="400"/>
        <v>0.90553951772110852</v>
      </c>
      <c r="AY46" s="373">
        <f t="shared" si="400"/>
        <v>0.98406324840343296</v>
      </c>
      <c r="AZ46" s="371">
        <f t="shared" si="400"/>
        <v>0.87159001795924085</v>
      </c>
      <c r="BA46" s="371">
        <f t="shared" si="400"/>
        <v>0.79324780988359722</v>
      </c>
      <c r="BB46" s="371">
        <f t="shared" si="400"/>
        <v>0.67594294827994239</v>
      </c>
      <c r="BC46" s="371">
        <f t="shared" si="400"/>
        <v>0.82707093031754464</v>
      </c>
      <c r="BD46" s="371">
        <f t="shared" si="400"/>
        <v>0.60618104948819507</v>
      </c>
      <c r="BE46" s="371">
        <f t="shared" si="400"/>
        <v>0.91159910758588003</v>
      </c>
      <c r="BF46" s="371">
        <f t="shared" si="400"/>
        <v>0.77127460746325105</v>
      </c>
      <c r="BG46" s="371">
        <f t="shared" si="400"/>
        <v>0.77594344040408803</v>
      </c>
      <c r="BH46" s="371">
        <f t="shared" si="400"/>
        <v>0.70732921287236494</v>
      </c>
      <c r="BI46" s="371">
        <f t="shared" si="400"/>
        <v>0.73814658358365814</v>
      </c>
      <c r="BJ46" s="371">
        <f t="shared" si="400"/>
        <v>0.86253763432024355</v>
      </c>
      <c r="BK46" s="372">
        <f t="shared" si="400"/>
        <v>0.79487757860000918</v>
      </c>
      <c r="BL46" s="371">
        <f t="shared" si="400"/>
        <v>0.73666823693828754</v>
      </c>
      <c r="BM46" s="371">
        <f t="shared" si="400"/>
        <v>0.70531303709531412</v>
      </c>
      <c r="BN46" s="371">
        <f t="shared" si="400"/>
        <v>0.61829225315511693</v>
      </c>
      <c r="BO46" s="371">
        <f t="shared" si="400"/>
        <v>0.72055129727518763</v>
      </c>
      <c r="BP46" s="371">
        <f t="shared" si="400"/>
        <v>0.54046637486863813</v>
      </c>
      <c r="BQ46" s="371">
        <f t="shared" si="400"/>
        <v>0.7778093090463819</v>
      </c>
      <c r="BR46" s="371">
        <f t="shared" si="400"/>
        <v>0.69576183202855046</v>
      </c>
      <c r="BS46" s="371">
        <f t="shared" si="400"/>
        <v>0.68892475536541087</v>
      </c>
      <c r="BT46" s="371">
        <f t="shared" ref="BT46:CY46" si="401">+BT66/BT14</f>
        <v>0.65218735012004581</v>
      </c>
      <c r="BU46" s="371">
        <f t="shared" si="401"/>
        <v>0.69671692735717505</v>
      </c>
      <c r="BV46" s="371">
        <f t="shared" si="401"/>
        <v>0.81017527520370547</v>
      </c>
      <c r="BW46" s="372">
        <f t="shared" si="401"/>
        <v>0.73253755310796953</v>
      </c>
      <c r="BX46" s="371">
        <f t="shared" si="401"/>
        <v>0.67939034469850101</v>
      </c>
      <c r="BY46" s="371">
        <f t="shared" si="401"/>
        <v>0.63430799923294534</v>
      </c>
      <c r="BZ46" s="371">
        <f t="shared" si="401"/>
        <v>0.59246813346960703</v>
      </c>
      <c r="CA46" s="371">
        <f t="shared" si="401"/>
        <v>0.67500229559269609</v>
      </c>
      <c r="CB46" s="371">
        <f t="shared" si="401"/>
        <v>0.48974763110065866</v>
      </c>
      <c r="CC46" s="371">
        <f t="shared" si="401"/>
        <v>0.6898307936418614</v>
      </c>
      <c r="CD46" s="371">
        <f t="shared" si="401"/>
        <v>0.64092571451535862</v>
      </c>
      <c r="CE46" s="371">
        <f t="shared" si="401"/>
        <v>0.63024910825833913</v>
      </c>
      <c r="CF46" s="371">
        <f t="shared" si="401"/>
        <v>0.61708867335907169</v>
      </c>
      <c r="CG46" s="371">
        <f t="shared" si="401"/>
        <v>0.65748382636560287</v>
      </c>
      <c r="CH46" s="371">
        <f t="shared" si="401"/>
        <v>0.77665709330965049</v>
      </c>
      <c r="CI46" s="372">
        <f t="shared" si="401"/>
        <v>0.69758821912404867</v>
      </c>
      <c r="CJ46" s="371">
        <f t="shared" si="401"/>
        <v>0.63017514302553235</v>
      </c>
      <c r="CK46" s="371">
        <f t="shared" si="401"/>
        <v>0.59740500402868779</v>
      </c>
      <c r="CL46" s="371">
        <f t="shared" si="401"/>
        <v>0.56134482567227861</v>
      </c>
      <c r="CM46" s="371">
        <f t="shared" si="401"/>
        <v>0.62569724062906973</v>
      </c>
      <c r="CN46" s="371">
        <f t="shared" si="401"/>
        <v>0.46349363545646649</v>
      </c>
      <c r="CO46" s="371">
        <f t="shared" si="401"/>
        <v>0.6376456037440994</v>
      </c>
      <c r="CP46" s="371">
        <f t="shared" si="401"/>
        <v>0.59247724018821302</v>
      </c>
      <c r="CQ46" s="371">
        <f t="shared" si="401"/>
        <v>0.5965986502847217</v>
      </c>
      <c r="CR46" s="371">
        <f t="shared" si="401"/>
        <v>0.59307997996548811</v>
      </c>
      <c r="CS46" s="371">
        <f t="shared" si="401"/>
        <v>0.63224372387031802</v>
      </c>
      <c r="CT46" s="371">
        <f t="shared" si="401"/>
        <v>0.73030661922632545</v>
      </c>
      <c r="CU46" s="372">
        <f t="shared" si="401"/>
        <v>0.66383217465128863</v>
      </c>
      <c r="CV46" s="371">
        <f t="shared" si="401"/>
        <v>0.60418236956317151</v>
      </c>
      <c r="CW46" s="371">
        <f t="shared" si="401"/>
        <v>0.56618705048793994</v>
      </c>
      <c r="CX46" s="371">
        <f t="shared" si="401"/>
        <v>0.5185534151803991</v>
      </c>
      <c r="CY46" s="371">
        <f t="shared" si="401"/>
        <v>0.59225911729284908</v>
      </c>
      <c r="CZ46" s="371">
        <f t="shared" ref="CZ46:DG46" si="402">+CZ66/CZ14</f>
        <v>0.444823181715018</v>
      </c>
      <c r="DA46" s="371">
        <f t="shared" si="402"/>
        <v>0.59772910158808557</v>
      </c>
      <c r="DB46" s="371">
        <f t="shared" si="402"/>
        <v>0.55904165834386665</v>
      </c>
      <c r="DC46" s="371">
        <f t="shared" si="402"/>
        <v>0.57472310763473156</v>
      </c>
      <c r="DD46" s="371">
        <f t="shared" si="402"/>
        <v>0.56937468731698249</v>
      </c>
      <c r="DE46" s="371">
        <f t="shared" si="402"/>
        <v>0.61636993638050652</v>
      </c>
      <c r="DF46" s="371">
        <f t="shared" si="402"/>
        <v>0.70058031973442458</v>
      </c>
      <c r="DG46" s="373">
        <f t="shared" si="402"/>
        <v>0.63675196852369953</v>
      </c>
    </row>
    <row r="47" spans="1:111" ht="18" x14ac:dyDescent="0.3">
      <c r="A47" s="36"/>
      <c r="B47" s="36"/>
      <c r="C47" s="489" t="s">
        <v>236</v>
      </c>
      <c r="D47" s="26"/>
      <c r="E47" s="26"/>
      <c r="F47" s="26"/>
      <c r="G47" s="26"/>
      <c r="H47" s="26"/>
      <c r="I47" s="26"/>
      <c r="J47" s="26"/>
      <c r="K47" s="26"/>
      <c r="L47" s="26">
        <f t="shared" ref="L47:AP47" si="403">+AVERAGE(L46*L45,K46*K45, J46*J45)</f>
        <v>184.68251748251748</v>
      </c>
      <c r="M47" s="26">
        <f t="shared" si="403"/>
        <v>669.19697902097914</v>
      </c>
      <c r="N47" s="26">
        <f t="shared" si="403"/>
        <v>935.32364568764569</v>
      </c>
      <c r="O47" s="26">
        <f t="shared" si="403"/>
        <v>1003.4914985754987</v>
      </c>
      <c r="P47" s="26">
        <f t="shared" si="403"/>
        <v>690.89310261080755</v>
      </c>
      <c r="Q47" s="26">
        <f t="shared" si="403"/>
        <v>543.31384503504989</v>
      </c>
      <c r="R47" s="26">
        <f t="shared" si="403"/>
        <v>446.63071347064971</v>
      </c>
      <c r="S47" s="26">
        <f t="shared" si="403"/>
        <v>473.53152190006904</v>
      </c>
      <c r="T47" s="26">
        <f t="shared" si="403"/>
        <v>533.68534357839076</v>
      </c>
      <c r="U47" s="26">
        <f t="shared" si="403"/>
        <v>492.80597362487953</v>
      </c>
      <c r="V47" s="26">
        <f t="shared" si="403"/>
        <v>475.77534962168983</v>
      </c>
      <c r="W47" s="26">
        <f t="shared" si="403"/>
        <v>731.62871940342313</v>
      </c>
      <c r="X47" s="26">
        <f t="shared" si="403"/>
        <v>1112.9764020215525</v>
      </c>
      <c r="Y47" s="26">
        <f t="shared" si="403"/>
        <v>1347.4609572163574</v>
      </c>
      <c r="Z47" s="26">
        <f t="shared" si="403"/>
        <v>1113.1161765639772</v>
      </c>
      <c r="AA47" s="525">
        <f t="shared" si="403"/>
        <v>668.16522940993559</v>
      </c>
      <c r="AB47" s="26">
        <f t="shared" si="403"/>
        <v>347.52344915844105</v>
      </c>
      <c r="AC47" s="26">
        <f t="shared" si="403"/>
        <v>266.78928283704948</v>
      </c>
      <c r="AD47" s="26">
        <f t="shared" si="403"/>
        <v>331.53515162666997</v>
      </c>
      <c r="AE47" s="26">
        <f t="shared" si="403"/>
        <v>289.95283778159171</v>
      </c>
      <c r="AF47" s="26">
        <f t="shared" si="403"/>
        <v>389.93248126715008</v>
      </c>
      <c r="AG47" s="26">
        <f t="shared" si="403"/>
        <v>393.94609171893421</v>
      </c>
      <c r="AH47" s="26">
        <f t="shared" si="403"/>
        <v>735.22850760482879</v>
      </c>
      <c r="AI47" s="26">
        <f t="shared" si="403"/>
        <v>1351.9239617869366</v>
      </c>
      <c r="AJ47" s="26">
        <f t="shared" si="403"/>
        <v>1786.6667504600675</v>
      </c>
      <c r="AK47" s="26">
        <f t="shared" si="403"/>
        <v>2340.7657597601574</v>
      </c>
      <c r="AL47" s="26">
        <f t="shared" si="403"/>
        <v>1949.899802025624</v>
      </c>
      <c r="AM47" s="525">
        <f t="shared" si="403"/>
        <v>1543.8236958962361</v>
      </c>
      <c r="AN47" s="26">
        <f t="shared" si="403"/>
        <v>848.21329817714593</v>
      </c>
      <c r="AO47" s="26">
        <f t="shared" si="403"/>
        <v>681.55105012136676</v>
      </c>
      <c r="AP47" s="26">
        <f t="shared" si="403"/>
        <v>796.4314660858912</v>
      </c>
      <c r="AQ47" s="26">
        <f t="shared" ref="AQ47:AU47" si="404">+AVERAGE(AQ46*AQ45,AP46*AP45, AO46*AO45)</f>
        <v>679.01920860001121</v>
      </c>
      <c r="AR47" s="26">
        <f t="shared" si="404"/>
        <v>604.82319531143469</v>
      </c>
      <c r="AS47" s="26">
        <f t="shared" si="404"/>
        <v>569.99312435632646</v>
      </c>
      <c r="AT47" s="26">
        <f t="shared" si="404"/>
        <v>1103.7706727300954</v>
      </c>
      <c r="AU47" s="26">
        <f t="shared" si="404"/>
        <v>2139.1646811046671</v>
      </c>
      <c r="AV47" s="26">
        <f>+AVERAGE(AV46*AV45,AU46*AU45, AT46*AT45)</f>
        <v>3411.4822879422741</v>
      </c>
      <c r="AW47" s="590">
        <f>+AVERAGE(AW46*AW45,AV46*AV45, AU46*AU45)</f>
        <v>4866.5877155387452</v>
      </c>
      <c r="AX47" s="27">
        <f t="shared" ref="AX47" si="405">+AVERAGE(AX46*AX45,AW46*AW45, AV46*AV45)</f>
        <v>4164.8257332939565</v>
      </c>
      <c r="AY47" s="28">
        <f t="shared" ref="AY47:BW47" si="406">+AVERAGE(AY46*AY45,AX46*AX45, AW46*AW45)</f>
        <v>2982.4417693678629</v>
      </c>
      <c r="AZ47" s="27">
        <f t="shared" si="406"/>
        <v>1307.9968011481076</v>
      </c>
      <c r="BA47" s="27">
        <f t="shared" si="406"/>
        <v>1143.9852182515863</v>
      </c>
      <c r="BB47" s="27">
        <f t="shared" si="406"/>
        <v>1124.0240487133813</v>
      </c>
      <c r="BC47" s="27">
        <f t="shared" si="406"/>
        <v>840.19769874541055</v>
      </c>
      <c r="BD47" s="27">
        <f t="shared" si="406"/>
        <v>652.17520769543728</v>
      </c>
      <c r="BE47" s="27">
        <f t="shared" si="406"/>
        <v>579.32214201636077</v>
      </c>
      <c r="BF47" s="27">
        <f t="shared" si="406"/>
        <v>922.36032919322361</v>
      </c>
      <c r="BG47" s="27">
        <f t="shared" si="406"/>
        <v>1587.2030350618654</v>
      </c>
      <c r="BH47" s="27">
        <f t="shared" si="406"/>
        <v>2681.8885943950622</v>
      </c>
      <c r="BI47" s="27">
        <f t="shared" si="406"/>
        <v>4346.2886611345903</v>
      </c>
      <c r="BJ47" s="27">
        <f t="shared" si="406"/>
        <v>4362.6930048447948</v>
      </c>
      <c r="BK47" s="328">
        <f t="shared" si="406"/>
        <v>3590.1871005393173</v>
      </c>
      <c r="BL47" s="27">
        <f t="shared" si="406"/>
        <v>1933.5426546027611</v>
      </c>
      <c r="BM47" s="27">
        <f t="shared" si="406"/>
        <v>1477.7158582520988</v>
      </c>
      <c r="BN47" s="27">
        <f t="shared" si="406"/>
        <v>1249.8085427635051</v>
      </c>
      <c r="BO47" s="27">
        <f t="shared" si="406"/>
        <v>877.40196842896592</v>
      </c>
      <c r="BP47" s="27">
        <f t="shared" si="406"/>
        <v>617.2344729748346</v>
      </c>
      <c r="BQ47" s="27">
        <f t="shared" si="406"/>
        <v>474.98084546566679</v>
      </c>
      <c r="BR47" s="27">
        <f t="shared" si="406"/>
        <v>741.66730152230411</v>
      </c>
      <c r="BS47" s="27">
        <f t="shared" si="406"/>
        <v>1348.5615248564866</v>
      </c>
      <c r="BT47" s="27">
        <f t="shared" si="406"/>
        <v>2356.0985091847724</v>
      </c>
      <c r="BU47" s="27">
        <f t="shared" si="406"/>
        <v>3873.7045089039734</v>
      </c>
      <c r="BV47" s="27">
        <f t="shared" si="406"/>
        <v>3962.8654640696545</v>
      </c>
      <c r="BW47" s="328">
        <f t="shared" si="406"/>
        <v>3280.0923621891361</v>
      </c>
      <c r="BX47" s="27">
        <f t="shared" ref="BX47:DC47" si="407">+AVERAGE(BX46*BX45,BW46*BW45, BV46*BV45)</f>
        <v>1827.1979166123867</v>
      </c>
      <c r="BY47" s="27">
        <f t="shared" si="407"/>
        <v>1369.5852915923817</v>
      </c>
      <c r="BZ47" s="27">
        <f t="shared" si="407"/>
        <v>1175.0656061827715</v>
      </c>
      <c r="CA47" s="27">
        <f t="shared" si="407"/>
        <v>823.00845515471053</v>
      </c>
      <c r="CB47" s="27">
        <f t="shared" si="407"/>
        <v>583.99547418847669</v>
      </c>
      <c r="CC47" s="27">
        <f t="shared" si="407"/>
        <v>434.00809832820522</v>
      </c>
      <c r="CD47" s="27">
        <f t="shared" si="407"/>
        <v>672.18817134702692</v>
      </c>
      <c r="CE47" s="27">
        <f t="shared" si="407"/>
        <v>1249.1204975327612</v>
      </c>
      <c r="CF47" s="27">
        <f t="shared" si="407"/>
        <v>2161.1423282321016</v>
      </c>
      <c r="CG47" s="27">
        <f t="shared" si="407"/>
        <v>3703.6991141170329</v>
      </c>
      <c r="CH47" s="27">
        <f t="shared" si="407"/>
        <v>3786.2068495784265</v>
      </c>
      <c r="CI47" s="328">
        <f t="shared" si="407"/>
        <v>3152.125077397523</v>
      </c>
      <c r="CJ47" s="27">
        <f t="shared" si="407"/>
        <v>1727.7416036901589</v>
      </c>
      <c r="CK47" s="27">
        <f t="shared" si="407"/>
        <v>1264.523490616386</v>
      </c>
      <c r="CL47" s="27">
        <f t="shared" si="407"/>
        <v>1106.1559248680414</v>
      </c>
      <c r="CM47" s="27">
        <f t="shared" si="407"/>
        <v>745.80582393713519</v>
      </c>
      <c r="CN47" s="27">
        <f t="shared" si="407"/>
        <v>541.29968841854691</v>
      </c>
      <c r="CO47" s="27">
        <f t="shared" si="407"/>
        <v>402.44562917550576</v>
      </c>
      <c r="CP47" s="27">
        <f t="shared" si="407"/>
        <v>632.04764543865144</v>
      </c>
      <c r="CQ47" s="27">
        <f t="shared" si="407"/>
        <v>1175.2812852908862</v>
      </c>
      <c r="CR47" s="27">
        <f t="shared" si="407"/>
        <v>2011.435144092505</v>
      </c>
      <c r="CS47" s="27">
        <f t="shared" si="407"/>
        <v>3575.9034966965323</v>
      </c>
      <c r="CT47" s="27">
        <f t="shared" si="407"/>
        <v>3652.5199204386249</v>
      </c>
      <c r="CU47" s="328">
        <f t="shared" si="407"/>
        <v>3093.8307695683966</v>
      </c>
      <c r="CV47" s="27">
        <f t="shared" si="407"/>
        <v>1642.2920002471994</v>
      </c>
      <c r="CW47" s="27">
        <f t="shared" si="407"/>
        <v>1209.5238687377284</v>
      </c>
      <c r="CX47" s="27">
        <f t="shared" si="407"/>
        <v>1038.2920627658748</v>
      </c>
      <c r="CY47" s="27">
        <f t="shared" si="407"/>
        <v>695.01108453124186</v>
      </c>
      <c r="CZ47" s="27">
        <f t="shared" si="407"/>
        <v>502.45879659388282</v>
      </c>
      <c r="DA47" s="27">
        <f t="shared" si="407"/>
        <v>381.91178794704007</v>
      </c>
      <c r="DB47" s="27">
        <f t="shared" si="407"/>
        <v>608.36119423167474</v>
      </c>
      <c r="DC47" s="27">
        <f t="shared" si="407"/>
        <v>1103.1379814136387</v>
      </c>
      <c r="DD47" s="27">
        <f t="shared" ref="DD47:DG47" si="408">+AVERAGE(DD46*DD45,DC46*DC45, DB46*DB45)</f>
        <v>1960.1018209159081</v>
      </c>
      <c r="DE47" s="27">
        <f t="shared" si="408"/>
        <v>3480.7803782752562</v>
      </c>
      <c r="DF47" s="27">
        <f t="shared" si="408"/>
        <v>3546.1355527487394</v>
      </c>
      <c r="DG47" s="28">
        <f t="shared" si="408"/>
        <v>2983.4753633125761</v>
      </c>
    </row>
    <row r="48" spans="1:111" ht="18" x14ac:dyDescent="0.3">
      <c r="A48" s="36"/>
      <c r="B48" s="36"/>
      <c r="C48" s="489" t="s">
        <v>235</v>
      </c>
      <c r="D48" s="26"/>
      <c r="E48" s="26"/>
      <c r="F48" s="26"/>
      <c r="G48" s="26"/>
      <c r="H48" s="26"/>
      <c r="I48" s="26"/>
      <c r="J48" s="26"/>
      <c r="K48" s="26"/>
      <c r="L48" s="374">
        <f t="shared" ref="L48:AU48" si="409">+AVERAGE(J102:L102)</f>
        <v>12</v>
      </c>
      <c r="M48" s="26">
        <f t="shared" si="409"/>
        <v>155.03</v>
      </c>
      <c r="N48" s="26">
        <f t="shared" si="409"/>
        <v>142.43</v>
      </c>
      <c r="O48" s="26">
        <f t="shared" si="409"/>
        <v>149.90666666666667</v>
      </c>
      <c r="P48" s="26">
        <f t="shared" si="409"/>
        <v>93.929999999999993</v>
      </c>
      <c r="Q48" s="26">
        <f t="shared" si="409"/>
        <v>71.106666666666669</v>
      </c>
      <c r="R48" s="26">
        <f t="shared" si="409"/>
        <v>84.75</v>
      </c>
      <c r="S48" s="26">
        <f t="shared" si="409"/>
        <v>96.65666666666668</v>
      </c>
      <c r="T48" s="26">
        <f t="shared" si="409"/>
        <v>122.36333333333333</v>
      </c>
      <c r="U48" s="26">
        <f t="shared" si="409"/>
        <v>158.40333333333334</v>
      </c>
      <c r="V48" s="26">
        <f t="shared" si="409"/>
        <v>112.85333333333334</v>
      </c>
      <c r="W48" s="26">
        <f t="shared" si="409"/>
        <v>86.146666666666661</v>
      </c>
      <c r="X48" s="26">
        <f t="shared" si="409"/>
        <v>121.39333333333333</v>
      </c>
      <c r="Y48" s="26">
        <f t="shared" si="409"/>
        <v>238.96333333333337</v>
      </c>
      <c r="Z48" s="26">
        <f t="shared" si="409"/>
        <v>243.01333333333335</v>
      </c>
      <c r="AA48" s="525">
        <f t="shared" si="409"/>
        <v>156.24333333333337</v>
      </c>
      <c r="AB48" s="26">
        <f t="shared" si="409"/>
        <v>55.243333333333332</v>
      </c>
      <c r="AC48" s="26">
        <f t="shared" si="409"/>
        <v>438.72333333333336</v>
      </c>
      <c r="AD48" s="26">
        <f t="shared" si="409"/>
        <v>458.40000000000009</v>
      </c>
      <c r="AE48" s="26">
        <f t="shared" si="409"/>
        <v>1237.6133333333335</v>
      </c>
      <c r="AF48" s="26">
        <f t="shared" si="409"/>
        <v>887.48666666666668</v>
      </c>
      <c r="AG48" s="26">
        <f t="shared" si="409"/>
        <v>1183.3999999999999</v>
      </c>
      <c r="AH48" s="26">
        <f t="shared" si="409"/>
        <v>1005.46</v>
      </c>
      <c r="AI48" s="26">
        <f t="shared" si="409"/>
        <v>1254.4066666666665</v>
      </c>
      <c r="AJ48" s="26">
        <f t="shared" si="409"/>
        <v>1227.2633333333333</v>
      </c>
      <c r="AK48" s="26">
        <f t="shared" si="409"/>
        <v>952.12333333333333</v>
      </c>
      <c r="AL48" s="26">
        <f t="shared" si="409"/>
        <v>740.65666666666664</v>
      </c>
      <c r="AM48" s="525">
        <f t="shared" si="409"/>
        <v>678.18</v>
      </c>
      <c r="AN48" s="26">
        <f t="shared" si="409"/>
        <v>398.46666666666664</v>
      </c>
      <c r="AO48" s="26">
        <f t="shared" si="409"/>
        <v>497.87333333333328</v>
      </c>
      <c r="AP48" s="26">
        <f t="shared" si="409"/>
        <v>319.20333333333332</v>
      </c>
      <c r="AQ48" s="26">
        <f t="shared" si="409"/>
        <v>369.82666666666665</v>
      </c>
      <c r="AR48" s="26">
        <f t="shared" si="409"/>
        <v>503.26333333333332</v>
      </c>
      <c r="AS48" s="26">
        <f t="shared" si="409"/>
        <v>766.68333333333339</v>
      </c>
      <c r="AT48" s="26">
        <f t="shared" si="409"/>
        <v>1496.26</v>
      </c>
      <c r="AU48" s="26">
        <f t="shared" si="409"/>
        <v>1894.3433333333335</v>
      </c>
      <c r="AV48" s="26">
        <f>+AVERAGE(AT102:AV102)</f>
        <v>3564.4966666666674</v>
      </c>
      <c r="AW48" s="590">
        <f>+AVERAGE(AU102:AW102)</f>
        <v>5592.7466666666669</v>
      </c>
      <c r="AX48" s="27">
        <f t="shared" ref="AX48" si="410">+AVERAGE(AV102:AX102)</f>
        <v>5578.1746268077904</v>
      </c>
      <c r="AY48" s="28">
        <f t="shared" ref="AY48:BW48" si="411">+AVERAGE(AW102:AY102)</f>
        <v>3945.4492991536918</v>
      </c>
      <c r="AZ48" s="27">
        <f t="shared" si="411"/>
        <v>2143.9939062764411</v>
      </c>
      <c r="BA48" s="27">
        <f t="shared" si="411"/>
        <v>2961.8181677183488</v>
      </c>
      <c r="BB48" s="27">
        <f t="shared" si="411"/>
        <v>4920.3629836779764</v>
      </c>
      <c r="BC48" s="27">
        <f t="shared" si="411"/>
        <v>4686.0818035275779</v>
      </c>
      <c r="BD48" s="27">
        <f t="shared" si="411"/>
        <v>5535.5469332580515</v>
      </c>
      <c r="BE48" s="27">
        <f t="shared" si="411"/>
        <v>4020.0382465866401</v>
      </c>
      <c r="BF48" s="27">
        <f t="shared" si="411"/>
        <v>5160.9252531341817</v>
      </c>
      <c r="BG48" s="27">
        <f t="shared" si="411"/>
        <v>4857.3905433988693</v>
      </c>
      <c r="BH48" s="27">
        <f t="shared" si="411"/>
        <v>7531.9630195533873</v>
      </c>
      <c r="BI48" s="27">
        <f t="shared" si="411"/>
        <v>9198.374583631592</v>
      </c>
      <c r="BJ48" s="27">
        <f t="shared" si="411"/>
        <v>8324.3923066959433</v>
      </c>
      <c r="BK48" s="328">
        <f t="shared" si="411"/>
        <v>6946.395503725139</v>
      </c>
      <c r="BL48" s="27">
        <f t="shared" si="411"/>
        <v>6083.326611758057</v>
      </c>
      <c r="BM48" s="27">
        <f t="shared" si="411"/>
        <v>7989.1439316807446</v>
      </c>
      <c r="BN48" s="27">
        <f t="shared" si="411"/>
        <v>10121.077872500371</v>
      </c>
      <c r="BO48" s="27">
        <f t="shared" si="411"/>
        <v>8946.3178190681465</v>
      </c>
      <c r="BP48" s="27">
        <f t="shared" si="411"/>
        <v>9728.0083001475086</v>
      </c>
      <c r="BQ48" s="27">
        <f t="shared" si="411"/>
        <v>7403.2648420746009</v>
      </c>
      <c r="BR48" s="27">
        <f t="shared" si="411"/>
        <v>9101.4875069919217</v>
      </c>
      <c r="BS48" s="27">
        <f t="shared" si="411"/>
        <v>9104.4925972111578</v>
      </c>
      <c r="BT48" s="27">
        <f t="shared" si="411"/>
        <v>12805.161614584467</v>
      </c>
      <c r="BU48" s="27">
        <f t="shared" si="411"/>
        <v>14991.77214308086</v>
      </c>
      <c r="BV48" s="27">
        <f t="shared" si="411"/>
        <v>13184.626431383034</v>
      </c>
      <c r="BW48" s="328">
        <f t="shared" si="411"/>
        <v>11124.282814658452</v>
      </c>
      <c r="BX48" s="27">
        <f t="shared" ref="BX48" si="412">+AVERAGE(BV102:BX102)</f>
        <v>10147.870063156575</v>
      </c>
      <c r="BY48" s="27">
        <f t="shared" ref="BY48:DG48" si="413">+AVERAGE(BW102:BY102)</f>
        <v>13471.442659159215</v>
      </c>
      <c r="BZ48" s="27">
        <f t="shared" si="413"/>
        <v>16181.227369084043</v>
      </c>
      <c r="CA48" s="27">
        <f t="shared" si="413"/>
        <v>13939.289613815266</v>
      </c>
      <c r="CB48" s="27">
        <f t="shared" si="413"/>
        <v>15021.1550297388</v>
      </c>
      <c r="CC48" s="27">
        <f t="shared" si="413"/>
        <v>12168.088045708921</v>
      </c>
      <c r="CD48" s="27">
        <f t="shared" si="413"/>
        <v>14983.418538360755</v>
      </c>
      <c r="CE48" s="27">
        <f t="shared" si="413"/>
        <v>15105.228253988642</v>
      </c>
      <c r="CF48" s="27">
        <f t="shared" si="413"/>
        <v>19919.965756756181</v>
      </c>
      <c r="CG48" s="27">
        <f t="shared" si="413"/>
        <v>23816.139050434667</v>
      </c>
      <c r="CH48" s="27">
        <f t="shared" si="413"/>
        <v>20446.595188032923</v>
      </c>
      <c r="CI48" s="328">
        <f t="shared" si="413"/>
        <v>17264.018567284085</v>
      </c>
      <c r="CJ48" s="27">
        <f t="shared" si="413"/>
        <v>16019.35353997862</v>
      </c>
      <c r="CK48" s="27">
        <f t="shared" si="413"/>
        <v>20576.396798508427</v>
      </c>
      <c r="CL48" s="27">
        <f t="shared" si="413"/>
        <v>24446.269829033507</v>
      </c>
      <c r="CM48" s="27">
        <f t="shared" si="413"/>
        <v>20325.301634494037</v>
      </c>
      <c r="CN48" s="27">
        <f t="shared" si="413"/>
        <v>21973.204708381585</v>
      </c>
      <c r="CO48" s="27">
        <f t="shared" si="413"/>
        <v>18164.113628371178</v>
      </c>
      <c r="CP48" s="27">
        <f t="shared" si="413"/>
        <v>22755.544829901337</v>
      </c>
      <c r="CQ48" s="27">
        <f t="shared" si="413"/>
        <v>23176.039227623114</v>
      </c>
      <c r="CR48" s="27">
        <f t="shared" si="413"/>
        <v>29521.383396407469</v>
      </c>
      <c r="CS48" s="27">
        <f t="shared" si="413"/>
        <v>35187.560663003307</v>
      </c>
      <c r="CT48" s="27">
        <f t="shared" si="413"/>
        <v>30493.993221176239</v>
      </c>
      <c r="CU48" s="328">
        <f t="shared" si="413"/>
        <v>26683.888470671012</v>
      </c>
      <c r="CV48" s="27">
        <f t="shared" si="413"/>
        <v>24251.854358518107</v>
      </c>
      <c r="CW48" s="27">
        <f t="shared" si="413"/>
        <v>30663.839923392541</v>
      </c>
      <c r="CX48" s="27">
        <f t="shared" si="413"/>
        <v>35924.247650893267</v>
      </c>
      <c r="CY48" s="27">
        <f t="shared" si="413"/>
        <v>30068.681951807859</v>
      </c>
      <c r="CZ48" s="27">
        <f t="shared" si="413"/>
        <v>32086.983232009599</v>
      </c>
      <c r="DA48" s="27">
        <f t="shared" si="413"/>
        <v>26613.18640573636</v>
      </c>
      <c r="DB48" s="27">
        <f t="shared" si="413"/>
        <v>33882.310724348121</v>
      </c>
      <c r="DC48" s="27">
        <f t="shared" si="413"/>
        <v>34124.999200895101</v>
      </c>
      <c r="DD48" s="27">
        <f t="shared" si="413"/>
        <v>44354.968935629586</v>
      </c>
      <c r="DE48" s="27">
        <f t="shared" si="413"/>
        <v>51709.918961598945</v>
      </c>
      <c r="DF48" s="27">
        <f t="shared" si="413"/>
        <v>45364.436558544345</v>
      </c>
      <c r="DG48" s="28">
        <f t="shared" si="413"/>
        <v>39643.959013361258</v>
      </c>
    </row>
    <row r="49" spans="1:111" ht="18" x14ac:dyDescent="0.3">
      <c r="A49" s="36"/>
      <c r="B49" s="36"/>
      <c r="C49" s="489" t="s">
        <v>233</v>
      </c>
      <c r="D49" s="26"/>
      <c r="E49" s="26"/>
      <c r="F49" s="26"/>
      <c r="G49" s="26"/>
      <c r="H49" s="26"/>
      <c r="I49" s="26"/>
      <c r="J49" s="26"/>
      <c r="K49" s="178"/>
      <c r="L49" s="178">
        <f t="shared" ref="L49:T49" si="414">+L47/L48</f>
        <v>15.39020979020979</v>
      </c>
      <c r="M49" s="178">
        <f t="shared" si="414"/>
        <v>4.3165644005739479</v>
      </c>
      <c r="N49" s="178">
        <f t="shared" si="414"/>
        <v>6.5669005524653912</v>
      </c>
      <c r="O49" s="178">
        <f t="shared" si="414"/>
        <v>6.6941085469325268</v>
      </c>
      <c r="P49" s="178">
        <f t="shared" si="414"/>
        <v>7.3554040520686428</v>
      </c>
      <c r="Q49" s="178">
        <f t="shared" si="414"/>
        <v>7.6408284975864884</v>
      </c>
      <c r="R49" s="178">
        <f t="shared" si="414"/>
        <v>5.2699789200076665</v>
      </c>
      <c r="S49" s="178">
        <f t="shared" si="414"/>
        <v>4.8991087550443391</v>
      </c>
      <c r="T49" s="178">
        <f t="shared" si="414"/>
        <v>4.3614809194888782</v>
      </c>
      <c r="U49" s="179">
        <f t="shared" ref="U49:CF49" si="415">+U47/U48</f>
        <v>3.1110833544635814</v>
      </c>
      <c r="V49" s="179">
        <f t="shared" si="415"/>
        <v>4.2158732539729131</v>
      </c>
      <c r="W49" s="179">
        <f t="shared" si="415"/>
        <v>8.4928268000706915</v>
      </c>
      <c r="X49" s="179">
        <f t="shared" ref="X49:Y49" si="416">+X47/X48</f>
        <v>9.168348635467785</v>
      </c>
      <c r="Y49" s="179">
        <f t="shared" si="416"/>
        <v>5.6387770392236911</v>
      </c>
      <c r="Z49" s="179">
        <f t="shared" ref="Z49:AA49" si="417">+Z47/Z48</f>
        <v>4.5804736772905894</v>
      </c>
      <c r="AA49" s="532">
        <f t="shared" si="417"/>
        <v>4.2764399296605857</v>
      </c>
      <c r="AB49" s="179">
        <f t="shared" ref="AB49" si="418">+AB47/AB48</f>
        <v>6.290776247362114</v>
      </c>
      <c r="AC49" s="179">
        <f t="shared" ref="AC49:AD49" si="419">+AC47/AC48</f>
        <v>0.60810370127806312</v>
      </c>
      <c r="AD49" s="179">
        <f t="shared" si="419"/>
        <v>0.72324422257126941</v>
      </c>
      <c r="AE49" s="179">
        <f t="shared" ref="AE49" si="420">+AE47/AE48</f>
        <v>0.23428386715958002</v>
      </c>
      <c r="AF49" s="179">
        <f t="shared" ref="AF49" si="421">+AF47/AF48</f>
        <v>0.43936714309377428</v>
      </c>
      <c r="AG49" s="179">
        <f t="shared" ref="AG49:AL49" si="422">+AG47/AG48</f>
        <v>0.3328934356252613</v>
      </c>
      <c r="AH49" s="179">
        <f t="shared" si="422"/>
        <v>0.73123595926722973</v>
      </c>
      <c r="AI49" s="179">
        <f t="shared" si="422"/>
        <v>1.0777397774673845</v>
      </c>
      <c r="AJ49" s="179">
        <f t="shared" si="422"/>
        <v>1.4558136806771169</v>
      </c>
      <c r="AK49" s="179">
        <f t="shared" si="422"/>
        <v>2.4584690636298769</v>
      </c>
      <c r="AL49" s="179">
        <f t="shared" si="422"/>
        <v>2.6326635400463876</v>
      </c>
      <c r="AM49" s="532">
        <f t="shared" ref="AM49:AN49" si="423">+AM47/AM48</f>
        <v>2.2764217403878559</v>
      </c>
      <c r="AN49" s="179">
        <f t="shared" si="423"/>
        <v>2.1286932361815611</v>
      </c>
      <c r="AO49" s="179">
        <f t="shared" ref="AO49:AP49" si="424">+AO47/AO48</f>
        <v>1.3689245928442981</v>
      </c>
      <c r="AP49" s="179">
        <f t="shared" si="424"/>
        <v>2.4950599912883886</v>
      </c>
      <c r="AQ49" s="179">
        <f t="shared" ref="AQ49:AR49" si="425">+AQ47/AQ48</f>
        <v>1.8360471804809764</v>
      </c>
      <c r="AR49" s="179">
        <f t="shared" si="425"/>
        <v>1.2018026254871896</v>
      </c>
      <c r="AS49" s="179">
        <f t="shared" ref="AS49:AT49" si="426">+AS47/AS48</f>
        <v>0.74345313061410812</v>
      </c>
      <c r="AT49" s="179">
        <f t="shared" si="426"/>
        <v>0.737686413277168</v>
      </c>
      <c r="AU49" s="179">
        <f t="shared" ref="AU49" si="427">+AU47/AU48</f>
        <v>1.1292381077196496</v>
      </c>
      <c r="AV49" s="179">
        <f>+AV47/AV48</f>
        <v>0.95707265484204129</v>
      </c>
      <c r="AW49" s="596">
        <f>+AW47/AW48</f>
        <v>0.87016058577158484</v>
      </c>
      <c r="AX49" s="180">
        <f t="shared" ref="AX49" si="428">+AX47/AX48</f>
        <v>0.74662878305718305</v>
      </c>
      <c r="AY49" s="181">
        <f t="shared" si="415"/>
        <v>0.75591942595932071</v>
      </c>
      <c r="AZ49" s="180">
        <f t="shared" si="415"/>
        <v>0.61007486883195361</v>
      </c>
      <c r="BA49" s="180">
        <f t="shared" si="415"/>
        <v>0.38624424372845984</v>
      </c>
      <c r="BB49" s="180">
        <f t="shared" si="415"/>
        <v>0.22844331860109476</v>
      </c>
      <c r="BC49" s="180">
        <f t="shared" si="415"/>
        <v>0.17929642161025197</v>
      </c>
      <c r="BD49" s="180">
        <f t="shared" si="415"/>
        <v>0.11781585732334983</v>
      </c>
      <c r="BE49" s="180">
        <f t="shared" si="415"/>
        <v>0.14410861451585824</v>
      </c>
      <c r="BF49" s="180">
        <f t="shared" si="415"/>
        <v>0.17871995503772947</v>
      </c>
      <c r="BG49" s="180">
        <f t="shared" si="415"/>
        <v>0.32676043255752901</v>
      </c>
      <c r="BH49" s="180">
        <f t="shared" si="415"/>
        <v>0.35606767949241558</v>
      </c>
      <c r="BI49" s="180">
        <f t="shared" si="415"/>
        <v>0.47250616091116399</v>
      </c>
      <c r="BJ49" s="180">
        <f t="shared" si="415"/>
        <v>0.52408546403267764</v>
      </c>
      <c r="BK49" s="331">
        <f t="shared" si="415"/>
        <v>0.51684173448143145</v>
      </c>
      <c r="BL49" s="180">
        <f t="shared" si="415"/>
        <v>0.31784297934382566</v>
      </c>
      <c r="BM49" s="180">
        <f t="shared" si="415"/>
        <v>0.18496548202020177</v>
      </c>
      <c r="BN49" s="180">
        <f t="shared" si="415"/>
        <v>0.12348571550460218</v>
      </c>
      <c r="BO49" s="180">
        <f t="shared" si="415"/>
        <v>9.8074088823322914E-2</v>
      </c>
      <c r="BP49" s="180">
        <f t="shared" si="415"/>
        <v>6.3449213233655988E-2</v>
      </c>
      <c r="BQ49" s="180">
        <f t="shared" si="415"/>
        <v>6.4158294427916748E-2</v>
      </c>
      <c r="BR49" s="180">
        <f t="shared" si="415"/>
        <v>8.1488580954766174E-2</v>
      </c>
      <c r="BS49" s="180">
        <f t="shared" si="415"/>
        <v>0.14812044827951984</v>
      </c>
      <c r="BT49" s="180">
        <f t="shared" si="415"/>
        <v>0.18399599943364156</v>
      </c>
      <c r="BU49" s="180">
        <f t="shared" si="415"/>
        <v>0.25838869961025929</v>
      </c>
      <c r="BV49" s="180">
        <f t="shared" si="415"/>
        <v>0.30056714042628813</v>
      </c>
      <c r="BW49" s="331">
        <f t="shared" si="415"/>
        <v>0.2948587712878859</v>
      </c>
      <c r="BX49" s="180">
        <f t="shared" si="415"/>
        <v>0.18005728347333827</v>
      </c>
      <c r="BY49" s="180">
        <f t="shared" si="415"/>
        <v>0.10166582200913743</v>
      </c>
      <c r="BZ49" s="180">
        <f t="shared" si="415"/>
        <v>7.2619065252606196E-2</v>
      </c>
      <c r="CA49" s="180">
        <f t="shared" si="415"/>
        <v>5.904235279960212E-2</v>
      </c>
      <c r="CB49" s="180">
        <f t="shared" si="415"/>
        <v>3.887820031364337E-2</v>
      </c>
      <c r="CC49" s="180">
        <f t="shared" si="415"/>
        <v>3.5667731585921444E-2</v>
      </c>
      <c r="CD49" s="180">
        <f t="shared" si="415"/>
        <v>4.4862136743099149E-2</v>
      </c>
      <c r="CE49" s="180">
        <f t="shared" si="415"/>
        <v>8.2694579421725867E-2</v>
      </c>
      <c r="CF49" s="180">
        <f t="shared" si="415"/>
        <v>0.10849126723519166</v>
      </c>
      <c r="CG49" s="180">
        <f t="shared" ref="CG49:DG49" si="429">+CG47/CG48</f>
        <v>0.15551215527730289</v>
      </c>
      <c r="CH49" s="180">
        <f t="shared" si="429"/>
        <v>0.18517541990533637</v>
      </c>
      <c r="CI49" s="331">
        <f t="shared" si="429"/>
        <v>0.18258350830153239</v>
      </c>
      <c r="CJ49" s="180">
        <f t="shared" si="429"/>
        <v>0.10785339117326609</v>
      </c>
      <c r="CK49" s="180">
        <f t="shared" si="429"/>
        <v>6.1455049832050801E-2</v>
      </c>
      <c r="CL49" s="180">
        <f t="shared" si="429"/>
        <v>4.5248454369685477E-2</v>
      </c>
      <c r="CM49" s="180">
        <f t="shared" si="429"/>
        <v>3.6693468926012364E-2</v>
      </c>
      <c r="CN49" s="180">
        <f t="shared" si="429"/>
        <v>2.4634535362612377E-2</v>
      </c>
      <c r="CO49" s="180">
        <f t="shared" si="429"/>
        <v>2.2156084101285931E-2</v>
      </c>
      <c r="CP49" s="180">
        <f t="shared" si="429"/>
        <v>2.7775544385477666E-2</v>
      </c>
      <c r="CQ49" s="180">
        <f t="shared" si="429"/>
        <v>5.0711050052508068E-2</v>
      </c>
      <c r="CR49" s="180">
        <f t="shared" si="429"/>
        <v>6.8134853881450602E-2</v>
      </c>
      <c r="CS49" s="180">
        <f t="shared" si="429"/>
        <v>0.10162408047956241</v>
      </c>
      <c r="CT49" s="180">
        <f t="shared" si="429"/>
        <v>0.11977834106364824</v>
      </c>
      <c r="CU49" s="331">
        <f t="shared" si="429"/>
        <v>0.11594377532228521</v>
      </c>
      <c r="CV49" s="180">
        <f t="shared" si="429"/>
        <v>6.7718203151354836E-2</v>
      </c>
      <c r="CW49" s="180">
        <f t="shared" si="429"/>
        <v>3.9444631584285642E-2</v>
      </c>
      <c r="CX49" s="180">
        <f t="shared" si="429"/>
        <v>2.8902263252827156E-2</v>
      </c>
      <c r="CY49" s="180">
        <f t="shared" si="429"/>
        <v>2.3114118724763551E-2</v>
      </c>
      <c r="CZ49" s="180">
        <f t="shared" si="429"/>
        <v>1.5659271953389366E-2</v>
      </c>
      <c r="DA49" s="180">
        <f t="shared" si="429"/>
        <v>1.435047206014837E-2</v>
      </c>
      <c r="DB49" s="180">
        <f t="shared" si="429"/>
        <v>1.7955127062644554E-2</v>
      </c>
      <c r="DC49" s="180">
        <f t="shared" si="429"/>
        <v>3.232638849071983E-2</v>
      </c>
      <c r="DD49" s="180">
        <f t="shared" si="429"/>
        <v>4.4191256762247264E-2</v>
      </c>
      <c r="DE49" s="180">
        <f t="shared" si="429"/>
        <v>6.7313591824813515E-2</v>
      </c>
      <c r="DF49" s="180">
        <f t="shared" si="429"/>
        <v>7.8169945926085324E-2</v>
      </c>
      <c r="DG49" s="181">
        <f t="shared" si="429"/>
        <v>7.5256746237353622E-2</v>
      </c>
    </row>
    <row r="50" spans="1:111" ht="15" thickBot="1" x14ac:dyDescent="0.35">
      <c r="A50" s="35"/>
      <c r="B50" s="35"/>
      <c r="C50" s="489" t="s">
        <v>234</v>
      </c>
      <c r="D50" s="26"/>
      <c r="E50" s="26"/>
      <c r="F50" s="26"/>
      <c r="G50" s="26"/>
      <c r="H50" s="26"/>
      <c r="I50" s="26"/>
      <c r="J50" s="26"/>
      <c r="K50" s="724"/>
      <c r="L50" s="724">
        <f t="shared" ref="L50:AG50" si="430">+L48/(L44*L46)</f>
        <v>0.10496183206106868</v>
      </c>
      <c r="M50" s="724">
        <f t="shared" si="430"/>
        <v>0.85325282556197934</v>
      </c>
      <c r="N50" s="724">
        <f t="shared" si="430"/>
        <v>0.9684503977697696</v>
      </c>
      <c r="O50" s="724">
        <f t="shared" si="430"/>
        <v>0.80146849158825195</v>
      </c>
      <c r="P50" s="724">
        <f t="shared" si="430"/>
        <v>0.728495033794608</v>
      </c>
      <c r="Q50" s="724">
        <f t="shared" si="430"/>
        <v>0.7097826054077927</v>
      </c>
      <c r="R50" s="724">
        <f t="shared" si="430"/>
        <v>0.85925512307175456</v>
      </c>
      <c r="S50" s="724">
        <f t="shared" si="430"/>
        <v>0.5450876682674709</v>
      </c>
      <c r="T50" s="724">
        <f t="shared" si="430"/>
        <v>0.57939279255390885</v>
      </c>
      <c r="U50" s="724">
        <f t="shared" si="430"/>
        <v>1.1534654726064082</v>
      </c>
      <c r="V50" s="724">
        <f t="shared" si="430"/>
        <v>0.44620169750645799</v>
      </c>
      <c r="W50" s="724">
        <f t="shared" si="430"/>
        <v>0.15218523639824777</v>
      </c>
      <c r="X50" s="724">
        <f t="shared" si="430"/>
        <v>0.24188525990282175</v>
      </c>
      <c r="Y50" s="724">
        <f t="shared" si="430"/>
        <v>0.63966395252441188</v>
      </c>
      <c r="Z50" s="724">
        <f t="shared" si="430"/>
        <v>1.3361135294518072</v>
      </c>
      <c r="AA50" s="725">
        <f t="shared" si="430"/>
        <v>2.6871244309497362</v>
      </c>
      <c r="AB50" s="724">
        <f t="shared" si="430"/>
        <v>0.52363146546165462</v>
      </c>
      <c r="AC50" s="724">
        <f t="shared" si="430"/>
        <v>3.8133066784016441</v>
      </c>
      <c r="AD50" s="724">
        <f t="shared" si="430"/>
        <v>4.0361604907607811</v>
      </c>
      <c r="AE50" s="724">
        <f>+AE48/(AE44*AE46)</f>
        <v>19.872083693149115</v>
      </c>
      <c r="AF50" s="724">
        <f t="shared" si="430"/>
        <v>3.3459641818629833</v>
      </c>
      <c r="AG50" s="724">
        <f t="shared" si="430"/>
        <v>8.0950635923444878</v>
      </c>
      <c r="AH50" s="724">
        <f t="shared" ref="AH50" si="431">+AH48/(AH44*AH46)</f>
        <v>3.3440331447087717</v>
      </c>
      <c r="AI50" s="724">
        <f t="shared" ref="AI50:AJ50" si="432">+AI48/(AI44*AI46)</f>
        <v>2.6455420485275409</v>
      </c>
      <c r="AJ50" s="724">
        <f t="shared" si="432"/>
        <v>4.2647810850883268</v>
      </c>
      <c r="AK50" s="724">
        <f t="shared" ref="AK50:AL50" si="433">+AK48/(AK44*AK46)</f>
        <v>2.1531538046915495</v>
      </c>
      <c r="AL50" s="724">
        <f t="shared" si="433"/>
        <v>3.7887017946351222</v>
      </c>
      <c r="AM50" s="725">
        <f t="shared" ref="AM50:AN50" si="434">+AM48/(AM44*AM46)</f>
        <v>6.3982625497196075</v>
      </c>
      <c r="AN50" s="724">
        <f t="shared" si="434"/>
        <v>2.2084934072330626</v>
      </c>
      <c r="AO50" s="724">
        <f t="shared" ref="AO50:AP50" si="435">+AO48/(AO44*AO46)</f>
        <v>2.2634189725268956</v>
      </c>
      <c r="AP50" s="724">
        <f t="shared" si="435"/>
        <v>1.3226785628798288</v>
      </c>
      <c r="AQ50" s="724">
        <f t="shared" ref="AQ50:AV50" si="436">+AQ48/(AQ44*AQ46)</f>
        <v>2.7239590312442221</v>
      </c>
      <c r="AR50" s="724">
        <f t="shared" si="436"/>
        <v>2.0626141753494771</v>
      </c>
      <c r="AS50" s="724">
        <f t="shared" si="436"/>
        <v>2.6605552342394447</v>
      </c>
      <c r="AT50" s="724">
        <f t="shared" si="436"/>
        <v>2.8959268277455199</v>
      </c>
      <c r="AU50" s="724">
        <f t="shared" si="436"/>
        <v>2.7942993251178656</v>
      </c>
      <c r="AV50" s="724">
        <f t="shared" si="436"/>
        <v>5.0996839462640802</v>
      </c>
      <c r="AW50" s="726">
        <f t="shared" ref="AW50" si="437">+AW48/(AW44*AW46)</f>
        <v>7.0947939373199267</v>
      </c>
      <c r="AX50" s="182">
        <f t="shared" ref="AX50" si="438">+AX48/(AX44*AX46)</f>
        <v>23.61423679562159</v>
      </c>
      <c r="AY50" s="183">
        <f t="shared" ref="AY50:BW50" si="439">+AY48/(AY44*AY46)</f>
        <v>17.394136875184913</v>
      </c>
      <c r="AZ50" s="182">
        <f t="shared" si="439"/>
        <v>8.4792248479401078</v>
      </c>
      <c r="BA50" s="182">
        <f t="shared" si="439"/>
        <v>12.382535120507864</v>
      </c>
      <c r="BB50" s="182">
        <f t="shared" si="439"/>
        <v>21.525136318131501</v>
      </c>
      <c r="BC50" s="182">
        <f t="shared" si="439"/>
        <v>33.191282411495877</v>
      </c>
      <c r="BD50" s="182">
        <f t="shared" si="439"/>
        <v>28.515292891936738</v>
      </c>
      <c r="BE50" s="182">
        <f t="shared" si="439"/>
        <v>16.041506613531624</v>
      </c>
      <c r="BF50" s="182">
        <f t="shared" si="439"/>
        <v>16.294980542179768</v>
      </c>
      <c r="BG50" s="182">
        <f t="shared" si="439"/>
        <v>14.387049529352309</v>
      </c>
      <c r="BH50" s="182">
        <f t="shared" si="439"/>
        <v>18.071467358312677</v>
      </c>
      <c r="BI50" s="182">
        <f t="shared" si="439"/>
        <v>19.149039718817612</v>
      </c>
      <c r="BJ50" s="182">
        <f t="shared" si="439"/>
        <v>33.209547153420317</v>
      </c>
      <c r="BK50" s="332">
        <f t="shared" si="439"/>
        <v>22.58254149888856</v>
      </c>
      <c r="BL50" s="182">
        <f t="shared" si="439"/>
        <v>20.947312601115584</v>
      </c>
      <c r="BM50" s="182">
        <f t="shared" si="439"/>
        <v>30.364494565324442</v>
      </c>
      <c r="BN50" s="182">
        <f t="shared" si="439"/>
        <v>41.318167850117753</v>
      </c>
      <c r="BO50" s="182">
        <f t="shared" si="439"/>
        <v>72.785029510209654</v>
      </c>
      <c r="BP50" s="182">
        <f t="shared" si="439"/>
        <v>61.62227714097429</v>
      </c>
      <c r="BQ50" s="182">
        <f t="shared" si="439"/>
        <v>37.491770663751232</v>
      </c>
      <c r="BR50" s="182">
        <f t="shared" si="439"/>
        <v>35.568290482580039</v>
      </c>
      <c r="BS50" s="182">
        <f t="shared" si="439"/>
        <v>30.26347574065203</v>
      </c>
      <c r="BT50" s="182">
        <f t="shared" si="439"/>
        <v>34.224511536741353</v>
      </c>
      <c r="BU50" s="182">
        <f t="shared" si="439"/>
        <v>35.168213022065707</v>
      </c>
      <c r="BV50" s="182">
        <f t="shared" si="439"/>
        <v>53.836833945681605</v>
      </c>
      <c r="BW50" s="332">
        <f t="shared" si="439"/>
        <v>39.428291104948343</v>
      </c>
      <c r="BX50" s="182">
        <f t="shared" ref="BX50:DG50" si="440">+BX48/(BX44*BX46)</f>
        <v>37.948523912665323</v>
      </c>
      <c r="BY50" s="182">
        <f t="shared" si="440"/>
        <v>54.055384865599379</v>
      </c>
      <c r="BZ50" s="182">
        <f t="shared" si="440"/>
        <v>68.62922636091993</v>
      </c>
      <c r="CA50" s="182">
        <f t="shared" si="440"/>
        <v>132.18795806283498</v>
      </c>
      <c r="CB50" s="182">
        <f t="shared" si="440"/>
        <v>95.511979637782446</v>
      </c>
      <c r="CC50" s="182">
        <f t="shared" si="440"/>
        <v>69.294961133006126</v>
      </c>
      <c r="CD50" s="182">
        <f t="shared" si="440"/>
        <v>66.487074635960624</v>
      </c>
      <c r="CE50" s="182">
        <f t="shared" si="440"/>
        <v>52.316867565106705</v>
      </c>
      <c r="CF50" s="182">
        <f t="shared" si="440"/>
        <v>58.972185693809628</v>
      </c>
      <c r="CG50" s="182">
        <f t="shared" si="440"/>
        <v>56.57869128092139</v>
      </c>
      <c r="CH50" s="182">
        <f t="shared" si="440"/>
        <v>87.321812834736249</v>
      </c>
      <c r="CI50" s="332">
        <f t="shared" si="440"/>
        <v>70.521237275307712</v>
      </c>
      <c r="CJ50" s="182">
        <f t="shared" si="440"/>
        <v>59.370305667899522</v>
      </c>
      <c r="CK50" s="182">
        <f t="shared" si="440"/>
        <v>92.748381874008146</v>
      </c>
      <c r="CL50" s="182">
        <f t="shared" si="440"/>
        <v>115.02201740674727</v>
      </c>
      <c r="CM50" s="182">
        <f t="shared" si="440"/>
        <v>199.12711613792143</v>
      </c>
      <c r="CN50" s="182">
        <f t="shared" si="440"/>
        <v>147.84335736259419</v>
      </c>
      <c r="CO50" s="182">
        <f t="shared" si="440"/>
        <v>117.76189418346212</v>
      </c>
      <c r="CP50" s="182">
        <f t="shared" si="440"/>
        <v>104.59911753345209</v>
      </c>
      <c r="CQ50" s="182">
        <f t="shared" si="440"/>
        <v>85.185025984541724</v>
      </c>
      <c r="CR50" s="182">
        <f t="shared" si="440"/>
        <v>95.922002692978253</v>
      </c>
      <c r="CS50" s="182">
        <f t="shared" si="440"/>
        <v>83.185545794217418</v>
      </c>
      <c r="CT50" s="182">
        <f t="shared" si="440"/>
        <v>138.41062971114494</v>
      </c>
      <c r="CU50" s="332">
        <f t="shared" si="440"/>
        <v>114.16768029012577</v>
      </c>
      <c r="CV50" s="182">
        <f t="shared" si="440"/>
        <v>93.33825952225547</v>
      </c>
      <c r="CW50" s="182">
        <f t="shared" si="440"/>
        <v>145.5266168800101</v>
      </c>
      <c r="CX50" s="182">
        <f t="shared" si="440"/>
        <v>191.48601436617813</v>
      </c>
      <c r="CY50" s="182">
        <f t="shared" si="440"/>
        <v>296.42271054695328</v>
      </c>
      <c r="CZ50" s="182">
        <f t="shared" si="440"/>
        <v>224.51587541634311</v>
      </c>
      <c r="DA50" s="182">
        <f t="shared" si="440"/>
        <v>192.30327396202517</v>
      </c>
      <c r="DB50" s="182">
        <f t="shared" si="440"/>
        <v>157.49901605242138</v>
      </c>
      <c r="DC50" s="182">
        <f t="shared" si="440"/>
        <v>136.13578140297662</v>
      </c>
      <c r="DD50" s="182">
        <f t="shared" si="440"/>
        <v>143.16643529241864</v>
      </c>
      <c r="DE50" s="182">
        <f t="shared" si="440"/>
        <v>125.36791006205239</v>
      </c>
      <c r="DF50" s="182">
        <f t="shared" si="440"/>
        <v>225.16234728650539</v>
      </c>
      <c r="DG50" s="183">
        <f t="shared" si="440"/>
        <v>168.59621566024393</v>
      </c>
    </row>
    <row r="51" spans="1:111" s="3" customFormat="1" ht="15" thickBot="1" x14ac:dyDescent="0.35">
      <c r="A51" s="141"/>
      <c r="B51" s="141"/>
      <c r="C51" s="727" t="s">
        <v>65</v>
      </c>
      <c r="D51" s="728"/>
      <c r="E51" s="714">
        <f t="shared" ref="E51:AJ51" si="441">+E25/8</f>
        <v>5.4824561403508769E-4</v>
      </c>
      <c r="F51" s="714">
        <f t="shared" si="441"/>
        <v>6.793478260869565E-4</v>
      </c>
      <c r="G51" s="714">
        <f t="shared" si="441"/>
        <v>8.5034013605442174E-4</v>
      </c>
      <c r="H51" s="714">
        <f t="shared" si="441"/>
        <v>5.9523809523809518E-4</v>
      </c>
      <c r="I51" s="714">
        <f t="shared" si="441"/>
        <v>4.3706293706293706E-4</v>
      </c>
      <c r="J51" s="714">
        <f t="shared" si="441"/>
        <v>5.6818181818181826E-4</v>
      </c>
      <c r="K51" s="714">
        <f t="shared" si="441"/>
        <v>8.152173913043478E-3</v>
      </c>
      <c r="L51" s="714">
        <f t="shared" si="441"/>
        <v>1.3558201058201057E-2</v>
      </c>
      <c r="M51" s="714">
        <f t="shared" si="441"/>
        <v>2.0045518207282915E-2</v>
      </c>
      <c r="N51" s="714">
        <f t="shared" si="441"/>
        <v>1.6774891774891776E-2</v>
      </c>
      <c r="O51" s="714">
        <f t="shared" si="441"/>
        <v>1.2755102040816327E-2</v>
      </c>
      <c r="P51" s="714">
        <f t="shared" si="441"/>
        <v>1.3060515873015871E-2</v>
      </c>
      <c r="Q51" s="714">
        <f t="shared" si="441"/>
        <v>1.3980263157894737E-2</v>
      </c>
      <c r="R51" s="714">
        <f t="shared" si="441"/>
        <v>1.141304347826087E-2</v>
      </c>
      <c r="S51" s="714">
        <f t="shared" si="441"/>
        <v>1.6294642857142858E-2</v>
      </c>
      <c r="T51" s="714">
        <f t="shared" si="441"/>
        <v>2.6672979797979796E-2</v>
      </c>
      <c r="U51" s="714">
        <f t="shared" si="441"/>
        <v>1.8356643356643356E-2</v>
      </c>
      <c r="V51" s="714">
        <f t="shared" si="441"/>
        <v>2.4804687499999999E-2</v>
      </c>
      <c r="W51" s="714">
        <f t="shared" si="441"/>
        <v>2.4098970251716246E-2</v>
      </c>
      <c r="X51" s="714">
        <f t="shared" si="441"/>
        <v>2.8125000000000001E-2</v>
      </c>
      <c r="Y51" s="714">
        <f t="shared" si="441"/>
        <v>2.4192116477272728E-2</v>
      </c>
      <c r="Z51" s="714">
        <f t="shared" si="441"/>
        <v>1.6406250000000001E-2</v>
      </c>
      <c r="AA51" s="729">
        <f t="shared" si="441"/>
        <v>1.1945983379501385E-2</v>
      </c>
      <c r="AB51" s="714">
        <f t="shared" si="441"/>
        <v>1.5980113636363636E-2</v>
      </c>
      <c r="AC51" s="714">
        <f t="shared" si="441"/>
        <v>2.9563492063492063E-2</v>
      </c>
      <c r="AD51" s="714">
        <f t="shared" si="441"/>
        <v>1.7931547619047618E-2</v>
      </c>
      <c r="AE51" s="714">
        <f t="shared" si="441"/>
        <v>2.3312165775401069E-2</v>
      </c>
      <c r="AF51" s="714">
        <f t="shared" si="441"/>
        <v>2.4320652173913042E-2</v>
      </c>
      <c r="AG51" s="714">
        <f t="shared" si="441"/>
        <v>1.5494791666666667E-2</v>
      </c>
      <c r="AH51" s="714">
        <f t="shared" si="441"/>
        <v>2.5710227272727273E-2</v>
      </c>
      <c r="AI51" s="714">
        <f t="shared" si="441"/>
        <v>3.3156399521531099E-2</v>
      </c>
      <c r="AJ51" s="714">
        <f t="shared" si="441"/>
        <v>2.0301870748299318E-2</v>
      </c>
      <c r="AK51" s="714">
        <f t="shared" ref="AK51:BP51" si="442">+AK25/8</f>
        <v>2.3975317028985508E-2</v>
      </c>
      <c r="AL51" s="714">
        <f t="shared" si="442"/>
        <v>1.775568181818182E-2</v>
      </c>
      <c r="AM51" s="729">
        <f t="shared" si="442"/>
        <v>1.7949084668192221E-2</v>
      </c>
      <c r="AN51" s="714">
        <f t="shared" si="442"/>
        <v>2.1173007246376812E-2</v>
      </c>
      <c r="AO51" s="714">
        <f t="shared" si="442"/>
        <v>2.2544642857142857E-2</v>
      </c>
      <c r="AP51" s="714">
        <f t="shared" si="442"/>
        <v>2.4925595238095236E-2</v>
      </c>
      <c r="AQ51" s="714">
        <f t="shared" si="442"/>
        <v>1.179594861660079E-2</v>
      </c>
      <c r="AR51" s="714">
        <f t="shared" si="442"/>
        <v>2.1519886363636366E-2</v>
      </c>
      <c r="AS51" s="714">
        <f t="shared" si="442"/>
        <v>1.4999999999999999E-2</v>
      </c>
      <c r="AT51" s="714">
        <f t="shared" si="442"/>
        <v>2.2686688311688314E-2</v>
      </c>
      <c r="AU51" s="714">
        <f t="shared" si="442"/>
        <v>2.2879464285714288E-2</v>
      </c>
      <c r="AV51" s="714">
        <f t="shared" si="442"/>
        <v>2.5842304625199361E-2</v>
      </c>
      <c r="AW51" s="730">
        <f t="shared" si="442"/>
        <v>2.4983776768332255E-2</v>
      </c>
      <c r="AX51" s="714">
        <f t="shared" si="442"/>
        <v>1.775568181818182E-2</v>
      </c>
      <c r="AY51" s="729">
        <f t="shared" si="442"/>
        <v>1.7949084668192221E-2</v>
      </c>
      <c r="AZ51" s="714">
        <f t="shared" si="442"/>
        <v>2.1173007246376812E-2</v>
      </c>
      <c r="BA51" s="714">
        <f t="shared" si="442"/>
        <v>2.2544642857142857E-2</v>
      </c>
      <c r="BB51" s="714">
        <f t="shared" si="442"/>
        <v>2.4925595238095236E-2</v>
      </c>
      <c r="BC51" s="714">
        <f t="shared" si="442"/>
        <v>1.179594861660079E-2</v>
      </c>
      <c r="BD51" s="714">
        <f t="shared" si="442"/>
        <v>2.1519886363636366E-2</v>
      </c>
      <c r="BE51" s="714">
        <f t="shared" si="442"/>
        <v>1.4999999999999999E-2</v>
      </c>
      <c r="BF51" s="714">
        <f t="shared" si="442"/>
        <v>2.2686688311688314E-2</v>
      </c>
      <c r="BG51" s="714">
        <f t="shared" si="442"/>
        <v>2.2879464285714288E-2</v>
      </c>
      <c r="BH51" s="714">
        <f t="shared" si="442"/>
        <v>2.5842304625199361E-2</v>
      </c>
      <c r="BI51" s="714">
        <f t="shared" si="442"/>
        <v>2.4983776768332255E-2</v>
      </c>
      <c r="BJ51" s="714">
        <f t="shared" si="442"/>
        <v>1.775568181818182E-2</v>
      </c>
      <c r="BK51" s="730">
        <f t="shared" si="442"/>
        <v>1.7949084668192221E-2</v>
      </c>
      <c r="BL51" s="714">
        <f t="shared" si="442"/>
        <v>2.1173007246376812E-2</v>
      </c>
      <c r="BM51" s="714">
        <f t="shared" si="442"/>
        <v>2.2544642857142857E-2</v>
      </c>
      <c r="BN51" s="714">
        <f t="shared" si="442"/>
        <v>2.4925595238095236E-2</v>
      </c>
      <c r="BO51" s="714">
        <f t="shared" si="442"/>
        <v>1.179594861660079E-2</v>
      </c>
      <c r="BP51" s="714">
        <f t="shared" si="442"/>
        <v>2.1519886363636366E-2</v>
      </c>
      <c r="BQ51" s="714">
        <f t="shared" ref="BQ51:CV51" si="443">+BQ25/8</f>
        <v>1.4999999999999999E-2</v>
      </c>
      <c r="BR51" s="714">
        <f t="shared" si="443"/>
        <v>2.2686688311688314E-2</v>
      </c>
      <c r="BS51" s="714">
        <f t="shared" si="443"/>
        <v>2.2879464285714288E-2</v>
      </c>
      <c r="BT51" s="714">
        <f t="shared" si="443"/>
        <v>2.5842304625199361E-2</v>
      </c>
      <c r="BU51" s="714">
        <f t="shared" si="443"/>
        <v>2.4983776768332255E-2</v>
      </c>
      <c r="BV51" s="714">
        <f t="shared" si="443"/>
        <v>1.775568181818182E-2</v>
      </c>
      <c r="BW51" s="730">
        <f t="shared" si="443"/>
        <v>1.7949084668192221E-2</v>
      </c>
      <c r="BX51" s="714">
        <f t="shared" si="443"/>
        <v>2.1173007246376812E-2</v>
      </c>
      <c r="BY51" s="714">
        <f t="shared" si="443"/>
        <v>2.2544642857142857E-2</v>
      </c>
      <c r="BZ51" s="714">
        <f t="shared" si="443"/>
        <v>2.4925595238095236E-2</v>
      </c>
      <c r="CA51" s="714">
        <f t="shared" si="443"/>
        <v>1.179594861660079E-2</v>
      </c>
      <c r="CB51" s="714">
        <f t="shared" si="443"/>
        <v>2.1519886363636366E-2</v>
      </c>
      <c r="CC51" s="714">
        <f t="shared" si="443"/>
        <v>1.4999999999999999E-2</v>
      </c>
      <c r="CD51" s="714">
        <f t="shared" si="443"/>
        <v>2.2686688311688314E-2</v>
      </c>
      <c r="CE51" s="714">
        <f t="shared" si="443"/>
        <v>2.2879464285714288E-2</v>
      </c>
      <c r="CF51" s="714">
        <f t="shared" si="443"/>
        <v>2.5842304625199361E-2</v>
      </c>
      <c r="CG51" s="714">
        <f t="shared" si="443"/>
        <v>2.4983776768332255E-2</v>
      </c>
      <c r="CH51" s="714">
        <f t="shared" si="443"/>
        <v>1.775568181818182E-2</v>
      </c>
      <c r="CI51" s="730">
        <f t="shared" si="443"/>
        <v>1.7949084668192221E-2</v>
      </c>
      <c r="CJ51" s="714">
        <f t="shared" si="443"/>
        <v>2.1173007246376812E-2</v>
      </c>
      <c r="CK51" s="714">
        <f t="shared" si="443"/>
        <v>2.2544642857142857E-2</v>
      </c>
      <c r="CL51" s="714">
        <f t="shared" si="443"/>
        <v>2.4925595238095236E-2</v>
      </c>
      <c r="CM51" s="714">
        <f t="shared" si="443"/>
        <v>1.179594861660079E-2</v>
      </c>
      <c r="CN51" s="714">
        <f t="shared" si="443"/>
        <v>2.1519886363636366E-2</v>
      </c>
      <c r="CO51" s="714">
        <f t="shared" si="443"/>
        <v>1.4999999999999999E-2</v>
      </c>
      <c r="CP51" s="714">
        <f t="shared" si="443"/>
        <v>2.2686688311688314E-2</v>
      </c>
      <c r="CQ51" s="714">
        <f t="shared" si="443"/>
        <v>2.2879464285714288E-2</v>
      </c>
      <c r="CR51" s="714">
        <f t="shared" si="443"/>
        <v>2.5842304625199361E-2</v>
      </c>
      <c r="CS51" s="714">
        <f t="shared" si="443"/>
        <v>2.4983776768332255E-2</v>
      </c>
      <c r="CT51" s="714">
        <f t="shared" si="443"/>
        <v>1.775568181818182E-2</v>
      </c>
      <c r="CU51" s="730">
        <f t="shared" si="443"/>
        <v>1.7949084668192221E-2</v>
      </c>
      <c r="CV51" s="714">
        <f t="shared" si="443"/>
        <v>2.1173007246376812E-2</v>
      </c>
      <c r="CW51" s="714">
        <f t="shared" ref="CW51:DG51" si="444">+CW25/8</f>
        <v>2.2544642857142857E-2</v>
      </c>
      <c r="CX51" s="714">
        <f t="shared" si="444"/>
        <v>2.4925595238095236E-2</v>
      </c>
      <c r="CY51" s="714">
        <f t="shared" si="444"/>
        <v>1.179594861660079E-2</v>
      </c>
      <c r="CZ51" s="714">
        <f t="shared" si="444"/>
        <v>2.1519886363636366E-2</v>
      </c>
      <c r="DA51" s="714">
        <f t="shared" si="444"/>
        <v>1.4999999999999999E-2</v>
      </c>
      <c r="DB51" s="714">
        <f t="shared" si="444"/>
        <v>2.2686688311688314E-2</v>
      </c>
      <c r="DC51" s="714">
        <f t="shared" si="444"/>
        <v>2.2879464285714288E-2</v>
      </c>
      <c r="DD51" s="714">
        <f t="shared" si="444"/>
        <v>2.5842304625199361E-2</v>
      </c>
      <c r="DE51" s="714">
        <f t="shared" si="444"/>
        <v>2.4983776768332255E-2</v>
      </c>
      <c r="DF51" s="714">
        <f t="shared" si="444"/>
        <v>1.775568181818182E-2</v>
      </c>
      <c r="DG51" s="729">
        <f t="shared" si="444"/>
        <v>1.7949084668192221E-2</v>
      </c>
    </row>
    <row r="52" spans="1:111" x14ac:dyDescent="0.3">
      <c r="B52" s="1"/>
      <c r="C52" s="1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16"/>
      <c r="AN52" s="57"/>
      <c r="AO52" s="57"/>
      <c r="AP52" s="57"/>
      <c r="AQ52" s="57"/>
      <c r="AR52" s="57"/>
      <c r="AS52" s="57"/>
      <c r="AT52" s="57"/>
      <c r="AU52" s="57"/>
      <c r="AV52" s="57"/>
      <c r="AW52" s="306"/>
      <c r="AX52" s="57"/>
      <c r="AY52" s="306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306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306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306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306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</row>
    <row r="53" spans="1:111" x14ac:dyDescent="0.3">
      <c r="B53" s="1"/>
      <c r="C53" s="1"/>
      <c r="D53" s="57"/>
      <c r="F53">
        <v>2022</v>
      </c>
      <c r="G53">
        <v>2023</v>
      </c>
      <c r="H53">
        <v>2024</v>
      </c>
      <c r="I53">
        <v>2025</v>
      </c>
      <c r="J53">
        <v>2026</v>
      </c>
      <c r="K53">
        <v>2027</v>
      </c>
      <c r="L53">
        <v>2028</v>
      </c>
      <c r="M53">
        <v>2029</v>
      </c>
      <c r="N53">
        <v>2030</v>
      </c>
      <c r="O53" s="57"/>
      <c r="Q53">
        <v>2022</v>
      </c>
      <c r="R53">
        <v>2023</v>
      </c>
      <c r="S53">
        <v>2024</v>
      </c>
      <c r="T53">
        <v>2025</v>
      </c>
      <c r="U53">
        <v>2026</v>
      </c>
      <c r="V53">
        <v>2027</v>
      </c>
      <c r="W53">
        <v>2028</v>
      </c>
      <c r="X53">
        <v>2028</v>
      </c>
      <c r="Y53">
        <v>2028</v>
      </c>
      <c r="Z53">
        <v>2029</v>
      </c>
      <c r="AA53">
        <v>2029</v>
      </c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16"/>
      <c r="AN53" s="57"/>
      <c r="AO53" s="57"/>
      <c r="AP53" s="57"/>
      <c r="AQ53" s="57"/>
      <c r="AR53" s="57"/>
      <c r="AS53" s="57"/>
      <c r="AT53" s="57"/>
      <c r="AU53" s="57"/>
      <c r="AV53" s="57"/>
      <c r="AW53" s="306"/>
      <c r="AX53" s="57"/>
      <c r="AY53" s="306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306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306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306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306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</row>
    <row r="54" spans="1:111" x14ac:dyDescent="0.3">
      <c r="B54" s="1"/>
      <c r="C54" s="1"/>
      <c r="D54" s="57"/>
      <c r="E54" t="s">
        <v>208</v>
      </c>
      <c r="F54">
        <f>ROUNDUP(AVERAGE(F55:F57), 0)</f>
        <v>3</v>
      </c>
      <c r="G54">
        <f t="shared" ref="G54:N54" si="445">ROUNDUP(AVERAGE(G55:G57), 0)</f>
        <v>4</v>
      </c>
      <c r="H54">
        <f t="shared" si="445"/>
        <v>7</v>
      </c>
      <c r="I54">
        <f t="shared" si="445"/>
        <v>10</v>
      </c>
      <c r="J54">
        <f t="shared" si="445"/>
        <v>12</v>
      </c>
      <c r="K54">
        <f t="shared" si="445"/>
        <v>17</v>
      </c>
      <c r="L54">
        <f t="shared" si="445"/>
        <v>24</v>
      </c>
      <c r="M54">
        <f t="shared" si="445"/>
        <v>33</v>
      </c>
      <c r="N54">
        <f t="shared" si="445"/>
        <v>46</v>
      </c>
      <c r="O54" s="57"/>
      <c r="P54" t="s">
        <v>208</v>
      </c>
      <c r="Q54">
        <f>ROUNDUP(AVERAGE(Q55:Q57), 0)</f>
        <v>1</v>
      </c>
      <c r="R54">
        <f t="shared" ref="R54:W54" si="446">ROUNDUP(AVERAGE(R55:R57), 0)</f>
        <v>1</v>
      </c>
      <c r="S54">
        <f t="shared" si="446"/>
        <v>1</v>
      </c>
      <c r="T54">
        <f t="shared" si="446"/>
        <v>1</v>
      </c>
      <c r="U54">
        <f t="shared" si="446"/>
        <v>1</v>
      </c>
      <c r="V54">
        <f t="shared" si="446"/>
        <v>1</v>
      </c>
      <c r="W54">
        <f t="shared" si="446"/>
        <v>1</v>
      </c>
      <c r="X54">
        <f t="shared" ref="X54:Y54" si="447">ROUNDUP(AVERAGE(X55:X57), 0)</f>
        <v>1</v>
      </c>
      <c r="Y54">
        <f t="shared" si="447"/>
        <v>1</v>
      </c>
      <c r="Z54">
        <f t="shared" ref="Z54:AA54" si="448">ROUNDUP(AVERAGE(Z55:Z57), 0)</f>
        <v>1</v>
      </c>
      <c r="AA54">
        <f t="shared" si="448"/>
        <v>1</v>
      </c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16"/>
      <c r="AN54" s="57"/>
      <c r="AO54" s="57"/>
      <c r="AP54" s="57"/>
      <c r="AQ54" s="57"/>
      <c r="AR54" s="57"/>
      <c r="AS54" s="57"/>
      <c r="AT54" s="57"/>
      <c r="AU54" s="57"/>
      <c r="AV54" s="57"/>
      <c r="AW54" s="306"/>
      <c r="AX54" s="57"/>
      <c r="AY54" s="306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306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306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306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306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</row>
    <row r="55" spans="1:111" x14ac:dyDescent="0.3">
      <c r="B55" s="1"/>
      <c r="C55" s="1"/>
      <c r="D55" s="57"/>
      <c r="E55" t="s">
        <v>205</v>
      </c>
      <c r="F55" s="199">
        <v>3</v>
      </c>
      <c r="G55" s="199">
        <v>3</v>
      </c>
      <c r="H55" s="199">
        <v>10</v>
      </c>
      <c r="I55" s="322">
        <f>+H55*1.4</f>
        <v>14</v>
      </c>
      <c r="J55" s="322">
        <f>+I55*1.2</f>
        <v>16.8</v>
      </c>
      <c r="K55" s="322">
        <f t="shared" ref="K55:N55" si="449">+J55*1.4</f>
        <v>23.52</v>
      </c>
      <c r="L55" s="322">
        <f t="shared" si="449"/>
        <v>32.927999999999997</v>
      </c>
      <c r="M55" s="322">
        <f t="shared" si="449"/>
        <v>46.099199999999996</v>
      </c>
      <c r="N55" s="322">
        <f t="shared" si="449"/>
        <v>64.538879999999992</v>
      </c>
      <c r="O55" s="57"/>
      <c r="P55" t="s">
        <v>205</v>
      </c>
      <c r="Q55" s="172">
        <f t="shared" ref="Q55:AA55" si="450">AVERAGEIFS($E$25:$DG$25, $H$2:$DJ$2,$E$55, $H$1:$DJ$1, Q53)</f>
        <v>4.3859649122807015E-3</v>
      </c>
      <c r="R55" s="172">
        <f t="shared" si="450"/>
        <v>0.14732707351128405</v>
      </c>
      <c r="S55" s="172">
        <f t="shared" si="450"/>
        <v>0.17455576268715656</v>
      </c>
      <c r="T55" s="172">
        <f t="shared" si="450"/>
        <v>0.14178585544889893</v>
      </c>
      <c r="U55" s="172">
        <f t="shared" si="450"/>
        <v>0.14178585544889893</v>
      </c>
      <c r="V55" s="172">
        <f t="shared" si="450"/>
        <v>0.14178585544889893</v>
      </c>
      <c r="W55" s="172">
        <f t="shared" si="450"/>
        <v>0.14178585544889893</v>
      </c>
      <c r="X55" s="172">
        <f t="shared" si="450"/>
        <v>0.14178585544889893</v>
      </c>
      <c r="Y55" s="172">
        <f t="shared" si="450"/>
        <v>0.14178585544889893</v>
      </c>
      <c r="Z55" s="172">
        <f t="shared" si="450"/>
        <v>0.14178585544889893</v>
      </c>
      <c r="AA55" s="172">
        <f t="shared" si="450"/>
        <v>0.14178585544889893</v>
      </c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16"/>
      <c r="AN55" s="57"/>
      <c r="AO55" s="57"/>
      <c r="AP55" s="57"/>
      <c r="AQ55" s="57"/>
      <c r="AR55" s="57"/>
      <c r="AS55" s="57"/>
      <c r="AT55" s="57"/>
      <c r="AU55" s="57"/>
      <c r="AV55" s="57"/>
      <c r="AW55" s="306"/>
      <c r="AX55" s="57"/>
      <c r="AY55" s="306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306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306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306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306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</row>
    <row r="56" spans="1:111" x14ac:dyDescent="0.3">
      <c r="B56" s="1"/>
      <c r="C56" s="1"/>
      <c r="D56" s="57"/>
      <c r="E56" t="s">
        <v>207</v>
      </c>
      <c r="F56" s="199">
        <v>5</v>
      </c>
      <c r="G56" s="199">
        <f>+F56+1</f>
        <v>6</v>
      </c>
      <c r="H56" s="199">
        <v>7</v>
      </c>
      <c r="I56" s="322">
        <f t="shared" ref="I56:N56" si="451">+H56*1.4</f>
        <v>9.7999999999999989</v>
      </c>
      <c r="J56" s="322">
        <f t="shared" ref="J56:J57" si="452">+I56*1.2</f>
        <v>11.759999999999998</v>
      </c>
      <c r="K56" s="322">
        <f t="shared" si="451"/>
        <v>16.463999999999995</v>
      </c>
      <c r="L56" s="322">
        <f t="shared" si="451"/>
        <v>23.049599999999991</v>
      </c>
      <c r="M56" s="322">
        <f t="shared" si="451"/>
        <v>32.269439999999989</v>
      </c>
      <c r="N56" s="322">
        <f t="shared" si="451"/>
        <v>45.17721599999998</v>
      </c>
      <c r="O56" s="57"/>
      <c r="P56" t="s">
        <v>207</v>
      </c>
      <c r="Q56" s="172">
        <f t="shared" ref="Q56:AA56" si="453">+AVERAGEIFS($E$25:$DG$25, $H$2:$DJ$2,$E$56, $H$1:$DJ$1, Q53)</f>
        <v>2.5749014040939506E-2</v>
      </c>
      <c r="R56" s="172">
        <f t="shared" si="453"/>
        <v>0.13132618735900156</v>
      </c>
      <c r="S56" s="172">
        <f t="shared" si="453"/>
        <v>0.15321598141586021</v>
      </c>
      <c r="T56" s="172">
        <f t="shared" si="453"/>
        <v>0.17713550798934094</v>
      </c>
      <c r="U56" s="172">
        <f t="shared" si="453"/>
        <v>0.17874904357229573</v>
      </c>
      <c r="V56" s="172">
        <f t="shared" si="453"/>
        <v>0.17874904357229573</v>
      </c>
      <c r="W56" s="172">
        <f t="shared" si="453"/>
        <v>0.17874904357229573</v>
      </c>
      <c r="X56" s="172">
        <f t="shared" si="453"/>
        <v>0.17874904357229573</v>
      </c>
      <c r="Y56" s="172">
        <f t="shared" si="453"/>
        <v>0.17874904357229573</v>
      </c>
      <c r="Z56" s="172">
        <f t="shared" si="453"/>
        <v>0.17874904357229573</v>
      </c>
      <c r="AA56" s="172">
        <f t="shared" si="453"/>
        <v>0.17874904357229573</v>
      </c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16"/>
      <c r="AN56" s="57"/>
      <c r="AO56" s="57"/>
      <c r="AP56" s="57"/>
      <c r="AQ56" s="57"/>
      <c r="AR56" s="57"/>
      <c r="AS56" s="57"/>
      <c r="AT56" s="57"/>
      <c r="AU56" s="57"/>
      <c r="AV56" s="57"/>
      <c r="AW56" s="306"/>
      <c r="AX56" s="57"/>
      <c r="AY56" s="306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306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306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306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306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</row>
    <row r="57" spans="1:111" x14ac:dyDescent="0.3">
      <c r="B57" s="1"/>
      <c r="C57" s="1"/>
      <c r="D57" s="57"/>
      <c r="E57" t="s">
        <v>206</v>
      </c>
      <c r="F57" s="199">
        <v>1</v>
      </c>
      <c r="G57" s="199">
        <v>1</v>
      </c>
      <c r="H57" s="199">
        <v>4</v>
      </c>
      <c r="I57" s="322">
        <f t="shared" ref="I57:N57" si="454">+H57*1.4</f>
        <v>5.6</v>
      </c>
      <c r="J57" s="322">
        <f t="shared" si="452"/>
        <v>6.72</v>
      </c>
      <c r="K57" s="322">
        <f t="shared" si="454"/>
        <v>9.4079999999999995</v>
      </c>
      <c r="L57" s="322">
        <f t="shared" si="454"/>
        <v>13.171199999999999</v>
      </c>
      <c r="M57" s="322">
        <f t="shared" si="454"/>
        <v>18.439679999999996</v>
      </c>
      <c r="N57" s="322">
        <f t="shared" si="454"/>
        <v>25.815551999999993</v>
      </c>
      <c r="O57" s="57"/>
      <c r="P57" t="s">
        <v>206</v>
      </c>
      <c r="Q57" s="172">
        <f t="shared" ref="Q57:AA57" si="455">AVERAGEIFS($E$25:$DG$25, $H$2:$DJ$2,$E$57, $H$1:$DJ$1, Q53)</f>
        <v>3.4989648033126292E-2</v>
      </c>
      <c r="R57" s="172">
        <f t="shared" si="455"/>
        <v>0.20889588100686499</v>
      </c>
      <c r="S57" s="172">
        <f t="shared" si="455"/>
        <v>0.21383308107932167</v>
      </c>
      <c r="T57" s="172">
        <f t="shared" si="455"/>
        <v>0.19488707564365459</v>
      </c>
      <c r="U57" s="172">
        <f t="shared" si="455"/>
        <v>0.19488707564365459</v>
      </c>
      <c r="V57" s="172">
        <f t="shared" si="455"/>
        <v>0.19488707564365459</v>
      </c>
      <c r="W57" s="172">
        <f t="shared" si="455"/>
        <v>0.19488707564365459</v>
      </c>
      <c r="X57" s="172">
        <f t="shared" si="455"/>
        <v>0.19488707564365459</v>
      </c>
      <c r="Y57" s="172">
        <f t="shared" si="455"/>
        <v>0.19488707564365459</v>
      </c>
      <c r="Z57" s="172">
        <f t="shared" si="455"/>
        <v>0.19488707564365459</v>
      </c>
      <c r="AA57" s="172">
        <f t="shared" si="455"/>
        <v>0.19488707564365459</v>
      </c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16"/>
      <c r="AN57" s="57"/>
      <c r="AO57" s="57"/>
      <c r="AP57" s="57"/>
      <c r="AQ57" s="57"/>
      <c r="AR57" s="57"/>
      <c r="AS57" s="57"/>
      <c r="AT57" s="57"/>
      <c r="AU57" s="57"/>
      <c r="AV57" s="57"/>
      <c r="AW57" s="306"/>
      <c r="AX57" s="57"/>
      <c r="AY57" s="306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306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306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306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306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</row>
    <row r="58" spans="1:111" x14ac:dyDescent="0.3">
      <c r="B58" s="1"/>
      <c r="C58" s="1"/>
      <c r="D58" s="57"/>
      <c r="E58" t="s">
        <v>206</v>
      </c>
      <c r="F58" s="131">
        <f>F57/F54-1</f>
        <v>-0.66666666666666674</v>
      </c>
      <c r="G58" s="131">
        <f t="shared" ref="G58:N58" si="456">G57/G54-1</f>
        <v>-0.75</v>
      </c>
      <c r="H58" s="131">
        <f t="shared" si="456"/>
        <v>-0.4285714285714286</v>
      </c>
      <c r="I58" s="131">
        <f t="shared" si="456"/>
        <v>-0.44000000000000006</v>
      </c>
      <c r="J58" s="131">
        <f t="shared" si="456"/>
        <v>-0.44000000000000006</v>
      </c>
      <c r="K58" s="131">
        <f t="shared" si="456"/>
        <v>-0.44658823529411773</v>
      </c>
      <c r="L58" s="131">
        <f t="shared" si="456"/>
        <v>-0.45120000000000005</v>
      </c>
      <c r="M58" s="131">
        <f t="shared" si="456"/>
        <v>-0.44122181818181827</v>
      </c>
      <c r="N58" s="131">
        <f t="shared" si="456"/>
        <v>-0.43879234782608711</v>
      </c>
      <c r="O58" s="57"/>
      <c r="P58" t="s">
        <v>206</v>
      </c>
      <c r="Q58" s="171">
        <f>Q57/Q54-1</f>
        <v>-0.96501035196687368</v>
      </c>
      <c r="R58" s="171">
        <f t="shared" ref="R58:W58" si="457">R57/R54-1</f>
        <v>-0.79110411899313504</v>
      </c>
      <c r="S58" s="171">
        <f t="shared" si="457"/>
        <v>-0.78616691892067836</v>
      </c>
      <c r="T58" s="171">
        <f t="shared" si="457"/>
        <v>-0.80511292435634541</v>
      </c>
      <c r="U58" s="171">
        <f t="shared" si="457"/>
        <v>-0.80511292435634541</v>
      </c>
      <c r="V58" s="171">
        <f t="shared" si="457"/>
        <v>-0.80511292435634541</v>
      </c>
      <c r="W58" s="200">
        <f t="shared" si="457"/>
        <v>-0.80511292435634541</v>
      </c>
      <c r="X58" s="200">
        <f t="shared" ref="X58:Y58" si="458">X57/X54-1</f>
        <v>-0.80511292435634541</v>
      </c>
      <c r="Y58" s="200">
        <f t="shared" si="458"/>
        <v>-0.80511292435634541</v>
      </c>
      <c r="Z58" s="200">
        <f t="shared" ref="Z58:AA58" si="459">Z57/Z54-1</f>
        <v>-0.80511292435634541</v>
      </c>
      <c r="AA58" s="200">
        <f t="shared" si="459"/>
        <v>-0.80511292435634541</v>
      </c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16"/>
      <c r="AN58" s="57"/>
      <c r="AO58" s="57"/>
      <c r="AP58" s="57"/>
      <c r="AQ58" s="57"/>
      <c r="AR58" s="57"/>
      <c r="AS58" s="57"/>
      <c r="AT58" s="57"/>
      <c r="AU58" s="57"/>
      <c r="AV58" s="57"/>
      <c r="AW58" s="306"/>
      <c r="AX58" s="57"/>
      <c r="AY58" s="306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306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306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306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306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</row>
    <row r="59" spans="1:111" x14ac:dyDescent="0.3">
      <c r="B59" s="1"/>
      <c r="C59" s="1"/>
      <c r="D59" s="57"/>
      <c r="E59" t="s">
        <v>207</v>
      </c>
      <c r="F59" s="131">
        <f>F56/F54-1</f>
        <v>0.66666666666666674</v>
      </c>
      <c r="G59" s="131">
        <f t="shared" ref="G59:N59" si="460">G56/G54-1</f>
        <v>0.5</v>
      </c>
      <c r="H59" s="131">
        <f t="shared" si="460"/>
        <v>0</v>
      </c>
      <c r="I59" s="131">
        <f t="shared" si="460"/>
        <v>-2.0000000000000129E-2</v>
      </c>
      <c r="J59" s="131">
        <f t="shared" si="460"/>
        <v>-2.0000000000000129E-2</v>
      </c>
      <c r="K59" s="131">
        <f t="shared" si="460"/>
        <v>-3.1529411764706139E-2</v>
      </c>
      <c r="L59" s="131">
        <f t="shared" si="460"/>
        <v>-3.9600000000000413E-2</v>
      </c>
      <c r="M59" s="131">
        <f t="shared" si="460"/>
        <v>-2.2138181818182168E-2</v>
      </c>
      <c r="N59" s="131">
        <f t="shared" si="460"/>
        <v>-1.7886608695652617E-2</v>
      </c>
      <c r="O59" s="57"/>
      <c r="P59" t="s">
        <v>207</v>
      </c>
      <c r="Q59" s="171">
        <f>Q56/Q54-1</f>
        <v>-0.97425098595906046</v>
      </c>
      <c r="R59" s="171">
        <f t="shared" ref="R59:W59" si="461">R56/R54-1</f>
        <v>-0.86867381264099841</v>
      </c>
      <c r="S59" s="171">
        <f t="shared" si="461"/>
        <v>-0.84678401858413976</v>
      </c>
      <c r="T59" s="171">
        <f t="shared" si="461"/>
        <v>-0.82286449201065903</v>
      </c>
      <c r="U59" s="171">
        <f t="shared" si="461"/>
        <v>-0.82125095642770429</v>
      </c>
      <c r="V59" s="171">
        <f t="shared" si="461"/>
        <v>-0.82125095642770429</v>
      </c>
      <c r="W59" s="200">
        <f t="shared" si="461"/>
        <v>-0.82125095642770429</v>
      </c>
      <c r="X59" s="200">
        <f t="shared" ref="X59:Y59" si="462">X56/X54-1</f>
        <v>-0.82125095642770429</v>
      </c>
      <c r="Y59" s="200">
        <f t="shared" si="462"/>
        <v>-0.82125095642770429</v>
      </c>
      <c r="Z59" s="200">
        <f t="shared" ref="Z59:AA59" si="463">Z56/Z54-1</f>
        <v>-0.82125095642770429</v>
      </c>
      <c r="AA59" s="200">
        <f t="shared" si="463"/>
        <v>-0.82125095642770429</v>
      </c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16"/>
      <c r="AN59" s="57"/>
      <c r="AO59" s="57"/>
      <c r="AP59" s="57"/>
      <c r="AQ59" s="57"/>
      <c r="AR59" s="57"/>
      <c r="AS59" s="57"/>
      <c r="AT59" s="57"/>
      <c r="AU59" s="57"/>
      <c r="AV59" s="57"/>
      <c r="AW59" s="306"/>
      <c r="AX59" s="57"/>
      <c r="AY59" s="306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306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306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306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306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</row>
    <row r="60" spans="1:111" x14ac:dyDescent="0.3">
      <c r="B60" s="1"/>
      <c r="C60" s="1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16"/>
      <c r="AN60" s="57"/>
      <c r="AO60" s="57"/>
      <c r="AP60" s="57"/>
      <c r="AQ60" s="57"/>
      <c r="AR60" s="57"/>
      <c r="AS60" s="57"/>
      <c r="AT60" s="57"/>
      <c r="AU60" s="57"/>
      <c r="AV60" s="57"/>
      <c r="AW60" s="306"/>
      <c r="AX60" s="57"/>
      <c r="AY60" s="306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306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306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306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306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</row>
    <row r="61" spans="1:111" ht="1.95" customHeight="1" x14ac:dyDescent="0.3">
      <c r="B61" s="1"/>
      <c r="C61" s="1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16"/>
      <c r="AN61" s="57"/>
      <c r="AO61" s="57"/>
      <c r="AP61" s="57"/>
      <c r="AQ61" s="57"/>
      <c r="AR61" s="57"/>
      <c r="AS61" s="57"/>
      <c r="AT61" s="57"/>
      <c r="AU61" s="57"/>
      <c r="AV61" s="57"/>
      <c r="AW61" s="306"/>
      <c r="AX61" s="57"/>
      <c r="AY61" s="306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306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306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306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306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</row>
    <row r="62" spans="1:111" x14ac:dyDescent="0.3">
      <c r="B62" s="1" t="s">
        <v>320</v>
      </c>
      <c r="C62" s="1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16"/>
      <c r="AN62" s="57"/>
      <c r="AO62" s="57"/>
      <c r="AP62" s="57"/>
      <c r="AQ62" s="57"/>
      <c r="AR62" s="57"/>
      <c r="AS62" s="57"/>
      <c r="AT62" s="115"/>
      <c r="AU62" s="115"/>
      <c r="AV62" s="115"/>
      <c r="AW62" s="185"/>
      <c r="AX62" s="57"/>
      <c r="AY62" s="306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306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306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306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306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</row>
    <row r="63" spans="1:111" s="57" customFormat="1" x14ac:dyDescent="0.3">
      <c r="A63"/>
      <c r="B63" s="1" t="s">
        <v>319</v>
      </c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/>
      <c r="AC63" s="115"/>
      <c r="AD63" s="115"/>
      <c r="AE63" s="115"/>
      <c r="AF63" s="115"/>
      <c r="AG63" s="115"/>
      <c r="AH63" s="115">
        <v>150</v>
      </c>
      <c r="AI63" s="115">
        <v>740</v>
      </c>
      <c r="AJ63" s="115">
        <v>817.5</v>
      </c>
      <c r="AK63" s="115">
        <v>937.5</v>
      </c>
      <c r="AL63" s="115">
        <v>170</v>
      </c>
      <c r="AM63" s="513"/>
      <c r="AN63" s="115">
        <v>0</v>
      </c>
      <c r="AO63" s="115">
        <v>450</v>
      </c>
      <c r="AP63" s="115">
        <v>0</v>
      </c>
      <c r="AQ63" s="115">
        <v>0</v>
      </c>
      <c r="AR63" s="115">
        <v>270</v>
      </c>
      <c r="AS63" s="115">
        <v>0</v>
      </c>
      <c r="AT63" s="115">
        <v>1042.5</v>
      </c>
      <c r="AU63" s="115">
        <v>450</v>
      </c>
      <c r="AV63" s="115">
        <f>3989.94</f>
        <v>3989.94</v>
      </c>
      <c r="AW63" s="185">
        <f>6135</f>
        <v>6135</v>
      </c>
      <c r="AX63" s="715">
        <f>+'People Plan'!Y20</f>
        <v>1207.416267942584</v>
      </c>
      <c r="AY63" s="428">
        <f>+'People Plan'!Z20</f>
        <v>187.71167048054986</v>
      </c>
      <c r="AZ63" s="429">
        <f>+'People Plan'!AA20</f>
        <v>1936.875</v>
      </c>
      <c r="BA63" s="427">
        <f>+'People Plan'!AB20</f>
        <v>3253.4910714285702</v>
      </c>
      <c r="BB63" s="427">
        <f>+'People Plan'!AC20</f>
        <v>5589.7142857142835</v>
      </c>
      <c r="BC63" s="427">
        <f>+'People Plan'!AD20</f>
        <v>1415.5652173913033</v>
      </c>
      <c r="BD63" s="427">
        <f>+'People Plan'!AE20</f>
        <v>5826.6499999999987</v>
      </c>
      <c r="BE63" s="427">
        <f>+'People Plan'!AF20</f>
        <v>1153.6857142857125</v>
      </c>
      <c r="BF63" s="427">
        <f>+'People Plan'!AG20</f>
        <v>4532.1720779220777</v>
      </c>
      <c r="BG63" s="427">
        <f>+'People Plan'!AH20</f>
        <v>4747.7499999999991</v>
      </c>
      <c r="BH63" s="427">
        <f>+'People Plan'!AI20</f>
        <v>8735.3552631578914</v>
      </c>
      <c r="BI63" s="427">
        <f>+'People Plan'!AJ20</f>
        <v>9134.7890979883159</v>
      </c>
      <c r="BJ63" s="427">
        <f>+'People Plan'!AK20</f>
        <v>2252.2698204455414</v>
      </c>
      <c r="BK63" s="428">
        <f>+'People Plan'!AL20</f>
        <v>4774.3157894736833</v>
      </c>
      <c r="BL63" s="429">
        <f>+'People Plan'!AM20</f>
        <v>6698.3124999999973</v>
      </c>
      <c r="BM63" s="427">
        <f>+'People Plan'!AN20</f>
        <v>7624.1053571428492</v>
      </c>
      <c r="BN63" s="427">
        <f>+'People Plan'!AO20</f>
        <v>10932.944642857137</v>
      </c>
      <c r="BO63" s="427">
        <f>+'People Plan'!AP20</f>
        <v>3512.6608695652139</v>
      </c>
      <c r="BP63" s="427">
        <f>+'People Plan'!AQ20</f>
        <v>10073.171136363631</v>
      </c>
      <c r="BQ63" s="427">
        <f>+'People Plan'!AR20</f>
        <v>4213.4457142857082</v>
      </c>
      <c r="BR63" s="427">
        <f>+'People Plan'!AS20</f>
        <v>8226.5142857142782</v>
      </c>
      <c r="BS63" s="427">
        <f>+'People Plan'!AT20</f>
        <v>9827.6374999999898</v>
      </c>
      <c r="BT63" s="427">
        <f>+'People Plan'!AU20</f>
        <v>14702.063157894721</v>
      </c>
      <c r="BU63" s="427">
        <f>+'People Plan'!AV20</f>
        <v>14260.494484101222</v>
      </c>
      <c r="BV63" s="427">
        <f>+'People Plan'!AW20</f>
        <v>4599.9034238822842</v>
      </c>
      <c r="BW63" s="428">
        <f>+'People Plan'!AX20</f>
        <v>8770.4894736842034</v>
      </c>
      <c r="BX63" s="427">
        <f>+'People Plan'!AY20</f>
        <v>11508.88749999999</v>
      </c>
      <c r="BY63" s="427">
        <f>+'People Plan'!AZ20</f>
        <v>14079.950499999986</v>
      </c>
      <c r="BZ63" s="427">
        <f>+'People Plan'!BA20</f>
        <v>16577.193928571418</v>
      </c>
      <c r="CA63" s="427">
        <f>+'People Plan'!BB20</f>
        <v>5298.722529644263</v>
      </c>
      <c r="CB63" s="427">
        <f>+'People Plan'!BC20</f>
        <v>17439.35388636362</v>
      </c>
      <c r="CC63" s="427">
        <f>+'People Plan'!BD20</f>
        <v>8377.6811428571327</v>
      </c>
      <c r="CD63" s="427">
        <f>+'People Plan'!BE20</f>
        <v>13205.887272727257</v>
      </c>
      <c r="CE63" s="427">
        <f>+'People Plan'!BF20</f>
        <v>17461.414791666648</v>
      </c>
      <c r="CF63" s="427">
        <f>+'People Plan'!BG20</f>
        <v>22019.327105263139</v>
      </c>
      <c r="CG63" s="427">
        <f>+'People Plan'!BH20</f>
        <v>24016.926086956504</v>
      </c>
      <c r="CH63" s="427">
        <f>+'People Plan'!BI20</f>
        <v>7689.5355904546268</v>
      </c>
      <c r="CI63" s="428">
        <f>+'People Plan'!BJ20</f>
        <v>12865.378535469099</v>
      </c>
      <c r="CJ63" s="427">
        <f>+'People Plan'!BK20</f>
        <v>20529.252499999984</v>
      </c>
      <c r="CK63" s="427">
        <f>+'People Plan'!BL20</f>
        <v>20770.826857142842</v>
      </c>
      <c r="CL63" s="427">
        <f>+'People Plan'!BM20</f>
        <v>24015.626841269819</v>
      </c>
      <c r="CM63" s="427">
        <f>+'People Plan'!BN20</f>
        <v>8994.8335810276567</v>
      </c>
      <c r="CN63" s="427">
        <f>+'People Plan'!BO20</f>
        <v>25806.424986363614</v>
      </c>
      <c r="CO63" s="427">
        <f>+'People Plan'!BP20</f>
        <v>13079.264799999975</v>
      </c>
      <c r="CP63" s="427">
        <f>+'People Plan'!BQ20</f>
        <v>21981.967999999961</v>
      </c>
      <c r="CQ63" s="427">
        <f>+'People Plan'!BR20</f>
        <v>26598.532791666628</v>
      </c>
      <c r="CR63" s="427">
        <f>+'People Plan'!BS20</f>
        <v>31056.630717703309</v>
      </c>
      <c r="CS63" s="427">
        <f>+'People Plan'!BT20</f>
        <v>37702.010746268606</v>
      </c>
      <c r="CT63" s="427">
        <f>+'People Plan'!BU20</f>
        <v>12985.897246934526</v>
      </c>
      <c r="CU63" s="428">
        <f>+'People Plan'!BV20</f>
        <v>20064.150086956499</v>
      </c>
      <c r="CV63" s="429">
        <f>+'People Plan'!BW20</f>
        <v>30884.703499999967</v>
      </c>
      <c r="CW63" s="427">
        <f>+'People Plan'!BX20</f>
        <v>31417.327242857111</v>
      </c>
      <c r="CX63" s="427">
        <f>+'People Plan'!BY20</f>
        <v>35319.663199999952</v>
      </c>
      <c r="CY63" s="427">
        <f>+'People Plan'!BZ20</f>
        <v>14439.524034782591</v>
      </c>
      <c r="CZ63" s="427">
        <f>+'People Plan'!CA20</f>
        <v>37595.98929909087</v>
      </c>
      <c r="DA63" s="427">
        <f>+'People Plan'!CB20</f>
        <v>19549.97211428568</v>
      </c>
      <c r="DB63" s="427">
        <f>+'People Plan'!CC20</f>
        <v>35084.914527272675</v>
      </c>
      <c r="DC63" s="427">
        <f>+'People Plan'!CD20</f>
        <v>37768.972716666627</v>
      </c>
      <c r="DD63" s="427">
        <f>+'People Plan'!CE20</f>
        <v>48551.640695693728</v>
      </c>
      <c r="DE63" s="427">
        <f>+'People Plan'!CF20</f>
        <v>55440.408328358164</v>
      </c>
      <c r="DF63" s="427">
        <f>+'People Plan'!CG20</f>
        <v>19367.495830730037</v>
      </c>
      <c r="DG63" s="427">
        <f>+'People Plan'!CH20</f>
        <v>32036.382751487377</v>
      </c>
    </row>
    <row r="64" spans="1:111" s="57" customFormat="1" x14ac:dyDescent="0.3">
      <c r="A64"/>
      <c r="B64" s="1" t="s">
        <v>318</v>
      </c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/>
      <c r="AC64" s="115"/>
      <c r="AD64" s="115"/>
      <c r="AE64" s="115"/>
      <c r="AF64" s="115"/>
      <c r="AG64" s="115"/>
      <c r="AH64" s="115">
        <v>450</v>
      </c>
      <c r="AI64" s="115">
        <v>150</v>
      </c>
      <c r="AJ64" s="115"/>
      <c r="AK64" s="115"/>
      <c r="AL64" s="115"/>
      <c r="AM64" s="513">
        <v>599</v>
      </c>
      <c r="AN64" s="115">
        <v>0</v>
      </c>
      <c r="AO64" s="115">
        <v>0</v>
      </c>
      <c r="AP64" s="115">
        <v>0</v>
      </c>
      <c r="AQ64" s="115">
        <v>0</v>
      </c>
      <c r="AR64" s="115">
        <v>0</v>
      </c>
      <c r="AS64" s="115">
        <v>0</v>
      </c>
      <c r="AT64" s="115">
        <v>540</v>
      </c>
      <c r="AU64" s="115">
        <v>234</v>
      </c>
      <c r="AV64" s="115">
        <f>86.8</f>
        <v>86.8</v>
      </c>
      <c r="AW64" s="185">
        <f>120</f>
        <v>120</v>
      </c>
      <c r="AX64" s="715">
        <f>+'People Plan'!Y7</f>
        <v>0</v>
      </c>
      <c r="AY64" s="428">
        <f>+'People Plan'!Z7</f>
        <v>0</v>
      </c>
      <c r="AZ64" s="429">
        <f>+'People Plan'!AA7</f>
        <v>0</v>
      </c>
      <c r="BA64" s="427">
        <f>+'People Plan'!AB7</f>
        <v>0</v>
      </c>
      <c r="BB64" s="427">
        <f>+'People Plan'!AC7</f>
        <v>0</v>
      </c>
      <c r="BC64" s="427">
        <f>+'People Plan'!AD7</f>
        <v>0</v>
      </c>
      <c r="BD64" s="427">
        <f>+'People Plan'!AE7</f>
        <v>0</v>
      </c>
      <c r="BE64" s="427">
        <f>+'People Plan'!AF7</f>
        <v>0</v>
      </c>
      <c r="BF64" s="427">
        <f>+'People Plan'!AG7</f>
        <v>0</v>
      </c>
      <c r="BG64" s="427">
        <f>+'People Plan'!AH7</f>
        <v>0</v>
      </c>
      <c r="BH64" s="427">
        <f>+'People Plan'!AI7</f>
        <v>0</v>
      </c>
      <c r="BI64" s="427">
        <f>+'People Plan'!AJ7</f>
        <v>0</v>
      </c>
      <c r="BJ64" s="427">
        <f>+'People Plan'!AK7</f>
        <v>0</v>
      </c>
      <c r="BK64" s="428">
        <f>+'People Plan'!AL7</f>
        <v>0</v>
      </c>
      <c r="BL64" s="429">
        <f>+'People Plan'!AM7</f>
        <v>0</v>
      </c>
      <c r="BM64" s="427">
        <f>+'People Plan'!AN7</f>
        <v>0</v>
      </c>
      <c r="BN64" s="427">
        <f>+'People Plan'!AO7</f>
        <v>0</v>
      </c>
      <c r="BO64" s="427">
        <f>+'People Plan'!AP7</f>
        <v>0</v>
      </c>
      <c r="BP64" s="427">
        <f>+'People Plan'!AQ7</f>
        <v>0</v>
      </c>
      <c r="BQ64" s="427">
        <f>+'People Plan'!AR7</f>
        <v>0</v>
      </c>
      <c r="BR64" s="427">
        <f>+'People Plan'!AS7</f>
        <v>0</v>
      </c>
      <c r="BS64" s="427">
        <f>+'People Plan'!AT7</f>
        <v>0</v>
      </c>
      <c r="BT64" s="427">
        <f>+'People Plan'!AU7</f>
        <v>0</v>
      </c>
      <c r="BU64" s="427">
        <f>+'People Plan'!AV7</f>
        <v>0</v>
      </c>
      <c r="BV64" s="427">
        <f>+'People Plan'!AW7</f>
        <v>0</v>
      </c>
      <c r="BW64" s="428">
        <f>+'People Plan'!AX7</f>
        <v>0</v>
      </c>
      <c r="BX64" s="427">
        <f>+'People Plan'!AY7</f>
        <v>0</v>
      </c>
      <c r="BY64" s="427">
        <f>+'People Plan'!AZ7</f>
        <v>0</v>
      </c>
      <c r="BZ64" s="427">
        <f>+'People Plan'!BA7</f>
        <v>0</v>
      </c>
      <c r="CA64" s="427">
        <f>+'People Plan'!BB7</f>
        <v>0</v>
      </c>
      <c r="CB64" s="427">
        <f>+'People Plan'!BC7</f>
        <v>0</v>
      </c>
      <c r="CC64" s="427">
        <f>+'People Plan'!BD7</f>
        <v>0</v>
      </c>
      <c r="CD64" s="427">
        <f>+'People Plan'!BE7</f>
        <v>0</v>
      </c>
      <c r="CE64" s="427">
        <f>+'People Plan'!BF7</f>
        <v>0</v>
      </c>
      <c r="CF64" s="427">
        <f>+'People Plan'!BG7</f>
        <v>0</v>
      </c>
      <c r="CG64" s="427">
        <f>+'People Plan'!BH7</f>
        <v>0</v>
      </c>
      <c r="CH64" s="427">
        <f>+'People Plan'!BI7</f>
        <v>0</v>
      </c>
      <c r="CI64" s="428">
        <f>+'People Plan'!BJ7</f>
        <v>0</v>
      </c>
      <c r="CJ64" s="427">
        <f>+'People Plan'!BK7</f>
        <v>0</v>
      </c>
      <c r="CK64" s="427">
        <f>+'People Plan'!BL7</f>
        <v>0</v>
      </c>
      <c r="CL64" s="427">
        <f>+'People Plan'!BM7</f>
        <v>0</v>
      </c>
      <c r="CM64" s="427">
        <f>+'People Plan'!BN7</f>
        <v>0</v>
      </c>
      <c r="CN64" s="427">
        <f>+'People Plan'!BO7</f>
        <v>0</v>
      </c>
      <c r="CO64" s="427">
        <f>+'People Plan'!BP7</f>
        <v>0</v>
      </c>
      <c r="CP64" s="427">
        <f>+'People Plan'!BQ7</f>
        <v>0</v>
      </c>
      <c r="CQ64" s="427">
        <f>+'People Plan'!BR7</f>
        <v>0</v>
      </c>
      <c r="CR64" s="427">
        <f>+'People Plan'!BS7</f>
        <v>0</v>
      </c>
      <c r="CS64" s="427">
        <f>+'People Plan'!BT7</f>
        <v>0</v>
      </c>
      <c r="CT64" s="427">
        <f>+'People Plan'!BU7</f>
        <v>0</v>
      </c>
      <c r="CU64" s="428">
        <f>+'People Plan'!BV7</f>
        <v>0</v>
      </c>
      <c r="CV64" s="429">
        <f>+'People Plan'!BW7</f>
        <v>0</v>
      </c>
      <c r="CW64" s="427">
        <f>+'People Plan'!BX7</f>
        <v>0</v>
      </c>
      <c r="CX64" s="427">
        <f>+'People Plan'!BY7</f>
        <v>0</v>
      </c>
      <c r="CY64" s="427">
        <f>+'People Plan'!BZ7</f>
        <v>0</v>
      </c>
      <c r="CZ64" s="427">
        <f>+'People Plan'!CA7</f>
        <v>0</v>
      </c>
      <c r="DA64" s="427">
        <f>+'People Plan'!CB7</f>
        <v>0</v>
      </c>
      <c r="DB64" s="427">
        <f>+'People Plan'!CC7</f>
        <v>0</v>
      </c>
      <c r="DC64" s="427">
        <f>+'People Plan'!CD7</f>
        <v>0</v>
      </c>
      <c r="DD64" s="427">
        <f>+'People Plan'!CE7</f>
        <v>0</v>
      </c>
      <c r="DE64" s="427">
        <f>+'People Plan'!CF7</f>
        <v>0</v>
      </c>
      <c r="DF64" s="427">
        <f>+'People Plan'!CG7</f>
        <v>0</v>
      </c>
      <c r="DG64" s="427">
        <f>+'People Plan'!CH7</f>
        <v>0</v>
      </c>
    </row>
    <row r="65" spans="1:111" s="55" customFormat="1" x14ac:dyDescent="0.3">
      <c r="A65" s="3"/>
      <c r="B65" s="4" t="s">
        <v>317</v>
      </c>
      <c r="C65" s="4"/>
      <c r="AB65" s="55">
        <f>SUM(AB63:AB64)</f>
        <v>0</v>
      </c>
      <c r="AC65" s="55">
        <f t="shared" ref="AC65:CN65" si="464">SUM(AC63:AC64)</f>
        <v>0</v>
      </c>
      <c r="AD65" s="55">
        <f t="shared" si="464"/>
        <v>0</v>
      </c>
      <c r="AE65" s="55">
        <f t="shared" si="464"/>
        <v>0</v>
      </c>
      <c r="AF65" s="55">
        <f t="shared" si="464"/>
        <v>0</v>
      </c>
      <c r="AG65" s="55">
        <f t="shared" si="464"/>
        <v>0</v>
      </c>
      <c r="AH65" s="55">
        <f t="shared" si="464"/>
        <v>600</v>
      </c>
      <c r="AI65" s="55">
        <f t="shared" ref="AI65:AJ65" si="465">SUM(AI63:AI64)</f>
        <v>890</v>
      </c>
      <c r="AJ65" s="55">
        <f t="shared" si="465"/>
        <v>817.5</v>
      </c>
      <c r="AK65" s="55">
        <f t="shared" ref="AK65" si="466">SUM(AK63:AK64)</f>
        <v>937.5</v>
      </c>
      <c r="AL65" s="55">
        <f t="shared" ref="AL65" si="467">SUM(AL63:AL64)</f>
        <v>170</v>
      </c>
      <c r="AM65" s="514">
        <f t="shared" si="464"/>
        <v>599</v>
      </c>
      <c r="AN65" s="55">
        <f t="shared" si="464"/>
        <v>0</v>
      </c>
      <c r="AO65" s="55">
        <f t="shared" ref="AO65:AP65" si="468">SUM(AO63:AO64)</f>
        <v>450</v>
      </c>
      <c r="AP65" s="55">
        <f t="shared" si="468"/>
        <v>0</v>
      </c>
      <c r="AQ65" s="55">
        <f t="shared" ref="AQ65:AR65" si="469">SUM(AQ63:AQ64)</f>
        <v>0</v>
      </c>
      <c r="AR65" s="55">
        <f t="shared" si="469"/>
        <v>270</v>
      </c>
      <c r="AS65" s="55">
        <f t="shared" ref="AS65" si="470">SUM(AS63:AS64)</f>
        <v>0</v>
      </c>
      <c r="AT65" s="55">
        <f>SUM(AT62:AT64)</f>
        <v>1582.5</v>
      </c>
      <c r="AU65" s="55">
        <f>SUM(AU62:AU64)</f>
        <v>684</v>
      </c>
      <c r="AV65" s="55">
        <f>SUM(AV62:AV64)</f>
        <v>4076.7400000000002</v>
      </c>
      <c r="AW65" s="305">
        <f>SUM(AW62:AW64)</f>
        <v>6255</v>
      </c>
      <c r="AX65" s="55">
        <f t="shared" ref="AX65" si="471">SUM(AX63:AX64)</f>
        <v>1207.416267942584</v>
      </c>
      <c r="AY65" s="305">
        <f t="shared" si="464"/>
        <v>187.71167048054986</v>
      </c>
      <c r="AZ65" s="55">
        <f t="shared" si="464"/>
        <v>1936.875</v>
      </c>
      <c r="BA65" s="55">
        <f t="shared" si="464"/>
        <v>3253.4910714285702</v>
      </c>
      <c r="BB65" s="55">
        <f t="shared" si="464"/>
        <v>5589.7142857142835</v>
      </c>
      <c r="BC65" s="55">
        <f t="shared" si="464"/>
        <v>1415.5652173913033</v>
      </c>
      <c r="BD65" s="55">
        <f t="shared" si="464"/>
        <v>5826.6499999999987</v>
      </c>
      <c r="BE65" s="55">
        <f t="shared" si="464"/>
        <v>1153.6857142857125</v>
      </c>
      <c r="BF65" s="55">
        <f t="shared" si="464"/>
        <v>4532.1720779220777</v>
      </c>
      <c r="BG65" s="55">
        <f t="shared" si="464"/>
        <v>4747.7499999999991</v>
      </c>
      <c r="BH65" s="55">
        <f t="shared" si="464"/>
        <v>8735.3552631578914</v>
      </c>
      <c r="BI65" s="55">
        <f t="shared" si="464"/>
        <v>9134.7890979883159</v>
      </c>
      <c r="BJ65" s="55">
        <f t="shared" si="464"/>
        <v>2252.2698204455414</v>
      </c>
      <c r="BK65" s="305">
        <f t="shared" si="464"/>
        <v>4774.3157894736833</v>
      </c>
      <c r="BL65" s="55">
        <f t="shared" si="464"/>
        <v>6698.3124999999973</v>
      </c>
      <c r="BM65" s="55">
        <f t="shared" si="464"/>
        <v>7624.1053571428492</v>
      </c>
      <c r="BN65" s="55">
        <f t="shared" si="464"/>
        <v>10932.944642857137</v>
      </c>
      <c r="BO65" s="55">
        <f t="shared" si="464"/>
        <v>3512.6608695652139</v>
      </c>
      <c r="BP65" s="55">
        <f t="shared" si="464"/>
        <v>10073.171136363631</v>
      </c>
      <c r="BQ65" s="55">
        <f t="shared" si="464"/>
        <v>4213.4457142857082</v>
      </c>
      <c r="BR65" s="55">
        <f t="shared" si="464"/>
        <v>8226.5142857142782</v>
      </c>
      <c r="BS65" s="55">
        <f t="shared" si="464"/>
        <v>9827.6374999999898</v>
      </c>
      <c r="BT65" s="55">
        <f t="shared" si="464"/>
        <v>14702.063157894721</v>
      </c>
      <c r="BU65" s="55">
        <f t="shared" si="464"/>
        <v>14260.494484101222</v>
      </c>
      <c r="BV65" s="55">
        <f t="shared" si="464"/>
        <v>4599.9034238822842</v>
      </c>
      <c r="BW65" s="305">
        <f t="shared" si="464"/>
        <v>8770.4894736842034</v>
      </c>
      <c r="BX65" s="55">
        <f t="shared" si="464"/>
        <v>11508.88749999999</v>
      </c>
      <c r="BY65" s="55">
        <f t="shared" si="464"/>
        <v>14079.950499999986</v>
      </c>
      <c r="BZ65" s="55">
        <f t="shared" si="464"/>
        <v>16577.193928571418</v>
      </c>
      <c r="CA65" s="55">
        <f t="shared" si="464"/>
        <v>5298.722529644263</v>
      </c>
      <c r="CB65" s="55">
        <f t="shared" si="464"/>
        <v>17439.35388636362</v>
      </c>
      <c r="CC65" s="55">
        <f t="shared" si="464"/>
        <v>8377.6811428571327</v>
      </c>
      <c r="CD65" s="55">
        <f t="shared" si="464"/>
        <v>13205.887272727257</v>
      </c>
      <c r="CE65" s="55">
        <f t="shared" si="464"/>
        <v>17461.414791666648</v>
      </c>
      <c r="CF65" s="55">
        <f t="shared" si="464"/>
        <v>22019.327105263139</v>
      </c>
      <c r="CG65" s="55">
        <f t="shared" si="464"/>
        <v>24016.926086956504</v>
      </c>
      <c r="CH65" s="55">
        <f t="shared" si="464"/>
        <v>7689.5355904546268</v>
      </c>
      <c r="CI65" s="305">
        <f t="shared" si="464"/>
        <v>12865.378535469099</v>
      </c>
      <c r="CJ65" s="55">
        <f t="shared" si="464"/>
        <v>20529.252499999984</v>
      </c>
      <c r="CK65" s="55">
        <f t="shared" si="464"/>
        <v>20770.826857142842</v>
      </c>
      <c r="CL65" s="55">
        <f t="shared" si="464"/>
        <v>24015.626841269819</v>
      </c>
      <c r="CM65" s="55">
        <f t="shared" si="464"/>
        <v>8994.8335810276567</v>
      </c>
      <c r="CN65" s="55">
        <f t="shared" si="464"/>
        <v>25806.424986363614</v>
      </c>
      <c r="CO65" s="55">
        <f t="shared" ref="CO65:DG65" si="472">SUM(CO63:CO64)</f>
        <v>13079.264799999975</v>
      </c>
      <c r="CP65" s="55">
        <f t="shared" si="472"/>
        <v>21981.967999999961</v>
      </c>
      <c r="CQ65" s="55">
        <f t="shared" si="472"/>
        <v>26598.532791666628</v>
      </c>
      <c r="CR65" s="55">
        <f t="shared" si="472"/>
        <v>31056.630717703309</v>
      </c>
      <c r="CS65" s="55">
        <f t="shared" si="472"/>
        <v>37702.010746268606</v>
      </c>
      <c r="CT65" s="55">
        <f t="shared" si="472"/>
        <v>12985.897246934526</v>
      </c>
      <c r="CU65" s="305">
        <f t="shared" si="472"/>
        <v>20064.150086956499</v>
      </c>
      <c r="CV65" s="55">
        <f t="shared" si="472"/>
        <v>30884.703499999967</v>
      </c>
      <c r="CW65" s="55">
        <f t="shared" si="472"/>
        <v>31417.327242857111</v>
      </c>
      <c r="CX65" s="55">
        <f t="shared" si="472"/>
        <v>35319.663199999952</v>
      </c>
      <c r="CY65" s="55">
        <f t="shared" si="472"/>
        <v>14439.524034782591</v>
      </c>
      <c r="CZ65" s="55">
        <f t="shared" si="472"/>
        <v>37595.98929909087</v>
      </c>
      <c r="DA65" s="55">
        <f t="shared" si="472"/>
        <v>19549.97211428568</v>
      </c>
      <c r="DB65" s="55">
        <f t="shared" si="472"/>
        <v>35084.914527272675</v>
      </c>
      <c r="DC65" s="55">
        <f t="shared" si="472"/>
        <v>37768.972716666627</v>
      </c>
      <c r="DD65" s="55">
        <f t="shared" si="472"/>
        <v>48551.640695693728</v>
      </c>
      <c r="DE65" s="55">
        <f t="shared" si="472"/>
        <v>55440.408328358164</v>
      </c>
      <c r="DF65" s="55">
        <f t="shared" si="472"/>
        <v>19367.495830730037</v>
      </c>
      <c r="DG65" s="55">
        <f t="shared" si="472"/>
        <v>32036.382751487377</v>
      </c>
    </row>
    <row r="66" spans="1:111" s="55" customFormat="1" x14ac:dyDescent="0.3">
      <c r="A66" s="3"/>
      <c r="B66" s="4" t="s">
        <v>8</v>
      </c>
      <c r="C66" s="4"/>
      <c r="D66" s="55">
        <f t="shared" ref="D66:J66" si="473">(D14)-(0)</f>
        <v>0</v>
      </c>
      <c r="E66" s="55">
        <f t="shared" si="473"/>
        <v>0</v>
      </c>
      <c r="F66" s="55">
        <f t="shared" si="473"/>
        <v>0</v>
      </c>
      <c r="G66" s="55">
        <f t="shared" si="473"/>
        <v>0</v>
      </c>
      <c r="H66" s="55">
        <f t="shared" si="473"/>
        <v>0</v>
      </c>
      <c r="I66" s="55">
        <f t="shared" si="473"/>
        <v>0</v>
      </c>
      <c r="J66" s="55">
        <f t="shared" si="473"/>
        <v>0</v>
      </c>
      <c r="K66" s="55">
        <f t="shared" ref="K66:AA66" si="474">K14</f>
        <v>375</v>
      </c>
      <c r="L66" s="55">
        <f t="shared" si="474"/>
        <v>1075</v>
      </c>
      <c r="M66" s="55">
        <f t="shared" si="474"/>
        <v>3765</v>
      </c>
      <c r="N66" s="55">
        <f t="shared" si="474"/>
        <v>2090</v>
      </c>
      <c r="O66" s="55">
        <f t="shared" si="474"/>
        <v>2032.5</v>
      </c>
      <c r="P66" s="55">
        <f t="shared" si="474"/>
        <v>1545.99</v>
      </c>
      <c r="Q66" s="55">
        <f t="shared" si="474"/>
        <v>1255.75</v>
      </c>
      <c r="R66" s="55">
        <f t="shared" si="474"/>
        <v>1206.75</v>
      </c>
      <c r="S66" s="55">
        <f t="shared" si="474"/>
        <v>1957.41</v>
      </c>
      <c r="T66" s="55">
        <f t="shared" si="474"/>
        <v>2486.9299999999998</v>
      </c>
      <c r="U66" s="55">
        <f t="shared" si="474"/>
        <v>2043.43</v>
      </c>
      <c r="V66" s="55">
        <f t="shared" si="474"/>
        <v>2835.5</v>
      </c>
      <c r="W66" s="55">
        <f t="shared" si="474"/>
        <v>7078.66</v>
      </c>
      <c r="X66" s="55">
        <f t="shared" si="474"/>
        <v>8756.09</v>
      </c>
      <c r="Y66" s="55">
        <f t="shared" si="474"/>
        <v>8196.3700000000008</v>
      </c>
      <c r="Z66" s="55">
        <f t="shared" si="474"/>
        <v>4938.12</v>
      </c>
      <c r="AA66" s="55">
        <f t="shared" si="474"/>
        <v>2144.5</v>
      </c>
      <c r="AB66" s="55">
        <f t="shared" ref="AB66:BG66" si="475">AB14-AB65</f>
        <v>3002</v>
      </c>
      <c r="AC66" s="55">
        <f t="shared" si="475"/>
        <v>4357.5</v>
      </c>
      <c r="AD66" s="55">
        <f t="shared" si="475"/>
        <v>3479.5</v>
      </c>
      <c r="AE66" s="55">
        <f t="shared" si="475"/>
        <v>4018</v>
      </c>
      <c r="AF66" s="55">
        <f t="shared" si="475"/>
        <v>5420.08</v>
      </c>
      <c r="AG66" s="55">
        <f t="shared" si="475"/>
        <v>4308.26</v>
      </c>
      <c r="AH66" s="55">
        <f t="shared" si="475"/>
        <v>8460.8900000000012</v>
      </c>
      <c r="AI66" s="55">
        <f t="shared" si="475"/>
        <v>13221.26</v>
      </c>
      <c r="AJ66" s="55">
        <f t="shared" si="475"/>
        <v>9080</v>
      </c>
      <c r="AK66" s="55">
        <f t="shared" si="475"/>
        <v>16468.25</v>
      </c>
      <c r="AL66" s="55">
        <f t="shared" si="475"/>
        <v>9403.5</v>
      </c>
      <c r="AM66" s="514">
        <f t="shared" si="475"/>
        <v>4595</v>
      </c>
      <c r="AN66" s="55">
        <f t="shared" si="475"/>
        <v>6585.5</v>
      </c>
      <c r="AO66" s="55">
        <f t="shared" si="475"/>
        <v>7662.12</v>
      </c>
      <c r="AP66" s="55">
        <f t="shared" si="475"/>
        <v>7682.37</v>
      </c>
      <c r="AQ66" s="55">
        <f t="shared" si="475"/>
        <v>3756.25</v>
      </c>
      <c r="AR66" s="55">
        <f t="shared" si="475"/>
        <v>5774.5</v>
      </c>
      <c r="AS66" s="55">
        <f t="shared" si="475"/>
        <v>6916</v>
      </c>
      <c r="AT66" s="55">
        <f t="shared" si="475"/>
        <v>13347.5</v>
      </c>
      <c r="AU66" s="55">
        <f t="shared" si="475"/>
        <v>19773</v>
      </c>
      <c r="AV66" s="55">
        <f t="shared" si="475"/>
        <v>24230.76</v>
      </c>
      <c r="AW66" s="305">
        <f t="shared" si="475"/>
        <v>33108.130000000005</v>
      </c>
      <c r="AX66" s="55">
        <f t="shared" si="475"/>
        <v>11574.820693093965</v>
      </c>
      <c r="AY66" s="305">
        <f t="shared" si="475"/>
        <v>11590.82860123868</v>
      </c>
      <c r="AZ66" s="55">
        <f t="shared" si="475"/>
        <v>13146.648642151191</v>
      </c>
      <c r="BA66" s="55">
        <f t="shared" si="475"/>
        <v>12482.695663023114</v>
      </c>
      <c r="BB66" s="55">
        <f t="shared" si="475"/>
        <v>11659.452970621358</v>
      </c>
      <c r="BC66" s="55">
        <f t="shared" si="475"/>
        <v>6770.2488854120274</v>
      </c>
      <c r="BD66" s="55">
        <f t="shared" si="475"/>
        <v>8968.6004378667312</v>
      </c>
      <c r="BE66" s="55">
        <f t="shared" si="475"/>
        <v>11896.925911682865</v>
      </c>
      <c r="BF66" s="55">
        <f t="shared" si="475"/>
        <v>15282.73359414448</v>
      </c>
      <c r="BG66" s="55">
        <f t="shared" si="475"/>
        <v>16442.212072802558</v>
      </c>
      <c r="BH66" s="55">
        <f t="shared" ref="BH66:CM66" si="476">BH14-BH65</f>
        <v>21111.679860810138</v>
      </c>
      <c r="BI66" s="55">
        <f t="shared" si="476"/>
        <v>25750.335652357418</v>
      </c>
      <c r="BJ66" s="55">
        <f t="shared" si="476"/>
        <v>14132.358869072381</v>
      </c>
      <c r="BK66" s="305">
        <f t="shared" si="476"/>
        <v>18501.129951115152</v>
      </c>
      <c r="BL66" s="55">
        <f t="shared" si="476"/>
        <v>18738.468927807589</v>
      </c>
      <c r="BM66" s="55">
        <f t="shared" si="476"/>
        <v>18247.773337432471</v>
      </c>
      <c r="BN66" s="55">
        <f t="shared" si="476"/>
        <v>17709.242300495695</v>
      </c>
      <c r="BO66" s="55">
        <f t="shared" si="476"/>
        <v>9057.3057658652378</v>
      </c>
      <c r="BP66" s="55">
        <f t="shared" si="476"/>
        <v>11847.25119069486</v>
      </c>
      <c r="BQ66" s="55">
        <f t="shared" si="476"/>
        <v>14749.750701378967</v>
      </c>
      <c r="BR66" s="55">
        <f t="shared" si="476"/>
        <v>18813.203776505568</v>
      </c>
      <c r="BS66" s="55">
        <f t="shared" si="476"/>
        <v>21764.839463392655</v>
      </c>
      <c r="BT66" s="55">
        <f t="shared" si="476"/>
        <v>27568.001381072056</v>
      </c>
      <c r="BU66" s="55">
        <f t="shared" si="476"/>
        <v>32759.915721567388</v>
      </c>
      <c r="BV66" s="55">
        <f t="shared" si="476"/>
        <v>19632.468986079337</v>
      </c>
      <c r="BW66" s="305">
        <f t="shared" si="476"/>
        <v>24020.990510138283</v>
      </c>
      <c r="BX66" s="55">
        <f t="shared" si="476"/>
        <v>24387.996170509301</v>
      </c>
      <c r="BY66" s="55">
        <f t="shared" si="476"/>
        <v>24422.260296152745</v>
      </c>
      <c r="BZ66" s="55">
        <f t="shared" si="476"/>
        <v>24099.855622681578</v>
      </c>
      <c r="CA66" s="55">
        <f t="shared" si="476"/>
        <v>11005.154260216474</v>
      </c>
      <c r="CB66" s="55">
        <f t="shared" si="476"/>
        <v>16738.545030562178</v>
      </c>
      <c r="CC66" s="55">
        <f t="shared" si="476"/>
        <v>18632.353931945865</v>
      </c>
      <c r="CD66" s="55">
        <f t="shared" si="476"/>
        <v>23571.703901487057</v>
      </c>
      <c r="CE66" s="55">
        <f t="shared" si="476"/>
        <v>29763.392995589922</v>
      </c>
      <c r="CF66" s="55">
        <f t="shared" si="476"/>
        <v>35485.702318720352</v>
      </c>
      <c r="CG66" s="55">
        <f t="shared" si="476"/>
        <v>46102.174661238387</v>
      </c>
      <c r="CH66" s="55">
        <f t="shared" si="476"/>
        <v>26739.74494683</v>
      </c>
      <c r="CI66" s="305">
        <f t="shared" si="476"/>
        <v>29677.205282541785</v>
      </c>
      <c r="CJ66" s="55">
        <f t="shared" si="476"/>
        <v>34981.490255231605</v>
      </c>
      <c r="CK66" s="55">
        <f t="shared" si="476"/>
        <v>30821.535355483647</v>
      </c>
      <c r="CL66" s="55">
        <f t="shared" si="476"/>
        <v>30732.677172414587</v>
      </c>
      <c r="CM66" s="55">
        <f t="shared" si="476"/>
        <v>15036.070161559686</v>
      </c>
      <c r="CN66" s="55">
        <f t="shared" ref="CN66:DS66" si="477">CN14-CN65</f>
        <v>22294.448911600397</v>
      </c>
      <c r="CO66" s="55">
        <f t="shared" si="477"/>
        <v>23015.963890873099</v>
      </c>
      <c r="CP66" s="55">
        <f t="shared" si="477"/>
        <v>31958.499055514334</v>
      </c>
      <c r="CQ66" s="55">
        <f t="shared" si="477"/>
        <v>39337.123622076018</v>
      </c>
      <c r="CR66" s="55">
        <f t="shared" si="477"/>
        <v>45264.585218217755</v>
      </c>
      <c r="CS66" s="55">
        <f t="shared" si="477"/>
        <v>64817.003050177773</v>
      </c>
      <c r="CT66" s="55">
        <f t="shared" si="477"/>
        <v>35164.699588930096</v>
      </c>
      <c r="CU66" s="305">
        <f t="shared" si="477"/>
        <v>39620.770878170624</v>
      </c>
      <c r="CV66" s="55">
        <f t="shared" si="477"/>
        <v>47142.905997624701</v>
      </c>
      <c r="CW66" s="55">
        <f t="shared" si="477"/>
        <v>41004.040718137112</v>
      </c>
      <c r="CX66" s="55">
        <f t="shared" si="477"/>
        <v>38041.877443671474</v>
      </c>
      <c r="CY66" s="55">
        <f t="shared" si="477"/>
        <v>20973.957043967603</v>
      </c>
      <c r="CZ66" s="55">
        <f t="shared" si="477"/>
        <v>30122.957279460592</v>
      </c>
      <c r="DA66" s="55">
        <f t="shared" si="477"/>
        <v>29049.049568528273</v>
      </c>
      <c r="DB66" s="55">
        <f t="shared" si="477"/>
        <v>44480.230777615274</v>
      </c>
      <c r="DC66" s="55">
        <f t="shared" si="477"/>
        <v>51041.33744762752</v>
      </c>
      <c r="DD66" s="55">
        <f t="shared" si="477"/>
        <v>64195.193421399861</v>
      </c>
      <c r="DE66" s="55">
        <f t="shared" si="477"/>
        <v>89074.877583507128</v>
      </c>
      <c r="DF66" s="55">
        <f t="shared" si="477"/>
        <v>45315.947199974238</v>
      </c>
      <c r="DG66" s="55">
        <f t="shared" si="477"/>
        <v>56157.853625475713</v>
      </c>
    </row>
    <row r="67" spans="1:111" s="3" customFormat="1" x14ac:dyDescent="0.3">
      <c r="A67" s="378"/>
      <c r="B67" s="384"/>
      <c r="C67" s="385" t="s">
        <v>323</v>
      </c>
      <c r="D67" s="386"/>
      <c r="E67" s="387">
        <f t="shared" ref="E67:O67" si="478">+E53/8</f>
        <v>0</v>
      </c>
      <c r="F67" s="387">
        <f t="shared" si="478"/>
        <v>252.75</v>
      </c>
      <c r="G67" s="387">
        <f t="shared" si="478"/>
        <v>252.875</v>
      </c>
      <c r="H67" s="387">
        <f t="shared" si="478"/>
        <v>253</v>
      </c>
      <c r="I67" s="387">
        <f t="shared" si="478"/>
        <v>253.125</v>
      </c>
      <c r="J67" s="387">
        <f t="shared" si="478"/>
        <v>253.25</v>
      </c>
      <c r="K67" s="387">
        <f t="shared" si="478"/>
        <v>253.375</v>
      </c>
      <c r="L67" s="387">
        <f t="shared" si="478"/>
        <v>253.5</v>
      </c>
      <c r="M67" s="387">
        <f t="shared" si="478"/>
        <v>253.625</v>
      </c>
      <c r="N67" s="387">
        <f t="shared" si="478"/>
        <v>253.75</v>
      </c>
      <c r="O67" s="387">
        <f t="shared" si="478"/>
        <v>0</v>
      </c>
      <c r="P67" s="387" t="e">
        <f>+P66/#REF!</f>
        <v>#REF!</v>
      </c>
      <c r="Q67" s="387" t="e">
        <f>+Q66/#REF!</f>
        <v>#REF!</v>
      </c>
      <c r="R67" s="387" t="e">
        <f>+R66/#REF!</f>
        <v>#REF!</v>
      </c>
      <c r="S67" s="387" t="e">
        <f>+S66/#REF!</f>
        <v>#REF!</v>
      </c>
      <c r="T67" s="387" t="e">
        <f>+T66/#REF!</f>
        <v>#REF!</v>
      </c>
      <c r="U67" s="387" t="e">
        <f>+U66/#REF!</f>
        <v>#REF!</v>
      </c>
      <c r="V67" s="387" t="e">
        <f>+V66/#REF!</f>
        <v>#REF!</v>
      </c>
      <c r="W67" s="387" t="e">
        <f>+W66/#REF!</f>
        <v>#REF!</v>
      </c>
      <c r="X67" s="387" t="e">
        <f>+X66/#REF!</f>
        <v>#REF!</v>
      </c>
      <c r="Y67" s="387" t="e">
        <f>+Y66/#REF!</f>
        <v>#REF!</v>
      </c>
      <c r="Z67" s="387" t="e">
        <f>+Z66/#REF!</f>
        <v>#REF!</v>
      </c>
      <c r="AA67" s="387" t="e">
        <f>+AA66/#REF!</f>
        <v>#REF!</v>
      </c>
      <c r="AB67" s="387">
        <f t="shared" ref="AB67:BG67" si="479">+AB66/AB14</f>
        <v>1</v>
      </c>
      <c r="AC67" s="387">
        <f t="shared" si="479"/>
        <v>1</v>
      </c>
      <c r="AD67" s="387">
        <f t="shared" si="479"/>
        <v>1</v>
      </c>
      <c r="AE67" s="387">
        <f t="shared" si="479"/>
        <v>1</v>
      </c>
      <c r="AF67" s="387">
        <f t="shared" si="479"/>
        <v>1</v>
      </c>
      <c r="AG67" s="387">
        <f t="shared" si="479"/>
        <v>1</v>
      </c>
      <c r="AH67" s="387">
        <f t="shared" si="479"/>
        <v>0.93378133936070296</v>
      </c>
      <c r="AI67" s="387">
        <f t="shared" si="479"/>
        <v>0.93692979932337717</v>
      </c>
      <c r="AJ67" s="387">
        <f t="shared" si="479"/>
        <v>0.91740338469310434</v>
      </c>
      <c r="AK67" s="387">
        <f t="shared" si="479"/>
        <v>0.94613848871780881</v>
      </c>
      <c r="AL67" s="387">
        <f t="shared" si="479"/>
        <v>0.9822426489789523</v>
      </c>
      <c r="AM67" s="410">
        <f t="shared" si="479"/>
        <v>0.8846746245668079</v>
      </c>
      <c r="AN67" s="387">
        <f t="shared" si="479"/>
        <v>1</v>
      </c>
      <c r="AO67" s="387">
        <f t="shared" si="479"/>
        <v>0.94452744781881925</v>
      </c>
      <c r="AP67" s="387">
        <f t="shared" si="479"/>
        <v>1</v>
      </c>
      <c r="AQ67" s="387">
        <f t="shared" si="479"/>
        <v>1</v>
      </c>
      <c r="AR67" s="387">
        <f t="shared" si="479"/>
        <v>0.95533129291091079</v>
      </c>
      <c r="AS67" s="387">
        <f t="shared" si="479"/>
        <v>1</v>
      </c>
      <c r="AT67" s="387">
        <f t="shared" si="479"/>
        <v>0.89400535833891492</v>
      </c>
      <c r="AU67" s="387">
        <f t="shared" si="479"/>
        <v>0.96656401231852174</v>
      </c>
      <c r="AV67" s="387">
        <f t="shared" si="479"/>
        <v>0.85598374988960513</v>
      </c>
      <c r="AW67" s="389">
        <f t="shared" si="479"/>
        <v>0.8410949535771165</v>
      </c>
      <c r="AX67" s="387">
        <f t="shared" si="479"/>
        <v>0.90553951772110852</v>
      </c>
      <c r="AY67" s="389">
        <f t="shared" si="479"/>
        <v>0.98406324840343296</v>
      </c>
      <c r="AZ67" s="387">
        <f t="shared" si="479"/>
        <v>0.87159001795924085</v>
      </c>
      <c r="BA67" s="387">
        <f t="shared" si="479"/>
        <v>0.79324780988359722</v>
      </c>
      <c r="BB67" s="387">
        <f t="shared" si="479"/>
        <v>0.67594294827994239</v>
      </c>
      <c r="BC67" s="387">
        <f t="shared" si="479"/>
        <v>0.82707093031754464</v>
      </c>
      <c r="BD67" s="387">
        <f t="shared" si="479"/>
        <v>0.60618104948819507</v>
      </c>
      <c r="BE67" s="387">
        <f t="shared" si="479"/>
        <v>0.91159910758588003</v>
      </c>
      <c r="BF67" s="387">
        <f t="shared" si="479"/>
        <v>0.77127460746325105</v>
      </c>
      <c r="BG67" s="387">
        <f t="shared" si="479"/>
        <v>0.77594344040408803</v>
      </c>
      <c r="BH67" s="387">
        <f t="shared" ref="BH67:CM67" si="480">+BH66/BH14</f>
        <v>0.70732921287236494</v>
      </c>
      <c r="BI67" s="387">
        <f t="shared" si="480"/>
        <v>0.73814658358365814</v>
      </c>
      <c r="BJ67" s="387">
        <f t="shared" si="480"/>
        <v>0.86253763432024355</v>
      </c>
      <c r="BK67" s="389">
        <f t="shared" si="480"/>
        <v>0.79487757860000918</v>
      </c>
      <c r="BL67" s="387">
        <f t="shared" si="480"/>
        <v>0.73666823693828754</v>
      </c>
      <c r="BM67" s="387">
        <f t="shared" si="480"/>
        <v>0.70531303709531412</v>
      </c>
      <c r="BN67" s="387">
        <f t="shared" si="480"/>
        <v>0.61829225315511693</v>
      </c>
      <c r="BO67" s="387">
        <f t="shared" si="480"/>
        <v>0.72055129727518763</v>
      </c>
      <c r="BP67" s="387">
        <f t="shared" si="480"/>
        <v>0.54046637486863813</v>
      </c>
      <c r="BQ67" s="387">
        <f t="shared" si="480"/>
        <v>0.7778093090463819</v>
      </c>
      <c r="BR67" s="387">
        <f t="shared" si="480"/>
        <v>0.69576183202855046</v>
      </c>
      <c r="BS67" s="387">
        <f t="shared" si="480"/>
        <v>0.68892475536541087</v>
      </c>
      <c r="BT67" s="387">
        <f t="shared" si="480"/>
        <v>0.65218735012004581</v>
      </c>
      <c r="BU67" s="387">
        <f t="shared" si="480"/>
        <v>0.69671692735717505</v>
      </c>
      <c r="BV67" s="387">
        <f t="shared" si="480"/>
        <v>0.81017527520370547</v>
      </c>
      <c r="BW67" s="389">
        <f t="shared" si="480"/>
        <v>0.73253755310796953</v>
      </c>
      <c r="BX67" s="387">
        <f t="shared" si="480"/>
        <v>0.67939034469850101</v>
      </c>
      <c r="BY67" s="387">
        <f t="shared" si="480"/>
        <v>0.63430799923294534</v>
      </c>
      <c r="BZ67" s="387">
        <f t="shared" si="480"/>
        <v>0.59246813346960703</v>
      </c>
      <c r="CA67" s="387">
        <f t="shared" si="480"/>
        <v>0.67500229559269609</v>
      </c>
      <c r="CB67" s="387">
        <f t="shared" si="480"/>
        <v>0.48974763110065866</v>
      </c>
      <c r="CC67" s="387">
        <f t="shared" si="480"/>
        <v>0.6898307936418614</v>
      </c>
      <c r="CD67" s="387">
        <f t="shared" si="480"/>
        <v>0.64092571451535862</v>
      </c>
      <c r="CE67" s="387">
        <f t="shared" si="480"/>
        <v>0.63024910825833913</v>
      </c>
      <c r="CF67" s="387">
        <f t="shared" si="480"/>
        <v>0.61708867335907169</v>
      </c>
      <c r="CG67" s="387">
        <f t="shared" si="480"/>
        <v>0.65748382636560287</v>
      </c>
      <c r="CH67" s="387">
        <f t="shared" si="480"/>
        <v>0.77665709330965049</v>
      </c>
      <c r="CI67" s="389">
        <f t="shared" si="480"/>
        <v>0.69758821912404867</v>
      </c>
      <c r="CJ67" s="387">
        <f t="shared" si="480"/>
        <v>0.63017514302553235</v>
      </c>
      <c r="CK67" s="387">
        <f t="shared" si="480"/>
        <v>0.59740500402868779</v>
      </c>
      <c r="CL67" s="387">
        <f t="shared" si="480"/>
        <v>0.56134482567227861</v>
      </c>
      <c r="CM67" s="387">
        <f t="shared" si="480"/>
        <v>0.62569724062906973</v>
      </c>
      <c r="CN67" s="387">
        <f t="shared" ref="CN67:DS67" si="481">+CN66/CN14</f>
        <v>0.46349363545646649</v>
      </c>
      <c r="CO67" s="387">
        <f t="shared" si="481"/>
        <v>0.6376456037440994</v>
      </c>
      <c r="CP67" s="387">
        <f t="shared" si="481"/>
        <v>0.59247724018821302</v>
      </c>
      <c r="CQ67" s="387">
        <f t="shared" si="481"/>
        <v>0.5965986502847217</v>
      </c>
      <c r="CR67" s="387">
        <f t="shared" si="481"/>
        <v>0.59307997996548811</v>
      </c>
      <c r="CS67" s="387">
        <f t="shared" si="481"/>
        <v>0.63224372387031802</v>
      </c>
      <c r="CT67" s="387">
        <f t="shared" si="481"/>
        <v>0.73030661922632545</v>
      </c>
      <c r="CU67" s="389">
        <f t="shared" si="481"/>
        <v>0.66383217465128863</v>
      </c>
      <c r="CV67" s="387">
        <f t="shared" si="481"/>
        <v>0.60418236956317151</v>
      </c>
      <c r="CW67" s="387">
        <f t="shared" si="481"/>
        <v>0.56618705048793994</v>
      </c>
      <c r="CX67" s="387">
        <f t="shared" si="481"/>
        <v>0.5185534151803991</v>
      </c>
      <c r="CY67" s="387">
        <f t="shared" si="481"/>
        <v>0.59225911729284908</v>
      </c>
      <c r="CZ67" s="387">
        <f t="shared" si="481"/>
        <v>0.444823181715018</v>
      </c>
      <c r="DA67" s="387">
        <f t="shared" si="481"/>
        <v>0.59772910158808557</v>
      </c>
      <c r="DB67" s="387">
        <f t="shared" si="481"/>
        <v>0.55904165834386665</v>
      </c>
      <c r="DC67" s="387">
        <f t="shared" si="481"/>
        <v>0.57472310763473156</v>
      </c>
      <c r="DD67" s="387">
        <f t="shared" si="481"/>
        <v>0.56937468731698249</v>
      </c>
      <c r="DE67" s="387">
        <f t="shared" si="481"/>
        <v>0.61636993638050652</v>
      </c>
      <c r="DF67" s="387">
        <f t="shared" si="481"/>
        <v>0.70058031973442458</v>
      </c>
      <c r="DG67" s="410">
        <f t="shared" si="481"/>
        <v>0.63675196852369953</v>
      </c>
    </row>
    <row r="68" spans="1:111" s="55" customFormat="1" x14ac:dyDescent="0.3">
      <c r="A68"/>
      <c r="B68" s="1"/>
      <c r="C68" s="1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16"/>
      <c r="AN68" s="57"/>
      <c r="AO68" s="57"/>
      <c r="AP68" s="57"/>
      <c r="AQ68" s="57"/>
      <c r="AR68" s="57"/>
      <c r="AS68" s="57"/>
      <c r="AT68" s="57"/>
      <c r="AU68" s="57"/>
      <c r="AV68" s="57"/>
      <c r="AW68" s="306"/>
      <c r="AX68" s="57"/>
      <c r="AY68" s="306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306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306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306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306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</row>
    <row r="69" spans="1:111" s="55" customFormat="1" x14ac:dyDescent="0.3">
      <c r="A69"/>
      <c r="B69" s="1" t="s">
        <v>9</v>
      </c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/>
      <c r="AC69"/>
      <c r="AD69"/>
      <c r="AE69"/>
      <c r="AF69"/>
      <c r="AG69"/>
      <c r="AH69"/>
      <c r="AI69" s="492"/>
      <c r="AJ69" s="492"/>
      <c r="AK69" s="509"/>
      <c r="AL69" s="509"/>
      <c r="AM69" s="97"/>
      <c r="AN69"/>
      <c r="AO69"/>
      <c r="AP69"/>
      <c r="AQ69"/>
      <c r="AR69"/>
      <c r="AS69"/>
      <c r="AT69"/>
      <c r="AU69"/>
      <c r="AV69"/>
      <c r="AW69" s="184"/>
      <c r="AX69"/>
      <c r="AY69" s="184"/>
      <c r="AZ69"/>
      <c r="BA69"/>
      <c r="BB69"/>
      <c r="BC69"/>
      <c r="BD69"/>
      <c r="BE69"/>
      <c r="BF69"/>
      <c r="BG69"/>
      <c r="BH69"/>
      <c r="BI69"/>
      <c r="BJ69"/>
      <c r="BK69" s="184"/>
      <c r="BL69"/>
      <c r="BM69"/>
      <c r="BN69"/>
      <c r="BO69"/>
      <c r="BP69"/>
      <c r="BQ69"/>
      <c r="BR69"/>
      <c r="BS69"/>
      <c r="BT69"/>
      <c r="BU69"/>
      <c r="BV69"/>
      <c r="BW69" s="184"/>
      <c r="BX69"/>
      <c r="BY69"/>
      <c r="BZ69"/>
      <c r="CA69"/>
      <c r="CB69"/>
      <c r="CC69"/>
      <c r="CD69"/>
      <c r="CE69"/>
      <c r="CF69"/>
      <c r="CG69"/>
      <c r="CH69"/>
      <c r="CI69" s="184"/>
      <c r="CJ69"/>
      <c r="CK69"/>
      <c r="CL69"/>
      <c r="CM69"/>
      <c r="CN69"/>
      <c r="CO69"/>
      <c r="CP69"/>
      <c r="CQ69"/>
      <c r="CR69"/>
      <c r="CS69"/>
      <c r="CT69"/>
      <c r="CU69" s="184"/>
      <c r="CV69"/>
      <c r="CW69"/>
      <c r="CX69"/>
      <c r="CY69"/>
      <c r="CZ69"/>
      <c r="DA69"/>
      <c r="DB69"/>
      <c r="DC69"/>
      <c r="DD69"/>
      <c r="DE69"/>
      <c r="DF69"/>
      <c r="DG69"/>
    </row>
    <row r="70" spans="1:111" s="57" customFormat="1" x14ac:dyDescent="0.3">
      <c r="A70"/>
      <c r="B70" s="1" t="s">
        <v>270</v>
      </c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/>
      <c r="AC70"/>
      <c r="AD70"/>
      <c r="AE70"/>
      <c r="AF70"/>
      <c r="AG70"/>
      <c r="AH70"/>
      <c r="AI70"/>
      <c r="AJ70"/>
      <c r="AK70"/>
      <c r="AL70"/>
      <c r="AM70" s="97"/>
      <c r="AN70"/>
      <c r="AO70"/>
      <c r="AP70"/>
      <c r="AQ70"/>
      <c r="AR70"/>
      <c r="AS70"/>
      <c r="AT70"/>
      <c r="AU70"/>
      <c r="AV70"/>
      <c r="AW70" s="184"/>
      <c r="AX70"/>
      <c r="AY70" s="184"/>
      <c r="AZ70"/>
      <c r="BA70"/>
      <c r="BB70"/>
      <c r="BC70"/>
      <c r="BD70"/>
      <c r="BE70"/>
      <c r="BF70"/>
      <c r="BG70"/>
      <c r="BH70"/>
      <c r="BI70"/>
      <c r="BJ70"/>
      <c r="BK70" s="184"/>
      <c r="BL70"/>
      <c r="BM70"/>
      <c r="BN70"/>
      <c r="BO70"/>
      <c r="BP70"/>
      <c r="BQ70"/>
      <c r="BR70"/>
      <c r="BS70"/>
      <c r="BT70"/>
      <c r="BU70"/>
      <c r="BV70"/>
      <c r="BW70" s="184"/>
      <c r="BX70"/>
      <c r="BY70"/>
      <c r="BZ70"/>
      <c r="CA70"/>
      <c r="CB70"/>
      <c r="CC70"/>
      <c r="CD70"/>
      <c r="CE70"/>
      <c r="CF70"/>
      <c r="CG70"/>
      <c r="CH70"/>
      <c r="CI70" s="184"/>
      <c r="CJ70"/>
      <c r="CK70"/>
      <c r="CL70"/>
      <c r="CM70"/>
      <c r="CN70"/>
      <c r="CO70"/>
      <c r="CP70"/>
      <c r="CQ70"/>
      <c r="CR70"/>
      <c r="CS70"/>
      <c r="CT70"/>
      <c r="CU70" s="184"/>
      <c r="CV70"/>
      <c r="CW70"/>
      <c r="CX70"/>
      <c r="CY70"/>
      <c r="CZ70"/>
      <c r="DA70"/>
      <c r="DB70"/>
      <c r="DC70"/>
      <c r="DD70"/>
      <c r="DE70"/>
      <c r="DF70"/>
      <c r="DG70"/>
    </row>
    <row r="71" spans="1:111" s="57" customFormat="1" x14ac:dyDescent="0.3">
      <c r="A71"/>
      <c r="B71" s="1" t="s">
        <v>269</v>
      </c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/>
      <c r="AC71" s="115">
        <v>1179.44</v>
      </c>
      <c r="AD71" s="115"/>
      <c r="AE71" s="115">
        <v>2400</v>
      </c>
      <c r="AF71" s="115"/>
      <c r="AG71" s="115">
        <v>665.56</v>
      </c>
      <c r="AH71" s="115">
        <v>0</v>
      </c>
      <c r="AI71" s="115">
        <v>0</v>
      </c>
      <c r="AJ71" s="115">
        <v>0</v>
      </c>
      <c r="AK71" s="115">
        <v>0</v>
      </c>
      <c r="AL71" s="115">
        <v>0</v>
      </c>
      <c r="AM71" s="513">
        <v>0</v>
      </c>
      <c r="AN71" s="115">
        <v>0</v>
      </c>
      <c r="AO71" s="115">
        <v>0</v>
      </c>
      <c r="AP71" s="115">
        <v>0</v>
      </c>
      <c r="AQ71" s="115">
        <v>0</v>
      </c>
      <c r="AR71" s="115">
        <v>0</v>
      </c>
      <c r="AS71" s="115">
        <v>0</v>
      </c>
      <c r="AT71" s="115">
        <v>0</v>
      </c>
      <c r="AU71" s="115">
        <v>0</v>
      </c>
      <c r="AV71" s="115">
        <v>0</v>
      </c>
      <c r="AW71" s="185">
        <v>0</v>
      </c>
      <c r="AX71" s="115">
        <f t="shared" ref="AX71:CC71" si="482">+IF(AX3&lt;&gt;AW3, SUM(AU71:AW71), 0)*1.1</f>
        <v>0</v>
      </c>
      <c r="AY71" s="185">
        <f t="shared" si="482"/>
        <v>0</v>
      </c>
      <c r="AZ71" s="362">
        <f t="shared" si="482"/>
        <v>0</v>
      </c>
      <c r="BA71" s="113">
        <f t="shared" si="482"/>
        <v>0</v>
      </c>
      <c r="BB71" s="113">
        <f t="shared" si="482"/>
        <v>0</v>
      </c>
      <c r="BC71" s="113">
        <f t="shared" si="482"/>
        <v>0</v>
      </c>
      <c r="BD71" s="113">
        <f t="shared" si="482"/>
        <v>0</v>
      </c>
      <c r="BE71" s="113">
        <f t="shared" si="482"/>
        <v>0</v>
      </c>
      <c r="BF71" s="113">
        <f t="shared" si="482"/>
        <v>0</v>
      </c>
      <c r="BG71" s="113">
        <f t="shared" si="482"/>
        <v>0</v>
      </c>
      <c r="BH71" s="113">
        <f t="shared" si="482"/>
        <v>0</v>
      </c>
      <c r="BI71" s="113">
        <f t="shared" si="482"/>
        <v>0</v>
      </c>
      <c r="BJ71" s="113">
        <f t="shared" si="482"/>
        <v>0</v>
      </c>
      <c r="BK71" s="185">
        <f t="shared" si="482"/>
        <v>0</v>
      </c>
      <c r="BL71" s="362">
        <f t="shared" si="482"/>
        <v>0</v>
      </c>
      <c r="BM71" s="113">
        <f t="shared" si="482"/>
        <v>0</v>
      </c>
      <c r="BN71" s="113">
        <f t="shared" si="482"/>
        <v>0</v>
      </c>
      <c r="BO71" s="113">
        <f t="shared" si="482"/>
        <v>0</v>
      </c>
      <c r="BP71" s="113">
        <f t="shared" si="482"/>
        <v>0</v>
      </c>
      <c r="BQ71" s="113">
        <f t="shared" si="482"/>
        <v>0</v>
      </c>
      <c r="BR71" s="113">
        <f t="shared" si="482"/>
        <v>0</v>
      </c>
      <c r="BS71" s="113">
        <f t="shared" si="482"/>
        <v>0</v>
      </c>
      <c r="BT71" s="113">
        <f t="shared" si="482"/>
        <v>0</v>
      </c>
      <c r="BU71" s="113">
        <f t="shared" si="482"/>
        <v>0</v>
      </c>
      <c r="BV71" s="113">
        <f t="shared" si="482"/>
        <v>0</v>
      </c>
      <c r="BW71" s="185">
        <f t="shared" si="482"/>
        <v>0</v>
      </c>
      <c r="BX71" s="113">
        <f t="shared" si="482"/>
        <v>0</v>
      </c>
      <c r="BY71" s="113">
        <f t="shared" si="482"/>
        <v>0</v>
      </c>
      <c r="BZ71" s="113">
        <f t="shared" si="482"/>
        <v>0</v>
      </c>
      <c r="CA71" s="113">
        <f t="shared" si="482"/>
        <v>0</v>
      </c>
      <c r="CB71" s="113">
        <f t="shared" si="482"/>
        <v>0</v>
      </c>
      <c r="CC71" s="113">
        <f t="shared" si="482"/>
        <v>0</v>
      </c>
      <c r="CD71" s="113">
        <f t="shared" ref="CD71:DI71" si="483">+IF(CD3&lt;&gt;CC3, SUM(CA71:CC71), 0)*1.1</f>
        <v>0</v>
      </c>
      <c r="CE71" s="113">
        <f t="shared" si="483"/>
        <v>0</v>
      </c>
      <c r="CF71" s="113">
        <f t="shared" si="483"/>
        <v>0</v>
      </c>
      <c r="CG71" s="113">
        <f t="shared" si="483"/>
        <v>0</v>
      </c>
      <c r="CH71" s="113">
        <f t="shared" si="483"/>
        <v>0</v>
      </c>
      <c r="CI71" s="185">
        <f t="shared" si="483"/>
        <v>0</v>
      </c>
      <c r="CJ71" s="113">
        <f t="shared" si="483"/>
        <v>0</v>
      </c>
      <c r="CK71" s="113">
        <f t="shared" si="483"/>
        <v>0</v>
      </c>
      <c r="CL71" s="113">
        <f t="shared" si="483"/>
        <v>0</v>
      </c>
      <c r="CM71" s="113">
        <f t="shared" si="483"/>
        <v>0</v>
      </c>
      <c r="CN71" s="113">
        <f t="shared" si="483"/>
        <v>0</v>
      </c>
      <c r="CO71" s="113">
        <f t="shared" si="483"/>
        <v>0</v>
      </c>
      <c r="CP71" s="113">
        <f t="shared" si="483"/>
        <v>0</v>
      </c>
      <c r="CQ71" s="113">
        <f t="shared" si="483"/>
        <v>0</v>
      </c>
      <c r="CR71" s="113">
        <f t="shared" si="483"/>
        <v>0</v>
      </c>
      <c r="CS71" s="113">
        <f t="shared" si="483"/>
        <v>0</v>
      </c>
      <c r="CT71" s="113">
        <f t="shared" si="483"/>
        <v>0</v>
      </c>
      <c r="CU71" s="185">
        <f t="shared" si="483"/>
        <v>0</v>
      </c>
      <c r="CV71" s="362">
        <f t="shared" si="483"/>
        <v>0</v>
      </c>
      <c r="CW71" s="113">
        <f t="shared" si="483"/>
        <v>0</v>
      </c>
      <c r="CX71" s="113">
        <f t="shared" si="483"/>
        <v>0</v>
      </c>
      <c r="CY71" s="113">
        <f t="shared" si="483"/>
        <v>0</v>
      </c>
      <c r="CZ71" s="113">
        <f t="shared" si="483"/>
        <v>0</v>
      </c>
      <c r="DA71" s="113">
        <f t="shared" si="483"/>
        <v>0</v>
      </c>
      <c r="DB71" s="113">
        <f t="shared" si="483"/>
        <v>0</v>
      </c>
      <c r="DC71" s="113">
        <f t="shared" si="483"/>
        <v>0</v>
      </c>
      <c r="DD71" s="113">
        <f t="shared" si="483"/>
        <v>0</v>
      </c>
      <c r="DE71" s="113">
        <f t="shared" si="483"/>
        <v>0</v>
      </c>
      <c r="DF71" s="113">
        <f t="shared" si="483"/>
        <v>0</v>
      </c>
      <c r="DG71" s="113">
        <f t="shared" si="483"/>
        <v>0</v>
      </c>
    </row>
    <row r="72" spans="1:111" x14ac:dyDescent="0.3">
      <c r="B72" s="1" t="s">
        <v>271</v>
      </c>
      <c r="C72" s="1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>
        <f>SUM(P71)</f>
        <v>0</v>
      </c>
      <c r="Q72" s="55">
        <f t="shared" ref="Q72:CB72" si="484">SUM(Q71)</f>
        <v>0</v>
      </c>
      <c r="R72" s="55">
        <f t="shared" si="484"/>
        <v>0</v>
      </c>
      <c r="S72" s="55">
        <f t="shared" si="484"/>
        <v>0</v>
      </c>
      <c r="T72" s="55">
        <f t="shared" si="484"/>
        <v>0</v>
      </c>
      <c r="U72" s="55">
        <f t="shared" si="484"/>
        <v>0</v>
      </c>
      <c r="V72" s="55">
        <f t="shared" si="484"/>
        <v>0</v>
      </c>
      <c r="W72" s="55">
        <f t="shared" si="484"/>
        <v>0</v>
      </c>
      <c r="X72" s="55">
        <f t="shared" si="484"/>
        <v>0</v>
      </c>
      <c r="Y72" s="55">
        <f t="shared" si="484"/>
        <v>0</v>
      </c>
      <c r="Z72" s="55">
        <f t="shared" si="484"/>
        <v>0</v>
      </c>
      <c r="AA72" s="55">
        <f t="shared" si="484"/>
        <v>0</v>
      </c>
      <c r="AB72" s="55">
        <f t="shared" si="484"/>
        <v>0</v>
      </c>
      <c r="AC72" s="55">
        <f t="shared" si="484"/>
        <v>1179.44</v>
      </c>
      <c r="AD72" s="55">
        <f t="shared" ref="AD72" si="485">SUM(AD71)</f>
        <v>0</v>
      </c>
      <c r="AE72" s="55">
        <f t="shared" ref="AE72" si="486">SUM(AE71)</f>
        <v>2400</v>
      </c>
      <c r="AF72" s="55">
        <f t="shared" ref="AF72:AG72" si="487">SUM(AF71)</f>
        <v>0</v>
      </c>
      <c r="AG72" s="55">
        <f t="shared" si="487"/>
        <v>665.56</v>
      </c>
      <c r="AH72" s="55">
        <f t="shared" ref="AH72" si="488">SUM(AH71)</f>
        <v>0</v>
      </c>
      <c r="AI72" s="55">
        <f t="shared" ref="AI72" si="489">SUM(AI71)</f>
        <v>0</v>
      </c>
      <c r="AJ72" s="55">
        <f t="shared" ref="AJ72" si="490">SUM(AJ71)</f>
        <v>0</v>
      </c>
      <c r="AK72" s="55">
        <f t="shared" si="484"/>
        <v>0</v>
      </c>
      <c r="AL72" s="55">
        <f t="shared" ref="AL72:AM72" si="491">SUM(AL71)</f>
        <v>0</v>
      </c>
      <c r="AM72" s="514">
        <f t="shared" si="491"/>
        <v>0</v>
      </c>
      <c r="AN72" s="55">
        <f t="shared" ref="AN72:AO72" si="492">SUM(AN71)</f>
        <v>0</v>
      </c>
      <c r="AO72" s="55">
        <f t="shared" si="492"/>
        <v>0</v>
      </c>
      <c r="AP72" s="55">
        <f t="shared" ref="AP72:AQ72" si="493">SUM(AP71)</f>
        <v>0</v>
      </c>
      <c r="AQ72" s="55">
        <f t="shared" si="493"/>
        <v>0</v>
      </c>
      <c r="AR72" s="55">
        <f t="shared" ref="AR72:AS72" si="494">SUM(AR71)</f>
        <v>0</v>
      </c>
      <c r="AS72" s="55">
        <f t="shared" si="494"/>
        <v>0</v>
      </c>
      <c r="AT72" s="55">
        <f t="shared" ref="AT72:AU72" si="495">SUM(AT71)</f>
        <v>0</v>
      </c>
      <c r="AU72" s="55">
        <f t="shared" si="495"/>
        <v>0</v>
      </c>
      <c r="AV72" s="55">
        <f t="shared" ref="AV72:AW72" si="496">SUM(AV71)</f>
        <v>0</v>
      </c>
      <c r="AW72" s="305">
        <f t="shared" si="496"/>
        <v>0</v>
      </c>
      <c r="AX72" s="55">
        <f t="shared" ref="AX72" si="497">SUM(AX71)</f>
        <v>0</v>
      </c>
      <c r="AY72" s="305">
        <f t="shared" si="484"/>
        <v>0</v>
      </c>
      <c r="AZ72" s="55">
        <f t="shared" si="484"/>
        <v>0</v>
      </c>
      <c r="BA72" s="55">
        <f t="shared" si="484"/>
        <v>0</v>
      </c>
      <c r="BB72" s="55">
        <f t="shared" si="484"/>
        <v>0</v>
      </c>
      <c r="BC72" s="55">
        <f t="shared" si="484"/>
        <v>0</v>
      </c>
      <c r="BD72" s="55">
        <f t="shared" si="484"/>
        <v>0</v>
      </c>
      <c r="BE72" s="55">
        <f t="shared" si="484"/>
        <v>0</v>
      </c>
      <c r="BF72" s="55">
        <f t="shared" si="484"/>
        <v>0</v>
      </c>
      <c r="BG72" s="55">
        <f t="shared" si="484"/>
        <v>0</v>
      </c>
      <c r="BH72" s="55">
        <f t="shared" si="484"/>
        <v>0</v>
      </c>
      <c r="BI72" s="55">
        <f t="shared" si="484"/>
        <v>0</v>
      </c>
      <c r="BJ72" s="55">
        <f t="shared" si="484"/>
        <v>0</v>
      </c>
      <c r="BK72" s="305">
        <f t="shared" si="484"/>
        <v>0</v>
      </c>
      <c r="BL72" s="55">
        <f t="shared" si="484"/>
        <v>0</v>
      </c>
      <c r="BM72" s="55">
        <f t="shared" si="484"/>
        <v>0</v>
      </c>
      <c r="BN72" s="55">
        <f t="shared" si="484"/>
        <v>0</v>
      </c>
      <c r="BO72" s="55">
        <f t="shared" si="484"/>
        <v>0</v>
      </c>
      <c r="BP72" s="55">
        <f t="shared" si="484"/>
        <v>0</v>
      </c>
      <c r="BQ72" s="55">
        <f t="shared" si="484"/>
        <v>0</v>
      </c>
      <c r="BR72" s="55">
        <f t="shared" si="484"/>
        <v>0</v>
      </c>
      <c r="BS72" s="55">
        <f t="shared" si="484"/>
        <v>0</v>
      </c>
      <c r="BT72" s="55">
        <f t="shared" si="484"/>
        <v>0</v>
      </c>
      <c r="BU72" s="55">
        <f t="shared" si="484"/>
        <v>0</v>
      </c>
      <c r="BV72" s="55">
        <f t="shared" si="484"/>
        <v>0</v>
      </c>
      <c r="BW72" s="305">
        <f t="shared" si="484"/>
        <v>0</v>
      </c>
      <c r="BX72" s="55">
        <f t="shared" si="484"/>
        <v>0</v>
      </c>
      <c r="BY72" s="55">
        <f t="shared" si="484"/>
        <v>0</v>
      </c>
      <c r="BZ72" s="55">
        <f t="shared" si="484"/>
        <v>0</v>
      </c>
      <c r="CA72" s="55">
        <f t="shared" si="484"/>
        <v>0</v>
      </c>
      <c r="CB72" s="55">
        <f t="shared" si="484"/>
        <v>0</v>
      </c>
      <c r="CC72" s="55">
        <f t="shared" ref="CC72:DG72" si="498">SUM(CC71)</f>
        <v>0</v>
      </c>
      <c r="CD72" s="55">
        <f t="shared" si="498"/>
        <v>0</v>
      </c>
      <c r="CE72" s="55">
        <f t="shared" si="498"/>
        <v>0</v>
      </c>
      <c r="CF72" s="55">
        <f t="shared" si="498"/>
        <v>0</v>
      </c>
      <c r="CG72" s="55">
        <f t="shared" si="498"/>
        <v>0</v>
      </c>
      <c r="CH72" s="55">
        <f t="shared" si="498"/>
        <v>0</v>
      </c>
      <c r="CI72" s="305">
        <f t="shared" si="498"/>
        <v>0</v>
      </c>
      <c r="CJ72" s="55">
        <f t="shared" si="498"/>
        <v>0</v>
      </c>
      <c r="CK72" s="55">
        <f t="shared" si="498"/>
        <v>0</v>
      </c>
      <c r="CL72" s="55">
        <f t="shared" si="498"/>
        <v>0</v>
      </c>
      <c r="CM72" s="55">
        <f t="shared" si="498"/>
        <v>0</v>
      </c>
      <c r="CN72" s="55">
        <f t="shared" si="498"/>
        <v>0</v>
      </c>
      <c r="CO72" s="55">
        <f t="shared" si="498"/>
        <v>0</v>
      </c>
      <c r="CP72" s="55">
        <f t="shared" si="498"/>
        <v>0</v>
      </c>
      <c r="CQ72" s="55">
        <f t="shared" si="498"/>
        <v>0</v>
      </c>
      <c r="CR72" s="55">
        <f t="shared" si="498"/>
        <v>0</v>
      </c>
      <c r="CS72" s="55">
        <f t="shared" si="498"/>
        <v>0</v>
      </c>
      <c r="CT72" s="55">
        <f t="shared" si="498"/>
        <v>0</v>
      </c>
      <c r="CU72" s="305">
        <f t="shared" si="498"/>
        <v>0</v>
      </c>
      <c r="CV72" s="55">
        <f t="shared" si="498"/>
        <v>0</v>
      </c>
      <c r="CW72" s="55">
        <f t="shared" si="498"/>
        <v>0</v>
      </c>
      <c r="CX72" s="55">
        <f t="shared" si="498"/>
        <v>0</v>
      </c>
      <c r="CY72" s="55">
        <f t="shared" si="498"/>
        <v>0</v>
      </c>
      <c r="CZ72" s="55">
        <f t="shared" si="498"/>
        <v>0</v>
      </c>
      <c r="DA72" s="55">
        <f t="shared" si="498"/>
        <v>0</v>
      </c>
      <c r="DB72" s="55">
        <f t="shared" si="498"/>
        <v>0</v>
      </c>
      <c r="DC72" s="55">
        <f t="shared" si="498"/>
        <v>0</v>
      </c>
      <c r="DD72" s="55">
        <f t="shared" si="498"/>
        <v>0</v>
      </c>
      <c r="DE72" s="55">
        <f t="shared" si="498"/>
        <v>0</v>
      </c>
      <c r="DF72" s="55">
        <f t="shared" si="498"/>
        <v>0</v>
      </c>
      <c r="DG72" s="55">
        <f t="shared" si="498"/>
        <v>0</v>
      </c>
    </row>
    <row r="73" spans="1:111" s="57" customFormat="1" x14ac:dyDescent="0.3">
      <c r="A73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/>
      <c r="AC73"/>
      <c r="AD73"/>
      <c r="AE73"/>
      <c r="AF73"/>
      <c r="AG73"/>
      <c r="AH73"/>
      <c r="AI73"/>
      <c r="AJ73"/>
      <c r="AK73"/>
      <c r="AL73"/>
      <c r="AM73" s="97"/>
      <c r="AN73"/>
      <c r="AO73"/>
      <c r="AP73"/>
      <c r="AQ73"/>
      <c r="AR73"/>
      <c r="AS73"/>
      <c r="AT73"/>
      <c r="AU73"/>
      <c r="AV73"/>
      <c r="AW73" s="184"/>
      <c r="AX73"/>
      <c r="AY73" s="184"/>
      <c r="AZ73"/>
      <c r="BA73"/>
      <c r="BB73"/>
      <c r="BC73"/>
      <c r="BD73"/>
      <c r="BE73"/>
      <c r="BF73"/>
      <c r="BG73"/>
      <c r="BH73"/>
      <c r="BI73"/>
      <c r="BJ73"/>
      <c r="BK73" s="184"/>
      <c r="BL73"/>
      <c r="BM73"/>
      <c r="BN73"/>
      <c r="BO73"/>
      <c r="BP73"/>
      <c r="BQ73"/>
      <c r="BR73"/>
      <c r="BS73"/>
      <c r="BT73"/>
      <c r="BU73"/>
      <c r="BV73"/>
      <c r="BW73" s="184"/>
      <c r="BX73"/>
      <c r="BY73"/>
      <c r="BZ73"/>
      <c r="CA73"/>
      <c r="CB73"/>
      <c r="CC73"/>
      <c r="CD73"/>
      <c r="CE73"/>
      <c r="CF73"/>
      <c r="CG73"/>
      <c r="CH73"/>
      <c r="CI73" s="184"/>
      <c r="CJ73"/>
      <c r="CK73"/>
      <c r="CL73"/>
      <c r="CM73"/>
      <c r="CN73"/>
      <c r="CO73"/>
      <c r="CP73"/>
      <c r="CQ73"/>
      <c r="CR73"/>
      <c r="CS73"/>
      <c r="CT73"/>
      <c r="CU73" s="184"/>
      <c r="CV73"/>
      <c r="CW73"/>
      <c r="CX73"/>
      <c r="CY73"/>
      <c r="CZ73"/>
      <c r="DA73"/>
      <c r="DB73"/>
      <c r="DC73"/>
      <c r="DD73"/>
      <c r="DE73"/>
      <c r="DF73"/>
      <c r="DG73"/>
    </row>
    <row r="74" spans="1:111" s="57" customFormat="1" x14ac:dyDescent="0.3">
      <c r="A74"/>
      <c r="B74" s="1" t="s">
        <v>268</v>
      </c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/>
      <c r="AC74"/>
      <c r="AD74"/>
      <c r="AE74"/>
      <c r="AF74"/>
      <c r="AG74"/>
      <c r="AH74"/>
      <c r="AI74"/>
      <c r="AJ74"/>
      <c r="AK74"/>
      <c r="AL74"/>
      <c r="AM74" s="97"/>
      <c r="AN74"/>
      <c r="AO74"/>
      <c r="AP74"/>
      <c r="AQ74"/>
      <c r="AR74"/>
      <c r="AS74"/>
      <c r="AT74"/>
      <c r="AU74"/>
      <c r="AV74"/>
      <c r="AW74" s="184"/>
      <c r="AX74"/>
      <c r="AY74" s="184"/>
      <c r="AZ74"/>
      <c r="BA74"/>
      <c r="BB74"/>
      <c r="BC74"/>
      <c r="BD74"/>
      <c r="BE74"/>
      <c r="BF74"/>
      <c r="BG74"/>
      <c r="BH74"/>
      <c r="BI74"/>
      <c r="BJ74"/>
      <c r="BK74" s="184"/>
      <c r="BL74"/>
      <c r="BM74"/>
      <c r="BN74"/>
      <c r="BO74"/>
      <c r="BP74"/>
      <c r="BQ74"/>
      <c r="BR74"/>
      <c r="BS74"/>
      <c r="BT74"/>
      <c r="BU74"/>
      <c r="BV74"/>
      <c r="BW74" s="184"/>
      <c r="BX74"/>
      <c r="BY74"/>
      <c r="BZ74"/>
      <c r="CA74"/>
      <c r="CB74"/>
      <c r="CC74"/>
      <c r="CD74"/>
      <c r="CE74"/>
      <c r="CF74"/>
      <c r="CG74"/>
      <c r="CH74"/>
      <c r="CI74" s="184"/>
      <c r="CJ74"/>
      <c r="CK74"/>
      <c r="CL74"/>
      <c r="CM74"/>
      <c r="CN74"/>
      <c r="CO74"/>
      <c r="CP74"/>
      <c r="CQ74"/>
      <c r="CR74"/>
      <c r="CS74"/>
      <c r="CT74"/>
      <c r="CU74" s="184"/>
      <c r="CV74"/>
      <c r="CW74"/>
      <c r="CX74"/>
      <c r="CY74"/>
      <c r="CZ74"/>
      <c r="DA74"/>
      <c r="DB74"/>
      <c r="DC74"/>
      <c r="DD74"/>
      <c r="DE74"/>
      <c r="DF74"/>
      <c r="DG74"/>
    </row>
    <row r="75" spans="1:111" s="57" customFormat="1" x14ac:dyDescent="0.3">
      <c r="A75"/>
      <c r="B75" s="1" t="s">
        <v>356</v>
      </c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/>
      <c r="AC75"/>
      <c r="AD75"/>
      <c r="AE75"/>
      <c r="AF75"/>
      <c r="AG75"/>
      <c r="AH75"/>
      <c r="AI75"/>
      <c r="AJ75"/>
      <c r="AK75"/>
      <c r="AL75"/>
      <c r="AM75" s="97"/>
      <c r="AN75"/>
      <c r="AO75" s="2"/>
      <c r="AP75" s="2"/>
      <c r="AQ75" s="2"/>
      <c r="AR75" s="2"/>
      <c r="AS75" s="2"/>
      <c r="AT75" s="2"/>
      <c r="AU75" s="2"/>
      <c r="AV75" s="2"/>
      <c r="AW75" s="597"/>
      <c r="AX75"/>
      <c r="AY75" s="184"/>
      <c r="AZ75"/>
      <c r="BA75"/>
      <c r="BB75"/>
      <c r="BC75"/>
      <c r="BD75"/>
      <c r="BE75"/>
      <c r="BF75"/>
      <c r="BG75"/>
      <c r="BH75"/>
      <c r="BI75"/>
      <c r="BJ75"/>
      <c r="BK75" s="184"/>
      <c r="BL75"/>
      <c r="BM75"/>
      <c r="BN75"/>
      <c r="BO75"/>
      <c r="BP75"/>
      <c r="BQ75"/>
      <c r="BR75"/>
      <c r="BS75"/>
      <c r="BT75"/>
      <c r="BU75"/>
      <c r="BV75"/>
      <c r="BW75" s="184"/>
      <c r="BX75"/>
      <c r="BY75"/>
      <c r="BZ75"/>
      <c r="CA75"/>
      <c r="CB75"/>
      <c r="CC75"/>
      <c r="CD75"/>
      <c r="CE75"/>
      <c r="CF75"/>
      <c r="CG75"/>
      <c r="CH75"/>
      <c r="CI75" s="184"/>
      <c r="CJ75"/>
      <c r="CK75"/>
      <c r="CL75"/>
      <c r="CM75"/>
      <c r="CN75"/>
      <c r="CO75"/>
      <c r="CP75"/>
      <c r="CQ75"/>
      <c r="CR75"/>
      <c r="CS75"/>
      <c r="CT75"/>
      <c r="CU75" s="184"/>
      <c r="CV75"/>
      <c r="CW75"/>
      <c r="CX75"/>
      <c r="CY75"/>
      <c r="CZ75"/>
      <c r="DA75"/>
      <c r="DB75"/>
      <c r="DC75"/>
      <c r="DD75"/>
      <c r="DE75"/>
      <c r="DF75"/>
      <c r="DG75"/>
    </row>
    <row r="76" spans="1:111" s="57" customFormat="1" x14ac:dyDescent="0.3">
      <c r="A76"/>
      <c r="B76" s="1" t="s">
        <v>357</v>
      </c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/>
      <c r="AC76"/>
      <c r="AD76"/>
      <c r="AE76"/>
      <c r="AF76"/>
      <c r="AG76"/>
      <c r="AH76"/>
      <c r="AI76"/>
      <c r="AJ76"/>
      <c r="AK76"/>
      <c r="AL76"/>
      <c r="AM76" s="97"/>
      <c r="AN76" s="113">
        <v>1275</v>
      </c>
      <c r="AO76" s="115">
        <v>4005</v>
      </c>
      <c r="AP76" s="115">
        <v>4410</v>
      </c>
      <c r="AQ76" s="115">
        <v>2450</v>
      </c>
      <c r="AR76" s="115">
        <v>1960</v>
      </c>
      <c r="AS76" s="115">
        <v>2450</v>
      </c>
      <c r="AT76" s="115">
        <v>7280</v>
      </c>
      <c r="AU76" s="115">
        <v>14252.7</v>
      </c>
      <c r="AV76" s="115">
        <f>9800</f>
        <v>9800</v>
      </c>
      <c r="AW76" s="185">
        <f>14350</f>
        <v>14350</v>
      </c>
      <c r="AX76" s="716">
        <f>+'People Plan'!Z19</f>
        <v>5291.1029748283763</v>
      </c>
      <c r="AY76" s="534">
        <f>+'People Plan'!AA19</f>
        <v>7131.2415458937194</v>
      </c>
      <c r="AZ76" s="533">
        <f>+'People Plan'!AB19</f>
        <v>8049.949999999998</v>
      </c>
      <c r="BA76" s="533">
        <f>+'People Plan'!AC19</f>
        <v>10219.733333333332</v>
      </c>
      <c r="BB76" s="533">
        <f>+'People Plan'!AD19</f>
        <v>4765.7014492753615</v>
      </c>
      <c r="BC76" s="533">
        <f>+'People Plan'!AE19</f>
        <v>8427.5099999999984</v>
      </c>
      <c r="BD76" s="533">
        <f>+'People Plan'!AF19</f>
        <v>5086.9866666666649</v>
      </c>
      <c r="BE76" s="533">
        <f>+'People Plan'!AG19</f>
        <v>8224.576969696971</v>
      </c>
      <c r="BF76" s="533">
        <f>+'People Plan'!AH19</f>
        <v>8681.4</v>
      </c>
      <c r="BG76" s="533">
        <f>+'People Plan'!AI19</f>
        <v>12237.883040935671</v>
      </c>
      <c r="BH76" s="533">
        <f>+'People Plan'!AJ19</f>
        <v>12817.943326844039</v>
      </c>
      <c r="BI76" s="533">
        <f>+'People Plan'!AK19</f>
        <v>10838.335806280116</v>
      </c>
      <c r="BJ76" s="533">
        <f>+'People Plan'!AL19</f>
        <v>10455.691228070173</v>
      </c>
      <c r="BK76" s="534">
        <f>+'People Plan'!AM19</f>
        <v>12026.091304347823</v>
      </c>
      <c r="BL76" s="533">
        <f>+'People Plan'!AN19</f>
        <v>13234.929999999993</v>
      </c>
      <c r="BM76" s="533">
        <f>+'People Plan'!AO19</f>
        <v>16969.834444444434</v>
      </c>
      <c r="BN76" s="533">
        <f>+'People Plan'!AP19</f>
        <v>7318.1124637681123</v>
      </c>
      <c r="BO76" s="533">
        <f>+'People Plan'!AQ19</f>
        <v>12486.073090909085</v>
      </c>
      <c r="BP76" s="533">
        <f>+'People Plan'!AR19</f>
        <v>7391.6479999999947</v>
      </c>
      <c r="BQ76" s="533">
        <f>+'People Plan'!AS19</f>
        <v>11223.381333333329</v>
      </c>
      <c r="BR76" s="533">
        <f>+'People Plan'!AT19</f>
        <v>12943.247777777771</v>
      </c>
      <c r="BS76" s="533">
        <f>+'People Plan'!AU19</f>
        <v>17331.574269005836</v>
      </c>
      <c r="BT76" s="533">
        <f>+'People Plan'!AV19</f>
        <v>17276.846722907194</v>
      </c>
      <c r="BU76" s="533">
        <f>+'People Plan'!AW19</f>
        <v>16029.572261837382</v>
      </c>
      <c r="BV76" s="533">
        <f>+'People Plan'!AX19</f>
        <v>14730.441403508765</v>
      </c>
      <c r="BW76" s="534">
        <f>+'People Plan'!AY19</f>
        <v>16971.455362318829</v>
      </c>
      <c r="BX76" s="533">
        <f>+'People Plan'!AZ19</f>
        <v>19696.059599999986</v>
      </c>
      <c r="BY76" s="533">
        <f>+'People Plan'!BA19</f>
        <v>24100.212666666648</v>
      </c>
      <c r="BZ76" s="533">
        <f>+'People Plan'!BB19</f>
        <v>9491.9586824769376</v>
      </c>
      <c r="CA76" s="533">
        <f>+'People Plan'!BC19</f>
        <v>19468.043890909077</v>
      </c>
      <c r="CB76" s="533">
        <f>+'People Plan'!BD19</f>
        <v>10528.218311111103</v>
      </c>
      <c r="CC76" s="533">
        <f>+'People Plan'!BE19</f>
        <v>15265.282327272716</v>
      </c>
      <c r="CD76" s="533">
        <f>+'People Plan'!BF19</f>
        <v>19347.71968518517</v>
      </c>
      <c r="CE76" s="533">
        <f>+'People Plan'!BG19</f>
        <v>23578.215438596475</v>
      </c>
      <c r="CF76" s="533">
        <f>+'People Plan'!BH19</f>
        <v>25764.066086956511</v>
      </c>
      <c r="CG76" s="533">
        <f>+'People Plan'!BI19</f>
        <v>22774.767198138703</v>
      </c>
      <c r="CH76" s="533">
        <f>+'People Plan'!BJ19</f>
        <v>19110.788485125846</v>
      </c>
      <c r="CI76" s="534">
        <f>+'People Plan'!BK19</f>
        <v>26244.564888888872</v>
      </c>
      <c r="CJ76" s="533">
        <f>+'People Plan'!BL19</f>
        <v>26392.41279999998</v>
      </c>
      <c r="CK76" s="533">
        <f>+'People Plan'!BM19</f>
        <v>32437.106044444416</v>
      </c>
      <c r="CL76" s="533">
        <f>+'People Plan'!BN19</f>
        <v>13990.55870988141</v>
      </c>
      <c r="CM76" s="533">
        <f>+'People Plan'!BO19</f>
        <v>27398.697810909067</v>
      </c>
      <c r="CN76" s="533">
        <f>+'People Plan'!BP19</f>
        <v>14069.528106666647</v>
      </c>
      <c r="CO76" s="533">
        <f>+'People Plan'!BQ19</f>
        <v>22389.080746666637</v>
      </c>
      <c r="CP76" s="533">
        <f>+'People Plan'!BR19</f>
        <v>27013.441818518484</v>
      </c>
      <c r="CQ76" s="533">
        <f>+'People Plan'!BS19</f>
        <v>31293.2293035619</v>
      </c>
      <c r="CR76" s="533">
        <f>+'People Plan'!BT19</f>
        <v>37668.860815920358</v>
      </c>
      <c r="CS76" s="533">
        <f>+'People Plan'!BU19</f>
        <v>31851.337474237534</v>
      </c>
      <c r="CT76" s="533">
        <f>+'People Plan'!BV19</f>
        <v>26811.39220869563</v>
      </c>
      <c r="CU76" s="534">
        <f>+'People Plan'!BW19</f>
        <v>36890.168622222191</v>
      </c>
      <c r="CV76" s="533">
        <f>+'People Plan'!BX19</f>
        <v>37047.62791999997</v>
      </c>
      <c r="CW76" s="533">
        <f>+'People Plan'!BY19</f>
        <v>43465.018986666619</v>
      </c>
      <c r="CX76" s="533">
        <f>+'People Plan'!BZ19</f>
        <v>20617.384658550702</v>
      </c>
      <c r="CY76" s="533">
        <f>+'People Plan'!CA19</f>
        <v>38573.33148072724</v>
      </c>
      <c r="CZ76" s="533">
        <f>+'People Plan'!CB19</f>
        <v>18943.370808888863</v>
      </c>
      <c r="DA76" s="533">
        <f>+'People Plan'!CC19</f>
        <v>33025.121214060564</v>
      </c>
      <c r="DB76" s="533">
        <f>+'People Plan'!CD19</f>
        <v>36385.049865185152</v>
      </c>
      <c r="DC76" s="533">
        <f>+'People Plan'!CE19</f>
        <v>46228.463344178585</v>
      </c>
      <c r="DD76" s="533">
        <f>+'People Plan'!CF19</f>
        <v>53099.673799004944</v>
      </c>
      <c r="DE76" s="533">
        <f>+'People Plan'!CG19</f>
        <v>42787.718291209516</v>
      </c>
      <c r="DF76" s="533">
        <f>+'People Plan'!CH19</f>
        <v>39618.218870236422</v>
      </c>
      <c r="DG76" s="533">
        <f>+'People Plan'!CI19</f>
        <v>0</v>
      </c>
    </row>
    <row r="77" spans="1:111" s="57" customFormat="1" x14ac:dyDescent="0.3">
      <c r="A77"/>
      <c r="B77" s="1" t="s">
        <v>358</v>
      </c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/>
      <c r="AC77"/>
      <c r="AD77"/>
      <c r="AE77"/>
      <c r="AF77"/>
      <c r="AG77"/>
      <c r="AH77"/>
      <c r="AI77"/>
      <c r="AJ77"/>
      <c r="AK77"/>
      <c r="AL77"/>
      <c r="AM77" s="97"/>
      <c r="AN77" s="113">
        <v>137.07</v>
      </c>
      <c r="AO77" s="115">
        <v>435.82</v>
      </c>
      <c r="AP77" s="115">
        <v>416.3</v>
      </c>
      <c r="AQ77" s="115">
        <v>187.43</v>
      </c>
      <c r="AR77" s="115">
        <v>149.94</v>
      </c>
      <c r="AS77" s="115">
        <v>187.42</v>
      </c>
      <c r="AT77" s="115">
        <v>150.77000000000001</v>
      </c>
      <c r="AU77" s="115">
        <v>833.44</v>
      </c>
      <c r="AV77" s="115">
        <f>749.7</f>
        <v>749.7</v>
      </c>
      <c r="AW77" s="185">
        <f>1097.77</f>
        <v>1097.77</v>
      </c>
      <c r="AX77" s="717">
        <f>+AX76*AX81</f>
        <v>404.76937757437076</v>
      </c>
      <c r="AY77" s="536">
        <f t="shared" ref="AY77:DA77" si="499">+AY76*AY81</f>
        <v>545.53997826086947</v>
      </c>
      <c r="AZ77" s="535">
        <f t="shared" si="499"/>
        <v>615.82117499999981</v>
      </c>
      <c r="BA77" s="535">
        <f t="shared" si="499"/>
        <v>781.80959999999982</v>
      </c>
      <c r="BB77" s="535">
        <f t="shared" si="499"/>
        <v>364.57616086956517</v>
      </c>
      <c r="BC77" s="535">
        <f t="shared" si="499"/>
        <v>644.7045149999999</v>
      </c>
      <c r="BD77" s="535">
        <f t="shared" si="499"/>
        <v>389.15447999999986</v>
      </c>
      <c r="BE77" s="535">
        <f t="shared" si="499"/>
        <v>629.18013818181828</v>
      </c>
      <c r="BF77" s="535">
        <f t="shared" si="499"/>
        <v>664.12709999999993</v>
      </c>
      <c r="BG77" s="535">
        <f t="shared" si="499"/>
        <v>936.19805263157878</v>
      </c>
      <c r="BH77" s="535">
        <f t="shared" si="499"/>
        <v>980.57266450356894</v>
      </c>
      <c r="BI77" s="535">
        <f t="shared" si="499"/>
        <v>829.13268918042888</v>
      </c>
      <c r="BJ77" s="535">
        <f t="shared" si="499"/>
        <v>799.86037894736819</v>
      </c>
      <c r="BK77" s="536">
        <f t="shared" si="499"/>
        <v>919.9959847826085</v>
      </c>
      <c r="BL77" s="535">
        <f t="shared" si="499"/>
        <v>1012.4721449999995</v>
      </c>
      <c r="BM77" s="535">
        <f t="shared" si="499"/>
        <v>1298.192334999999</v>
      </c>
      <c r="BN77" s="535">
        <f t="shared" si="499"/>
        <v>559.83560347826062</v>
      </c>
      <c r="BO77" s="535">
        <f t="shared" si="499"/>
        <v>955.18459145454506</v>
      </c>
      <c r="BP77" s="535">
        <f t="shared" si="499"/>
        <v>565.4610719999996</v>
      </c>
      <c r="BQ77" s="535">
        <f t="shared" si="499"/>
        <v>858.58867199999963</v>
      </c>
      <c r="BR77" s="535">
        <f t="shared" si="499"/>
        <v>990.15845499999944</v>
      </c>
      <c r="BS77" s="535">
        <f t="shared" si="499"/>
        <v>1325.8654315789465</v>
      </c>
      <c r="BT77" s="535">
        <f t="shared" si="499"/>
        <v>1321.6787743024004</v>
      </c>
      <c r="BU77" s="535">
        <f t="shared" si="499"/>
        <v>1226.2622780305596</v>
      </c>
      <c r="BV77" s="535">
        <f t="shared" si="499"/>
        <v>1126.8787673684205</v>
      </c>
      <c r="BW77" s="536">
        <f t="shared" si="499"/>
        <v>1298.3163352173904</v>
      </c>
      <c r="BX77" s="535">
        <f t="shared" si="499"/>
        <v>1506.7485593999988</v>
      </c>
      <c r="BY77" s="535">
        <f t="shared" si="499"/>
        <v>1843.6662689999985</v>
      </c>
      <c r="BZ77" s="535">
        <f t="shared" si="499"/>
        <v>726.13483920948568</v>
      </c>
      <c r="CA77" s="535">
        <f t="shared" si="499"/>
        <v>1489.3053576545444</v>
      </c>
      <c r="CB77" s="535">
        <f t="shared" si="499"/>
        <v>805.40870079999934</v>
      </c>
      <c r="CC77" s="535">
        <f t="shared" si="499"/>
        <v>1167.7940980363628</v>
      </c>
      <c r="CD77" s="535">
        <f t="shared" si="499"/>
        <v>1480.1005559166654</v>
      </c>
      <c r="CE77" s="535">
        <f t="shared" si="499"/>
        <v>1803.7334810526304</v>
      </c>
      <c r="CF77" s="535">
        <f t="shared" si="499"/>
        <v>1970.951055652173</v>
      </c>
      <c r="CG77" s="535">
        <f t="shared" si="499"/>
        <v>1742.2696906576107</v>
      </c>
      <c r="CH77" s="535">
        <f t="shared" si="499"/>
        <v>1461.9753191121272</v>
      </c>
      <c r="CI77" s="536">
        <f t="shared" si="499"/>
        <v>2007.7092139999986</v>
      </c>
      <c r="CJ77" s="535">
        <f t="shared" si="499"/>
        <v>2019.0195791999984</v>
      </c>
      <c r="CK77" s="535">
        <f t="shared" si="499"/>
        <v>2481.438612399998</v>
      </c>
      <c r="CL77" s="535">
        <f t="shared" si="499"/>
        <v>1070.277741305928</v>
      </c>
      <c r="CM77" s="535">
        <f t="shared" si="499"/>
        <v>2096.0003825345434</v>
      </c>
      <c r="CN77" s="535">
        <f t="shared" si="499"/>
        <v>1076.3189001599985</v>
      </c>
      <c r="CO77" s="535">
        <f t="shared" si="499"/>
        <v>1712.7646771199977</v>
      </c>
      <c r="CP77" s="535">
        <f t="shared" si="499"/>
        <v>2066.5282991166641</v>
      </c>
      <c r="CQ77" s="535">
        <f t="shared" si="499"/>
        <v>2393.9320417224853</v>
      </c>
      <c r="CR77" s="535">
        <f t="shared" si="499"/>
        <v>2881.6678524179074</v>
      </c>
      <c r="CS77" s="535">
        <f t="shared" si="499"/>
        <v>2436.6273167791715</v>
      </c>
      <c r="CT77" s="535">
        <f t="shared" si="499"/>
        <v>2051.0715039652155</v>
      </c>
      <c r="CU77" s="536">
        <f t="shared" si="499"/>
        <v>2822.0978995999976</v>
      </c>
      <c r="CV77" s="535">
        <f t="shared" si="499"/>
        <v>2834.1435358799977</v>
      </c>
      <c r="CW77" s="535">
        <f t="shared" si="499"/>
        <v>3325.0739524799965</v>
      </c>
      <c r="CX77" s="535">
        <f t="shared" si="499"/>
        <v>1577.2299263791288</v>
      </c>
      <c r="CY77" s="535">
        <f t="shared" si="499"/>
        <v>2950.859858275634</v>
      </c>
      <c r="CZ77" s="535">
        <f t="shared" si="499"/>
        <v>1449.167866879998</v>
      </c>
      <c r="DA77" s="535">
        <f t="shared" si="499"/>
        <v>2526.421772875633</v>
      </c>
      <c r="DB77" s="535">
        <f t="shared" ref="DB77:DG77" si="500">+DB76*DB81</f>
        <v>2783.456314686664</v>
      </c>
      <c r="DC77" s="535">
        <f t="shared" si="500"/>
        <v>3536.4774458296615</v>
      </c>
      <c r="DD77" s="535">
        <f t="shared" si="500"/>
        <v>4062.1250456238781</v>
      </c>
      <c r="DE77" s="535">
        <f t="shared" si="500"/>
        <v>3273.2604492775281</v>
      </c>
      <c r="DF77" s="535">
        <f t="shared" si="500"/>
        <v>3030.7937435730864</v>
      </c>
      <c r="DG77" s="535">
        <f t="shared" si="500"/>
        <v>0</v>
      </c>
    </row>
    <row r="78" spans="1:111" s="57" customFormat="1" x14ac:dyDescent="0.3">
      <c r="A78"/>
      <c r="B78" s="1" t="s">
        <v>359</v>
      </c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/>
      <c r="AC78"/>
      <c r="AD78"/>
      <c r="AE78"/>
      <c r="AF78"/>
      <c r="AG78"/>
      <c r="AH78"/>
      <c r="AI78"/>
      <c r="AJ78"/>
      <c r="AK78"/>
      <c r="AL78"/>
      <c r="AM78" s="97"/>
      <c r="AN78" s="113">
        <v>0</v>
      </c>
      <c r="AO78" s="115">
        <v>0</v>
      </c>
      <c r="AP78" s="115">
        <v>0</v>
      </c>
      <c r="AQ78" s="115">
        <v>0</v>
      </c>
      <c r="AR78" s="115">
        <v>0</v>
      </c>
      <c r="AS78" s="115">
        <v>0</v>
      </c>
      <c r="AT78" s="115">
        <v>0</v>
      </c>
      <c r="AU78" s="115">
        <v>0</v>
      </c>
      <c r="AV78" s="115">
        <v>0</v>
      </c>
      <c r="AW78" s="185">
        <v>0</v>
      </c>
      <c r="AX78" s="717">
        <f>+AX76*AX82</f>
        <v>0</v>
      </c>
      <c r="AY78" s="536">
        <f t="shared" ref="AY78:DA78" si="501">+AY76*AY82</f>
        <v>0</v>
      </c>
      <c r="AZ78" s="535">
        <f t="shared" si="501"/>
        <v>0</v>
      </c>
      <c r="BA78" s="535">
        <f t="shared" si="501"/>
        <v>0</v>
      </c>
      <c r="BB78" s="535">
        <f t="shared" si="501"/>
        <v>0</v>
      </c>
      <c r="BC78" s="535">
        <f t="shared" si="501"/>
        <v>0</v>
      </c>
      <c r="BD78" s="535">
        <f t="shared" si="501"/>
        <v>0</v>
      </c>
      <c r="BE78" s="535">
        <f t="shared" si="501"/>
        <v>0</v>
      </c>
      <c r="BF78" s="535">
        <f t="shared" si="501"/>
        <v>0</v>
      </c>
      <c r="BG78" s="535">
        <f t="shared" si="501"/>
        <v>0</v>
      </c>
      <c r="BH78" s="535">
        <f t="shared" si="501"/>
        <v>0</v>
      </c>
      <c r="BI78" s="535">
        <f t="shared" si="501"/>
        <v>0</v>
      </c>
      <c r="BJ78" s="535">
        <f t="shared" si="501"/>
        <v>0</v>
      </c>
      <c r="BK78" s="536">
        <f t="shared" si="501"/>
        <v>0</v>
      </c>
      <c r="BL78" s="535">
        <f t="shared" si="501"/>
        <v>0</v>
      </c>
      <c r="BM78" s="535">
        <f t="shared" si="501"/>
        <v>0</v>
      </c>
      <c r="BN78" s="535">
        <f t="shared" si="501"/>
        <v>0</v>
      </c>
      <c r="BO78" s="535">
        <f t="shared" si="501"/>
        <v>0</v>
      </c>
      <c r="BP78" s="535">
        <f t="shared" si="501"/>
        <v>0</v>
      </c>
      <c r="BQ78" s="535">
        <f t="shared" si="501"/>
        <v>0</v>
      </c>
      <c r="BR78" s="535">
        <f t="shared" si="501"/>
        <v>0</v>
      </c>
      <c r="BS78" s="535">
        <f t="shared" si="501"/>
        <v>0</v>
      </c>
      <c r="BT78" s="535">
        <f t="shared" si="501"/>
        <v>0</v>
      </c>
      <c r="BU78" s="535">
        <f t="shared" si="501"/>
        <v>0</v>
      </c>
      <c r="BV78" s="535">
        <f t="shared" si="501"/>
        <v>0</v>
      </c>
      <c r="BW78" s="536">
        <f t="shared" si="501"/>
        <v>0</v>
      </c>
      <c r="BX78" s="535">
        <f t="shared" si="501"/>
        <v>2954.408939999998</v>
      </c>
      <c r="BY78" s="535">
        <f t="shared" si="501"/>
        <v>3615.0318999999972</v>
      </c>
      <c r="BZ78" s="535">
        <f t="shared" si="501"/>
        <v>1423.7938023715406</v>
      </c>
      <c r="CA78" s="535">
        <f t="shared" si="501"/>
        <v>2920.2065836363613</v>
      </c>
      <c r="CB78" s="535">
        <f t="shared" si="501"/>
        <v>1579.2327466666654</v>
      </c>
      <c r="CC78" s="535">
        <f t="shared" si="501"/>
        <v>2289.7923490909075</v>
      </c>
      <c r="CD78" s="535">
        <f t="shared" si="501"/>
        <v>2902.1579527777753</v>
      </c>
      <c r="CE78" s="535">
        <f t="shared" si="501"/>
        <v>3536.7323157894712</v>
      </c>
      <c r="CF78" s="535">
        <f t="shared" si="501"/>
        <v>3864.6099130434764</v>
      </c>
      <c r="CG78" s="535">
        <f t="shared" si="501"/>
        <v>3416.2150797208055</v>
      </c>
      <c r="CH78" s="535">
        <f t="shared" si="501"/>
        <v>2866.618272768877</v>
      </c>
      <c r="CI78" s="536">
        <f t="shared" si="501"/>
        <v>3936.6847333333308</v>
      </c>
      <c r="CJ78" s="535">
        <f t="shared" si="501"/>
        <v>5278.4825599999967</v>
      </c>
      <c r="CK78" s="535">
        <f t="shared" si="501"/>
        <v>6487.4212088888835</v>
      </c>
      <c r="CL78" s="535">
        <f t="shared" si="501"/>
        <v>2798.1117419762822</v>
      </c>
      <c r="CM78" s="535">
        <f t="shared" si="501"/>
        <v>5479.7395621818141</v>
      </c>
      <c r="CN78" s="535">
        <f t="shared" si="501"/>
        <v>2813.9056213333297</v>
      </c>
      <c r="CO78" s="535">
        <f t="shared" si="501"/>
        <v>4477.8161493333273</v>
      </c>
      <c r="CP78" s="535">
        <f t="shared" si="501"/>
        <v>5402.6883637036972</v>
      </c>
      <c r="CQ78" s="535">
        <f t="shared" si="501"/>
        <v>6258.6458607123805</v>
      </c>
      <c r="CR78" s="535">
        <f t="shared" si="501"/>
        <v>7533.7721631840723</v>
      </c>
      <c r="CS78" s="535">
        <f t="shared" si="501"/>
        <v>6370.2674948475069</v>
      </c>
      <c r="CT78" s="535">
        <f t="shared" si="501"/>
        <v>5362.2784417391267</v>
      </c>
      <c r="CU78" s="536">
        <f t="shared" si="501"/>
        <v>7378.0337244444381</v>
      </c>
      <c r="CV78" s="535">
        <f t="shared" si="501"/>
        <v>7409.5255839999945</v>
      </c>
      <c r="CW78" s="535">
        <f t="shared" si="501"/>
        <v>8693.0037973333237</v>
      </c>
      <c r="CX78" s="535">
        <f t="shared" si="501"/>
        <v>4123.4769317101409</v>
      </c>
      <c r="CY78" s="535">
        <f t="shared" si="501"/>
        <v>7714.6662961454485</v>
      </c>
      <c r="CZ78" s="535">
        <f t="shared" si="501"/>
        <v>3788.674161777773</v>
      </c>
      <c r="DA78" s="535">
        <f t="shared" si="501"/>
        <v>6605.0242428121128</v>
      </c>
      <c r="DB78" s="535">
        <f t="shared" ref="DB78:DG78" si="502">+DB76*DB82</f>
        <v>7277.0099730370312</v>
      </c>
      <c r="DC78" s="535">
        <f t="shared" si="502"/>
        <v>9245.692668835718</v>
      </c>
      <c r="DD78" s="535">
        <f t="shared" si="502"/>
        <v>10619.93475980099</v>
      </c>
      <c r="DE78" s="535">
        <f t="shared" si="502"/>
        <v>8557.5436582419043</v>
      </c>
      <c r="DF78" s="535">
        <f t="shared" si="502"/>
        <v>7923.6437740472848</v>
      </c>
      <c r="DG78" s="535">
        <f t="shared" si="502"/>
        <v>0</v>
      </c>
    </row>
    <row r="79" spans="1:111" s="57" customFormat="1" x14ac:dyDescent="0.3">
      <c r="A79"/>
      <c r="B79" s="1" t="s">
        <v>366</v>
      </c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/>
      <c r="AC79"/>
      <c r="AD79"/>
      <c r="AE79"/>
      <c r="AF79"/>
      <c r="AG79"/>
      <c r="AH79"/>
      <c r="AI79"/>
      <c r="AJ79"/>
      <c r="AK79"/>
      <c r="AL79"/>
      <c r="AM79" s="97"/>
      <c r="AN79" s="113">
        <v>995.35</v>
      </c>
      <c r="AO79" s="115">
        <v>615</v>
      </c>
      <c r="AP79" s="115">
        <v>0</v>
      </c>
      <c r="AQ79" s="115">
        <v>0</v>
      </c>
      <c r="AR79" s="115">
        <v>0</v>
      </c>
      <c r="AS79" s="115">
        <v>0</v>
      </c>
      <c r="AT79" s="115">
        <v>0</v>
      </c>
      <c r="AU79" s="115">
        <v>0</v>
      </c>
      <c r="AV79" s="115">
        <v>0</v>
      </c>
      <c r="AW79" s="185">
        <v>0</v>
      </c>
      <c r="AX79" s="717">
        <v>0</v>
      </c>
      <c r="AY79" s="536">
        <f t="shared" ref="AY79:DB79" si="503">+AX79</f>
        <v>0</v>
      </c>
      <c r="AZ79" s="535">
        <f t="shared" si="503"/>
        <v>0</v>
      </c>
      <c r="BA79" s="535">
        <f t="shared" si="503"/>
        <v>0</v>
      </c>
      <c r="BB79" s="535">
        <f t="shared" si="503"/>
        <v>0</v>
      </c>
      <c r="BC79" s="535">
        <f t="shared" si="503"/>
        <v>0</v>
      </c>
      <c r="BD79" s="535">
        <f t="shared" si="503"/>
        <v>0</v>
      </c>
      <c r="BE79" s="535">
        <f t="shared" si="503"/>
        <v>0</v>
      </c>
      <c r="BF79" s="535">
        <f t="shared" si="503"/>
        <v>0</v>
      </c>
      <c r="BG79" s="535">
        <f t="shared" si="503"/>
        <v>0</v>
      </c>
      <c r="BH79" s="535">
        <f t="shared" si="503"/>
        <v>0</v>
      </c>
      <c r="BI79" s="535">
        <f t="shared" si="503"/>
        <v>0</v>
      </c>
      <c r="BJ79" s="535">
        <f t="shared" si="503"/>
        <v>0</v>
      </c>
      <c r="BK79" s="536">
        <f t="shared" si="503"/>
        <v>0</v>
      </c>
      <c r="BL79" s="535">
        <f t="shared" si="503"/>
        <v>0</v>
      </c>
      <c r="BM79" s="535">
        <f t="shared" si="503"/>
        <v>0</v>
      </c>
      <c r="BN79" s="535">
        <f t="shared" si="503"/>
        <v>0</v>
      </c>
      <c r="BO79" s="535">
        <f t="shared" si="503"/>
        <v>0</v>
      </c>
      <c r="BP79" s="535">
        <f t="shared" si="503"/>
        <v>0</v>
      </c>
      <c r="BQ79" s="535">
        <f t="shared" si="503"/>
        <v>0</v>
      </c>
      <c r="BR79" s="535">
        <f t="shared" si="503"/>
        <v>0</v>
      </c>
      <c r="BS79" s="535">
        <f t="shared" si="503"/>
        <v>0</v>
      </c>
      <c r="BT79" s="535">
        <f t="shared" si="503"/>
        <v>0</v>
      </c>
      <c r="BU79" s="535">
        <f t="shared" si="503"/>
        <v>0</v>
      </c>
      <c r="BV79" s="535">
        <f t="shared" si="503"/>
        <v>0</v>
      </c>
      <c r="BW79" s="536">
        <f t="shared" si="503"/>
        <v>0</v>
      </c>
      <c r="BX79" s="535">
        <f t="shared" si="503"/>
        <v>0</v>
      </c>
      <c r="BY79" s="535">
        <f t="shared" si="503"/>
        <v>0</v>
      </c>
      <c r="BZ79" s="535">
        <f t="shared" si="503"/>
        <v>0</v>
      </c>
      <c r="CA79" s="535">
        <f t="shared" si="503"/>
        <v>0</v>
      </c>
      <c r="CB79" s="535">
        <f t="shared" si="503"/>
        <v>0</v>
      </c>
      <c r="CC79" s="535">
        <f t="shared" si="503"/>
        <v>0</v>
      </c>
      <c r="CD79" s="535">
        <f t="shared" si="503"/>
        <v>0</v>
      </c>
      <c r="CE79" s="535">
        <f t="shared" si="503"/>
        <v>0</v>
      </c>
      <c r="CF79" s="535">
        <f t="shared" si="503"/>
        <v>0</v>
      </c>
      <c r="CG79" s="535">
        <f t="shared" si="503"/>
        <v>0</v>
      </c>
      <c r="CH79" s="535">
        <f t="shared" si="503"/>
        <v>0</v>
      </c>
      <c r="CI79" s="536">
        <f t="shared" si="503"/>
        <v>0</v>
      </c>
      <c r="CJ79" s="535">
        <f t="shared" si="503"/>
        <v>0</v>
      </c>
      <c r="CK79" s="535">
        <f t="shared" si="503"/>
        <v>0</v>
      </c>
      <c r="CL79" s="535">
        <f t="shared" si="503"/>
        <v>0</v>
      </c>
      <c r="CM79" s="535">
        <f t="shared" si="503"/>
        <v>0</v>
      </c>
      <c r="CN79" s="535">
        <f t="shared" si="503"/>
        <v>0</v>
      </c>
      <c r="CO79" s="535">
        <f t="shared" si="503"/>
        <v>0</v>
      </c>
      <c r="CP79" s="535">
        <f t="shared" si="503"/>
        <v>0</v>
      </c>
      <c r="CQ79" s="535">
        <f t="shared" si="503"/>
        <v>0</v>
      </c>
      <c r="CR79" s="535">
        <f t="shared" si="503"/>
        <v>0</v>
      </c>
      <c r="CS79" s="535">
        <f t="shared" si="503"/>
        <v>0</v>
      </c>
      <c r="CT79" s="535">
        <f t="shared" si="503"/>
        <v>0</v>
      </c>
      <c r="CU79" s="536">
        <f t="shared" si="503"/>
        <v>0</v>
      </c>
      <c r="CV79" s="535">
        <f t="shared" si="503"/>
        <v>0</v>
      </c>
      <c r="CW79" s="535">
        <f t="shared" si="503"/>
        <v>0</v>
      </c>
      <c r="CX79" s="535">
        <f t="shared" si="503"/>
        <v>0</v>
      </c>
      <c r="CY79" s="535">
        <f t="shared" si="503"/>
        <v>0</v>
      </c>
      <c r="CZ79" s="535">
        <f t="shared" si="503"/>
        <v>0</v>
      </c>
      <c r="DA79" s="535">
        <f t="shared" si="503"/>
        <v>0</v>
      </c>
      <c r="DB79" s="535">
        <f t="shared" si="503"/>
        <v>0</v>
      </c>
      <c r="DC79" s="535">
        <f t="shared" ref="DC79:DG79" si="504">+DB79</f>
        <v>0</v>
      </c>
      <c r="DD79" s="535">
        <f t="shared" si="504"/>
        <v>0</v>
      </c>
      <c r="DE79" s="535">
        <f t="shared" si="504"/>
        <v>0</v>
      </c>
      <c r="DF79" s="535">
        <f t="shared" si="504"/>
        <v>0</v>
      </c>
      <c r="DG79" s="535">
        <f t="shared" si="504"/>
        <v>0</v>
      </c>
    </row>
    <row r="80" spans="1:111" s="57" customFormat="1" x14ac:dyDescent="0.3">
      <c r="A80"/>
      <c r="B80" s="4" t="s">
        <v>360</v>
      </c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/>
      <c r="AC80"/>
      <c r="AD80"/>
      <c r="AE80"/>
      <c r="AF80"/>
      <c r="AG80"/>
      <c r="AH80" s="55">
        <f t="shared" ref="AH80:AM80" si="505">SUM(AH76:AH78)</f>
        <v>0</v>
      </c>
      <c r="AI80" s="55">
        <f t="shared" si="505"/>
        <v>0</v>
      </c>
      <c r="AJ80" s="55">
        <f t="shared" si="505"/>
        <v>0</v>
      </c>
      <c r="AK80" s="55">
        <f t="shared" si="505"/>
        <v>0</v>
      </c>
      <c r="AL80" s="55">
        <f t="shared" si="505"/>
        <v>0</v>
      </c>
      <c r="AM80" s="514">
        <f t="shared" si="505"/>
        <v>0</v>
      </c>
      <c r="AN80" s="55">
        <f t="shared" ref="AN80:AR80" si="506">SUM(AN76:AN79)</f>
        <v>2407.42</v>
      </c>
      <c r="AO80" s="55">
        <f t="shared" si="506"/>
        <v>5055.82</v>
      </c>
      <c r="AP80" s="55">
        <f t="shared" si="506"/>
        <v>4826.3</v>
      </c>
      <c r="AQ80" s="55">
        <f t="shared" si="506"/>
        <v>2637.43</v>
      </c>
      <c r="AR80" s="55">
        <f t="shared" si="506"/>
        <v>2109.94</v>
      </c>
      <c r="AS80" s="55">
        <f t="shared" ref="AS80:AT80" si="507">SUM(AS76:AS79)</f>
        <v>2637.42</v>
      </c>
      <c r="AT80" s="55">
        <f t="shared" si="507"/>
        <v>7430.77</v>
      </c>
      <c r="AU80" s="55">
        <f t="shared" ref="AU80:AV80" si="508">SUM(AU76:AU79)</f>
        <v>15086.140000000001</v>
      </c>
      <c r="AV80" s="55">
        <f t="shared" si="508"/>
        <v>10549.7</v>
      </c>
      <c r="AW80" s="305">
        <f t="shared" ref="AW80" si="509">SUM(AW76:AW79)</f>
        <v>15447.77</v>
      </c>
      <c r="AX80" s="55">
        <f t="shared" ref="AX80" si="510">SUM(AX76:AX79)</f>
        <v>5695.8723524027473</v>
      </c>
      <c r="AY80" s="305">
        <f t="shared" ref="AY80:DA80" si="511">SUM(AY76:AY79)</f>
        <v>7676.7815241545886</v>
      </c>
      <c r="AZ80" s="55">
        <f t="shared" si="511"/>
        <v>8665.771174999998</v>
      </c>
      <c r="BA80" s="55">
        <f t="shared" si="511"/>
        <v>11001.542933333332</v>
      </c>
      <c r="BB80" s="55">
        <f t="shared" si="511"/>
        <v>5130.2776101449263</v>
      </c>
      <c r="BC80" s="55">
        <f t="shared" si="511"/>
        <v>9072.2145149999978</v>
      </c>
      <c r="BD80" s="55">
        <f t="shared" si="511"/>
        <v>5476.141146666665</v>
      </c>
      <c r="BE80" s="55">
        <f t="shared" si="511"/>
        <v>8853.7571078787896</v>
      </c>
      <c r="BF80" s="55">
        <f t="shared" si="511"/>
        <v>9345.5270999999993</v>
      </c>
      <c r="BG80" s="55">
        <f t="shared" si="511"/>
        <v>13174.081093567249</v>
      </c>
      <c r="BH80" s="55">
        <f t="shared" si="511"/>
        <v>13798.515991347607</v>
      </c>
      <c r="BI80" s="55">
        <f t="shared" si="511"/>
        <v>11667.468495460545</v>
      </c>
      <c r="BJ80" s="55">
        <f t="shared" si="511"/>
        <v>11255.55160701754</v>
      </c>
      <c r="BK80" s="305">
        <f t="shared" si="511"/>
        <v>12946.087289130432</v>
      </c>
      <c r="BL80" s="55">
        <f t="shared" si="511"/>
        <v>14247.402144999993</v>
      </c>
      <c r="BM80" s="55">
        <f t="shared" si="511"/>
        <v>18268.026779444433</v>
      </c>
      <c r="BN80" s="55">
        <f t="shared" si="511"/>
        <v>7877.9480672463733</v>
      </c>
      <c r="BO80" s="55">
        <f t="shared" si="511"/>
        <v>13441.25768236363</v>
      </c>
      <c r="BP80" s="55">
        <f t="shared" si="511"/>
        <v>7957.1090719999938</v>
      </c>
      <c r="BQ80" s="55">
        <f t="shared" si="511"/>
        <v>12081.970005333329</v>
      </c>
      <c r="BR80" s="55">
        <f t="shared" si="511"/>
        <v>13933.40623277777</v>
      </c>
      <c r="BS80" s="55">
        <f t="shared" si="511"/>
        <v>18657.439700584782</v>
      </c>
      <c r="BT80" s="55">
        <f t="shared" si="511"/>
        <v>18598.525497209594</v>
      </c>
      <c r="BU80" s="55">
        <f t="shared" si="511"/>
        <v>17255.834539867941</v>
      </c>
      <c r="BV80" s="55">
        <f t="shared" si="511"/>
        <v>15857.320170877185</v>
      </c>
      <c r="BW80" s="305">
        <f t="shared" si="511"/>
        <v>18269.77169753622</v>
      </c>
      <c r="BX80" s="55">
        <f t="shared" si="511"/>
        <v>24157.217099399983</v>
      </c>
      <c r="BY80" s="55">
        <f t="shared" si="511"/>
        <v>29558.910835666644</v>
      </c>
      <c r="BZ80" s="55">
        <f t="shared" si="511"/>
        <v>11641.887324057963</v>
      </c>
      <c r="CA80" s="55">
        <f t="shared" si="511"/>
        <v>23877.555832199985</v>
      </c>
      <c r="CB80" s="55">
        <f t="shared" si="511"/>
        <v>12912.859758577766</v>
      </c>
      <c r="CC80" s="55">
        <f t="shared" si="511"/>
        <v>18722.868774399987</v>
      </c>
      <c r="CD80" s="55">
        <f t="shared" si="511"/>
        <v>23729.978193879611</v>
      </c>
      <c r="CE80" s="55">
        <f t="shared" si="511"/>
        <v>28918.681235438577</v>
      </c>
      <c r="CF80" s="55">
        <f t="shared" si="511"/>
        <v>31599.627055652163</v>
      </c>
      <c r="CG80" s="55">
        <f t="shared" si="511"/>
        <v>27933.251968517117</v>
      </c>
      <c r="CH80" s="55">
        <f t="shared" si="511"/>
        <v>23439.382077006849</v>
      </c>
      <c r="CI80" s="305">
        <f t="shared" si="511"/>
        <v>32188.958836222202</v>
      </c>
      <c r="CJ80" s="55">
        <f t="shared" si="511"/>
        <v>33689.914939199974</v>
      </c>
      <c r="CK80" s="55">
        <f t="shared" si="511"/>
        <v>41405.965865733298</v>
      </c>
      <c r="CL80" s="55">
        <f t="shared" si="511"/>
        <v>17858.948193163622</v>
      </c>
      <c r="CM80" s="55">
        <f t="shared" si="511"/>
        <v>34974.437755625426</v>
      </c>
      <c r="CN80" s="55">
        <f t="shared" si="511"/>
        <v>17959.752628159975</v>
      </c>
      <c r="CO80" s="55">
        <f t="shared" si="511"/>
        <v>28579.661573119964</v>
      </c>
      <c r="CP80" s="55">
        <f t="shared" si="511"/>
        <v>34482.658481338847</v>
      </c>
      <c r="CQ80" s="55">
        <f t="shared" si="511"/>
        <v>39945.807205996767</v>
      </c>
      <c r="CR80" s="55">
        <f t="shared" si="511"/>
        <v>48084.300831522341</v>
      </c>
      <c r="CS80" s="55">
        <f t="shared" si="511"/>
        <v>40658.232285864215</v>
      </c>
      <c r="CT80" s="55">
        <f t="shared" si="511"/>
        <v>34224.742154399974</v>
      </c>
      <c r="CU80" s="305">
        <f t="shared" si="511"/>
        <v>47090.300246266626</v>
      </c>
      <c r="CV80" s="55">
        <f t="shared" si="511"/>
        <v>47291.297039879966</v>
      </c>
      <c r="CW80" s="55">
        <f t="shared" si="511"/>
        <v>55483.096736479936</v>
      </c>
      <c r="CX80" s="55">
        <f t="shared" si="511"/>
        <v>26318.091516639972</v>
      </c>
      <c r="CY80" s="55">
        <f t="shared" si="511"/>
        <v>49238.857635148321</v>
      </c>
      <c r="CZ80" s="55">
        <f t="shared" si="511"/>
        <v>24181.212837546635</v>
      </c>
      <c r="DA80" s="55">
        <f t="shared" si="511"/>
        <v>42156.567229748311</v>
      </c>
      <c r="DB80" s="55">
        <f t="shared" ref="DB80:DG80" si="512">SUM(DB76:DB79)</f>
        <v>46445.516152908851</v>
      </c>
      <c r="DC80" s="55">
        <f t="shared" si="512"/>
        <v>59010.633458843964</v>
      </c>
      <c r="DD80" s="55">
        <f t="shared" si="512"/>
        <v>67781.733604429814</v>
      </c>
      <c r="DE80" s="55">
        <f t="shared" si="512"/>
        <v>54618.52239872895</v>
      </c>
      <c r="DF80" s="55">
        <f t="shared" si="512"/>
        <v>50572.65638785679</v>
      </c>
      <c r="DG80" s="55">
        <f t="shared" si="512"/>
        <v>0</v>
      </c>
    </row>
    <row r="81" spans="1:111" s="57" customFormat="1" x14ac:dyDescent="0.3">
      <c r="A81"/>
      <c r="B81" s="537"/>
      <c r="C81" s="537" t="s">
        <v>361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/>
      <c r="AC81"/>
      <c r="AD81"/>
      <c r="AE81"/>
      <c r="AF81"/>
      <c r="AG81"/>
      <c r="AH81" s="538"/>
      <c r="AI81" s="538"/>
      <c r="AJ81" s="538"/>
      <c r="AK81" s="538"/>
      <c r="AL81" s="538"/>
      <c r="AM81" s="564"/>
      <c r="AN81" s="538">
        <f t="shared" ref="AN81:AS81" si="513">+AN77/AN76</f>
        <v>0.10750588235294117</v>
      </c>
      <c r="AO81" s="538">
        <f t="shared" si="513"/>
        <v>0.10881897627965044</v>
      </c>
      <c r="AP81" s="538">
        <f t="shared" si="513"/>
        <v>9.4399092970521542E-2</v>
      </c>
      <c r="AQ81" s="538">
        <f t="shared" si="513"/>
        <v>7.6502040816326528E-2</v>
      </c>
      <c r="AR81" s="538">
        <f t="shared" si="513"/>
        <v>7.6499999999999999E-2</v>
      </c>
      <c r="AS81" s="538">
        <f t="shared" si="513"/>
        <v>7.649795918367347E-2</v>
      </c>
      <c r="AT81" s="538">
        <f t="shared" ref="AT81:AU81" si="514">+AT77/AT76</f>
        <v>2.0710164835164836E-2</v>
      </c>
      <c r="AU81" s="538">
        <f t="shared" si="514"/>
        <v>5.84759378924695E-2</v>
      </c>
      <c r="AV81" s="538">
        <f t="shared" ref="AV81:AW81" si="515">+AV77/AV76</f>
        <v>7.6499999999999999E-2</v>
      </c>
      <c r="AW81" s="539">
        <f t="shared" si="515"/>
        <v>7.6499651567944249E-2</v>
      </c>
      <c r="AX81" s="540">
        <v>7.6499999999999999E-2</v>
      </c>
      <c r="AY81" s="539">
        <f t="shared" ref="AY81:BE82" si="516">+AX81</f>
        <v>7.6499999999999999E-2</v>
      </c>
      <c r="AZ81" s="538">
        <f t="shared" si="516"/>
        <v>7.6499999999999999E-2</v>
      </c>
      <c r="BA81" s="538">
        <f t="shared" si="516"/>
        <v>7.6499999999999999E-2</v>
      </c>
      <c r="BB81" s="538">
        <f t="shared" si="516"/>
        <v>7.6499999999999999E-2</v>
      </c>
      <c r="BC81" s="538">
        <f t="shared" si="516"/>
        <v>7.6499999999999999E-2</v>
      </c>
      <c r="BD81" s="538">
        <f t="shared" si="516"/>
        <v>7.6499999999999999E-2</v>
      </c>
      <c r="BE81" s="538">
        <f t="shared" si="516"/>
        <v>7.6499999999999999E-2</v>
      </c>
      <c r="BF81" s="538">
        <f t="shared" ref="BF81:BU82" si="517">+BE81</f>
        <v>7.6499999999999999E-2</v>
      </c>
      <c r="BG81" s="538">
        <f t="shared" si="517"/>
        <v>7.6499999999999999E-2</v>
      </c>
      <c r="BH81" s="538">
        <f t="shared" si="517"/>
        <v>7.6499999999999999E-2</v>
      </c>
      <c r="BI81" s="538">
        <f t="shared" si="517"/>
        <v>7.6499999999999999E-2</v>
      </c>
      <c r="BJ81" s="538">
        <f t="shared" si="517"/>
        <v>7.6499999999999999E-2</v>
      </c>
      <c r="BK81" s="539">
        <f t="shared" si="517"/>
        <v>7.6499999999999999E-2</v>
      </c>
      <c r="BL81" s="538">
        <f t="shared" si="517"/>
        <v>7.6499999999999999E-2</v>
      </c>
      <c r="BM81" s="538">
        <f t="shared" si="517"/>
        <v>7.6499999999999999E-2</v>
      </c>
      <c r="BN81" s="538">
        <f t="shared" si="517"/>
        <v>7.6499999999999999E-2</v>
      </c>
      <c r="BO81" s="538">
        <f t="shared" si="517"/>
        <v>7.6499999999999999E-2</v>
      </c>
      <c r="BP81" s="538">
        <f t="shared" si="517"/>
        <v>7.6499999999999999E-2</v>
      </c>
      <c r="BQ81" s="538">
        <f t="shared" si="517"/>
        <v>7.6499999999999999E-2</v>
      </c>
      <c r="BR81" s="538">
        <f t="shared" si="517"/>
        <v>7.6499999999999999E-2</v>
      </c>
      <c r="BS81" s="538">
        <f t="shared" si="517"/>
        <v>7.6499999999999999E-2</v>
      </c>
      <c r="BT81" s="538">
        <f t="shared" si="517"/>
        <v>7.6499999999999999E-2</v>
      </c>
      <c r="BU81" s="538">
        <f t="shared" si="517"/>
        <v>7.6499999999999999E-2</v>
      </c>
      <c r="BV81" s="538">
        <f t="shared" ref="BV81:CK82" si="518">+BU81</f>
        <v>7.6499999999999999E-2</v>
      </c>
      <c r="BW81" s="539">
        <f t="shared" si="518"/>
        <v>7.6499999999999999E-2</v>
      </c>
      <c r="BX81" s="538">
        <f t="shared" si="518"/>
        <v>7.6499999999999999E-2</v>
      </c>
      <c r="BY81" s="538">
        <f t="shared" si="518"/>
        <v>7.6499999999999999E-2</v>
      </c>
      <c r="BZ81" s="538">
        <f t="shared" si="518"/>
        <v>7.6499999999999999E-2</v>
      </c>
      <c r="CA81" s="538">
        <f t="shared" si="518"/>
        <v>7.6499999999999999E-2</v>
      </c>
      <c r="CB81" s="538">
        <f t="shared" si="518"/>
        <v>7.6499999999999999E-2</v>
      </c>
      <c r="CC81" s="538">
        <f t="shared" si="518"/>
        <v>7.6499999999999999E-2</v>
      </c>
      <c r="CD81" s="538">
        <f t="shared" si="518"/>
        <v>7.6499999999999999E-2</v>
      </c>
      <c r="CE81" s="538">
        <f t="shared" si="518"/>
        <v>7.6499999999999999E-2</v>
      </c>
      <c r="CF81" s="538">
        <f t="shared" si="518"/>
        <v>7.6499999999999999E-2</v>
      </c>
      <c r="CG81" s="538">
        <f t="shared" si="518"/>
        <v>7.6499999999999999E-2</v>
      </c>
      <c r="CH81" s="538">
        <f t="shared" si="518"/>
        <v>7.6499999999999999E-2</v>
      </c>
      <c r="CI81" s="539">
        <f t="shared" si="518"/>
        <v>7.6499999999999999E-2</v>
      </c>
      <c r="CJ81" s="538">
        <f t="shared" si="518"/>
        <v>7.6499999999999999E-2</v>
      </c>
      <c r="CK81" s="538">
        <f t="shared" si="518"/>
        <v>7.6499999999999999E-2</v>
      </c>
      <c r="CL81" s="538">
        <f t="shared" ref="CL81:DA82" si="519">+CK81</f>
        <v>7.6499999999999999E-2</v>
      </c>
      <c r="CM81" s="538">
        <f t="shared" si="519"/>
        <v>7.6499999999999999E-2</v>
      </c>
      <c r="CN81" s="538">
        <f t="shared" si="519"/>
        <v>7.6499999999999999E-2</v>
      </c>
      <c r="CO81" s="538">
        <f t="shared" si="519"/>
        <v>7.6499999999999999E-2</v>
      </c>
      <c r="CP81" s="538">
        <f t="shared" si="519"/>
        <v>7.6499999999999999E-2</v>
      </c>
      <c r="CQ81" s="538">
        <f t="shared" si="519"/>
        <v>7.6499999999999999E-2</v>
      </c>
      <c r="CR81" s="538">
        <f t="shared" si="519"/>
        <v>7.6499999999999999E-2</v>
      </c>
      <c r="CS81" s="538">
        <f t="shared" si="519"/>
        <v>7.6499999999999999E-2</v>
      </c>
      <c r="CT81" s="538">
        <f t="shared" si="519"/>
        <v>7.6499999999999999E-2</v>
      </c>
      <c r="CU81" s="539">
        <f t="shared" si="519"/>
        <v>7.6499999999999999E-2</v>
      </c>
      <c r="CV81" s="538">
        <f t="shared" si="519"/>
        <v>7.6499999999999999E-2</v>
      </c>
      <c r="CW81" s="538">
        <f t="shared" si="519"/>
        <v>7.6499999999999999E-2</v>
      </c>
      <c r="CX81" s="538">
        <f t="shared" si="519"/>
        <v>7.6499999999999999E-2</v>
      </c>
      <c r="CY81" s="538">
        <f t="shared" si="519"/>
        <v>7.6499999999999999E-2</v>
      </c>
      <c r="CZ81" s="538">
        <f t="shared" si="519"/>
        <v>7.6499999999999999E-2</v>
      </c>
      <c r="DA81" s="538">
        <f t="shared" si="519"/>
        <v>7.6499999999999999E-2</v>
      </c>
      <c r="DB81" s="538">
        <f t="shared" ref="CX81:DG82" si="520">+DA81</f>
        <v>7.6499999999999999E-2</v>
      </c>
      <c r="DC81" s="538">
        <f t="shared" si="520"/>
        <v>7.6499999999999999E-2</v>
      </c>
      <c r="DD81" s="538">
        <f t="shared" si="520"/>
        <v>7.6499999999999999E-2</v>
      </c>
      <c r="DE81" s="538">
        <f t="shared" si="520"/>
        <v>7.6499999999999999E-2</v>
      </c>
      <c r="DF81" s="538">
        <f t="shared" si="520"/>
        <v>7.6499999999999999E-2</v>
      </c>
      <c r="DG81" s="538">
        <f t="shared" si="520"/>
        <v>7.6499999999999999E-2</v>
      </c>
    </row>
    <row r="82" spans="1:111" s="57" customFormat="1" x14ac:dyDescent="0.3">
      <c r="A82"/>
      <c r="B82" s="537"/>
      <c r="C82" s="537" t="s">
        <v>362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/>
      <c r="AC82"/>
      <c r="AD82"/>
      <c r="AE82"/>
      <c r="AF82"/>
      <c r="AG82"/>
      <c r="AH82" s="538"/>
      <c r="AI82" s="538"/>
      <c r="AJ82" s="538"/>
      <c r="AK82" s="538"/>
      <c r="AL82" s="538"/>
      <c r="AM82" s="564"/>
      <c r="AN82" s="538"/>
      <c r="AO82" s="538"/>
      <c r="AP82" s="538"/>
      <c r="AQ82" s="538"/>
      <c r="AR82" s="538"/>
      <c r="AS82" s="538"/>
      <c r="AT82" s="538"/>
      <c r="AU82" s="538"/>
      <c r="AV82" s="538"/>
      <c r="AW82" s="539"/>
      <c r="AX82" s="540">
        <v>0</v>
      </c>
      <c r="AY82" s="539">
        <f t="shared" si="516"/>
        <v>0</v>
      </c>
      <c r="AZ82" s="538">
        <f t="shared" si="516"/>
        <v>0</v>
      </c>
      <c r="BA82" s="538">
        <f t="shared" si="516"/>
        <v>0</v>
      </c>
      <c r="BB82" s="538">
        <f t="shared" si="516"/>
        <v>0</v>
      </c>
      <c r="BC82" s="538">
        <f t="shared" si="516"/>
        <v>0</v>
      </c>
      <c r="BD82" s="538">
        <f t="shared" si="516"/>
        <v>0</v>
      </c>
      <c r="BE82" s="538">
        <f t="shared" si="516"/>
        <v>0</v>
      </c>
      <c r="BF82" s="538">
        <f t="shared" si="517"/>
        <v>0</v>
      </c>
      <c r="BG82" s="538">
        <f t="shared" si="517"/>
        <v>0</v>
      </c>
      <c r="BH82" s="538">
        <f t="shared" si="517"/>
        <v>0</v>
      </c>
      <c r="BI82" s="538">
        <f t="shared" si="517"/>
        <v>0</v>
      </c>
      <c r="BJ82" s="538">
        <f t="shared" si="517"/>
        <v>0</v>
      </c>
      <c r="BK82" s="539">
        <f t="shared" si="517"/>
        <v>0</v>
      </c>
      <c r="BL82" s="538">
        <f t="shared" si="517"/>
        <v>0</v>
      </c>
      <c r="BM82" s="538">
        <f t="shared" si="517"/>
        <v>0</v>
      </c>
      <c r="BN82" s="538">
        <f t="shared" si="517"/>
        <v>0</v>
      </c>
      <c r="BO82" s="538">
        <f t="shared" si="517"/>
        <v>0</v>
      </c>
      <c r="BP82" s="538">
        <f t="shared" si="517"/>
        <v>0</v>
      </c>
      <c r="BQ82" s="538">
        <f t="shared" si="517"/>
        <v>0</v>
      </c>
      <c r="BR82" s="538">
        <f t="shared" si="517"/>
        <v>0</v>
      </c>
      <c r="BS82" s="538">
        <f t="shared" si="517"/>
        <v>0</v>
      </c>
      <c r="BT82" s="538">
        <f t="shared" si="517"/>
        <v>0</v>
      </c>
      <c r="BU82" s="538">
        <f t="shared" si="517"/>
        <v>0</v>
      </c>
      <c r="BV82" s="538">
        <f t="shared" si="518"/>
        <v>0</v>
      </c>
      <c r="BW82" s="539">
        <f t="shared" si="518"/>
        <v>0</v>
      </c>
      <c r="BX82" s="540">
        <v>0.15</v>
      </c>
      <c r="BY82" s="538">
        <f t="shared" si="518"/>
        <v>0.15</v>
      </c>
      <c r="BZ82" s="538">
        <f t="shared" si="518"/>
        <v>0.15</v>
      </c>
      <c r="CA82" s="538">
        <f t="shared" si="518"/>
        <v>0.15</v>
      </c>
      <c r="CB82" s="538">
        <f t="shared" si="518"/>
        <v>0.15</v>
      </c>
      <c r="CC82" s="538">
        <f t="shared" si="518"/>
        <v>0.15</v>
      </c>
      <c r="CD82" s="538">
        <f t="shared" si="518"/>
        <v>0.15</v>
      </c>
      <c r="CE82" s="538">
        <f t="shared" si="518"/>
        <v>0.15</v>
      </c>
      <c r="CF82" s="538">
        <f t="shared" si="518"/>
        <v>0.15</v>
      </c>
      <c r="CG82" s="538">
        <f t="shared" si="518"/>
        <v>0.15</v>
      </c>
      <c r="CH82" s="538">
        <f t="shared" si="518"/>
        <v>0.15</v>
      </c>
      <c r="CI82" s="539">
        <f t="shared" si="518"/>
        <v>0.15</v>
      </c>
      <c r="CJ82" s="540">
        <v>0.2</v>
      </c>
      <c r="CK82" s="538">
        <f t="shared" si="518"/>
        <v>0.2</v>
      </c>
      <c r="CL82" s="538">
        <f t="shared" si="519"/>
        <v>0.2</v>
      </c>
      <c r="CM82" s="538">
        <f t="shared" si="519"/>
        <v>0.2</v>
      </c>
      <c r="CN82" s="538">
        <f t="shared" si="519"/>
        <v>0.2</v>
      </c>
      <c r="CO82" s="538">
        <f t="shared" si="519"/>
        <v>0.2</v>
      </c>
      <c r="CP82" s="538">
        <f t="shared" si="519"/>
        <v>0.2</v>
      </c>
      <c r="CQ82" s="538">
        <f t="shared" si="519"/>
        <v>0.2</v>
      </c>
      <c r="CR82" s="538">
        <f t="shared" si="519"/>
        <v>0.2</v>
      </c>
      <c r="CS82" s="538">
        <f t="shared" si="519"/>
        <v>0.2</v>
      </c>
      <c r="CT82" s="538">
        <f t="shared" si="519"/>
        <v>0.2</v>
      </c>
      <c r="CU82" s="539">
        <f t="shared" si="519"/>
        <v>0.2</v>
      </c>
      <c r="CV82" s="538">
        <f t="shared" si="519"/>
        <v>0.2</v>
      </c>
      <c r="CW82" s="538">
        <f t="shared" si="519"/>
        <v>0.2</v>
      </c>
      <c r="CX82" s="538">
        <f t="shared" si="520"/>
        <v>0.2</v>
      </c>
      <c r="CY82" s="538">
        <f t="shared" si="520"/>
        <v>0.2</v>
      </c>
      <c r="CZ82" s="538">
        <f t="shared" si="520"/>
        <v>0.2</v>
      </c>
      <c r="DA82" s="538">
        <f t="shared" si="520"/>
        <v>0.2</v>
      </c>
      <c r="DB82" s="538">
        <f t="shared" si="520"/>
        <v>0.2</v>
      </c>
      <c r="DC82" s="538">
        <f t="shared" si="520"/>
        <v>0.2</v>
      </c>
      <c r="DD82" s="538">
        <f t="shared" si="520"/>
        <v>0.2</v>
      </c>
      <c r="DE82" s="538">
        <f t="shared" si="520"/>
        <v>0.2</v>
      </c>
      <c r="DF82" s="538">
        <f t="shared" si="520"/>
        <v>0.2</v>
      </c>
      <c r="DG82" s="538">
        <f t="shared" si="520"/>
        <v>0.2</v>
      </c>
    </row>
    <row r="83" spans="1:111" x14ac:dyDescent="0.3">
      <c r="B83" s="1" t="s">
        <v>332</v>
      </c>
      <c r="C83" s="1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>
        <v>300</v>
      </c>
      <c r="Z83" s="115"/>
      <c r="AA83" s="115">
        <v>300</v>
      </c>
      <c r="AB83" s="115"/>
      <c r="AC83" s="115"/>
      <c r="AD83" s="115"/>
      <c r="AE83" s="115"/>
      <c r="AF83" s="115"/>
      <c r="AG83" s="115"/>
      <c r="AH83" s="115"/>
      <c r="AI83" s="115">
        <v>0</v>
      </c>
      <c r="AJ83" s="115">
        <v>0</v>
      </c>
      <c r="AK83" s="115">
        <v>0</v>
      </c>
      <c r="AL83" s="115">
        <v>0</v>
      </c>
      <c r="AM83" s="513">
        <v>0</v>
      </c>
      <c r="AN83" s="115">
        <v>0</v>
      </c>
      <c r="AO83" s="115">
        <v>0</v>
      </c>
      <c r="AP83" s="115">
        <v>0</v>
      </c>
      <c r="AQ83" s="115">
        <v>0</v>
      </c>
      <c r="AR83" s="115">
        <v>0</v>
      </c>
      <c r="AS83" s="115">
        <v>0</v>
      </c>
      <c r="AT83" s="115">
        <v>0</v>
      </c>
      <c r="AU83" s="115">
        <v>0</v>
      </c>
      <c r="AV83" s="115">
        <v>0</v>
      </c>
      <c r="AW83" s="185">
        <v>0</v>
      </c>
      <c r="AX83" s="287">
        <v>0</v>
      </c>
      <c r="AY83" s="185">
        <f t="shared" ref="AY83" si="521">AX83</f>
        <v>0</v>
      </c>
      <c r="AZ83" s="287">
        <f>AVERAGE(AT83:AY83)*1.2</f>
        <v>0</v>
      </c>
      <c r="BA83" s="115">
        <f t="shared" ref="BA83" si="522">AZ83</f>
        <v>0</v>
      </c>
      <c r="BB83" s="115">
        <f t="shared" ref="BB83" si="523">BA83</f>
        <v>0</v>
      </c>
      <c r="BC83" s="115">
        <f t="shared" ref="BC83" si="524">BB83</f>
        <v>0</v>
      </c>
      <c r="BD83" s="115">
        <f t="shared" ref="BD83" si="525">BC83</f>
        <v>0</v>
      </c>
      <c r="BE83" s="115">
        <f t="shared" ref="BE83" si="526">BD83</f>
        <v>0</v>
      </c>
      <c r="BF83" s="115">
        <f t="shared" ref="BF83" si="527">BE83</f>
        <v>0</v>
      </c>
      <c r="BG83" s="115">
        <f t="shared" ref="BG83" si="528">BF83</f>
        <v>0</v>
      </c>
      <c r="BH83" s="115">
        <f t="shared" ref="BH83" si="529">BG83</f>
        <v>0</v>
      </c>
      <c r="BI83" s="115">
        <f t="shared" ref="BI83" si="530">BH83</f>
        <v>0</v>
      </c>
      <c r="BJ83" s="115">
        <f t="shared" ref="BJ83" si="531">BI83</f>
        <v>0</v>
      </c>
      <c r="BK83" s="185">
        <f t="shared" ref="BK83" si="532">BJ83</f>
        <v>0</v>
      </c>
      <c r="BL83" s="287">
        <f>AVERAGE(BF83:BK83)*1.2</f>
        <v>0</v>
      </c>
      <c r="BM83" s="115">
        <f t="shared" ref="BM83" si="533">BL83</f>
        <v>0</v>
      </c>
      <c r="BN83" s="115">
        <f t="shared" ref="BN83" si="534">BM83</f>
        <v>0</v>
      </c>
      <c r="BO83" s="115">
        <f t="shared" ref="BO83" si="535">BN83</f>
        <v>0</v>
      </c>
      <c r="BP83" s="115">
        <f t="shared" ref="BP83" si="536">BO83</f>
        <v>0</v>
      </c>
      <c r="BQ83" s="115">
        <f t="shared" ref="BQ83" si="537">BP83</f>
        <v>0</v>
      </c>
      <c r="BR83" s="115">
        <f t="shared" ref="BR83" si="538">BQ83</f>
        <v>0</v>
      </c>
      <c r="BS83" s="115">
        <f t="shared" ref="BS83" si="539">BR83</f>
        <v>0</v>
      </c>
      <c r="BT83" s="115">
        <f t="shared" ref="BT83" si="540">BS83</f>
        <v>0</v>
      </c>
      <c r="BU83" s="115">
        <f t="shared" ref="BU83" si="541">BT83</f>
        <v>0</v>
      </c>
      <c r="BV83" s="115">
        <f t="shared" ref="BV83" si="542">BU83</f>
        <v>0</v>
      </c>
      <c r="BW83" s="185">
        <f t="shared" ref="BW83" si="543">BV83</f>
        <v>0</v>
      </c>
      <c r="BX83" s="287">
        <f>AVERAGE(BR83:BW83)*1.2</f>
        <v>0</v>
      </c>
      <c r="BY83" s="115">
        <f t="shared" ref="BY83" si="544">BX83</f>
        <v>0</v>
      </c>
      <c r="BZ83" s="115">
        <f t="shared" ref="BZ83" si="545">BY83</f>
        <v>0</v>
      </c>
      <c r="CA83" s="115">
        <f t="shared" ref="CA83" si="546">BZ83</f>
        <v>0</v>
      </c>
      <c r="CB83" s="115">
        <f t="shared" ref="CB83" si="547">CA83</f>
        <v>0</v>
      </c>
      <c r="CC83" s="115">
        <f t="shared" ref="CC83" si="548">CB83</f>
        <v>0</v>
      </c>
      <c r="CD83" s="115">
        <f t="shared" ref="CD83" si="549">CC83</f>
        <v>0</v>
      </c>
      <c r="CE83" s="115">
        <f t="shared" ref="CE83" si="550">CD83</f>
        <v>0</v>
      </c>
      <c r="CF83" s="115">
        <f t="shared" ref="CF83" si="551">CE83</f>
        <v>0</v>
      </c>
      <c r="CG83" s="115">
        <f t="shared" ref="CG83" si="552">CF83</f>
        <v>0</v>
      </c>
      <c r="CH83" s="115">
        <f t="shared" ref="CH83" si="553">CG83</f>
        <v>0</v>
      </c>
      <c r="CI83" s="185">
        <f t="shared" ref="CI83" si="554">CH83</f>
        <v>0</v>
      </c>
      <c r="CJ83" s="287">
        <f>AVERAGE(CD83:CI83)*1.2</f>
        <v>0</v>
      </c>
      <c r="CK83" s="115">
        <f t="shared" ref="CK83" si="555">CJ83</f>
        <v>0</v>
      </c>
      <c r="CL83" s="115">
        <f t="shared" ref="CL83" si="556">CK83</f>
        <v>0</v>
      </c>
      <c r="CM83" s="115">
        <f t="shared" ref="CM83" si="557">CL83</f>
        <v>0</v>
      </c>
      <c r="CN83" s="115">
        <f t="shared" ref="CN83" si="558">CM83</f>
        <v>0</v>
      </c>
      <c r="CO83" s="115">
        <f t="shared" ref="CO83" si="559">CN83</f>
        <v>0</v>
      </c>
      <c r="CP83" s="115">
        <f t="shared" ref="CP83" si="560">CO83</f>
        <v>0</v>
      </c>
      <c r="CQ83" s="115">
        <f t="shared" ref="CQ83" si="561">CP83</f>
        <v>0</v>
      </c>
      <c r="CR83" s="115">
        <f t="shared" ref="CR83" si="562">CQ83</f>
        <v>0</v>
      </c>
      <c r="CS83" s="115">
        <f t="shared" ref="CS83" si="563">CR83</f>
        <v>0</v>
      </c>
      <c r="CT83" s="115">
        <f t="shared" ref="CT83" si="564">CS83</f>
        <v>0</v>
      </c>
      <c r="CU83" s="185">
        <f t="shared" ref="CU83" si="565">CT83</f>
        <v>0</v>
      </c>
      <c r="CV83" s="287">
        <f>AVERAGE(CP83:CU83)*1.2</f>
        <v>0</v>
      </c>
      <c r="CW83" s="115">
        <f t="shared" ref="CW83" si="566">CV83</f>
        <v>0</v>
      </c>
      <c r="CX83" s="115">
        <f t="shared" ref="CX83" si="567">CW83</f>
        <v>0</v>
      </c>
      <c r="CY83" s="115">
        <f t="shared" ref="CY83" si="568">CX83</f>
        <v>0</v>
      </c>
      <c r="CZ83" s="115">
        <f t="shared" ref="CZ83" si="569">CY83</f>
        <v>0</v>
      </c>
      <c r="DA83" s="115">
        <f t="shared" ref="DA83" si="570">CZ83</f>
        <v>0</v>
      </c>
      <c r="DB83" s="115">
        <f t="shared" ref="DB83" si="571">DA83</f>
        <v>0</v>
      </c>
      <c r="DC83" s="115">
        <f t="shared" ref="DC83" si="572">DB83</f>
        <v>0</v>
      </c>
      <c r="DD83" s="115">
        <f t="shared" ref="DD83" si="573">DC83</f>
        <v>0</v>
      </c>
      <c r="DE83" s="115">
        <f t="shared" ref="DE83" si="574">DD83</f>
        <v>0</v>
      </c>
      <c r="DF83" s="115">
        <f t="shared" ref="DF83" si="575">DE83</f>
        <v>0</v>
      </c>
      <c r="DG83" s="115">
        <f t="shared" ref="DG83" si="576">DF83</f>
        <v>0</v>
      </c>
    </row>
    <row r="84" spans="1:111" x14ac:dyDescent="0.3">
      <c r="B84" s="1" t="s">
        <v>330</v>
      </c>
      <c r="C84" s="1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>
        <v>13.59</v>
      </c>
      <c r="AI84" s="115">
        <v>15.71</v>
      </c>
      <c r="AJ84" s="115"/>
      <c r="AK84" s="115"/>
      <c r="AL84" s="115"/>
      <c r="AM84" s="513"/>
      <c r="AN84" s="115"/>
      <c r="AO84" s="115"/>
      <c r="AP84" s="115"/>
      <c r="AQ84" s="115"/>
      <c r="AR84" s="115">
        <v>44.17</v>
      </c>
      <c r="AS84" s="115">
        <v>49.63</v>
      </c>
      <c r="AT84" s="115">
        <v>126.3</v>
      </c>
      <c r="AU84" s="115">
        <v>417.97</v>
      </c>
      <c r="AV84" s="115">
        <v>0</v>
      </c>
      <c r="AW84" s="185">
        <f>222.44</f>
        <v>222.44</v>
      </c>
      <c r="AX84" s="287">
        <v>75</v>
      </c>
      <c r="AY84" s="185">
        <f t="shared" ref="AY84" si="577">AX84</f>
        <v>75</v>
      </c>
      <c r="AZ84" s="287">
        <f t="shared" ref="AZ84" si="578">AY84</f>
        <v>75</v>
      </c>
      <c r="BA84" s="115">
        <f t="shared" ref="BA84" si="579">AZ84</f>
        <v>75</v>
      </c>
      <c r="BB84" s="115">
        <f t="shared" ref="BB84" si="580">BA84</f>
        <v>75</v>
      </c>
      <c r="BC84" s="115">
        <f t="shared" ref="BC84" si="581">BB84</f>
        <v>75</v>
      </c>
      <c r="BD84" s="115">
        <f t="shared" ref="BD84" si="582">BC84</f>
        <v>75</v>
      </c>
      <c r="BE84" s="115">
        <f t="shared" ref="BE84" si="583">BD84</f>
        <v>75</v>
      </c>
      <c r="BF84" s="115">
        <f t="shared" ref="BF84" si="584">BE84</f>
        <v>75</v>
      </c>
      <c r="BG84" s="115">
        <f t="shared" ref="BG84" si="585">BF84</f>
        <v>75</v>
      </c>
      <c r="BH84" s="115">
        <f t="shared" ref="BH84" si="586">BG84</f>
        <v>75</v>
      </c>
      <c r="BI84" s="115">
        <f t="shared" ref="BI84" si="587">BH84</f>
        <v>75</v>
      </c>
      <c r="BJ84" s="115">
        <f t="shared" ref="BJ84" si="588">BI84</f>
        <v>75</v>
      </c>
      <c r="BK84" s="185">
        <f t="shared" ref="BK84" si="589">BJ84</f>
        <v>75</v>
      </c>
      <c r="BL84" s="287">
        <f t="shared" ref="BL84" si="590">BK84</f>
        <v>75</v>
      </c>
      <c r="BM84" s="115">
        <f t="shared" ref="BM84" si="591">BL84</f>
        <v>75</v>
      </c>
      <c r="BN84" s="115">
        <f t="shared" ref="BN84" si="592">BM84</f>
        <v>75</v>
      </c>
      <c r="BO84" s="115">
        <f t="shared" ref="BO84" si="593">BN84</f>
        <v>75</v>
      </c>
      <c r="BP84" s="115">
        <f t="shared" ref="BP84" si="594">BO84</f>
        <v>75</v>
      </c>
      <c r="BQ84" s="115">
        <f t="shared" ref="BQ84" si="595">BP84</f>
        <v>75</v>
      </c>
      <c r="BR84" s="115">
        <f t="shared" ref="BR84" si="596">BQ84</f>
        <v>75</v>
      </c>
      <c r="BS84" s="115">
        <f t="shared" ref="BS84" si="597">BR84</f>
        <v>75</v>
      </c>
      <c r="BT84" s="115">
        <f t="shared" ref="BT84" si="598">BS84</f>
        <v>75</v>
      </c>
      <c r="BU84" s="115">
        <f t="shared" ref="BU84" si="599">BT84</f>
        <v>75</v>
      </c>
      <c r="BV84" s="115">
        <f t="shared" ref="BV84" si="600">BU84</f>
        <v>75</v>
      </c>
      <c r="BW84" s="185">
        <f t="shared" ref="BW84" si="601">BV84</f>
        <v>75</v>
      </c>
      <c r="BX84" s="287">
        <f t="shared" ref="BX84" si="602">BW84</f>
        <v>75</v>
      </c>
      <c r="BY84" s="115">
        <f t="shared" ref="BY84" si="603">BX84</f>
        <v>75</v>
      </c>
      <c r="BZ84" s="115">
        <f t="shared" ref="BZ84" si="604">BY84</f>
        <v>75</v>
      </c>
      <c r="CA84" s="115">
        <f t="shared" ref="CA84" si="605">BZ84</f>
        <v>75</v>
      </c>
      <c r="CB84" s="115">
        <f t="shared" ref="CB84" si="606">CA84</f>
        <v>75</v>
      </c>
      <c r="CC84" s="115">
        <f t="shared" ref="CC84" si="607">CB84</f>
        <v>75</v>
      </c>
      <c r="CD84" s="115">
        <f t="shared" ref="CD84" si="608">CC84</f>
        <v>75</v>
      </c>
      <c r="CE84" s="115">
        <f t="shared" ref="CE84" si="609">CD84</f>
        <v>75</v>
      </c>
      <c r="CF84" s="115">
        <f t="shared" ref="CF84" si="610">CE84</f>
        <v>75</v>
      </c>
      <c r="CG84" s="115">
        <f t="shared" ref="CG84" si="611">CF84</f>
        <v>75</v>
      </c>
      <c r="CH84" s="115">
        <f t="shared" ref="CH84" si="612">CG84</f>
        <v>75</v>
      </c>
      <c r="CI84" s="185">
        <f t="shared" ref="CI84" si="613">CH84</f>
        <v>75</v>
      </c>
      <c r="CJ84" s="287">
        <f t="shared" ref="CJ84" si="614">CI84</f>
        <v>75</v>
      </c>
      <c r="CK84" s="115">
        <f t="shared" ref="CK84" si="615">CJ84</f>
        <v>75</v>
      </c>
      <c r="CL84" s="115">
        <f t="shared" ref="CL84" si="616">CK84</f>
        <v>75</v>
      </c>
      <c r="CM84" s="115">
        <f t="shared" ref="CM84" si="617">CL84</f>
        <v>75</v>
      </c>
      <c r="CN84" s="115">
        <f t="shared" ref="CN84" si="618">CM84</f>
        <v>75</v>
      </c>
      <c r="CO84" s="115">
        <f t="shared" ref="CO84" si="619">CN84</f>
        <v>75</v>
      </c>
      <c r="CP84" s="115">
        <f t="shared" ref="CP84" si="620">CO84</f>
        <v>75</v>
      </c>
      <c r="CQ84" s="115">
        <f t="shared" ref="CQ84" si="621">CP84</f>
        <v>75</v>
      </c>
      <c r="CR84" s="115">
        <f t="shared" ref="CR84" si="622">CQ84</f>
        <v>75</v>
      </c>
      <c r="CS84" s="115">
        <f t="shared" ref="CS84" si="623">CR84</f>
        <v>75</v>
      </c>
      <c r="CT84" s="115">
        <f t="shared" ref="CT84" si="624">CS84</f>
        <v>75</v>
      </c>
      <c r="CU84" s="185">
        <f t="shared" ref="CU84" si="625">CT84</f>
        <v>75</v>
      </c>
      <c r="CV84" s="287">
        <f t="shared" ref="CV84" si="626">CU84</f>
        <v>75</v>
      </c>
      <c r="CW84" s="115">
        <f t="shared" ref="CW84" si="627">CV84</f>
        <v>75</v>
      </c>
      <c r="CX84" s="115">
        <f t="shared" ref="CX84" si="628">CW84</f>
        <v>75</v>
      </c>
      <c r="CY84" s="115">
        <f t="shared" ref="CY84" si="629">CX84</f>
        <v>75</v>
      </c>
      <c r="CZ84" s="115">
        <f t="shared" ref="CZ84" si="630">CY84</f>
        <v>75</v>
      </c>
      <c r="DA84" s="115">
        <f t="shared" ref="DA84" si="631">CZ84</f>
        <v>75</v>
      </c>
      <c r="DB84" s="115">
        <f t="shared" ref="DB84" si="632">DA84</f>
        <v>75</v>
      </c>
      <c r="DC84" s="115">
        <f t="shared" ref="DC84" si="633">DB84</f>
        <v>75</v>
      </c>
      <c r="DD84" s="115">
        <f t="shared" ref="DD84" si="634">DC84</f>
        <v>75</v>
      </c>
      <c r="DE84" s="115">
        <f t="shared" ref="DE84" si="635">DD84</f>
        <v>75</v>
      </c>
      <c r="DF84" s="115">
        <f t="shared" ref="DF84" si="636">DE84</f>
        <v>75</v>
      </c>
      <c r="DG84" s="115">
        <f t="shared" ref="DG84" si="637">DF84</f>
        <v>75</v>
      </c>
    </row>
    <row r="85" spans="1:111" x14ac:dyDescent="0.3">
      <c r="B85" s="1" t="s">
        <v>331</v>
      </c>
      <c r="C85" s="1"/>
      <c r="D85" s="115">
        <f>0</f>
        <v>0</v>
      </c>
      <c r="E85" s="115">
        <f>0</f>
        <v>0</v>
      </c>
      <c r="F85" s="115">
        <f>0</f>
        <v>0</v>
      </c>
      <c r="G85" s="115">
        <f>0</f>
        <v>0</v>
      </c>
      <c r="H85" s="115">
        <f>0</f>
        <v>0</v>
      </c>
      <c r="I85" s="115">
        <f>0</f>
        <v>0</v>
      </c>
      <c r="J85" s="115">
        <v>0</v>
      </c>
      <c r="K85" s="115">
        <v>0</v>
      </c>
      <c r="L85" s="115">
        <v>12</v>
      </c>
      <c r="M85" s="115">
        <v>271.2</v>
      </c>
      <c r="N85" s="115">
        <v>12</v>
      </c>
      <c r="O85" s="115">
        <v>12</v>
      </c>
      <c r="P85" s="115">
        <v>12</v>
      </c>
      <c r="Q85" s="115">
        <v>12</v>
      </c>
      <c r="R85" s="115">
        <v>12</v>
      </c>
      <c r="S85" s="115">
        <v>12</v>
      </c>
      <c r="T85" s="115">
        <v>53</v>
      </c>
      <c r="U85" s="115">
        <v>156</v>
      </c>
      <c r="V85" s="115">
        <v>12</v>
      </c>
      <c r="W85" s="115">
        <v>12</v>
      </c>
      <c r="X85" s="115">
        <v>240.91</v>
      </c>
      <c r="Y85" s="115">
        <v>352.91</v>
      </c>
      <c r="Z85" s="115">
        <v>28.91</v>
      </c>
      <c r="AA85" s="115">
        <v>28.91</v>
      </c>
      <c r="AB85" s="115">
        <v>78.91</v>
      </c>
      <c r="AC85" s="115">
        <v>28.91</v>
      </c>
      <c r="AD85" s="115">
        <v>86.19</v>
      </c>
      <c r="AE85" s="115">
        <v>12</v>
      </c>
      <c r="AF85" s="115">
        <v>154.47</v>
      </c>
      <c r="AG85" s="115">
        <v>310.12</v>
      </c>
      <c r="AH85" s="115">
        <v>1251.1300000000001</v>
      </c>
      <c r="AI85" s="115">
        <v>14.81</v>
      </c>
      <c r="AJ85" s="115">
        <v>76.75</v>
      </c>
      <c r="AK85" s="115">
        <v>90.81</v>
      </c>
      <c r="AL85" s="115">
        <v>100.41</v>
      </c>
      <c r="AM85" s="513">
        <v>107.82</v>
      </c>
      <c r="AN85" s="115">
        <v>218.17</v>
      </c>
      <c r="AO85" s="115">
        <v>118.63</v>
      </c>
      <c r="AP85" s="115">
        <v>118.81</v>
      </c>
      <c r="AQ85" s="115">
        <v>202.32</v>
      </c>
      <c r="AR85" s="115">
        <v>241.38</v>
      </c>
      <c r="AS85" s="115">
        <v>433.68</v>
      </c>
      <c r="AT85" s="115">
        <v>209.45</v>
      </c>
      <c r="AU85" s="115">
        <v>336.39</v>
      </c>
      <c r="AV85" s="115">
        <f>843.04</f>
        <v>843.04</v>
      </c>
      <c r="AW85" s="185">
        <f>709.4</f>
        <v>709.4</v>
      </c>
      <c r="AX85" s="287">
        <v>150</v>
      </c>
      <c r="AY85" s="185">
        <f t="shared" ref="AY85:CA85" si="638">AX85</f>
        <v>150</v>
      </c>
      <c r="AZ85" s="287">
        <f>AVERAGE(AT85:AY85)*1.2</f>
        <v>479.65599999999995</v>
      </c>
      <c r="BA85" s="115">
        <f t="shared" si="638"/>
        <v>479.65599999999995</v>
      </c>
      <c r="BB85" s="115">
        <f t="shared" si="638"/>
        <v>479.65599999999995</v>
      </c>
      <c r="BC85" s="115">
        <f t="shared" si="638"/>
        <v>479.65599999999995</v>
      </c>
      <c r="BD85" s="115">
        <f t="shared" si="638"/>
        <v>479.65599999999995</v>
      </c>
      <c r="BE85" s="115">
        <f t="shared" si="638"/>
        <v>479.65599999999995</v>
      </c>
      <c r="BF85" s="115">
        <f t="shared" si="638"/>
        <v>479.65599999999995</v>
      </c>
      <c r="BG85" s="115">
        <f t="shared" si="638"/>
        <v>479.65599999999995</v>
      </c>
      <c r="BH85" s="115">
        <f t="shared" si="638"/>
        <v>479.65599999999995</v>
      </c>
      <c r="BI85" s="115">
        <f t="shared" si="638"/>
        <v>479.65599999999995</v>
      </c>
      <c r="BJ85" s="115">
        <f t="shared" si="638"/>
        <v>479.65599999999995</v>
      </c>
      <c r="BK85" s="185">
        <f t="shared" si="638"/>
        <v>479.65599999999995</v>
      </c>
      <c r="BL85" s="287">
        <f>AVERAGE(BF85:BK85)*1.2</f>
        <v>575.58719999999994</v>
      </c>
      <c r="BM85" s="115">
        <f t="shared" si="638"/>
        <v>575.58719999999994</v>
      </c>
      <c r="BN85" s="115">
        <f t="shared" si="638"/>
        <v>575.58719999999994</v>
      </c>
      <c r="BO85" s="115">
        <f t="shared" si="638"/>
        <v>575.58719999999994</v>
      </c>
      <c r="BP85" s="115">
        <f t="shared" si="638"/>
        <v>575.58719999999994</v>
      </c>
      <c r="BQ85" s="115">
        <f t="shared" si="638"/>
        <v>575.58719999999994</v>
      </c>
      <c r="BR85" s="115">
        <f t="shared" si="638"/>
        <v>575.58719999999994</v>
      </c>
      <c r="BS85" s="115">
        <f t="shared" si="638"/>
        <v>575.58719999999994</v>
      </c>
      <c r="BT85" s="115">
        <f t="shared" si="638"/>
        <v>575.58719999999994</v>
      </c>
      <c r="BU85" s="115">
        <f t="shared" si="638"/>
        <v>575.58719999999994</v>
      </c>
      <c r="BV85" s="115">
        <f t="shared" si="638"/>
        <v>575.58719999999994</v>
      </c>
      <c r="BW85" s="185">
        <f t="shared" si="638"/>
        <v>575.58719999999994</v>
      </c>
      <c r="BX85" s="287">
        <f>AVERAGE(BR85:BW85)*1.2</f>
        <v>690.70463999999993</v>
      </c>
      <c r="BY85" s="115">
        <f t="shared" si="638"/>
        <v>690.70463999999993</v>
      </c>
      <c r="BZ85" s="115">
        <f t="shared" si="638"/>
        <v>690.70463999999993</v>
      </c>
      <c r="CA85" s="115">
        <f t="shared" si="638"/>
        <v>690.70463999999993</v>
      </c>
      <c r="CB85" s="115">
        <f t="shared" ref="CB85:DG85" si="639">CA85</f>
        <v>690.70463999999993</v>
      </c>
      <c r="CC85" s="115">
        <f t="shared" si="639"/>
        <v>690.70463999999993</v>
      </c>
      <c r="CD85" s="115">
        <f t="shared" si="639"/>
        <v>690.70463999999993</v>
      </c>
      <c r="CE85" s="115">
        <f t="shared" si="639"/>
        <v>690.70463999999993</v>
      </c>
      <c r="CF85" s="115">
        <f t="shared" si="639"/>
        <v>690.70463999999993</v>
      </c>
      <c r="CG85" s="115">
        <f t="shared" si="639"/>
        <v>690.70463999999993</v>
      </c>
      <c r="CH85" s="115">
        <f t="shared" si="639"/>
        <v>690.70463999999993</v>
      </c>
      <c r="CI85" s="185">
        <f t="shared" si="639"/>
        <v>690.70463999999993</v>
      </c>
      <c r="CJ85" s="287">
        <f>AVERAGE(CD85:CI85)*1.2</f>
        <v>828.84556799999984</v>
      </c>
      <c r="CK85" s="115">
        <f t="shared" si="639"/>
        <v>828.84556799999984</v>
      </c>
      <c r="CL85" s="115">
        <f t="shared" si="639"/>
        <v>828.84556799999984</v>
      </c>
      <c r="CM85" s="115">
        <f t="shared" si="639"/>
        <v>828.84556799999984</v>
      </c>
      <c r="CN85" s="115">
        <f t="shared" si="639"/>
        <v>828.84556799999984</v>
      </c>
      <c r="CO85" s="115">
        <f t="shared" si="639"/>
        <v>828.84556799999984</v>
      </c>
      <c r="CP85" s="115">
        <f t="shared" si="639"/>
        <v>828.84556799999984</v>
      </c>
      <c r="CQ85" s="115">
        <f t="shared" si="639"/>
        <v>828.84556799999984</v>
      </c>
      <c r="CR85" s="115">
        <f t="shared" si="639"/>
        <v>828.84556799999984</v>
      </c>
      <c r="CS85" s="115">
        <f t="shared" si="639"/>
        <v>828.84556799999984</v>
      </c>
      <c r="CT85" s="115">
        <f t="shared" si="639"/>
        <v>828.84556799999984</v>
      </c>
      <c r="CU85" s="185">
        <f t="shared" si="639"/>
        <v>828.84556799999984</v>
      </c>
      <c r="CV85" s="287">
        <f>AVERAGE(CP85:CU85)*1.2</f>
        <v>994.61468159999981</v>
      </c>
      <c r="CW85" s="115">
        <f t="shared" si="639"/>
        <v>994.61468159999981</v>
      </c>
      <c r="CX85" s="115">
        <f t="shared" si="639"/>
        <v>994.61468159999981</v>
      </c>
      <c r="CY85" s="115">
        <f t="shared" si="639"/>
        <v>994.61468159999981</v>
      </c>
      <c r="CZ85" s="115">
        <f t="shared" si="639"/>
        <v>994.61468159999981</v>
      </c>
      <c r="DA85" s="115">
        <f t="shared" si="639"/>
        <v>994.61468159999981</v>
      </c>
      <c r="DB85" s="115">
        <f t="shared" si="639"/>
        <v>994.61468159999981</v>
      </c>
      <c r="DC85" s="115">
        <f t="shared" si="639"/>
        <v>994.61468159999981</v>
      </c>
      <c r="DD85" s="115">
        <f t="shared" si="639"/>
        <v>994.61468159999981</v>
      </c>
      <c r="DE85" s="115">
        <f t="shared" si="639"/>
        <v>994.61468159999981</v>
      </c>
      <c r="DF85" s="115">
        <f t="shared" si="639"/>
        <v>994.61468159999981</v>
      </c>
      <c r="DG85" s="115">
        <f t="shared" si="639"/>
        <v>994.61468159999981</v>
      </c>
    </row>
    <row r="86" spans="1:111" x14ac:dyDescent="0.3">
      <c r="B86" s="1" t="s">
        <v>333</v>
      </c>
      <c r="C86" s="1"/>
      <c r="D86" s="115">
        <f>0</f>
        <v>0</v>
      </c>
      <c r="E86" s="115">
        <f>0</f>
        <v>0</v>
      </c>
      <c r="F86" s="115">
        <f>0</f>
        <v>0</v>
      </c>
      <c r="G86" s="115">
        <f>0</f>
        <v>0</v>
      </c>
      <c r="H86" s="115">
        <f>0</f>
        <v>0</v>
      </c>
      <c r="I86" s="115">
        <f>0</f>
        <v>0</v>
      </c>
      <c r="J86" s="115">
        <v>0</v>
      </c>
      <c r="K86" s="115">
        <v>0</v>
      </c>
      <c r="L86" s="115">
        <v>0</v>
      </c>
      <c r="M86" s="115">
        <v>50</v>
      </c>
      <c r="N86" s="115">
        <v>250</v>
      </c>
      <c r="O86" s="115">
        <v>0</v>
      </c>
      <c r="P86" s="115"/>
      <c r="Q86" s="115"/>
      <c r="R86" s="115"/>
      <c r="S86" s="115"/>
      <c r="T86" s="115"/>
      <c r="U86" s="115"/>
      <c r="V86" s="115"/>
      <c r="W86" s="115"/>
      <c r="X86" s="115">
        <v>150</v>
      </c>
      <c r="Y86" s="115"/>
      <c r="Z86" s="115">
        <v>430</v>
      </c>
      <c r="AA86" s="115"/>
      <c r="AB86" s="115"/>
      <c r="AC86" s="115"/>
      <c r="AD86" s="115">
        <v>50</v>
      </c>
      <c r="AE86" s="115"/>
      <c r="AF86" s="115">
        <v>141.19</v>
      </c>
      <c r="AG86" s="115"/>
      <c r="AH86" s="115"/>
      <c r="AI86" s="115"/>
      <c r="AJ86" s="115">
        <v>80</v>
      </c>
      <c r="AK86" s="115">
        <v>65</v>
      </c>
      <c r="AL86" s="115">
        <v>387.9</v>
      </c>
      <c r="AM86" s="513">
        <v>45</v>
      </c>
      <c r="AN86" s="115">
        <v>485</v>
      </c>
      <c r="AO86" s="115">
        <v>424</v>
      </c>
      <c r="AP86" s="115">
        <v>152.63</v>
      </c>
      <c r="AQ86" s="115"/>
      <c r="AR86" s="115">
        <v>346.05</v>
      </c>
      <c r="AS86" s="115">
        <v>100</v>
      </c>
      <c r="AT86" s="115">
        <v>79.040000000000006</v>
      </c>
      <c r="AU86" s="115"/>
      <c r="AV86" s="115">
        <f>574.22</f>
        <v>574.22</v>
      </c>
      <c r="AW86" s="185">
        <f>150.39</f>
        <v>150.38999999999999</v>
      </c>
      <c r="AX86" s="287">
        <v>100</v>
      </c>
      <c r="AY86" s="185">
        <f t="shared" ref="AY86:CA86" si="640">AX86</f>
        <v>100</v>
      </c>
      <c r="AZ86" s="115">
        <f t="shared" si="640"/>
        <v>100</v>
      </c>
      <c r="BA86" s="115">
        <f t="shared" si="640"/>
        <v>100</v>
      </c>
      <c r="BB86" s="115">
        <f t="shared" si="640"/>
        <v>100</v>
      </c>
      <c r="BC86" s="115">
        <f t="shared" si="640"/>
        <v>100</v>
      </c>
      <c r="BD86" s="115">
        <f t="shared" si="640"/>
        <v>100</v>
      </c>
      <c r="BE86" s="115">
        <f t="shared" si="640"/>
        <v>100</v>
      </c>
      <c r="BF86" s="115">
        <f t="shared" si="640"/>
        <v>100</v>
      </c>
      <c r="BG86" s="115">
        <f t="shared" si="640"/>
        <v>100</v>
      </c>
      <c r="BH86" s="115">
        <f t="shared" si="640"/>
        <v>100</v>
      </c>
      <c r="BI86" s="115">
        <f t="shared" si="640"/>
        <v>100</v>
      </c>
      <c r="BJ86" s="115">
        <f t="shared" si="640"/>
        <v>100</v>
      </c>
      <c r="BK86" s="185">
        <f t="shared" si="640"/>
        <v>100</v>
      </c>
      <c r="BL86" s="115">
        <f t="shared" si="640"/>
        <v>100</v>
      </c>
      <c r="BM86" s="115">
        <f t="shared" si="640"/>
        <v>100</v>
      </c>
      <c r="BN86" s="115">
        <f t="shared" si="640"/>
        <v>100</v>
      </c>
      <c r="BO86" s="115">
        <f t="shared" si="640"/>
        <v>100</v>
      </c>
      <c r="BP86" s="115">
        <f t="shared" si="640"/>
        <v>100</v>
      </c>
      <c r="BQ86" s="115">
        <f t="shared" si="640"/>
        <v>100</v>
      </c>
      <c r="BR86" s="115">
        <f t="shared" si="640"/>
        <v>100</v>
      </c>
      <c r="BS86" s="115">
        <f t="shared" si="640"/>
        <v>100</v>
      </c>
      <c r="BT86" s="115">
        <f t="shared" si="640"/>
        <v>100</v>
      </c>
      <c r="BU86" s="115">
        <f t="shared" si="640"/>
        <v>100</v>
      </c>
      <c r="BV86" s="115">
        <f t="shared" si="640"/>
        <v>100</v>
      </c>
      <c r="BW86" s="185">
        <f t="shared" si="640"/>
        <v>100</v>
      </c>
      <c r="BX86" s="115">
        <f t="shared" si="640"/>
        <v>100</v>
      </c>
      <c r="BY86" s="115">
        <f t="shared" si="640"/>
        <v>100</v>
      </c>
      <c r="BZ86" s="115">
        <f t="shared" si="640"/>
        <v>100</v>
      </c>
      <c r="CA86" s="115">
        <f t="shared" si="640"/>
        <v>100</v>
      </c>
      <c r="CB86" s="115">
        <f t="shared" ref="CB86:DG86" si="641">CA86</f>
        <v>100</v>
      </c>
      <c r="CC86" s="115">
        <f t="shared" si="641"/>
        <v>100</v>
      </c>
      <c r="CD86" s="115">
        <f t="shared" si="641"/>
        <v>100</v>
      </c>
      <c r="CE86" s="115">
        <f t="shared" si="641"/>
        <v>100</v>
      </c>
      <c r="CF86" s="115">
        <f t="shared" si="641"/>
        <v>100</v>
      </c>
      <c r="CG86" s="115">
        <f t="shared" si="641"/>
        <v>100</v>
      </c>
      <c r="CH86" s="115">
        <f t="shared" si="641"/>
        <v>100</v>
      </c>
      <c r="CI86" s="185">
        <f t="shared" si="641"/>
        <v>100</v>
      </c>
      <c r="CJ86" s="115">
        <f t="shared" si="641"/>
        <v>100</v>
      </c>
      <c r="CK86" s="115">
        <f t="shared" si="641"/>
        <v>100</v>
      </c>
      <c r="CL86" s="115">
        <f t="shared" si="641"/>
        <v>100</v>
      </c>
      <c r="CM86" s="115">
        <f t="shared" si="641"/>
        <v>100</v>
      </c>
      <c r="CN86" s="115">
        <f t="shared" si="641"/>
        <v>100</v>
      </c>
      <c r="CO86" s="115">
        <f t="shared" si="641"/>
        <v>100</v>
      </c>
      <c r="CP86" s="115">
        <f t="shared" si="641"/>
        <v>100</v>
      </c>
      <c r="CQ86" s="115">
        <f t="shared" si="641"/>
        <v>100</v>
      </c>
      <c r="CR86" s="115">
        <f t="shared" si="641"/>
        <v>100</v>
      </c>
      <c r="CS86" s="115">
        <f t="shared" si="641"/>
        <v>100</v>
      </c>
      <c r="CT86" s="115">
        <f t="shared" si="641"/>
        <v>100</v>
      </c>
      <c r="CU86" s="185">
        <f t="shared" si="641"/>
        <v>100</v>
      </c>
      <c r="CV86" s="115">
        <f t="shared" si="641"/>
        <v>100</v>
      </c>
      <c r="CW86" s="115">
        <f t="shared" si="641"/>
        <v>100</v>
      </c>
      <c r="CX86" s="115">
        <f t="shared" si="641"/>
        <v>100</v>
      </c>
      <c r="CY86" s="115">
        <f t="shared" si="641"/>
        <v>100</v>
      </c>
      <c r="CZ86" s="115">
        <f t="shared" si="641"/>
        <v>100</v>
      </c>
      <c r="DA86" s="115">
        <f t="shared" si="641"/>
        <v>100</v>
      </c>
      <c r="DB86" s="115">
        <f t="shared" si="641"/>
        <v>100</v>
      </c>
      <c r="DC86" s="115">
        <f t="shared" si="641"/>
        <v>100</v>
      </c>
      <c r="DD86" s="115">
        <f t="shared" si="641"/>
        <v>100</v>
      </c>
      <c r="DE86" s="115">
        <f t="shared" si="641"/>
        <v>100</v>
      </c>
      <c r="DF86" s="115">
        <f t="shared" si="641"/>
        <v>100</v>
      </c>
      <c r="DG86" s="115">
        <f t="shared" si="641"/>
        <v>100</v>
      </c>
    </row>
    <row r="87" spans="1:111" s="5" customFormat="1" x14ac:dyDescent="0.3">
      <c r="A87"/>
      <c r="B87" s="1" t="s">
        <v>334</v>
      </c>
      <c r="C87" s="1"/>
      <c r="D87" s="115">
        <f>0</f>
        <v>0</v>
      </c>
      <c r="E87" s="115">
        <f>0</f>
        <v>0</v>
      </c>
      <c r="F87" s="115">
        <f>0</f>
        <v>0</v>
      </c>
      <c r="G87" s="115">
        <f>0</f>
        <v>0</v>
      </c>
      <c r="H87" s="115">
        <f>0</f>
        <v>0</v>
      </c>
      <c r="I87" s="115">
        <f>0</f>
        <v>0</v>
      </c>
      <c r="J87" s="115">
        <v>0</v>
      </c>
      <c r="K87" s="115">
        <v>0</v>
      </c>
      <c r="L87" s="115">
        <v>15</v>
      </c>
      <c r="M87" s="115">
        <v>19</v>
      </c>
      <c r="N87" s="115">
        <v>0</v>
      </c>
      <c r="O87" s="115">
        <v>0</v>
      </c>
      <c r="P87" s="115"/>
      <c r="Q87" s="115"/>
      <c r="R87" s="115"/>
      <c r="S87" s="115"/>
      <c r="T87" s="115"/>
      <c r="U87" s="115"/>
      <c r="V87" s="115"/>
      <c r="W87" s="115"/>
      <c r="X87" s="115"/>
      <c r="Y87" s="115">
        <v>13.86</v>
      </c>
      <c r="Z87" s="115"/>
      <c r="AA87" s="115"/>
      <c r="AB87" s="115"/>
      <c r="AC87" s="115"/>
      <c r="AD87" s="115"/>
      <c r="AE87" s="115"/>
      <c r="AF87" s="115"/>
      <c r="AG87" s="115"/>
      <c r="AH87" s="115"/>
      <c r="AI87" s="115">
        <v>42.58</v>
      </c>
      <c r="AJ87" s="115"/>
      <c r="AK87" s="115"/>
      <c r="AL87" s="115"/>
      <c r="AM87" s="513"/>
      <c r="AN87" s="115"/>
      <c r="AO87" s="115"/>
      <c r="AP87" s="115"/>
      <c r="AQ87" s="115">
        <v>0</v>
      </c>
      <c r="AR87" s="115">
        <v>0</v>
      </c>
      <c r="AS87" s="115">
        <v>0</v>
      </c>
      <c r="AT87" s="115">
        <v>0</v>
      </c>
      <c r="AU87" s="115">
        <v>0</v>
      </c>
      <c r="AV87" s="115">
        <v>0</v>
      </c>
      <c r="AW87" s="185">
        <v>0</v>
      </c>
      <c r="AX87" s="287">
        <f>AVERAGE(AO87:AW87)</f>
        <v>0</v>
      </c>
      <c r="AY87" s="185">
        <f t="shared" ref="AY87:CA87" si="642">AX87</f>
        <v>0</v>
      </c>
      <c r="AZ87" s="115">
        <f t="shared" si="642"/>
        <v>0</v>
      </c>
      <c r="BA87" s="115">
        <f t="shared" si="642"/>
        <v>0</v>
      </c>
      <c r="BB87" s="115">
        <f t="shared" si="642"/>
        <v>0</v>
      </c>
      <c r="BC87" s="115">
        <f t="shared" si="642"/>
        <v>0</v>
      </c>
      <c r="BD87" s="115">
        <f t="shared" si="642"/>
        <v>0</v>
      </c>
      <c r="BE87" s="115">
        <f t="shared" si="642"/>
        <v>0</v>
      </c>
      <c r="BF87" s="115">
        <f t="shared" si="642"/>
        <v>0</v>
      </c>
      <c r="BG87" s="115">
        <f t="shared" si="642"/>
        <v>0</v>
      </c>
      <c r="BH87" s="115">
        <f t="shared" si="642"/>
        <v>0</v>
      </c>
      <c r="BI87" s="115">
        <f t="shared" si="642"/>
        <v>0</v>
      </c>
      <c r="BJ87" s="115">
        <f t="shared" si="642"/>
        <v>0</v>
      </c>
      <c r="BK87" s="185">
        <f t="shared" si="642"/>
        <v>0</v>
      </c>
      <c r="BL87" s="115">
        <f t="shared" si="642"/>
        <v>0</v>
      </c>
      <c r="BM87" s="115">
        <f t="shared" si="642"/>
        <v>0</v>
      </c>
      <c r="BN87" s="115">
        <f t="shared" si="642"/>
        <v>0</v>
      </c>
      <c r="BO87" s="115">
        <f t="shared" si="642"/>
        <v>0</v>
      </c>
      <c r="BP87" s="115">
        <f t="shared" si="642"/>
        <v>0</v>
      </c>
      <c r="BQ87" s="115">
        <f t="shared" si="642"/>
        <v>0</v>
      </c>
      <c r="BR87" s="115">
        <f t="shared" si="642"/>
        <v>0</v>
      </c>
      <c r="BS87" s="115">
        <f t="shared" si="642"/>
        <v>0</v>
      </c>
      <c r="BT87" s="115">
        <f t="shared" si="642"/>
        <v>0</v>
      </c>
      <c r="BU87" s="115">
        <f t="shared" si="642"/>
        <v>0</v>
      </c>
      <c r="BV87" s="115">
        <f t="shared" si="642"/>
        <v>0</v>
      </c>
      <c r="BW87" s="185">
        <f t="shared" si="642"/>
        <v>0</v>
      </c>
      <c r="BX87" s="115">
        <f t="shared" si="642"/>
        <v>0</v>
      </c>
      <c r="BY87" s="115">
        <f t="shared" si="642"/>
        <v>0</v>
      </c>
      <c r="BZ87" s="115">
        <f t="shared" si="642"/>
        <v>0</v>
      </c>
      <c r="CA87" s="115">
        <f t="shared" si="642"/>
        <v>0</v>
      </c>
      <c r="CB87" s="115">
        <f t="shared" ref="CB87:DG87" si="643">CA87</f>
        <v>0</v>
      </c>
      <c r="CC87" s="115">
        <f t="shared" si="643"/>
        <v>0</v>
      </c>
      <c r="CD87" s="115">
        <f t="shared" si="643"/>
        <v>0</v>
      </c>
      <c r="CE87" s="115">
        <f t="shared" si="643"/>
        <v>0</v>
      </c>
      <c r="CF87" s="115">
        <f t="shared" si="643"/>
        <v>0</v>
      </c>
      <c r="CG87" s="115">
        <f t="shared" si="643"/>
        <v>0</v>
      </c>
      <c r="CH87" s="115">
        <f t="shared" si="643"/>
        <v>0</v>
      </c>
      <c r="CI87" s="185">
        <f t="shared" si="643"/>
        <v>0</v>
      </c>
      <c r="CJ87" s="115">
        <f t="shared" si="643"/>
        <v>0</v>
      </c>
      <c r="CK87" s="115">
        <f t="shared" si="643"/>
        <v>0</v>
      </c>
      <c r="CL87" s="115">
        <f t="shared" si="643"/>
        <v>0</v>
      </c>
      <c r="CM87" s="115">
        <f t="shared" si="643"/>
        <v>0</v>
      </c>
      <c r="CN87" s="115">
        <f t="shared" si="643"/>
        <v>0</v>
      </c>
      <c r="CO87" s="115">
        <f t="shared" si="643"/>
        <v>0</v>
      </c>
      <c r="CP87" s="115">
        <f t="shared" si="643"/>
        <v>0</v>
      </c>
      <c r="CQ87" s="115">
        <f t="shared" si="643"/>
        <v>0</v>
      </c>
      <c r="CR87" s="115">
        <f t="shared" si="643"/>
        <v>0</v>
      </c>
      <c r="CS87" s="115">
        <f t="shared" si="643"/>
        <v>0</v>
      </c>
      <c r="CT87" s="115">
        <f t="shared" si="643"/>
        <v>0</v>
      </c>
      <c r="CU87" s="185">
        <f t="shared" si="643"/>
        <v>0</v>
      </c>
      <c r="CV87" s="115">
        <f t="shared" si="643"/>
        <v>0</v>
      </c>
      <c r="CW87" s="115">
        <f t="shared" si="643"/>
        <v>0</v>
      </c>
      <c r="CX87" s="115">
        <f t="shared" si="643"/>
        <v>0</v>
      </c>
      <c r="CY87" s="115">
        <f t="shared" si="643"/>
        <v>0</v>
      </c>
      <c r="CZ87" s="115">
        <f t="shared" si="643"/>
        <v>0</v>
      </c>
      <c r="DA87" s="115">
        <f t="shared" si="643"/>
        <v>0</v>
      </c>
      <c r="DB87" s="115">
        <f t="shared" si="643"/>
        <v>0</v>
      </c>
      <c r="DC87" s="115">
        <f t="shared" si="643"/>
        <v>0</v>
      </c>
      <c r="DD87" s="115">
        <f t="shared" si="643"/>
        <v>0</v>
      </c>
      <c r="DE87" s="115">
        <f t="shared" si="643"/>
        <v>0</v>
      </c>
      <c r="DF87" s="115">
        <f t="shared" si="643"/>
        <v>0</v>
      </c>
      <c r="DG87" s="115">
        <f t="shared" si="643"/>
        <v>0</v>
      </c>
    </row>
    <row r="88" spans="1:111" s="5" customFormat="1" x14ac:dyDescent="0.3">
      <c r="A88"/>
      <c r="B88" s="1" t="s">
        <v>335</v>
      </c>
      <c r="C88" s="1"/>
      <c r="D88" s="115">
        <f>0</f>
        <v>0</v>
      </c>
      <c r="E88" s="115">
        <f>0</f>
        <v>0</v>
      </c>
      <c r="F88" s="115">
        <f>0</f>
        <v>0</v>
      </c>
      <c r="G88" s="115">
        <f>0</f>
        <v>0</v>
      </c>
      <c r="H88" s="115">
        <f>0</f>
        <v>0</v>
      </c>
      <c r="I88" s="115">
        <f>0</f>
        <v>0</v>
      </c>
      <c r="J88" s="115">
        <v>0</v>
      </c>
      <c r="K88" s="115">
        <v>0</v>
      </c>
      <c r="L88" s="115">
        <v>0</v>
      </c>
      <c r="M88" s="115">
        <v>279.60000000000002</v>
      </c>
      <c r="N88" s="115">
        <v>75</v>
      </c>
      <c r="O88" s="115">
        <v>75</v>
      </c>
      <c r="P88" s="115">
        <v>75</v>
      </c>
      <c r="Q88" s="115">
        <v>75</v>
      </c>
      <c r="R88" s="115"/>
      <c r="S88" s="115">
        <v>75</v>
      </c>
      <c r="T88" s="115">
        <v>165</v>
      </c>
      <c r="U88" s="115">
        <v>225</v>
      </c>
      <c r="V88" s="115">
        <v>75</v>
      </c>
      <c r="W88" s="115">
        <v>75</v>
      </c>
      <c r="X88" s="115">
        <v>225</v>
      </c>
      <c r="Y88" s="115">
        <v>75</v>
      </c>
      <c r="Z88" s="115">
        <v>75</v>
      </c>
      <c r="AA88" s="115">
        <v>225</v>
      </c>
      <c r="AB88" s="115">
        <v>75</v>
      </c>
      <c r="AC88" s="115">
        <v>112.5</v>
      </c>
      <c r="AD88" s="115">
        <v>225</v>
      </c>
      <c r="AE88" s="115">
        <v>75</v>
      </c>
      <c r="AF88" s="115">
        <v>75</v>
      </c>
      <c r="AG88" s="115">
        <v>225</v>
      </c>
      <c r="AH88" s="115">
        <v>185</v>
      </c>
      <c r="AI88" s="115">
        <v>207.5</v>
      </c>
      <c r="AJ88" s="115">
        <v>208.75</v>
      </c>
      <c r="AK88" s="115">
        <v>350</v>
      </c>
      <c r="AL88" s="115">
        <v>241.25</v>
      </c>
      <c r="AM88" s="513">
        <v>140</v>
      </c>
      <c r="AN88" s="115">
        <v>711.25</v>
      </c>
      <c r="AO88" s="115">
        <v>412.5</v>
      </c>
      <c r="AP88" s="115">
        <v>1155.73</v>
      </c>
      <c r="AQ88" s="115">
        <v>415</v>
      </c>
      <c r="AR88" s="115">
        <v>356.25</v>
      </c>
      <c r="AS88" s="115">
        <v>281.25</v>
      </c>
      <c r="AT88" s="115">
        <v>450</v>
      </c>
      <c r="AU88" s="115">
        <v>453.75</v>
      </c>
      <c r="AV88" s="115">
        <v>337.5</v>
      </c>
      <c r="AW88" s="185">
        <f>581.25</f>
        <v>581.25</v>
      </c>
      <c r="AX88" s="287">
        <f>IF(AX3&lt;&gt;AW3, 450, 275)+150</f>
        <v>425</v>
      </c>
      <c r="AY88" s="185">
        <f t="shared" ref="AY88:CD88" si="644">IF(AY3&lt;&gt;AX3, 450, 275)</f>
        <v>275</v>
      </c>
      <c r="AZ88" s="115">
        <f t="shared" si="644"/>
        <v>450</v>
      </c>
      <c r="BA88" s="115">
        <f t="shared" si="644"/>
        <v>275</v>
      </c>
      <c r="BB88" s="115">
        <f t="shared" si="644"/>
        <v>275</v>
      </c>
      <c r="BC88" s="115">
        <f t="shared" si="644"/>
        <v>450</v>
      </c>
      <c r="BD88" s="115">
        <f t="shared" si="644"/>
        <v>275</v>
      </c>
      <c r="BE88" s="115">
        <f t="shared" si="644"/>
        <v>275</v>
      </c>
      <c r="BF88" s="115">
        <f t="shared" si="644"/>
        <v>450</v>
      </c>
      <c r="BG88" s="115">
        <f t="shared" si="644"/>
        <v>275</v>
      </c>
      <c r="BH88" s="115">
        <f t="shared" si="644"/>
        <v>275</v>
      </c>
      <c r="BI88" s="115">
        <f t="shared" si="644"/>
        <v>450</v>
      </c>
      <c r="BJ88" s="115">
        <f t="shared" si="644"/>
        <v>275</v>
      </c>
      <c r="BK88" s="185">
        <f t="shared" si="644"/>
        <v>275</v>
      </c>
      <c r="BL88" s="115">
        <f t="shared" si="644"/>
        <v>450</v>
      </c>
      <c r="BM88" s="115">
        <f t="shared" si="644"/>
        <v>275</v>
      </c>
      <c r="BN88" s="115">
        <f t="shared" si="644"/>
        <v>275</v>
      </c>
      <c r="BO88" s="115">
        <f t="shared" si="644"/>
        <v>450</v>
      </c>
      <c r="BP88" s="115">
        <f t="shared" si="644"/>
        <v>275</v>
      </c>
      <c r="BQ88" s="115">
        <f t="shared" si="644"/>
        <v>275</v>
      </c>
      <c r="BR88" s="115">
        <f t="shared" si="644"/>
        <v>450</v>
      </c>
      <c r="BS88" s="115">
        <f t="shared" si="644"/>
        <v>275</v>
      </c>
      <c r="BT88" s="115">
        <f t="shared" si="644"/>
        <v>275</v>
      </c>
      <c r="BU88" s="115">
        <f t="shared" si="644"/>
        <v>450</v>
      </c>
      <c r="BV88" s="115">
        <f t="shared" si="644"/>
        <v>275</v>
      </c>
      <c r="BW88" s="185">
        <f t="shared" si="644"/>
        <v>275</v>
      </c>
      <c r="BX88" s="115">
        <f t="shared" si="644"/>
        <v>450</v>
      </c>
      <c r="BY88" s="115">
        <f t="shared" si="644"/>
        <v>275</v>
      </c>
      <c r="BZ88" s="115">
        <f t="shared" si="644"/>
        <v>275</v>
      </c>
      <c r="CA88" s="115">
        <f t="shared" si="644"/>
        <v>450</v>
      </c>
      <c r="CB88" s="115">
        <f t="shared" si="644"/>
        <v>275</v>
      </c>
      <c r="CC88" s="115">
        <f t="shared" si="644"/>
        <v>275</v>
      </c>
      <c r="CD88" s="115">
        <f t="shared" si="644"/>
        <v>450</v>
      </c>
      <c r="CE88" s="115">
        <f t="shared" ref="CE88:DG88" si="645">IF(CE3&lt;&gt;CD3, 450, 275)</f>
        <v>275</v>
      </c>
      <c r="CF88" s="115">
        <f t="shared" si="645"/>
        <v>275</v>
      </c>
      <c r="CG88" s="115">
        <f t="shared" si="645"/>
        <v>450</v>
      </c>
      <c r="CH88" s="115">
        <f t="shared" si="645"/>
        <v>275</v>
      </c>
      <c r="CI88" s="185">
        <f t="shared" si="645"/>
        <v>275</v>
      </c>
      <c r="CJ88" s="115">
        <f t="shared" si="645"/>
        <v>450</v>
      </c>
      <c r="CK88" s="115">
        <f t="shared" si="645"/>
        <v>275</v>
      </c>
      <c r="CL88" s="115">
        <f t="shared" si="645"/>
        <v>275</v>
      </c>
      <c r="CM88" s="115">
        <f t="shared" si="645"/>
        <v>450</v>
      </c>
      <c r="CN88" s="115">
        <f t="shared" si="645"/>
        <v>275</v>
      </c>
      <c r="CO88" s="115">
        <f t="shared" si="645"/>
        <v>275</v>
      </c>
      <c r="CP88" s="115">
        <f t="shared" si="645"/>
        <v>450</v>
      </c>
      <c r="CQ88" s="115">
        <f t="shared" si="645"/>
        <v>275</v>
      </c>
      <c r="CR88" s="115">
        <f t="shared" si="645"/>
        <v>275</v>
      </c>
      <c r="CS88" s="115">
        <f t="shared" si="645"/>
        <v>450</v>
      </c>
      <c r="CT88" s="115">
        <f t="shared" si="645"/>
        <v>275</v>
      </c>
      <c r="CU88" s="185">
        <f t="shared" si="645"/>
        <v>275</v>
      </c>
      <c r="CV88" s="115">
        <f t="shared" si="645"/>
        <v>450</v>
      </c>
      <c r="CW88" s="115">
        <f t="shared" si="645"/>
        <v>275</v>
      </c>
      <c r="CX88" s="115">
        <f t="shared" si="645"/>
        <v>275</v>
      </c>
      <c r="CY88" s="115">
        <f t="shared" si="645"/>
        <v>450</v>
      </c>
      <c r="CZ88" s="115">
        <f t="shared" si="645"/>
        <v>275</v>
      </c>
      <c r="DA88" s="115">
        <f t="shared" si="645"/>
        <v>275</v>
      </c>
      <c r="DB88" s="115">
        <f t="shared" si="645"/>
        <v>450</v>
      </c>
      <c r="DC88" s="115">
        <f t="shared" si="645"/>
        <v>275</v>
      </c>
      <c r="DD88" s="115">
        <f t="shared" si="645"/>
        <v>275</v>
      </c>
      <c r="DE88" s="115">
        <f t="shared" si="645"/>
        <v>450</v>
      </c>
      <c r="DF88" s="115">
        <f t="shared" si="645"/>
        <v>275</v>
      </c>
      <c r="DG88" s="115">
        <f t="shared" si="645"/>
        <v>275</v>
      </c>
    </row>
    <row r="89" spans="1:111" s="3" customFormat="1" x14ac:dyDescent="0.3">
      <c r="A89"/>
      <c r="B89" s="1" t="s">
        <v>336</v>
      </c>
      <c r="C89" s="1"/>
      <c r="D89" s="115">
        <f>0</f>
        <v>0</v>
      </c>
      <c r="E89" s="115">
        <f>0</f>
        <v>0</v>
      </c>
      <c r="F89" s="115">
        <f>0</f>
        <v>0</v>
      </c>
      <c r="G89" s="115">
        <f>0</f>
        <v>0</v>
      </c>
      <c r="H89" s="115">
        <f>0</f>
        <v>0</v>
      </c>
      <c r="I89" s="115">
        <f>0</f>
        <v>0</v>
      </c>
      <c r="J89" s="115">
        <v>0</v>
      </c>
      <c r="K89" s="115">
        <v>0</v>
      </c>
      <c r="L89" s="115">
        <v>0</v>
      </c>
      <c r="M89" s="115">
        <v>26.86</v>
      </c>
      <c r="N89" s="115">
        <v>105.23</v>
      </c>
      <c r="O89" s="115">
        <v>22.43</v>
      </c>
      <c r="P89" s="115">
        <v>118.13</v>
      </c>
      <c r="Q89" s="115">
        <v>36.76</v>
      </c>
      <c r="R89" s="115">
        <v>63.36</v>
      </c>
      <c r="S89" s="115">
        <v>153.85</v>
      </c>
      <c r="T89" s="115">
        <v>72.88</v>
      </c>
      <c r="U89" s="115">
        <v>27.48</v>
      </c>
      <c r="V89" s="115">
        <v>17.2</v>
      </c>
      <c r="W89" s="115">
        <v>33.76</v>
      </c>
      <c r="X89" s="115">
        <v>48.31</v>
      </c>
      <c r="Y89" s="115">
        <v>29</v>
      </c>
      <c r="Z89" s="115">
        <v>29</v>
      </c>
      <c r="AA89" s="115"/>
      <c r="AB89" s="115"/>
      <c r="AC89" s="115"/>
      <c r="AD89" s="115">
        <v>1.75</v>
      </c>
      <c r="AE89" s="115">
        <v>4.55</v>
      </c>
      <c r="AF89" s="115">
        <v>3.5</v>
      </c>
      <c r="AG89" s="115"/>
      <c r="AH89" s="115">
        <v>31.6</v>
      </c>
      <c r="AI89" s="115"/>
      <c r="AJ89" s="115"/>
      <c r="AK89" s="115">
        <v>29</v>
      </c>
      <c r="AL89" s="115"/>
      <c r="AM89" s="513"/>
      <c r="AN89" s="115"/>
      <c r="AO89" s="115"/>
      <c r="AP89" s="115">
        <f>52</f>
        <v>52</v>
      </c>
      <c r="AQ89" s="115">
        <v>0</v>
      </c>
      <c r="AR89" s="115">
        <v>0</v>
      </c>
      <c r="AS89" s="115">
        <v>0</v>
      </c>
      <c r="AT89" s="115">
        <v>0</v>
      </c>
      <c r="AU89" s="115">
        <v>0</v>
      </c>
      <c r="AV89" s="115">
        <v>2</v>
      </c>
      <c r="AW89" s="185">
        <f>80.44</f>
        <v>80.44</v>
      </c>
      <c r="AX89" s="287">
        <f>AVERAGE(AR89:AW89)</f>
        <v>13.74</v>
      </c>
      <c r="AY89" s="185">
        <f t="shared" ref="AY89:CA89" si="646">AX89</f>
        <v>13.74</v>
      </c>
      <c r="AZ89" s="115">
        <f t="shared" si="646"/>
        <v>13.74</v>
      </c>
      <c r="BA89" s="115">
        <f t="shared" si="646"/>
        <v>13.74</v>
      </c>
      <c r="BB89" s="115">
        <f t="shared" si="646"/>
        <v>13.74</v>
      </c>
      <c r="BC89" s="115">
        <f t="shared" si="646"/>
        <v>13.74</v>
      </c>
      <c r="BD89" s="115">
        <f t="shared" si="646"/>
        <v>13.74</v>
      </c>
      <c r="BE89" s="115">
        <f t="shared" si="646"/>
        <v>13.74</v>
      </c>
      <c r="BF89" s="115">
        <f t="shared" si="646"/>
        <v>13.74</v>
      </c>
      <c r="BG89" s="115">
        <f t="shared" si="646"/>
        <v>13.74</v>
      </c>
      <c r="BH89" s="115">
        <f t="shared" si="646"/>
        <v>13.74</v>
      </c>
      <c r="BI89" s="115">
        <f t="shared" si="646"/>
        <v>13.74</v>
      </c>
      <c r="BJ89" s="115">
        <f t="shared" si="646"/>
        <v>13.74</v>
      </c>
      <c r="BK89" s="185">
        <f t="shared" si="646"/>
        <v>13.74</v>
      </c>
      <c r="BL89" s="115">
        <f t="shared" si="646"/>
        <v>13.74</v>
      </c>
      <c r="BM89" s="115">
        <f t="shared" si="646"/>
        <v>13.74</v>
      </c>
      <c r="BN89" s="115">
        <f t="shared" si="646"/>
        <v>13.74</v>
      </c>
      <c r="BO89" s="115">
        <f t="shared" si="646"/>
        <v>13.74</v>
      </c>
      <c r="BP89" s="115">
        <f t="shared" si="646"/>
        <v>13.74</v>
      </c>
      <c r="BQ89" s="115">
        <f t="shared" si="646"/>
        <v>13.74</v>
      </c>
      <c r="BR89" s="115">
        <f t="shared" si="646"/>
        <v>13.74</v>
      </c>
      <c r="BS89" s="115">
        <f t="shared" si="646"/>
        <v>13.74</v>
      </c>
      <c r="BT89" s="115">
        <f t="shared" si="646"/>
        <v>13.74</v>
      </c>
      <c r="BU89" s="115">
        <f t="shared" si="646"/>
        <v>13.74</v>
      </c>
      <c r="BV89" s="115">
        <f t="shared" si="646"/>
        <v>13.74</v>
      </c>
      <c r="BW89" s="185">
        <f t="shared" si="646"/>
        <v>13.74</v>
      </c>
      <c r="BX89" s="115">
        <f t="shared" si="646"/>
        <v>13.74</v>
      </c>
      <c r="BY89" s="115">
        <f t="shared" si="646"/>
        <v>13.74</v>
      </c>
      <c r="BZ89" s="115">
        <f t="shared" si="646"/>
        <v>13.74</v>
      </c>
      <c r="CA89" s="115">
        <f t="shared" si="646"/>
        <v>13.74</v>
      </c>
      <c r="CB89" s="115">
        <f t="shared" ref="CB89:DG89" si="647">CA89</f>
        <v>13.74</v>
      </c>
      <c r="CC89" s="115">
        <f t="shared" si="647"/>
        <v>13.74</v>
      </c>
      <c r="CD89" s="115">
        <f t="shared" si="647"/>
        <v>13.74</v>
      </c>
      <c r="CE89" s="115">
        <f t="shared" si="647"/>
        <v>13.74</v>
      </c>
      <c r="CF89" s="115">
        <f t="shared" si="647"/>
        <v>13.74</v>
      </c>
      <c r="CG89" s="115">
        <f t="shared" si="647"/>
        <v>13.74</v>
      </c>
      <c r="CH89" s="115">
        <f t="shared" si="647"/>
        <v>13.74</v>
      </c>
      <c r="CI89" s="185">
        <f t="shared" si="647"/>
        <v>13.74</v>
      </c>
      <c r="CJ89" s="115">
        <f t="shared" si="647"/>
        <v>13.74</v>
      </c>
      <c r="CK89" s="115">
        <f t="shared" si="647"/>
        <v>13.74</v>
      </c>
      <c r="CL89" s="115">
        <f t="shared" si="647"/>
        <v>13.74</v>
      </c>
      <c r="CM89" s="115">
        <f t="shared" si="647"/>
        <v>13.74</v>
      </c>
      <c r="CN89" s="115">
        <f t="shared" si="647"/>
        <v>13.74</v>
      </c>
      <c r="CO89" s="115">
        <f t="shared" si="647"/>
        <v>13.74</v>
      </c>
      <c r="CP89" s="115">
        <f t="shared" si="647"/>
        <v>13.74</v>
      </c>
      <c r="CQ89" s="115">
        <f t="shared" si="647"/>
        <v>13.74</v>
      </c>
      <c r="CR89" s="115">
        <f t="shared" si="647"/>
        <v>13.74</v>
      </c>
      <c r="CS89" s="115">
        <f t="shared" si="647"/>
        <v>13.74</v>
      </c>
      <c r="CT89" s="115">
        <f t="shared" si="647"/>
        <v>13.74</v>
      </c>
      <c r="CU89" s="185">
        <f t="shared" si="647"/>
        <v>13.74</v>
      </c>
      <c r="CV89" s="115">
        <f t="shared" si="647"/>
        <v>13.74</v>
      </c>
      <c r="CW89" s="115">
        <f t="shared" si="647"/>
        <v>13.74</v>
      </c>
      <c r="CX89" s="115">
        <f t="shared" si="647"/>
        <v>13.74</v>
      </c>
      <c r="CY89" s="115">
        <f t="shared" si="647"/>
        <v>13.74</v>
      </c>
      <c r="CZ89" s="115">
        <f t="shared" si="647"/>
        <v>13.74</v>
      </c>
      <c r="DA89" s="115">
        <f t="shared" si="647"/>
        <v>13.74</v>
      </c>
      <c r="DB89" s="115">
        <f t="shared" si="647"/>
        <v>13.74</v>
      </c>
      <c r="DC89" s="115">
        <f t="shared" si="647"/>
        <v>13.74</v>
      </c>
      <c r="DD89" s="115">
        <f t="shared" si="647"/>
        <v>13.74</v>
      </c>
      <c r="DE89" s="115">
        <f t="shared" si="647"/>
        <v>13.74</v>
      </c>
      <c r="DF89" s="115">
        <f t="shared" si="647"/>
        <v>13.74</v>
      </c>
      <c r="DG89" s="115">
        <f t="shared" si="647"/>
        <v>13.74</v>
      </c>
    </row>
    <row r="90" spans="1:111" x14ac:dyDescent="0.3">
      <c r="B90" s="1" t="s">
        <v>337</v>
      </c>
      <c r="C90" s="1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>
        <v>22</v>
      </c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>
        <v>218.02</v>
      </c>
      <c r="AI90" s="115">
        <v>57.06</v>
      </c>
      <c r="AJ90" s="115">
        <v>44.41</v>
      </c>
      <c r="AK90" s="115"/>
      <c r="AL90" s="115">
        <v>837.07</v>
      </c>
      <c r="AM90" s="513"/>
      <c r="AN90" s="115">
        <v>50</v>
      </c>
      <c r="AO90" s="115">
        <v>251.46</v>
      </c>
      <c r="AP90" s="115"/>
      <c r="AQ90" s="115"/>
      <c r="AR90" s="115">
        <v>285.64999999999998</v>
      </c>
      <c r="AS90" s="115">
        <v>315.29000000000002</v>
      </c>
      <c r="AT90" s="115">
        <v>326.19</v>
      </c>
      <c r="AU90" s="115">
        <v>484.06</v>
      </c>
      <c r="AV90" s="115">
        <v>383.29</v>
      </c>
      <c r="AW90" s="185">
        <f>677.01</f>
        <v>677.01</v>
      </c>
      <c r="AX90" s="287">
        <f>AVERAGE(AR90:AW90)</f>
        <v>411.91499999999996</v>
      </c>
      <c r="AY90" s="185">
        <f t="shared" ref="AY90" si="648">AX90</f>
        <v>411.91499999999996</v>
      </c>
      <c r="AZ90" s="115">
        <f t="shared" ref="AZ90" si="649">AY90</f>
        <v>411.91499999999996</v>
      </c>
      <c r="BA90" s="115">
        <f t="shared" ref="BA90" si="650">AZ90</f>
        <v>411.91499999999996</v>
      </c>
      <c r="BB90" s="115">
        <f t="shared" ref="BB90" si="651">BA90</f>
        <v>411.91499999999996</v>
      </c>
      <c r="BC90" s="115">
        <f t="shared" ref="BC90" si="652">BB90</f>
        <v>411.91499999999996</v>
      </c>
      <c r="BD90" s="115">
        <f t="shared" ref="BD90" si="653">BC90</f>
        <v>411.91499999999996</v>
      </c>
      <c r="BE90" s="115">
        <f t="shared" ref="BE90" si="654">BD90</f>
        <v>411.91499999999996</v>
      </c>
      <c r="BF90" s="115">
        <f t="shared" ref="BF90" si="655">BE90</f>
        <v>411.91499999999996</v>
      </c>
      <c r="BG90" s="115">
        <f t="shared" ref="BG90" si="656">BF90</f>
        <v>411.91499999999996</v>
      </c>
      <c r="BH90" s="115">
        <f t="shared" ref="BH90" si="657">BG90</f>
        <v>411.91499999999996</v>
      </c>
      <c r="BI90" s="115">
        <f t="shared" ref="BI90" si="658">BH90</f>
        <v>411.91499999999996</v>
      </c>
      <c r="BJ90" s="115">
        <f t="shared" ref="BJ90" si="659">BI90</f>
        <v>411.91499999999996</v>
      </c>
      <c r="BK90" s="185">
        <f t="shared" ref="BK90" si="660">BJ90</f>
        <v>411.91499999999996</v>
      </c>
      <c r="BL90" s="115">
        <f t="shared" ref="BL90" si="661">BK90</f>
        <v>411.91499999999996</v>
      </c>
      <c r="BM90" s="115">
        <f t="shared" ref="BM90" si="662">BL90</f>
        <v>411.91499999999996</v>
      </c>
      <c r="BN90" s="115">
        <f t="shared" ref="BN90" si="663">BM90</f>
        <v>411.91499999999996</v>
      </c>
      <c r="BO90" s="115">
        <f t="shared" ref="BO90" si="664">BN90</f>
        <v>411.91499999999996</v>
      </c>
      <c r="BP90" s="115">
        <f t="shared" ref="BP90" si="665">BO90</f>
        <v>411.91499999999996</v>
      </c>
      <c r="BQ90" s="115">
        <f t="shared" ref="BQ90" si="666">BP90</f>
        <v>411.91499999999996</v>
      </c>
      <c r="BR90" s="115">
        <f t="shared" ref="BR90" si="667">BQ90</f>
        <v>411.91499999999996</v>
      </c>
      <c r="BS90" s="115">
        <f t="shared" ref="BS90" si="668">BR90</f>
        <v>411.91499999999996</v>
      </c>
      <c r="BT90" s="115">
        <f t="shared" ref="BT90" si="669">BS90</f>
        <v>411.91499999999996</v>
      </c>
      <c r="BU90" s="115">
        <f t="shared" ref="BU90" si="670">BT90</f>
        <v>411.91499999999996</v>
      </c>
      <c r="BV90" s="115">
        <f t="shared" ref="BV90" si="671">BU90</f>
        <v>411.91499999999996</v>
      </c>
      <c r="BW90" s="185">
        <f t="shared" ref="BW90" si="672">BV90</f>
        <v>411.91499999999996</v>
      </c>
      <c r="BX90" s="115">
        <f t="shared" ref="BX90" si="673">BW90</f>
        <v>411.91499999999996</v>
      </c>
      <c r="BY90" s="115">
        <f t="shared" ref="BY90" si="674">BX90</f>
        <v>411.91499999999996</v>
      </c>
      <c r="BZ90" s="115">
        <f t="shared" ref="BZ90" si="675">BY90</f>
        <v>411.91499999999996</v>
      </c>
      <c r="CA90" s="115">
        <f t="shared" ref="CA90" si="676">BZ90</f>
        <v>411.91499999999996</v>
      </c>
      <c r="CB90" s="115">
        <f t="shared" ref="CB90" si="677">CA90</f>
        <v>411.91499999999996</v>
      </c>
      <c r="CC90" s="115">
        <f t="shared" ref="CC90" si="678">CB90</f>
        <v>411.91499999999996</v>
      </c>
      <c r="CD90" s="115">
        <f t="shared" ref="CD90" si="679">CC90</f>
        <v>411.91499999999996</v>
      </c>
      <c r="CE90" s="115">
        <f t="shared" ref="CE90" si="680">CD90</f>
        <v>411.91499999999996</v>
      </c>
      <c r="CF90" s="115">
        <f t="shared" ref="CF90" si="681">CE90</f>
        <v>411.91499999999996</v>
      </c>
      <c r="CG90" s="115">
        <f t="shared" ref="CG90" si="682">CF90</f>
        <v>411.91499999999996</v>
      </c>
      <c r="CH90" s="115">
        <f t="shared" ref="CH90" si="683">CG90</f>
        <v>411.91499999999996</v>
      </c>
      <c r="CI90" s="185">
        <f t="shared" ref="CI90" si="684">CH90</f>
        <v>411.91499999999996</v>
      </c>
      <c r="CJ90" s="115">
        <f t="shared" ref="CJ90" si="685">CI90</f>
        <v>411.91499999999996</v>
      </c>
      <c r="CK90" s="115">
        <f t="shared" ref="CK90" si="686">CJ90</f>
        <v>411.91499999999996</v>
      </c>
      <c r="CL90" s="115">
        <f t="shared" ref="CL90" si="687">CK90</f>
        <v>411.91499999999996</v>
      </c>
      <c r="CM90" s="115">
        <f t="shared" ref="CM90" si="688">CL90</f>
        <v>411.91499999999996</v>
      </c>
      <c r="CN90" s="115">
        <f t="shared" ref="CN90" si="689">CM90</f>
        <v>411.91499999999996</v>
      </c>
      <c r="CO90" s="115">
        <f t="shared" ref="CO90" si="690">CN90</f>
        <v>411.91499999999996</v>
      </c>
      <c r="CP90" s="115">
        <f t="shared" ref="CP90" si="691">CO90</f>
        <v>411.91499999999996</v>
      </c>
      <c r="CQ90" s="115">
        <f t="shared" ref="CQ90" si="692">CP90</f>
        <v>411.91499999999996</v>
      </c>
      <c r="CR90" s="115">
        <f t="shared" ref="CR90" si="693">CQ90</f>
        <v>411.91499999999996</v>
      </c>
      <c r="CS90" s="115">
        <f t="shared" ref="CS90" si="694">CR90</f>
        <v>411.91499999999996</v>
      </c>
      <c r="CT90" s="115">
        <f t="shared" ref="CT90" si="695">CS90</f>
        <v>411.91499999999996</v>
      </c>
      <c r="CU90" s="185">
        <f t="shared" ref="CU90" si="696">CT90</f>
        <v>411.91499999999996</v>
      </c>
      <c r="CV90" s="115">
        <f t="shared" ref="CV90" si="697">CU90</f>
        <v>411.91499999999996</v>
      </c>
      <c r="CW90" s="115">
        <f t="shared" ref="CW90" si="698">CV90</f>
        <v>411.91499999999996</v>
      </c>
      <c r="CX90" s="115">
        <f t="shared" ref="CX90" si="699">CW90</f>
        <v>411.91499999999996</v>
      </c>
      <c r="CY90" s="115">
        <f t="shared" ref="CY90" si="700">CX90</f>
        <v>411.91499999999996</v>
      </c>
      <c r="CZ90" s="115">
        <f t="shared" ref="CZ90" si="701">CY90</f>
        <v>411.91499999999996</v>
      </c>
      <c r="DA90" s="115">
        <f t="shared" ref="DA90" si="702">CZ90</f>
        <v>411.91499999999996</v>
      </c>
      <c r="DB90" s="115">
        <f t="shared" ref="DB90" si="703">DA90</f>
        <v>411.91499999999996</v>
      </c>
      <c r="DC90" s="115">
        <f t="shared" ref="DC90" si="704">DB90</f>
        <v>411.91499999999996</v>
      </c>
      <c r="DD90" s="115">
        <f t="shared" ref="DD90" si="705">DC90</f>
        <v>411.91499999999996</v>
      </c>
      <c r="DE90" s="115">
        <f t="shared" ref="DE90" si="706">DD90</f>
        <v>411.91499999999996</v>
      </c>
      <c r="DF90" s="115">
        <f t="shared" ref="DF90" si="707">DE90</f>
        <v>411.91499999999996</v>
      </c>
      <c r="DG90" s="115">
        <f t="shared" ref="DG90" si="708">DF90</f>
        <v>411.91499999999996</v>
      </c>
    </row>
    <row r="91" spans="1:111" x14ac:dyDescent="0.3">
      <c r="B91" s="1" t="s">
        <v>338</v>
      </c>
      <c r="C91" s="1"/>
      <c r="D91" s="115">
        <v>0</v>
      </c>
      <c r="E91" s="115">
        <v>0</v>
      </c>
      <c r="F91" s="115">
        <v>0</v>
      </c>
      <c r="G91" s="115">
        <v>0</v>
      </c>
      <c r="H91" s="115">
        <v>0</v>
      </c>
      <c r="I91" s="115">
        <v>0</v>
      </c>
      <c r="J91" s="115">
        <v>0</v>
      </c>
      <c r="K91" s="115">
        <v>0</v>
      </c>
      <c r="L91" s="115">
        <v>0</v>
      </c>
      <c r="M91" s="115">
        <v>0</v>
      </c>
      <c r="N91" s="115">
        <v>30</v>
      </c>
      <c r="O91" s="115">
        <v>52.67</v>
      </c>
      <c r="P91" s="115">
        <v>30</v>
      </c>
      <c r="Q91" s="115">
        <v>30</v>
      </c>
      <c r="R91" s="115">
        <v>30</v>
      </c>
      <c r="S91" s="115">
        <v>31.99</v>
      </c>
      <c r="T91" s="115">
        <v>45.38</v>
      </c>
      <c r="U91" s="115">
        <v>51.04</v>
      </c>
      <c r="V91" s="115">
        <v>92.49</v>
      </c>
      <c r="W91" s="115">
        <v>194.71</v>
      </c>
      <c r="X91" s="115">
        <v>210.47</v>
      </c>
      <c r="Y91" s="115">
        <v>313.33999999999997</v>
      </c>
      <c r="Z91" s="115">
        <v>205.12</v>
      </c>
      <c r="AA91" s="115">
        <v>105.16</v>
      </c>
      <c r="AB91" s="115">
        <v>124.93</v>
      </c>
      <c r="AC91" s="115">
        <v>156.19</v>
      </c>
      <c r="AD91" s="115">
        <v>141.66999999999999</v>
      </c>
      <c r="AE91" s="115">
        <v>145.28</v>
      </c>
      <c r="AF91" s="115">
        <v>173.37</v>
      </c>
      <c r="AG91" s="115">
        <v>236.32</v>
      </c>
      <c r="AH91" s="115">
        <v>228.28</v>
      </c>
      <c r="AI91" s="115">
        <v>404.2</v>
      </c>
      <c r="AJ91" s="115">
        <v>334.27</v>
      </c>
      <c r="AK91" s="115">
        <v>523.21</v>
      </c>
      <c r="AL91" s="115">
        <v>315.97000000000003</v>
      </c>
      <c r="AM91" s="513">
        <v>199.98</v>
      </c>
      <c r="AN91" s="115">
        <v>229.96</v>
      </c>
      <c r="AO91" s="115">
        <v>281.20999999999998</v>
      </c>
      <c r="AP91" s="115">
        <v>303.5</v>
      </c>
      <c r="AQ91" s="115">
        <v>167.72</v>
      </c>
      <c r="AR91" s="115">
        <v>171.91</v>
      </c>
      <c r="AS91" s="115">
        <v>212.1</v>
      </c>
      <c r="AT91" s="115">
        <v>440.63</v>
      </c>
      <c r="AU91" s="115">
        <v>658.74</v>
      </c>
      <c r="AV91" s="115">
        <v>666.46</v>
      </c>
      <c r="AW91" s="185">
        <f>921.67</f>
        <v>921.67</v>
      </c>
      <c r="AX91" s="287">
        <f t="shared" ref="AX91:CC91" si="709">+AX101*AX12</f>
        <v>336.40261248078679</v>
      </c>
      <c r="AY91" s="185">
        <f t="shared" si="709"/>
        <v>309.98734655715447</v>
      </c>
      <c r="AZ91" s="115">
        <f t="shared" si="709"/>
        <v>396.96782136824788</v>
      </c>
      <c r="BA91" s="115">
        <f t="shared" si="709"/>
        <v>414.14459332052365</v>
      </c>
      <c r="BB91" s="115">
        <f t="shared" si="709"/>
        <v>453.96317920230445</v>
      </c>
      <c r="BC91" s="115">
        <f t="shared" si="709"/>
        <v>215.43406352574772</v>
      </c>
      <c r="BD91" s="115">
        <f t="shared" si="709"/>
        <v>389.38105394051934</v>
      </c>
      <c r="BE91" s="115">
        <f t="shared" si="709"/>
        <v>343.46569061663985</v>
      </c>
      <c r="BF91" s="115">
        <f t="shared" si="709"/>
        <v>521.48822263759712</v>
      </c>
      <c r="BG91" s="115">
        <f t="shared" si="709"/>
        <v>557.67692473458169</v>
      </c>
      <c r="BH91" s="115">
        <f t="shared" si="709"/>
        <v>785.51357020801356</v>
      </c>
      <c r="BI91" s="115">
        <f t="shared" si="709"/>
        <v>918.10589480597434</v>
      </c>
      <c r="BJ91" s="115">
        <f t="shared" si="709"/>
        <v>431.21027348209236</v>
      </c>
      <c r="BK91" s="185">
        <f t="shared" si="709"/>
        <v>612.56263497981138</v>
      </c>
      <c r="BL91" s="115">
        <f t="shared" si="709"/>
        <v>669.44461689304478</v>
      </c>
      <c r="BM91" s="115">
        <f t="shared" si="709"/>
        <v>680.89549655284782</v>
      </c>
      <c r="BN91" s="115">
        <f t="shared" si="709"/>
        <v>753.80440405523655</v>
      </c>
      <c r="BO91" s="115">
        <f t="shared" si="709"/>
        <v>330.81608703115631</v>
      </c>
      <c r="BP91" s="115">
        <f t="shared" si="709"/>
        <v>576.90116057014939</v>
      </c>
      <c r="BQ91" s="115">
        <f t="shared" si="709"/>
        <v>499.07295840794484</v>
      </c>
      <c r="BR91" s="115">
        <f t="shared" si="709"/>
        <v>711.63066563405607</v>
      </c>
      <c r="BS91" s="115">
        <f t="shared" si="709"/>
        <v>831.45006759149624</v>
      </c>
      <c r="BT91" s="115">
        <f t="shared" si="709"/>
        <v>1112.4625669188631</v>
      </c>
      <c r="BU91" s="115">
        <f t="shared" si="709"/>
        <v>1237.4820527362886</v>
      </c>
      <c r="BV91" s="115">
        <f t="shared" si="709"/>
        <v>637.74700861572614</v>
      </c>
      <c r="BW91" s="185">
        <f t="shared" si="709"/>
        <v>863.00540095563713</v>
      </c>
      <c r="BX91" s="115">
        <f t="shared" si="709"/>
        <v>944.7333423318853</v>
      </c>
      <c r="BY91" s="115">
        <f t="shared" si="709"/>
        <v>1013.3002805059401</v>
      </c>
      <c r="BZ91" s="115">
        <f t="shared" si="709"/>
        <v>1070.5376358429096</v>
      </c>
      <c r="CA91" s="115">
        <f t="shared" si="709"/>
        <v>429.08504688128141</v>
      </c>
      <c r="CB91" s="115">
        <f t="shared" si="709"/>
        <v>899.49314191291</v>
      </c>
      <c r="CC91" s="115">
        <f t="shared" si="709"/>
        <v>710.84946946755576</v>
      </c>
      <c r="CD91" s="115">
        <f t="shared" ref="CD91:DG91" si="710">+CD101*CD12</f>
        <v>967.91178175378889</v>
      </c>
      <c r="CE91" s="115">
        <f t="shared" si="710"/>
        <v>1242.8613834935372</v>
      </c>
      <c r="CF91" s="115">
        <f t="shared" si="710"/>
        <v>1513.4160153641708</v>
      </c>
      <c r="CG91" s="115">
        <f t="shared" si="710"/>
        <v>1845.3928485600077</v>
      </c>
      <c r="CH91" s="115">
        <f t="shared" si="710"/>
        <v>906.10899750032706</v>
      </c>
      <c r="CI91" s="185">
        <f t="shared" si="710"/>
        <v>1119.6347229116891</v>
      </c>
      <c r="CJ91" s="115">
        <f t="shared" si="710"/>
        <v>1460.9304256001283</v>
      </c>
      <c r="CK91" s="115">
        <f t="shared" si="710"/>
        <v>1357.8065784015275</v>
      </c>
      <c r="CL91" s="115">
        <f t="shared" si="710"/>
        <v>1440.8645806862162</v>
      </c>
      <c r="CM91" s="115">
        <f t="shared" si="710"/>
        <v>632.44476095404343</v>
      </c>
      <c r="CN91" s="115">
        <f t="shared" si="710"/>
        <v>1265.9176708434134</v>
      </c>
      <c r="CO91" s="115">
        <f t="shared" si="710"/>
        <v>949.95338192482382</v>
      </c>
      <c r="CP91" s="115">
        <f t="shared" si="710"/>
        <v>1419.6039465722229</v>
      </c>
      <c r="CQ91" s="115">
        <f t="shared" si="710"/>
        <v>1735.2930587057317</v>
      </c>
      <c r="CR91" s="115">
        <f t="shared" si="710"/>
        <v>2008.6199705745457</v>
      </c>
      <c r="CS91" s="115">
        <f t="shared" si="710"/>
        <v>2698.0930000910948</v>
      </c>
      <c r="CT91" s="115">
        <f t="shared" si="710"/>
        <v>1267.2262779566263</v>
      </c>
      <c r="CU91" s="185">
        <f t="shared" si="710"/>
        <v>1570.7863498056954</v>
      </c>
      <c r="CV91" s="115">
        <f t="shared" si="710"/>
        <v>2053.5287963010041</v>
      </c>
      <c r="CW91" s="115">
        <f t="shared" si="710"/>
        <v>1905.9838630573443</v>
      </c>
      <c r="CX91" s="115">
        <f t="shared" si="710"/>
        <v>1930.7273056644378</v>
      </c>
      <c r="CY91" s="115">
        <f t="shared" si="710"/>
        <v>932.01116426215913</v>
      </c>
      <c r="CZ91" s="115">
        <f t="shared" si="710"/>
        <v>1782.2256474287883</v>
      </c>
      <c r="DA91" s="115">
        <f t="shared" si="710"/>
        <v>1279.0279125589957</v>
      </c>
      <c r="DB91" s="115">
        <f t="shared" si="710"/>
        <v>2093.9936276073531</v>
      </c>
      <c r="DC91" s="115">
        <f t="shared" si="710"/>
        <v>2337.3076594939598</v>
      </c>
      <c r="DD91" s="115">
        <f t="shared" si="710"/>
        <v>2967.2685353544302</v>
      </c>
      <c r="DE91" s="115">
        <f t="shared" si="710"/>
        <v>3803.3499044299497</v>
      </c>
      <c r="DF91" s="115">
        <f t="shared" si="710"/>
        <v>1702.3373362667267</v>
      </c>
      <c r="DG91" s="115">
        <f t="shared" si="710"/>
        <v>2321.0938440115174</v>
      </c>
    </row>
    <row r="92" spans="1:111" s="29" customFormat="1" x14ac:dyDescent="0.3">
      <c r="A92"/>
      <c r="B92" s="1" t="s">
        <v>339</v>
      </c>
      <c r="C92" s="1"/>
      <c r="D92" s="115">
        <f>0</f>
        <v>0</v>
      </c>
      <c r="E92" s="115">
        <f>0</f>
        <v>0</v>
      </c>
      <c r="F92" s="115">
        <f>0</f>
        <v>0</v>
      </c>
      <c r="G92" s="115">
        <f>0</f>
        <v>0</v>
      </c>
      <c r="H92" s="115">
        <f>0</f>
        <v>0</v>
      </c>
      <c r="I92" s="115">
        <f>0</f>
        <v>0</v>
      </c>
      <c r="J92" s="115">
        <v>0</v>
      </c>
      <c r="K92" s="115">
        <v>0</v>
      </c>
      <c r="L92" s="115">
        <v>0</v>
      </c>
      <c r="M92" s="115">
        <v>1150</v>
      </c>
      <c r="N92" s="115">
        <v>0</v>
      </c>
      <c r="O92" s="115">
        <v>0</v>
      </c>
      <c r="P92" s="115"/>
      <c r="Q92" s="115"/>
      <c r="R92" s="115"/>
      <c r="S92" s="115"/>
      <c r="T92" s="115"/>
      <c r="U92" s="115">
        <v>50</v>
      </c>
      <c r="V92" s="115">
        <v>55</v>
      </c>
      <c r="W92" s="115">
        <v>200</v>
      </c>
      <c r="X92" s="115">
        <v>633.5</v>
      </c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>
        <v>490</v>
      </c>
      <c r="AJ92" s="115"/>
      <c r="AK92" s="115">
        <v>262.5</v>
      </c>
      <c r="AL92" s="115"/>
      <c r="AM92" s="513"/>
      <c r="AN92" s="115"/>
      <c r="AO92" s="115"/>
      <c r="AP92" s="115">
        <f>707</f>
        <v>707</v>
      </c>
      <c r="AQ92" s="115">
        <v>235.5</v>
      </c>
      <c r="AR92" s="115"/>
      <c r="AS92" s="115"/>
      <c r="AT92" s="115">
        <v>275</v>
      </c>
      <c r="AU92" s="115">
        <v>88</v>
      </c>
      <c r="AV92" s="115"/>
      <c r="AW92" s="185"/>
      <c r="AX92" s="287">
        <f>AVERAGE(AR92:AW92)</f>
        <v>181.5</v>
      </c>
      <c r="AY92" s="185">
        <f t="shared" ref="AY92:BG92" si="711">+AM92</f>
        <v>0</v>
      </c>
      <c r="AZ92" s="115">
        <f t="shared" si="711"/>
        <v>0</v>
      </c>
      <c r="BA92" s="115">
        <f t="shared" si="711"/>
        <v>0</v>
      </c>
      <c r="BB92" s="115">
        <f t="shared" si="711"/>
        <v>707</v>
      </c>
      <c r="BC92" s="115">
        <f t="shared" si="711"/>
        <v>235.5</v>
      </c>
      <c r="BD92" s="115">
        <f t="shared" si="711"/>
        <v>0</v>
      </c>
      <c r="BE92" s="115">
        <f t="shared" si="711"/>
        <v>0</v>
      </c>
      <c r="BF92" s="115">
        <f t="shared" si="711"/>
        <v>275</v>
      </c>
      <c r="BG92" s="115">
        <f t="shared" si="711"/>
        <v>88</v>
      </c>
      <c r="BH92" s="115">
        <f t="shared" ref="BH92:CZ92" si="712">+AV92</f>
        <v>0</v>
      </c>
      <c r="BI92" s="115">
        <f t="shared" si="712"/>
        <v>0</v>
      </c>
      <c r="BJ92" s="115">
        <f t="shared" si="712"/>
        <v>181.5</v>
      </c>
      <c r="BK92" s="185">
        <f t="shared" si="712"/>
        <v>0</v>
      </c>
      <c r="BL92" s="115">
        <f t="shared" si="712"/>
        <v>0</v>
      </c>
      <c r="BM92" s="115">
        <f t="shared" si="712"/>
        <v>0</v>
      </c>
      <c r="BN92" s="115">
        <f t="shared" si="712"/>
        <v>707</v>
      </c>
      <c r="BO92" s="115">
        <f t="shared" si="712"/>
        <v>235.5</v>
      </c>
      <c r="BP92" s="115">
        <f t="shared" si="712"/>
        <v>0</v>
      </c>
      <c r="BQ92" s="115">
        <f t="shared" si="712"/>
        <v>0</v>
      </c>
      <c r="BR92" s="115">
        <f t="shared" si="712"/>
        <v>275</v>
      </c>
      <c r="BS92" s="115">
        <f t="shared" si="712"/>
        <v>88</v>
      </c>
      <c r="BT92" s="115">
        <f t="shared" si="712"/>
        <v>0</v>
      </c>
      <c r="BU92" s="115">
        <f t="shared" si="712"/>
        <v>0</v>
      </c>
      <c r="BV92" s="115">
        <f t="shared" si="712"/>
        <v>181.5</v>
      </c>
      <c r="BW92" s="185">
        <f t="shared" si="712"/>
        <v>0</v>
      </c>
      <c r="BX92" s="115">
        <f t="shared" si="712"/>
        <v>0</v>
      </c>
      <c r="BY92" s="115">
        <f t="shared" si="712"/>
        <v>0</v>
      </c>
      <c r="BZ92" s="115">
        <f t="shared" si="712"/>
        <v>707</v>
      </c>
      <c r="CA92" s="115">
        <f t="shared" si="712"/>
        <v>235.5</v>
      </c>
      <c r="CB92" s="115">
        <f t="shared" si="712"/>
        <v>0</v>
      </c>
      <c r="CC92" s="115">
        <f t="shared" si="712"/>
        <v>0</v>
      </c>
      <c r="CD92" s="115">
        <f t="shared" si="712"/>
        <v>275</v>
      </c>
      <c r="CE92" s="115">
        <f t="shared" si="712"/>
        <v>88</v>
      </c>
      <c r="CF92" s="115">
        <f t="shared" si="712"/>
        <v>0</v>
      </c>
      <c r="CG92" s="115">
        <f t="shared" si="712"/>
        <v>0</v>
      </c>
      <c r="CH92" s="115">
        <f t="shared" si="712"/>
        <v>181.5</v>
      </c>
      <c r="CI92" s="185">
        <f t="shared" si="712"/>
        <v>0</v>
      </c>
      <c r="CJ92" s="115">
        <f t="shared" si="712"/>
        <v>0</v>
      </c>
      <c r="CK92" s="115">
        <f t="shared" si="712"/>
        <v>0</v>
      </c>
      <c r="CL92" s="115">
        <f t="shared" si="712"/>
        <v>707</v>
      </c>
      <c r="CM92" s="115">
        <f t="shared" si="712"/>
        <v>235.5</v>
      </c>
      <c r="CN92" s="115">
        <f t="shared" si="712"/>
        <v>0</v>
      </c>
      <c r="CO92" s="115">
        <f t="shared" si="712"/>
        <v>0</v>
      </c>
      <c r="CP92" s="115">
        <f t="shared" si="712"/>
        <v>275</v>
      </c>
      <c r="CQ92" s="115">
        <f t="shared" si="712"/>
        <v>88</v>
      </c>
      <c r="CR92" s="115">
        <f t="shared" si="712"/>
        <v>0</v>
      </c>
      <c r="CS92" s="115">
        <f t="shared" si="712"/>
        <v>0</v>
      </c>
      <c r="CT92" s="115">
        <f t="shared" si="712"/>
        <v>181.5</v>
      </c>
      <c r="CU92" s="185">
        <f t="shared" si="712"/>
        <v>0</v>
      </c>
      <c r="CV92" s="115">
        <f t="shared" si="712"/>
        <v>0</v>
      </c>
      <c r="CW92" s="115">
        <f t="shared" si="712"/>
        <v>0</v>
      </c>
      <c r="CX92" s="115">
        <f t="shared" si="712"/>
        <v>707</v>
      </c>
      <c r="CY92" s="115">
        <f t="shared" si="712"/>
        <v>235.5</v>
      </c>
      <c r="CZ92" s="115">
        <f t="shared" si="712"/>
        <v>0</v>
      </c>
      <c r="DA92" s="115">
        <f t="shared" ref="DA92:DG92" si="713">+CO92</f>
        <v>0</v>
      </c>
      <c r="DB92" s="115">
        <f t="shared" si="713"/>
        <v>275</v>
      </c>
      <c r="DC92" s="115">
        <f t="shared" si="713"/>
        <v>88</v>
      </c>
      <c r="DD92" s="115">
        <f t="shared" si="713"/>
        <v>0</v>
      </c>
      <c r="DE92" s="115">
        <f t="shared" si="713"/>
        <v>0</v>
      </c>
      <c r="DF92" s="115">
        <f t="shared" si="713"/>
        <v>181.5</v>
      </c>
      <c r="DG92" s="115">
        <f t="shared" si="713"/>
        <v>0</v>
      </c>
    </row>
    <row r="93" spans="1:111" s="29" customFormat="1" x14ac:dyDescent="0.3">
      <c r="A93"/>
      <c r="B93" s="1" t="s">
        <v>340</v>
      </c>
      <c r="C93" s="1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>
        <v>192.74</v>
      </c>
      <c r="U93" s="115">
        <v>137.74</v>
      </c>
      <c r="V93" s="115">
        <v>181.07</v>
      </c>
      <c r="W93" s="115">
        <v>286.48</v>
      </c>
      <c r="X93" s="115">
        <v>138.16999999999999</v>
      </c>
      <c r="Y93" s="115">
        <v>263.36</v>
      </c>
      <c r="Z93" s="115">
        <v>138.4</v>
      </c>
      <c r="AA93" s="115">
        <v>138.4</v>
      </c>
      <c r="AB93" s="115">
        <v>138.4</v>
      </c>
      <c r="AC93" s="115">
        <v>138.41999999999999</v>
      </c>
      <c r="AD93" s="115">
        <v>138.41999999999999</v>
      </c>
      <c r="AE93" s="115">
        <v>145.97</v>
      </c>
      <c r="AF93" s="115">
        <v>142.41999999999999</v>
      </c>
      <c r="AG93" s="115">
        <v>142.41999999999999</v>
      </c>
      <c r="AH93" s="115">
        <v>219.14</v>
      </c>
      <c r="AI93" s="115">
        <v>164.46</v>
      </c>
      <c r="AJ93" s="115">
        <v>134.46</v>
      </c>
      <c r="AK93" s="115">
        <v>260.35000000000002</v>
      </c>
      <c r="AL93" s="115">
        <v>157.41</v>
      </c>
      <c r="AM93" s="513">
        <v>127.41</v>
      </c>
      <c r="AN93" s="115">
        <v>128.5</v>
      </c>
      <c r="AO93" s="115">
        <v>155.68</v>
      </c>
      <c r="AP93" s="115">
        <v>123.02</v>
      </c>
      <c r="AQ93" s="115">
        <v>123.02</v>
      </c>
      <c r="AR93" s="115">
        <v>123.01</v>
      </c>
      <c r="AS93" s="115">
        <v>123.01</v>
      </c>
      <c r="AT93" s="115">
        <v>123.01</v>
      </c>
      <c r="AU93" s="115">
        <v>122.99</v>
      </c>
      <c r="AV93" s="115">
        <v>161.99</v>
      </c>
      <c r="AW93" s="185">
        <f>155.86</f>
        <v>155.86000000000001</v>
      </c>
      <c r="AX93" s="287">
        <f>+AW93</f>
        <v>155.86000000000001</v>
      </c>
      <c r="AY93" s="185">
        <f t="shared" ref="AY93:CJ93" si="714">+AX93</f>
        <v>155.86000000000001</v>
      </c>
      <c r="AZ93" s="115">
        <f t="shared" si="714"/>
        <v>155.86000000000001</v>
      </c>
      <c r="BA93" s="115">
        <f t="shared" si="714"/>
        <v>155.86000000000001</v>
      </c>
      <c r="BB93" s="115">
        <f t="shared" si="714"/>
        <v>155.86000000000001</v>
      </c>
      <c r="BC93" s="115">
        <f t="shared" si="714"/>
        <v>155.86000000000001</v>
      </c>
      <c r="BD93" s="115">
        <f t="shared" si="714"/>
        <v>155.86000000000001</v>
      </c>
      <c r="BE93" s="115">
        <f t="shared" si="714"/>
        <v>155.86000000000001</v>
      </c>
      <c r="BF93" s="115">
        <f t="shared" si="714"/>
        <v>155.86000000000001</v>
      </c>
      <c r="BG93" s="115">
        <f t="shared" si="714"/>
        <v>155.86000000000001</v>
      </c>
      <c r="BH93" s="115">
        <f t="shared" si="714"/>
        <v>155.86000000000001</v>
      </c>
      <c r="BI93" s="115">
        <f t="shared" si="714"/>
        <v>155.86000000000001</v>
      </c>
      <c r="BJ93" s="115">
        <f t="shared" si="714"/>
        <v>155.86000000000001</v>
      </c>
      <c r="BK93" s="185">
        <f t="shared" si="714"/>
        <v>155.86000000000001</v>
      </c>
      <c r="BL93" s="115">
        <f t="shared" si="714"/>
        <v>155.86000000000001</v>
      </c>
      <c r="BM93" s="115">
        <f t="shared" si="714"/>
        <v>155.86000000000001</v>
      </c>
      <c r="BN93" s="115">
        <f t="shared" si="714"/>
        <v>155.86000000000001</v>
      </c>
      <c r="BO93" s="115">
        <f t="shared" si="714"/>
        <v>155.86000000000001</v>
      </c>
      <c r="BP93" s="115">
        <f t="shared" si="714"/>
        <v>155.86000000000001</v>
      </c>
      <c r="BQ93" s="115">
        <f t="shared" si="714"/>
        <v>155.86000000000001</v>
      </c>
      <c r="BR93" s="115">
        <f t="shared" si="714"/>
        <v>155.86000000000001</v>
      </c>
      <c r="BS93" s="115">
        <f t="shared" si="714"/>
        <v>155.86000000000001</v>
      </c>
      <c r="BT93" s="115">
        <f t="shared" si="714"/>
        <v>155.86000000000001</v>
      </c>
      <c r="BU93" s="115">
        <f t="shared" si="714"/>
        <v>155.86000000000001</v>
      </c>
      <c r="BV93" s="115">
        <f t="shared" si="714"/>
        <v>155.86000000000001</v>
      </c>
      <c r="BW93" s="185">
        <f t="shared" si="714"/>
        <v>155.86000000000001</v>
      </c>
      <c r="BX93" s="115">
        <f t="shared" si="714"/>
        <v>155.86000000000001</v>
      </c>
      <c r="BY93" s="115">
        <f t="shared" si="714"/>
        <v>155.86000000000001</v>
      </c>
      <c r="BZ93" s="115">
        <f t="shared" si="714"/>
        <v>155.86000000000001</v>
      </c>
      <c r="CA93" s="115">
        <f t="shared" si="714"/>
        <v>155.86000000000001</v>
      </c>
      <c r="CB93" s="115">
        <f t="shared" si="714"/>
        <v>155.86000000000001</v>
      </c>
      <c r="CC93" s="115">
        <f t="shared" si="714"/>
        <v>155.86000000000001</v>
      </c>
      <c r="CD93" s="115">
        <f t="shared" si="714"/>
        <v>155.86000000000001</v>
      </c>
      <c r="CE93" s="115">
        <f t="shared" si="714"/>
        <v>155.86000000000001</v>
      </c>
      <c r="CF93" s="115">
        <f t="shared" si="714"/>
        <v>155.86000000000001</v>
      </c>
      <c r="CG93" s="115">
        <f t="shared" si="714"/>
        <v>155.86000000000001</v>
      </c>
      <c r="CH93" s="115">
        <f t="shared" si="714"/>
        <v>155.86000000000001</v>
      </c>
      <c r="CI93" s="185">
        <f t="shared" si="714"/>
        <v>155.86000000000001</v>
      </c>
      <c r="CJ93" s="115">
        <f t="shared" si="714"/>
        <v>155.86000000000001</v>
      </c>
      <c r="CK93" s="115">
        <f t="shared" ref="CK93:DG93" si="715">+CJ93</f>
        <v>155.86000000000001</v>
      </c>
      <c r="CL93" s="115">
        <f t="shared" si="715"/>
        <v>155.86000000000001</v>
      </c>
      <c r="CM93" s="115">
        <f t="shared" si="715"/>
        <v>155.86000000000001</v>
      </c>
      <c r="CN93" s="115">
        <f t="shared" si="715"/>
        <v>155.86000000000001</v>
      </c>
      <c r="CO93" s="115">
        <f t="shared" si="715"/>
        <v>155.86000000000001</v>
      </c>
      <c r="CP93" s="115">
        <f t="shared" si="715"/>
        <v>155.86000000000001</v>
      </c>
      <c r="CQ93" s="115">
        <f t="shared" si="715"/>
        <v>155.86000000000001</v>
      </c>
      <c r="CR93" s="115">
        <f t="shared" si="715"/>
        <v>155.86000000000001</v>
      </c>
      <c r="CS93" s="115">
        <f t="shared" si="715"/>
        <v>155.86000000000001</v>
      </c>
      <c r="CT93" s="115">
        <f t="shared" si="715"/>
        <v>155.86000000000001</v>
      </c>
      <c r="CU93" s="185">
        <f t="shared" si="715"/>
        <v>155.86000000000001</v>
      </c>
      <c r="CV93" s="115">
        <f t="shared" si="715"/>
        <v>155.86000000000001</v>
      </c>
      <c r="CW93" s="115">
        <f t="shared" si="715"/>
        <v>155.86000000000001</v>
      </c>
      <c r="CX93" s="115">
        <f t="shared" si="715"/>
        <v>155.86000000000001</v>
      </c>
      <c r="CY93" s="115">
        <f t="shared" si="715"/>
        <v>155.86000000000001</v>
      </c>
      <c r="CZ93" s="115">
        <f t="shared" si="715"/>
        <v>155.86000000000001</v>
      </c>
      <c r="DA93" s="115">
        <f t="shared" si="715"/>
        <v>155.86000000000001</v>
      </c>
      <c r="DB93" s="115">
        <f t="shared" si="715"/>
        <v>155.86000000000001</v>
      </c>
      <c r="DC93" s="115">
        <f t="shared" si="715"/>
        <v>155.86000000000001</v>
      </c>
      <c r="DD93" s="115">
        <f t="shared" si="715"/>
        <v>155.86000000000001</v>
      </c>
      <c r="DE93" s="115">
        <f t="shared" si="715"/>
        <v>155.86000000000001</v>
      </c>
      <c r="DF93" s="115">
        <f t="shared" si="715"/>
        <v>155.86000000000001</v>
      </c>
      <c r="DG93" s="115">
        <f t="shared" si="715"/>
        <v>155.86000000000001</v>
      </c>
    </row>
    <row r="94" spans="1:111" s="29" customFormat="1" x14ac:dyDescent="0.3">
      <c r="A94"/>
      <c r="B94" s="1" t="s">
        <v>341</v>
      </c>
      <c r="C94" s="1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>
        <v>50</v>
      </c>
      <c r="X94" s="115"/>
      <c r="Y94" s="115"/>
      <c r="Z94" s="115"/>
      <c r="AA94" s="115"/>
      <c r="AB94" s="115"/>
      <c r="AC94" s="115"/>
      <c r="AD94" s="115">
        <v>300</v>
      </c>
      <c r="AE94" s="115"/>
      <c r="AF94" s="115"/>
      <c r="AG94" s="115"/>
      <c r="AH94" s="115"/>
      <c r="AI94" s="115">
        <v>50</v>
      </c>
      <c r="AJ94" s="115"/>
      <c r="AK94" s="115"/>
      <c r="AL94" s="115"/>
      <c r="AM94" s="513"/>
      <c r="AN94" s="115"/>
      <c r="AO94" s="115"/>
      <c r="AP94" s="115"/>
      <c r="AQ94" s="115"/>
      <c r="AR94" s="115">
        <v>0</v>
      </c>
      <c r="AS94" s="115">
        <v>0</v>
      </c>
      <c r="AT94" s="115">
        <v>50</v>
      </c>
      <c r="AU94" s="115"/>
      <c r="AV94" s="115"/>
      <c r="AW94" s="185"/>
      <c r="AX94" s="287">
        <f>AVERAGE(AO94:AW94)</f>
        <v>16.666666666666668</v>
      </c>
      <c r="AY94" s="185">
        <f t="shared" ref="AY94:CK94" si="716">+AX94</f>
        <v>16.666666666666668</v>
      </c>
      <c r="AZ94" s="115">
        <f t="shared" si="716"/>
        <v>16.666666666666668</v>
      </c>
      <c r="BA94" s="115">
        <f t="shared" si="716"/>
        <v>16.666666666666668</v>
      </c>
      <c r="BB94" s="115">
        <f t="shared" si="716"/>
        <v>16.666666666666668</v>
      </c>
      <c r="BC94" s="115">
        <f t="shared" si="716"/>
        <v>16.666666666666668</v>
      </c>
      <c r="BD94" s="115">
        <f t="shared" si="716"/>
        <v>16.666666666666668</v>
      </c>
      <c r="BE94" s="115">
        <f t="shared" si="716"/>
        <v>16.666666666666668</v>
      </c>
      <c r="BF94" s="115">
        <f t="shared" si="716"/>
        <v>16.666666666666668</v>
      </c>
      <c r="BG94" s="115">
        <f t="shared" si="716"/>
        <v>16.666666666666668</v>
      </c>
      <c r="BH94" s="115">
        <f t="shared" si="716"/>
        <v>16.666666666666668</v>
      </c>
      <c r="BI94" s="115">
        <f t="shared" si="716"/>
        <v>16.666666666666668</v>
      </c>
      <c r="BJ94" s="115">
        <f t="shared" si="716"/>
        <v>16.666666666666668</v>
      </c>
      <c r="BK94" s="185">
        <f t="shared" si="716"/>
        <v>16.666666666666668</v>
      </c>
      <c r="BL94" s="115">
        <f t="shared" si="716"/>
        <v>16.666666666666668</v>
      </c>
      <c r="BM94" s="115">
        <f t="shared" si="716"/>
        <v>16.666666666666668</v>
      </c>
      <c r="BN94" s="115">
        <f t="shared" si="716"/>
        <v>16.666666666666668</v>
      </c>
      <c r="BO94" s="115">
        <f t="shared" si="716"/>
        <v>16.666666666666668</v>
      </c>
      <c r="BP94" s="115">
        <f t="shared" si="716"/>
        <v>16.666666666666668</v>
      </c>
      <c r="BQ94" s="115">
        <f t="shared" si="716"/>
        <v>16.666666666666668</v>
      </c>
      <c r="BR94" s="115">
        <f t="shared" si="716"/>
        <v>16.666666666666668</v>
      </c>
      <c r="BS94" s="115">
        <f t="shared" si="716"/>
        <v>16.666666666666668</v>
      </c>
      <c r="BT94" s="115">
        <f t="shared" si="716"/>
        <v>16.666666666666668</v>
      </c>
      <c r="BU94" s="115">
        <f t="shared" si="716"/>
        <v>16.666666666666668</v>
      </c>
      <c r="BV94" s="115">
        <f t="shared" si="716"/>
        <v>16.666666666666668</v>
      </c>
      <c r="BW94" s="185">
        <f t="shared" si="716"/>
        <v>16.666666666666668</v>
      </c>
      <c r="BX94" s="115">
        <f t="shared" si="716"/>
        <v>16.666666666666668</v>
      </c>
      <c r="BY94" s="115">
        <f t="shared" si="716"/>
        <v>16.666666666666668</v>
      </c>
      <c r="BZ94" s="115">
        <f t="shared" si="716"/>
        <v>16.666666666666668</v>
      </c>
      <c r="CA94" s="115">
        <f t="shared" si="716"/>
        <v>16.666666666666668</v>
      </c>
      <c r="CB94" s="115">
        <f t="shared" si="716"/>
        <v>16.666666666666668</v>
      </c>
      <c r="CC94" s="115">
        <f t="shared" si="716"/>
        <v>16.666666666666668</v>
      </c>
      <c r="CD94" s="115">
        <f t="shared" si="716"/>
        <v>16.666666666666668</v>
      </c>
      <c r="CE94" s="115">
        <f t="shared" si="716"/>
        <v>16.666666666666668</v>
      </c>
      <c r="CF94" s="115">
        <f t="shared" si="716"/>
        <v>16.666666666666668</v>
      </c>
      <c r="CG94" s="115">
        <f t="shared" si="716"/>
        <v>16.666666666666668</v>
      </c>
      <c r="CH94" s="115">
        <f t="shared" si="716"/>
        <v>16.666666666666668</v>
      </c>
      <c r="CI94" s="185">
        <f t="shared" si="716"/>
        <v>16.666666666666668</v>
      </c>
      <c r="CJ94" s="115">
        <f t="shared" si="716"/>
        <v>16.666666666666668</v>
      </c>
      <c r="CK94" s="115">
        <f t="shared" si="716"/>
        <v>16.666666666666668</v>
      </c>
      <c r="CL94" s="115">
        <f t="shared" ref="CL94:DG94" si="717">+CK94</f>
        <v>16.666666666666668</v>
      </c>
      <c r="CM94" s="115">
        <f t="shared" si="717"/>
        <v>16.666666666666668</v>
      </c>
      <c r="CN94" s="115">
        <f t="shared" si="717"/>
        <v>16.666666666666668</v>
      </c>
      <c r="CO94" s="115">
        <f t="shared" si="717"/>
        <v>16.666666666666668</v>
      </c>
      <c r="CP94" s="115">
        <f t="shared" si="717"/>
        <v>16.666666666666668</v>
      </c>
      <c r="CQ94" s="115">
        <f t="shared" si="717"/>
        <v>16.666666666666668</v>
      </c>
      <c r="CR94" s="115">
        <f t="shared" si="717"/>
        <v>16.666666666666668</v>
      </c>
      <c r="CS94" s="115">
        <f t="shared" si="717"/>
        <v>16.666666666666668</v>
      </c>
      <c r="CT94" s="115">
        <f t="shared" si="717"/>
        <v>16.666666666666668</v>
      </c>
      <c r="CU94" s="185">
        <f t="shared" si="717"/>
        <v>16.666666666666668</v>
      </c>
      <c r="CV94" s="115">
        <f t="shared" si="717"/>
        <v>16.666666666666668</v>
      </c>
      <c r="CW94" s="115">
        <f t="shared" si="717"/>
        <v>16.666666666666668</v>
      </c>
      <c r="CX94" s="115">
        <f t="shared" si="717"/>
        <v>16.666666666666668</v>
      </c>
      <c r="CY94" s="115">
        <f t="shared" si="717"/>
        <v>16.666666666666668</v>
      </c>
      <c r="CZ94" s="115">
        <f t="shared" si="717"/>
        <v>16.666666666666668</v>
      </c>
      <c r="DA94" s="115">
        <f t="shared" si="717"/>
        <v>16.666666666666668</v>
      </c>
      <c r="DB94" s="115">
        <f t="shared" si="717"/>
        <v>16.666666666666668</v>
      </c>
      <c r="DC94" s="115">
        <f t="shared" si="717"/>
        <v>16.666666666666668</v>
      </c>
      <c r="DD94" s="115">
        <f t="shared" si="717"/>
        <v>16.666666666666668</v>
      </c>
      <c r="DE94" s="115">
        <f t="shared" si="717"/>
        <v>16.666666666666668</v>
      </c>
      <c r="DF94" s="115">
        <f t="shared" si="717"/>
        <v>16.666666666666668</v>
      </c>
      <c r="DG94" s="115">
        <f t="shared" si="717"/>
        <v>16.666666666666668</v>
      </c>
    </row>
    <row r="95" spans="1:111" x14ac:dyDescent="0.3">
      <c r="B95" s="1" t="s">
        <v>204</v>
      </c>
      <c r="C95" s="1"/>
      <c r="D95" s="55">
        <f t="shared" ref="D95:O95" si="718">SUM(D85:D92)</f>
        <v>0</v>
      </c>
      <c r="E95" s="55">
        <f t="shared" si="718"/>
        <v>0</v>
      </c>
      <c r="F95" s="55">
        <f t="shared" si="718"/>
        <v>0</v>
      </c>
      <c r="G95" s="55">
        <f t="shared" si="718"/>
        <v>0</v>
      </c>
      <c r="H95" s="55">
        <f t="shared" si="718"/>
        <v>0</v>
      </c>
      <c r="I95" s="55">
        <f t="shared" si="718"/>
        <v>0</v>
      </c>
      <c r="J95" s="55">
        <f t="shared" si="718"/>
        <v>0</v>
      </c>
      <c r="K95" s="55">
        <f t="shared" si="718"/>
        <v>0</v>
      </c>
      <c r="L95" s="55">
        <f t="shared" si="718"/>
        <v>27</v>
      </c>
      <c r="M95" s="55">
        <f t="shared" si="718"/>
        <v>1796.6599999999999</v>
      </c>
      <c r="N95" s="55">
        <f t="shared" si="718"/>
        <v>472.23</v>
      </c>
      <c r="O95" s="55">
        <f t="shared" si="718"/>
        <v>162.10000000000002</v>
      </c>
      <c r="P95" s="55">
        <f t="shared" ref="P95:X95" si="719">SUM(P85:P94)</f>
        <v>235.13</v>
      </c>
      <c r="Q95" s="55">
        <f t="shared" si="719"/>
        <v>153.76</v>
      </c>
      <c r="R95" s="55">
        <f t="shared" si="719"/>
        <v>105.36</v>
      </c>
      <c r="S95" s="55">
        <f t="shared" si="719"/>
        <v>272.83999999999997</v>
      </c>
      <c r="T95" s="55">
        <f t="shared" si="719"/>
        <v>551</v>
      </c>
      <c r="U95" s="55">
        <f t="shared" si="719"/>
        <v>647.26</v>
      </c>
      <c r="V95" s="55">
        <f t="shared" si="719"/>
        <v>432.76</v>
      </c>
      <c r="W95" s="55">
        <f t="shared" si="719"/>
        <v>851.95</v>
      </c>
      <c r="X95" s="55">
        <f t="shared" si="719"/>
        <v>1646.3600000000001</v>
      </c>
      <c r="Y95" s="55">
        <f t="shared" ref="Y95:AM95" si="720">SUM(Y74:Y94)</f>
        <v>1347.4700000000003</v>
      </c>
      <c r="Z95" s="55">
        <f t="shared" si="720"/>
        <v>906.43000000000006</v>
      </c>
      <c r="AA95" s="55">
        <f t="shared" si="720"/>
        <v>797.47</v>
      </c>
      <c r="AB95" s="55">
        <f t="shared" si="720"/>
        <v>417.24</v>
      </c>
      <c r="AC95" s="55">
        <f t="shared" si="720"/>
        <v>436.02</v>
      </c>
      <c r="AD95" s="55">
        <f t="shared" si="720"/>
        <v>943.03</v>
      </c>
      <c r="AE95" s="55">
        <f t="shared" si="720"/>
        <v>382.79999999999995</v>
      </c>
      <c r="AF95" s="55">
        <f t="shared" si="720"/>
        <v>689.94999999999993</v>
      </c>
      <c r="AG95" s="55">
        <f t="shared" si="720"/>
        <v>913.86</v>
      </c>
      <c r="AH95" s="55">
        <f t="shared" si="720"/>
        <v>2146.7599999999998</v>
      </c>
      <c r="AI95" s="55">
        <f t="shared" si="720"/>
        <v>1446.3200000000002</v>
      </c>
      <c r="AJ95" s="55">
        <f t="shared" si="720"/>
        <v>878.64</v>
      </c>
      <c r="AK95" s="55">
        <f t="shared" si="720"/>
        <v>1580.87</v>
      </c>
      <c r="AL95" s="55">
        <f t="shared" si="720"/>
        <v>2040.0100000000002</v>
      </c>
      <c r="AM95" s="514">
        <f t="shared" si="720"/>
        <v>620.20999999999992</v>
      </c>
      <c r="AN95" s="55">
        <f t="shared" ref="AN95:AS95" si="721">SUM(AN83:AN94)+AN80</f>
        <v>4230.3</v>
      </c>
      <c r="AO95" s="55">
        <f t="shared" si="721"/>
        <v>6699.2999999999993</v>
      </c>
      <c r="AP95" s="55">
        <f t="shared" si="721"/>
        <v>7438.99</v>
      </c>
      <c r="AQ95" s="55">
        <f t="shared" si="721"/>
        <v>3780.99</v>
      </c>
      <c r="AR95" s="55">
        <f t="shared" si="721"/>
        <v>3678.36</v>
      </c>
      <c r="AS95" s="55">
        <f t="shared" si="721"/>
        <v>4152.38</v>
      </c>
      <c r="AT95" s="55">
        <f t="shared" ref="AT95:AU95" si="722">SUM(AT83:AT94)+AT80</f>
        <v>9510.39</v>
      </c>
      <c r="AU95" s="55">
        <f t="shared" si="722"/>
        <v>17648.04</v>
      </c>
      <c r="AV95" s="55">
        <f t="shared" ref="AV95:AW95" si="723">SUM(AV83:AV94)+AV80</f>
        <v>13518.2</v>
      </c>
      <c r="AW95" s="305">
        <f t="shared" si="723"/>
        <v>18946.23</v>
      </c>
      <c r="AX95" s="55">
        <f t="shared" ref="AX95" si="724">SUM(AX83:AX94)+AX80</f>
        <v>7561.9566315502007</v>
      </c>
      <c r="AY95" s="305">
        <f t="shared" ref="AY95:CZ95" si="725">SUM(AY83:AY94)+AY80</f>
        <v>9184.9505373784104</v>
      </c>
      <c r="AZ95" s="55">
        <f t="shared" si="725"/>
        <v>10765.576663034914</v>
      </c>
      <c r="BA95" s="55">
        <f t="shared" si="725"/>
        <v>12943.525193320522</v>
      </c>
      <c r="BB95" s="55">
        <f t="shared" si="725"/>
        <v>7819.0784560138973</v>
      </c>
      <c r="BC95" s="55">
        <f t="shared" si="725"/>
        <v>11225.986245192413</v>
      </c>
      <c r="BD95" s="55">
        <f t="shared" si="725"/>
        <v>7393.3598672738508</v>
      </c>
      <c r="BE95" s="55">
        <f t="shared" si="725"/>
        <v>10725.060465162096</v>
      </c>
      <c r="BF95" s="55">
        <f t="shared" si="725"/>
        <v>11844.852989304263</v>
      </c>
      <c r="BG95" s="55">
        <f t="shared" si="725"/>
        <v>15347.595684968497</v>
      </c>
      <c r="BH95" s="55">
        <f t="shared" si="725"/>
        <v>16111.867228222287</v>
      </c>
      <c r="BI95" s="55">
        <f t="shared" si="725"/>
        <v>14288.412056933186</v>
      </c>
      <c r="BJ95" s="55">
        <f t="shared" si="725"/>
        <v>13396.099547166299</v>
      </c>
      <c r="BK95" s="305">
        <f t="shared" si="725"/>
        <v>15086.487590776909</v>
      </c>
      <c r="BL95" s="55">
        <f t="shared" si="725"/>
        <v>16715.615628559703</v>
      </c>
      <c r="BM95" s="55">
        <f t="shared" si="725"/>
        <v>20572.691142663949</v>
      </c>
      <c r="BN95" s="55">
        <f t="shared" si="725"/>
        <v>10962.521337968275</v>
      </c>
      <c r="BO95" s="55">
        <f t="shared" si="725"/>
        <v>15806.342636061454</v>
      </c>
      <c r="BP95" s="55">
        <f t="shared" si="725"/>
        <v>10157.77909923681</v>
      </c>
      <c r="BQ95" s="55">
        <f t="shared" si="725"/>
        <v>14204.81183040794</v>
      </c>
      <c r="BR95" s="55">
        <f t="shared" si="725"/>
        <v>16718.805765078494</v>
      </c>
      <c r="BS95" s="55">
        <f t="shared" si="725"/>
        <v>21200.658634842945</v>
      </c>
      <c r="BT95" s="55">
        <f t="shared" si="725"/>
        <v>21334.756930795123</v>
      </c>
      <c r="BU95" s="55">
        <f t="shared" si="725"/>
        <v>20292.085459270897</v>
      </c>
      <c r="BV95" s="55">
        <f t="shared" si="725"/>
        <v>18300.336046159577</v>
      </c>
      <c r="BW95" s="305">
        <f t="shared" si="725"/>
        <v>20756.545965158522</v>
      </c>
      <c r="BX95" s="55">
        <f t="shared" si="725"/>
        <v>27015.836748398535</v>
      </c>
      <c r="BY95" s="55">
        <f t="shared" si="725"/>
        <v>32311.097422839252</v>
      </c>
      <c r="BZ95" s="55">
        <f t="shared" si="725"/>
        <v>15158.31126656754</v>
      </c>
      <c r="CA95" s="55">
        <f t="shared" si="725"/>
        <v>26456.027185747931</v>
      </c>
      <c r="CB95" s="55">
        <f t="shared" si="725"/>
        <v>15551.239207157343</v>
      </c>
      <c r="CC95" s="55">
        <f t="shared" si="725"/>
        <v>21172.604550534208</v>
      </c>
      <c r="CD95" s="55">
        <f t="shared" si="725"/>
        <v>26886.776282300067</v>
      </c>
      <c r="CE95" s="55">
        <f t="shared" si="725"/>
        <v>31988.428925598782</v>
      </c>
      <c r="CF95" s="55">
        <f t="shared" si="725"/>
        <v>34851.929377683002</v>
      </c>
      <c r="CG95" s="55">
        <f t="shared" si="725"/>
        <v>31692.531123743793</v>
      </c>
      <c r="CH95" s="55">
        <f t="shared" si="725"/>
        <v>26265.877381173843</v>
      </c>
      <c r="CI95" s="305">
        <f t="shared" si="725"/>
        <v>35047.47986580056</v>
      </c>
      <c r="CJ95" s="55">
        <f t="shared" si="725"/>
        <v>37202.872599466769</v>
      </c>
      <c r="CK95" s="55">
        <f t="shared" si="725"/>
        <v>44640.799678801493</v>
      </c>
      <c r="CL95" s="55">
        <f t="shared" si="725"/>
        <v>21883.840008516505</v>
      </c>
      <c r="CM95" s="55">
        <f t="shared" si="725"/>
        <v>37894.409751246138</v>
      </c>
      <c r="CN95" s="55">
        <f t="shared" si="725"/>
        <v>21102.697533670056</v>
      </c>
      <c r="CO95" s="55">
        <f t="shared" si="725"/>
        <v>31406.642189711452</v>
      </c>
      <c r="CP95" s="55">
        <f t="shared" si="725"/>
        <v>38229.289662577736</v>
      </c>
      <c r="CQ95" s="55">
        <f t="shared" si="725"/>
        <v>43646.127499369162</v>
      </c>
      <c r="CR95" s="55">
        <f t="shared" si="725"/>
        <v>51969.948036763555</v>
      </c>
      <c r="CS95" s="55">
        <f t="shared" si="725"/>
        <v>45408.352520621978</v>
      </c>
      <c r="CT95" s="55">
        <f t="shared" si="725"/>
        <v>37550.495667023264</v>
      </c>
      <c r="CU95" s="305">
        <f t="shared" si="725"/>
        <v>50538.113830738992</v>
      </c>
      <c r="CV95" s="55">
        <f t="shared" si="725"/>
        <v>51562.622184447639</v>
      </c>
      <c r="CW95" s="55">
        <f t="shared" si="725"/>
        <v>59431.876947803947</v>
      </c>
      <c r="CX95" s="55">
        <f t="shared" si="725"/>
        <v>30998.615170571076</v>
      </c>
      <c r="CY95" s="55">
        <f t="shared" si="725"/>
        <v>52624.165147677144</v>
      </c>
      <c r="CZ95" s="55">
        <f t="shared" si="725"/>
        <v>28006.234833242088</v>
      </c>
      <c r="DA95" s="55">
        <f t="shared" ref="DA95:DG95" si="726">SUM(DA83:DA94)+DA80</f>
        <v>45478.391490573973</v>
      </c>
      <c r="DB95" s="55">
        <f t="shared" si="726"/>
        <v>51032.306128782868</v>
      </c>
      <c r="DC95" s="55">
        <f t="shared" si="726"/>
        <v>63478.737466604594</v>
      </c>
      <c r="DD95" s="55">
        <f t="shared" si="726"/>
        <v>72791.798488050903</v>
      </c>
      <c r="DE95" s="55">
        <f t="shared" si="726"/>
        <v>60639.668651425563</v>
      </c>
      <c r="DF95" s="55">
        <f t="shared" si="726"/>
        <v>54499.290072390184</v>
      </c>
      <c r="DG95" s="55">
        <f t="shared" si="726"/>
        <v>4363.8901922781843</v>
      </c>
    </row>
    <row r="96" spans="1:111" hidden="1" x14ac:dyDescent="0.3">
      <c r="B96" s="1" t="s">
        <v>201</v>
      </c>
      <c r="C96" s="1"/>
      <c r="D96" s="115">
        <v>0</v>
      </c>
      <c r="E96" s="115">
        <v>0</v>
      </c>
      <c r="F96" s="115">
        <v>0</v>
      </c>
      <c r="G96" s="115">
        <v>0</v>
      </c>
      <c r="H96" s="115">
        <v>0</v>
      </c>
      <c r="I96" s="115">
        <v>0</v>
      </c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>
        <f t="shared" ref="AB96:CF96" si="727">AA96</f>
        <v>0</v>
      </c>
      <c r="AC96" s="115">
        <f t="shared" si="727"/>
        <v>0</v>
      </c>
      <c r="AD96" s="115">
        <f t="shared" si="727"/>
        <v>0</v>
      </c>
      <c r="AE96" s="115">
        <f t="shared" si="727"/>
        <v>0</v>
      </c>
      <c r="AF96" s="115">
        <f t="shared" si="727"/>
        <v>0</v>
      </c>
      <c r="AG96" s="115">
        <f t="shared" si="727"/>
        <v>0</v>
      </c>
      <c r="AH96" s="115">
        <f t="shared" si="727"/>
        <v>0</v>
      </c>
      <c r="AI96" s="115">
        <f t="shared" si="727"/>
        <v>0</v>
      </c>
      <c r="AJ96" s="115">
        <f t="shared" si="727"/>
        <v>0</v>
      </c>
      <c r="AK96" s="115">
        <f t="shared" si="727"/>
        <v>0</v>
      </c>
      <c r="AL96" s="115">
        <f t="shared" si="727"/>
        <v>0</v>
      </c>
      <c r="AM96" s="513">
        <f t="shared" si="727"/>
        <v>0</v>
      </c>
      <c r="AN96" s="115">
        <f t="shared" si="727"/>
        <v>0</v>
      </c>
      <c r="AO96" s="115">
        <f t="shared" si="727"/>
        <v>0</v>
      </c>
      <c r="AP96" s="115">
        <f t="shared" si="727"/>
        <v>0</v>
      </c>
      <c r="AQ96" s="115">
        <f t="shared" si="727"/>
        <v>0</v>
      </c>
      <c r="AR96" s="115">
        <f t="shared" si="727"/>
        <v>0</v>
      </c>
      <c r="AS96" s="115">
        <f t="shared" si="727"/>
        <v>0</v>
      </c>
      <c r="AT96" s="115">
        <f t="shared" si="727"/>
        <v>0</v>
      </c>
      <c r="AU96" s="115">
        <f t="shared" si="727"/>
        <v>0</v>
      </c>
      <c r="AV96" s="115">
        <f t="shared" si="727"/>
        <v>0</v>
      </c>
      <c r="AW96" s="185">
        <f t="shared" si="727"/>
        <v>0</v>
      </c>
      <c r="AX96" s="115">
        <f t="shared" ref="AX96" si="728">AW96</f>
        <v>0</v>
      </c>
      <c r="AY96" s="185">
        <f t="shared" si="727"/>
        <v>0</v>
      </c>
      <c r="AZ96" s="115">
        <f t="shared" si="727"/>
        <v>0</v>
      </c>
      <c r="BA96" s="115">
        <f t="shared" si="727"/>
        <v>0</v>
      </c>
      <c r="BB96" s="115">
        <f t="shared" si="727"/>
        <v>0</v>
      </c>
      <c r="BC96" s="115">
        <f t="shared" si="727"/>
        <v>0</v>
      </c>
      <c r="BD96" s="115">
        <f t="shared" si="727"/>
        <v>0</v>
      </c>
      <c r="BE96" s="115">
        <f t="shared" si="727"/>
        <v>0</v>
      </c>
      <c r="BF96" s="115">
        <f t="shared" si="727"/>
        <v>0</v>
      </c>
      <c r="BG96" s="115">
        <f t="shared" si="727"/>
        <v>0</v>
      </c>
      <c r="BH96" s="115">
        <f t="shared" si="727"/>
        <v>0</v>
      </c>
      <c r="BI96" s="115">
        <f t="shared" si="727"/>
        <v>0</v>
      </c>
      <c r="BJ96" s="115">
        <f t="shared" si="727"/>
        <v>0</v>
      </c>
      <c r="BK96" s="185">
        <f t="shared" si="727"/>
        <v>0</v>
      </c>
      <c r="BL96" s="115">
        <f t="shared" si="727"/>
        <v>0</v>
      </c>
      <c r="BM96" s="115">
        <f t="shared" si="727"/>
        <v>0</v>
      </c>
      <c r="BN96" s="115">
        <f t="shared" si="727"/>
        <v>0</v>
      </c>
      <c r="BO96" s="115">
        <f t="shared" si="727"/>
        <v>0</v>
      </c>
      <c r="BP96" s="115">
        <f t="shared" si="727"/>
        <v>0</v>
      </c>
      <c r="BQ96" s="115">
        <f t="shared" si="727"/>
        <v>0</v>
      </c>
      <c r="BR96" s="115">
        <f t="shared" si="727"/>
        <v>0</v>
      </c>
      <c r="BS96" s="115">
        <f t="shared" si="727"/>
        <v>0</v>
      </c>
      <c r="BT96" s="115">
        <f t="shared" si="727"/>
        <v>0</v>
      </c>
      <c r="BU96" s="115">
        <f t="shared" si="727"/>
        <v>0</v>
      </c>
      <c r="BV96" s="115">
        <f t="shared" si="727"/>
        <v>0</v>
      </c>
      <c r="BW96" s="185">
        <f t="shared" si="727"/>
        <v>0</v>
      </c>
      <c r="BX96" s="115">
        <f t="shared" si="727"/>
        <v>0</v>
      </c>
      <c r="BY96" s="115">
        <f t="shared" si="727"/>
        <v>0</v>
      </c>
      <c r="BZ96" s="115">
        <f t="shared" si="727"/>
        <v>0</v>
      </c>
      <c r="CA96" s="115">
        <f t="shared" si="727"/>
        <v>0</v>
      </c>
      <c r="CB96" s="115">
        <f t="shared" si="727"/>
        <v>0</v>
      </c>
      <c r="CC96" s="115">
        <f t="shared" si="727"/>
        <v>0</v>
      </c>
      <c r="CD96" s="115">
        <f t="shared" si="727"/>
        <v>0</v>
      </c>
      <c r="CE96" s="115">
        <f t="shared" si="727"/>
        <v>0</v>
      </c>
      <c r="CF96" s="115">
        <f t="shared" si="727"/>
        <v>0</v>
      </c>
      <c r="CG96" s="115">
        <f t="shared" ref="CG96:DG96" si="729">CF96</f>
        <v>0</v>
      </c>
      <c r="CH96" s="115">
        <f t="shared" si="729"/>
        <v>0</v>
      </c>
      <c r="CI96" s="185">
        <f t="shared" si="729"/>
        <v>0</v>
      </c>
      <c r="CJ96" s="115">
        <f t="shared" si="729"/>
        <v>0</v>
      </c>
      <c r="CK96" s="115">
        <f t="shared" si="729"/>
        <v>0</v>
      </c>
      <c r="CL96" s="115">
        <f t="shared" si="729"/>
        <v>0</v>
      </c>
      <c r="CM96" s="115">
        <f t="shared" si="729"/>
        <v>0</v>
      </c>
      <c r="CN96" s="115">
        <f t="shared" si="729"/>
        <v>0</v>
      </c>
      <c r="CO96" s="115">
        <f t="shared" si="729"/>
        <v>0</v>
      </c>
      <c r="CP96" s="115">
        <f t="shared" si="729"/>
        <v>0</v>
      </c>
      <c r="CQ96" s="115">
        <f t="shared" si="729"/>
        <v>0</v>
      </c>
      <c r="CR96" s="115">
        <f t="shared" si="729"/>
        <v>0</v>
      </c>
      <c r="CS96" s="115">
        <f t="shared" si="729"/>
        <v>0</v>
      </c>
      <c r="CT96" s="115">
        <f t="shared" si="729"/>
        <v>0</v>
      </c>
      <c r="CU96" s="185">
        <f t="shared" si="729"/>
        <v>0</v>
      </c>
      <c r="CV96" s="115">
        <f t="shared" si="729"/>
        <v>0</v>
      </c>
      <c r="CW96" s="115">
        <f t="shared" si="729"/>
        <v>0</v>
      </c>
      <c r="CX96" s="115">
        <f t="shared" si="729"/>
        <v>0</v>
      </c>
      <c r="CY96" s="115">
        <f t="shared" si="729"/>
        <v>0</v>
      </c>
      <c r="CZ96" s="115">
        <f t="shared" si="729"/>
        <v>0</v>
      </c>
      <c r="DA96" s="115">
        <f t="shared" si="729"/>
        <v>0</v>
      </c>
      <c r="DB96" s="115">
        <f t="shared" si="729"/>
        <v>0</v>
      </c>
      <c r="DC96" s="115">
        <f t="shared" si="729"/>
        <v>0</v>
      </c>
      <c r="DD96" s="115">
        <f t="shared" si="729"/>
        <v>0</v>
      </c>
      <c r="DE96" s="115">
        <f t="shared" si="729"/>
        <v>0</v>
      </c>
      <c r="DF96" s="115">
        <f t="shared" si="729"/>
        <v>0</v>
      </c>
      <c r="DG96" s="115">
        <f t="shared" si="729"/>
        <v>0</v>
      </c>
    </row>
    <row r="97" spans="1:111" hidden="1" x14ac:dyDescent="0.3">
      <c r="A97" s="5"/>
      <c r="B97" s="6" t="s">
        <v>10</v>
      </c>
      <c r="C97" s="6"/>
      <c r="D97" s="55">
        <f>SUM(D95:D96)</f>
        <v>0</v>
      </c>
      <c r="E97" s="55">
        <f t="shared" ref="E97:BP97" si="730">SUM(E95:E96)</f>
        <v>0</v>
      </c>
      <c r="F97" s="55">
        <f t="shared" si="730"/>
        <v>0</v>
      </c>
      <c r="G97" s="55">
        <f t="shared" si="730"/>
        <v>0</v>
      </c>
      <c r="H97" s="55">
        <f t="shared" si="730"/>
        <v>0</v>
      </c>
      <c r="I97" s="55">
        <f t="shared" si="730"/>
        <v>0</v>
      </c>
      <c r="J97" s="55">
        <f t="shared" si="730"/>
        <v>0</v>
      </c>
      <c r="K97" s="55">
        <f t="shared" si="730"/>
        <v>0</v>
      </c>
      <c r="L97" s="55">
        <f t="shared" si="730"/>
        <v>27</v>
      </c>
      <c r="M97" s="55">
        <f t="shared" si="730"/>
        <v>1796.6599999999999</v>
      </c>
      <c r="N97" s="55">
        <f t="shared" si="730"/>
        <v>472.23</v>
      </c>
      <c r="O97" s="55">
        <f t="shared" si="730"/>
        <v>162.10000000000002</v>
      </c>
      <c r="P97" s="55">
        <f t="shared" ref="P97:W97" si="731">SUM(P95:P96)</f>
        <v>235.13</v>
      </c>
      <c r="Q97" s="55">
        <f t="shared" si="731"/>
        <v>153.76</v>
      </c>
      <c r="R97" s="55">
        <f t="shared" si="731"/>
        <v>105.36</v>
      </c>
      <c r="S97" s="55">
        <f t="shared" si="731"/>
        <v>272.83999999999997</v>
      </c>
      <c r="T97" s="55">
        <f t="shared" si="731"/>
        <v>551</v>
      </c>
      <c r="U97" s="55">
        <f t="shared" si="731"/>
        <v>647.26</v>
      </c>
      <c r="V97" s="55">
        <f t="shared" si="731"/>
        <v>432.76</v>
      </c>
      <c r="W97" s="55">
        <f t="shared" si="731"/>
        <v>851.95</v>
      </c>
      <c r="X97" s="55">
        <f t="shared" ref="X97:Y97" si="732">SUM(X95:X96)</f>
        <v>1646.3600000000001</v>
      </c>
      <c r="Y97" s="55">
        <f t="shared" si="732"/>
        <v>1347.4700000000003</v>
      </c>
      <c r="Z97" s="55">
        <f t="shared" ref="Z97:AA97" si="733">SUM(Z95:Z96)</f>
        <v>906.43000000000006</v>
      </c>
      <c r="AA97" s="55">
        <f t="shared" si="733"/>
        <v>797.47</v>
      </c>
      <c r="AB97" s="55">
        <f t="shared" ref="AB97" si="734">SUM(AB95:AB96)</f>
        <v>417.24</v>
      </c>
      <c r="AC97" s="55">
        <f t="shared" si="730"/>
        <v>436.02</v>
      </c>
      <c r="AD97" s="55">
        <f t="shared" ref="AD97" si="735">SUM(AD95:AD96)</f>
        <v>943.03</v>
      </c>
      <c r="AE97" s="55">
        <f t="shared" ref="AE97" si="736">SUM(AE95:AE96)</f>
        <v>382.79999999999995</v>
      </c>
      <c r="AF97" s="55">
        <f t="shared" ref="AF97:AG97" si="737">SUM(AF95:AF96)</f>
        <v>689.94999999999993</v>
      </c>
      <c r="AG97" s="55">
        <f t="shared" si="737"/>
        <v>913.86</v>
      </c>
      <c r="AH97" s="55">
        <f t="shared" ref="AH97" si="738">SUM(AH95:AH96)</f>
        <v>2146.7599999999998</v>
      </c>
      <c r="AI97" s="55">
        <f t="shared" ref="AI97:AJ97" si="739">SUM(AI95:AI96)</f>
        <v>1446.3200000000002</v>
      </c>
      <c r="AJ97" s="55">
        <f t="shared" si="739"/>
        <v>878.64</v>
      </c>
      <c r="AK97" s="55">
        <f t="shared" ref="AK97:AL97" si="740">SUM(AK95:AK96)</f>
        <v>1580.87</v>
      </c>
      <c r="AL97" s="55">
        <f t="shared" si="740"/>
        <v>2040.0100000000002</v>
      </c>
      <c r="AM97" s="514">
        <f t="shared" ref="AM97:AN97" si="741">SUM(AM95:AM96)</f>
        <v>620.20999999999992</v>
      </c>
      <c r="AN97" s="55">
        <f t="shared" si="741"/>
        <v>4230.3</v>
      </c>
      <c r="AO97" s="55">
        <f t="shared" ref="AO97:AP97" si="742">SUM(AO95:AO96)</f>
        <v>6699.2999999999993</v>
      </c>
      <c r="AP97" s="55">
        <f t="shared" si="742"/>
        <v>7438.99</v>
      </c>
      <c r="AQ97" s="55">
        <f t="shared" ref="AQ97:AR97" si="743">SUM(AQ95:AQ96)</f>
        <v>3780.99</v>
      </c>
      <c r="AR97" s="55">
        <f t="shared" si="743"/>
        <v>3678.36</v>
      </c>
      <c r="AS97" s="55">
        <f t="shared" ref="AS97:AT97" si="744">SUM(AS95:AS96)</f>
        <v>4152.38</v>
      </c>
      <c r="AT97" s="55">
        <f t="shared" si="744"/>
        <v>9510.39</v>
      </c>
      <c r="AU97" s="55">
        <f t="shared" ref="AU97:AV97" si="745">SUM(AU95:AU96)</f>
        <v>17648.04</v>
      </c>
      <c r="AV97" s="55">
        <f t="shared" si="745"/>
        <v>13518.2</v>
      </c>
      <c r="AW97" s="305">
        <f t="shared" ref="AW97" si="746">SUM(AW95:AW96)</f>
        <v>18946.23</v>
      </c>
      <c r="AX97" s="55">
        <f t="shared" ref="AX97" si="747">SUM(AX95:AX96)</f>
        <v>7561.9566315502007</v>
      </c>
      <c r="AY97" s="305">
        <f t="shared" si="730"/>
        <v>9184.9505373784104</v>
      </c>
      <c r="AZ97" s="55">
        <f t="shared" si="730"/>
        <v>10765.576663034914</v>
      </c>
      <c r="BA97" s="55">
        <f t="shared" si="730"/>
        <v>12943.525193320522</v>
      </c>
      <c r="BB97" s="55">
        <f t="shared" si="730"/>
        <v>7819.0784560138973</v>
      </c>
      <c r="BC97" s="55">
        <f t="shared" si="730"/>
        <v>11225.986245192413</v>
      </c>
      <c r="BD97" s="55">
        <f t="shared" si="730"/>
        <v>7393.3598672738508</v>
      </c>
      <c r="BE97" s="55">
        <f t="shared" si="730"/>
        <v>10725.060465162096</v>
      </c>
      <c r="BF97" s="55">
        <f t="shared" si="730"/>
        <v>11844.852989304263</v>
      </c>
      <c r="BG97" s="55">
        <f t="shared" si="730"/>
        <v>15347.595684968497</v>
      </c>
      <c r="BH97" s="55">
        <f t="shared" si="730"/>
        <v>16111.867228222287</v>
      </c>
      <c r="BI97" s="55">
        <f t="shared" si="730"/>
        <v>14288.412056933186</v>
      </c>
      <c r="BJ97" s="55">
        <f t="shared" si="730"/>
        <v>13396.099547166299</v>
      </c>
      <c r="BK97" s="305">
        <f t="shared" si="730"/>
        <v>15086.487590776909</v>
      </c>
      <c r="BL97" s="55">
        <f t="shared" si="730"/>
        <v>16715.615628559703</v>
      </c>
      <c r="BM97" s="55">
        <f t="shared" si="730"/>
        <v>20572.691142663949</v>
      </c>
      <c r="BN97" s="55">
        <f t="shared" si="730"/>
        <v>10962.521337968275</v>
      </c>
      <c r="BO97" s="55">
        <f t="shared" si="730"/>
        <v>15806.342636061454</v>
      </c>
      <c r="BP97" s="55">
        <f t="shared" si="730"/>
        <v>10157.77909923681</v>
      </c>
      <c r="BQ97" s="55">
        <f t="shared" ref="BQ97:DG97" si="748">SUM(BQ95:BQ96)</f>
        <v>14204.81183040794</v>
      </c>
      <c r="BR97" s="55">
        <f t="shared" si="748"/>
        <v>16718.805765078494</v>
      </c>
      <c r="BS97" s="55">
        <f t="shared" si="748"/>
        <v>21200.658634842945</v>
      </c>
      <c r="BT97" s="55">
        <f t="shared" si="748"/>
        <v>21334.756930795123</v>
      </c>
      <c r="BU97" s="55">
        <f t="shared" si="748"/>
        <v>20292.085459270897</v>
      </c>
      <c r="BV97" s="55">
        <f t="shared" si="748"/>
        <v>18300.336046159577</v>
      </c>
      <c r="BW97" s="305">
        <f t="shared" si="748"/>
        <v>20756.545965158522</v>
      </c>
      <c r="BX97" s="55">
        <f t="shared" si="748"/>
        <v>27015.836748398535</v>
      </c>
      <c r="BY97" s="55">
        <f t="shared" si="748"/>
        <v>32311.097422839252</v>
      </c>
      <c r="BZ97" s="55">
        <f t="shared" si="748"/>
        <v>15158.31126656754</v>
      </c>
      <c r="CA97" s="55">
        <f t="shared" si="748"/>
        <v>26456.027185747931</v>
      </c>
      <c r="CB97" s="55">
        <f t="shared" si="748"/>
        <v>15551.239207157343</v>
      </c>
      <c r="CC97" s="55">
        <f t="shared" si="748"/>
        <v>21172.604550534208</v>
      </c>
      <c r="CD97" s="55">
        <f t="shared" si="748"/>
        <v>26886.776282300067</v>
      </c>
      <c r="CE97" s="55">
        <f t="shared" si="748"/>
        <v>31988.428925598782</v>
      </c>
      <c r="CF97" s="55">
        <f t="shared" si="748"/>
        <v>34851.929377683002</v>
      </c>
      <c r="CG97" s="55">
        <f t="shared" si="748"/>
        <v>31692.531123743793</v>
      </c>
      <c r="CH97" s="55">
        <f t="shared" si="748"/>
        <v>26265.877381173843</v>
      </c>
      <c r="CI97" s="305">
        <f t="shared" si="748"/>
        <v>35047.47986580056</v>
      </c>
      <c r="CJ97" s="55">
        <f t="shared" si="748"/>
        <v>37202.872599466769</v>
      </c>
      <c r="CK97" s="55">
        <f t="shared" si="748"/>
        <v>44640.799678801493</v>
      </c>
      <c r="CL97" s="55">
        <f t="shared" si="748"/>
        <v>21883.840008516505</v>
      </c>
      <c r="CM97" s="55">
        <f t="shared" si="748"/>
        <v>37894.409751246138</v>
      </c>
      <c r="CN97" s="55">
        <f t="shared" si="748"/>
        <v>21102.697533670056</v>
      </c>
      <c r="CO97" s="55">
        <f t="shared" si="748"/>
        <v>31406.642189711452</v>
      </c>
      <c r="CP97" s="55">
        <f t="shared" si="748"/>
        <v>38229.289662577736</v>
      </c>
      <c r="CQ97" s="55">
        <f t="shared" si="748"/>
        <v>43646.127499369162</v>
      </c>
      <c r="CR97" s="55">
        <f t="shared" si="748"/>
        <v>51969.948036763555</v>
      </c>
      <c r="CS97" s="55">
        <f t="shared" si="748"/>
        <v>45408.352520621978</v>
      </c>
      <c r="CT97" s="55">
        <f t="shared" si="748"/>
        <v>37550.495667023264</v>
      </c>
      <c r="CU97" s="305">
        <f t="shared" si="748"/>
        <v>50538.113830738992</v>
      </c>
      <c r="CV97" s="55">
        <f t="shared" si="748"/>
        <v>51562.622184447639</v>
      </c>
      <c r="CW97" s="55">
        <f t="shared" si="748"/>
        <v>59431.876947803947</v>
      </c>
      <c r="CX97" s="55">
        <f t="shared" si="748"/>
        <v>30998.615170571076</v>
      </c>
      <c r="CY97" s="55">
        <f t="shared" si="748"/>
        <v>52624.165147677144</v>
      </c>
      <c r="CZ97" s="55">
        <f t="shared" si="748"/>
        <v>28006.234833242088</v>
      </c>
      <c r="DA97" s="55">
        <f t="shared" si="748"/>
        <v>45478.391490573973</v>
      </c>
      <c r="DB97" s="55">
        <f t="shared" si="748"/>
        <v>51032.306128782868</v>
      </c>
      <c r="DC97" s="55">
        <f t="shared" si="748"/>
        <v>63478.737466604594</v>
      </c>
      <c r="DD97" s="55">
        <f t="shared" si="748"/>
        <v>72791.798488050903</v>
      </c>
      <c r="DE97" s="55">
        <f t="shared" si="748"/>
        <v>60639.668651425563</v>
      </c>
      <c r="DF97" s="55">
        <f t="shared" si="748"/>
        <v>54499.290072390184</v>
      </c>
      <c r="DG97" s="55">
        <f t="shared" si="748"/>
        <v>4363.8901922781843</v>
      </c>
    </row>
    <row r="98" spans="1:111" x14ac:dyDescent="0.3">
      <c r="A98" s="3"/>
      <c r="B98" s="4" t="s">
        <v>272</v>
      </c>
      <c r="C98" s="4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>
        <f t="shared" ref="P98:AN98" si="749">+P95+P72</f>
        <v>235.13</v>
      </c>
      <c r="Q98" s="55">
        <f t="shared" si="749"/>
        <v>153.76</v>
      </c>
      <c r="R98" s="55">
        <f t="shared" si="749"/>
        <v>105.36</v>
      </c>
      <c r="S98" s="55">
        <f t="shared" si="749"/>
        <v>272.83999999999997</v>
      </c>
      <c r="T98" s="55">
        <f t="shared" si="749"/>
        <v>551</v>
      </c>
      <c r="U98" s="55">
        <f t="shared" si="749"/>
        <v>647.26</v>
      </c>
      <c r="V98" s="55">
        <f t="shared" si="749"/>
        <v>432.76</v>
      </c>
      <c r="W98" s="55">
        <f t="shared" si="749"/>
        <v>851.95</v>
      </c>
      <c r="X98" s="55">
        <f t="shared" si="749"/>
        <v>1646.3600000000001</v>
      </c>
      <c r="Y98" s="55">
        <f t="shared" si="749"/>
        <v>1347.4700000000003</v>
      </c>
      <c r="Z98" s="55">
        <f t="shared" si="749"/>
        <v>906.43000000000006</v>
      </c>
      <c r="AA98" s="55">
        <f t="shared" si="749"/>
        <v>797.47</v>
      </c>
      <c r="AB98" s="55">
        <f t="shared" si="749"/>
        <v>417.24</v>
      </c>
      <c r="AC98" s="55">
        <f t="shared" si="749"/>
        <v>1615.46</v>
      </c>
      <c r="AD98" s="55">
        <f t="shared" si="749"/>
        <v>943.03</v>
      </c>
      <c r="AE98" s="55">
        <f t="shared" si="749"/>
        <v>2782.8</v>
      </c>
      <c r="AF98" s="55">
        <f t="shared" si="749"/>
        <v>689.94999999999993</v>
      </c>
      <c r="AG98" s="55">
        <f t="shared" si="749"/>
        <v>1579.42</v>
      </c>
      <c r="AH98" s="55">
        <f t="shared" si="749"/>
        <v>2146.7599999999998</v>
      </c>
      <c r="AI98" s="55">
        <f t="shared" si="749"/>
        <v>1446.3200000000002</v>
      </c>
      <c r="AJ98" s="55">
        <f t="shared" si="749"/>
        <v>878.64</v>
      </c>
      <c r="AK98" s="55">
        <f t="shared" si="749"/>
        <v>1580.87</v>
      </c>
      <c r="AL98" s="55">
        <f t="shared" si="749"/>
        <v>2040.0100000000002</v>
      </c>
      <c r="AM98" s="514">
        <f t="shared" si="749"/>
        <v>620.20999999999992</v>
      </c>
      <c r="AN98" s="55">
        <f t="shared" si="749"/>
        <v>4230.3</v>
      </c>
      <c r="AO98" s="55">
        <f t="shared" ref="AO98:AP98" si="750">+AO95+AO72</f>
        <v>6699.2999999999993</v>
      </c>
      <c r="AP98" s="55">
        <f t="shared" si="750"/>
        <v>7438.99</v>
      </c>
      <c r="AQ98" s="55">
        <f t="shared" ref="AQ98:AR98" si="751">+AQ95+AQ72</f>
        <v>3780.99</v>
      </c>
      <c r="AR98" s="55">
        <f t="shared" si="751"/>
        <v>3678.36</v>
      </c>
      <c r="AS98" s="55">
        <f t="shared" ref="AS98:AT98" si="752">+AS95+AS72</f>
        <v>4152.38</v>
      </c>
      <c r="AT98" s="55">
        <f t="shared" si="752"/>
        <v>9510.39</v>
      </c>
      <c r="AU98" s="55">
        <f t="shared" ref="AU98:AV98" si="753">+AU95+AU72</f>
        <v>17648.04</v>
      </c>
      <c r="AV98" s="55">
        <f t="shared" si="753"/>
        <v>13518.2</v>
      </c>
      <c r="AW98" s="305">
        <f t="shared" ref="AW98" si="754">+AW95+AW72</f>
        <v>18946.23</v>
      </c>
      <c r="AX98" s="55">
        <f>+AX95+AX72</f>
        <v>7561.9566315502007</v>
      </c>
      <c r="AY98" s="305">
        <f t="shared" ref="AY98:CA98" si="755">+AY95+AY72</f>
        <v>9184.9505373784104</v>
      </c>
      <c r="AZ98" s="55">
        <f t="shared" si="755"/>
        <v>10765.576663034914</v>
      </c>
      <c r="BA98" s="55">
        <f t="shared" si="755"/>
        <v>12943.525193320522</v>
      </c>
      <c r="BB98" s="55">
        <f t="shared" si="755"/>
        <v>7819.0784560138973</v>
      </c>
      <c r="BC98" s="55">
        <f t="shared" si="755"/>
        <v>11225.986245192413</v>
      </c>
      <c r="BD98" s="55">
        <f t="shared" si="755"/>
        <v>7393.3598672738508</v>
      </c>
      <c r="BE98" s="55">
        <f t="shared" si="755"/>
        <v>10725.060465162096</v>
      </c>
      <c r="BF98" s="55">
        <f t="shared" si="755"/>
        <v>11844.852989304263</v>
      </c>
      <c r="BG98" s="55">
        <f t="shared" si="755"/>
        <v>15347.595684968497</v>
      </c>
      <c r="BH98" s="55">
        <f t="shared" si="755"/>
        <v>16111.867228222287</v>
      </c>
      <c r="BI98" s="55">
        <f t="shared" si="755"/>
        <v>14288.412056933186</v>
      </c>
      <c r="BJ98" s="55">
        <f t="shared" si="755"/>
        <v>13396.099547166299</v>
      </c>
      <c r="BK98" s="305">
        <f t="shared" si="755"/>
        <v>15086.487590776909</v>
      </c>
      <c r="BL98" s="55">
        <f t="shared" si="755"/>
        <v>16715.615628559703</v>
      </c>
      <c r="BM98" s="55">
        <f t="shared" si="755"/>
        <v>20572.691142663949</v>
      </c>
      <c r="BN98" s="55">
        <f t="shared" si="755"/>
        <v>10962.521337968275</v>
      </c>
      <c r="BO98" s="55">
        <f t="shared" si="755"/>
        <v>15806.342636061454</v>
      </c>
      <c r="BP98" s="55">
        <f t="shared" si="755"/>
        <v>10157.77909923681</v>
      </c>
      <c r="BQ98" s="55">
        <f t="shared" si="755"/>
        <v>14204.81183040794</v>
      </c>
      <c r="BR98" s="55">
        <f t="shared" si="755"/>
        <v>16718.805765078494</v>
      </c>
      <c r="BS98" s="55">
        <f t="shared" si="755"/>
        <v>21200.658634842945</v>
      </c>
      <c r="BT98" s="55">
        <f t="shared" si="755"/>
        <v>21334.756930795123</v>
      </c>
      <c r="BU98" s="55">
        <f t="shared" si="755"/>
        <v>20292.085459270897</v>
      </c>
      <c r="BV98" s="55">
        <f t="shared" si="755"/>
        <v>18300.336046159577</v>
      </c>
      <c r="BW98" s="305">
        <f t="shared" si="755"/>
        <v>20756.545965158522</v>
      </c>
      <c r="BX98" s="55">
        <f t="shared" si="755"/>
        <v>27015.836748398535</v>
      </c>
      <c r="BY98" s="55">
        <f t="shared" si="755"/>
        <v>32311.097422839252</v>
      </c>
      <c r="BZ98" s="55">
        <f t="shared" si="755"/>
        <v>15158.31126656754</v>
      </c>
      <c r="CA98" s="55">
        <f t="shared" si="755"/>
        <v>26456.027185747931</v>
      </c>
      <c r="CB98" s="55">
        <f t="shared" ref="CB98:DG98" si="756">+CB95+CB72</f>
        <v>15551.239207157343</v>
      </c>
      <c r="CC98" s="55">
        <f t="shared" si="756"/>
        <v>21172.604550534208</v>
      </c>
      <c r="CD98" s="55">
        <f t="shared" si="756"/>
        <v>26886.776282300067</v>
      </c>
      <c r="CE98" s="55">
        <f t="shared" si="756"/>
        <v>31988.428925598782</v>
      </c>
      <c r="CF98" s="55">
        <f t="shared" si="756"/>
        <v>34851.929377683002</v>
      </c>
      <c r="CG98" s="55">
        <f t="shared" si="756"/>
        <v>31692.531123743793</v>
      </c>
      <c r="CH98" s="55">
        <f t="shared" si="756"/>
        <v>26265.877381173843</v>
      </c>
      <c r="CI98" s="305">
        <f t="shared" si="756"/>
        <v>35047.47986580056</v>
      </c>
      <c r="CJ98" s="55">
        <f t="shared" si="756"/>
        <v>37202.872599466769</v>
      </c>
      <c r="CK98" s="55">
        <f t="shared" si="756"/>
        <v>44640.799678801493</v>
      </c>
      <c r="CL98" s="55">
        <f t="shared" si="756"/>
        <v>21883.840008516505</v>
      </c>
      <c r="CM98" s="55">
        <f t="shared" si="756"/>
        <v>37894.409751246138</v>
      </c>
      <c r="CN98" s="55">
        <f t="shared" si="756"/>
        <v>21102.697533670056</v>
      </c>
      <c r="CO98" s="55">
        <f t="shared" si="756"/>
        <v>31406.642189711452</v>
      </c>
      <c r="CP98" s="55">
        <f t="shared" si="756"/>
        <v>38229.289662577736</v>
      </c>
      <c r="CQ98" s="55">
        <f t="shared" si="756"/>
        <v>43646.127499369162</v>
      </c>
      <c r="CR98" s="55">
        <f t="shared" si="756"/>
        <v>51969.948036763555</v>
      </c>
      <c r="CS98" s="55">
        <f t="shared" si="756"/>
        <v>45408.352520621978</v>
      </c>
      <c r="CT98" s="55">
        <f t="shared" si="756"/>
        <v>37550.495667023264</v>
      </c>
      <c r="CU98" s="305">
        <f t="shared" si="756"/>
        <v>50538.113830738992</v>
      </c>
      <c r="CV98" s="55">
        <f t="shared" si="756"/>
        <v>51562.622184447639</v>
      </c>
      <c r="CW98" s="55">
        <f t="shared" si="756"/>
        <v>59431.876947803947</v>
      </c>
      <c r="CX98" s="55">
        <f t="shared" si="756"/>
        <v>30998.615170571076</v>
      </c>
      <c r="CY98" s="55">
        <f t="shared" si="756"/>
        <v>52624.165147677144</v>
      </c>
      <c r="CZ98" s="55">
        <f t="shared" si="756"/>
        <v>28006.234833242088</v>
      </c>
      <c r="DA98" s="55">
        <f t="shared" si="756"/>
        <v>45478.391490573973</v>
      </c>
      <c r="DB98" s="55">
        <f t="shared" si="756"/>
        <v>51032.306128782868</v>
      </c>
      <c r="DC98" s="55">
        <f t="shared" si="756"/>
        <v>63478.737466604594</v>
      </c>
      <c r="DD98" s="55">
        <f t="shared" si="756"/>
        <v>72791.798488050903</v>
      </c>
      <c r="DE98" s="55">
        <f t="shared" si="756"/>
        <v>60639.668651425563</v>
      </c>
      <c r="DF98" s="55">
        <f t="shared" si="756"/>
        <v>54499.290072390184</v>
      </c>
      <c r="DG98" s="55">
        <f t="shared" si="756"/>
        <v>4363.8901922781843</v>
      </c>
    </row>
    <row r="99" spans="1:111" x14ac:dyDescent="0.3">
      <c r="A99" s="3"/>
      <c r="B99" s="4" t="s">
        <v>11</v>
      </c>
      <c r="C99" s="4"/>
      <c r="D99" s="55">
        <f t="shared" ref="D99:O99" si="757">D66-D97</f>
        <v>0</v>
      </c>
      <c r="E99" s="55">
        <f t="shared" si="757"/>
        <v>0</v>
      </c>
      <c r="F99" s="55">
        <f t="shared" si="757"/>
        <v>0</v>
      </c>
      <c r="G99" s="55">
        <f t="shared" si="757"/>
        <v>0</v>
      </c>
      <c r="H99" s="55">
        <f t="shared" si="757"/>
        <v>0</v>
      </c>
      <c r="I99" s="55">
        <f t="shared" si="757"/>
        <v>0</v>
      </c>
      <c r="J99" s="55">
        <f t="shared" si="757"/>
        <v>0</v>
      </c>
      <c r="K99" s="55">
        <f t="shared" si="757"/>
        <v>375</v>
      </c>
      <c r="L99" s="55">
        <f t="shared" si="757"/>
        <v>1048</v>
      </c>
      <c r="M99" s="55">
        <f t="shared" si="757"/>
        <v>1968.3400000000001</v>
      </c>
      <c r="N99" s="55">
        <f t="shared" si="757"/>
        <v>1617.77</v>
      </c>
      <c r="O99" s="55">
        <f t="shared" si="757"/>
        <v>1870.4</v>
      </c>
      <c r="P99" s="55">
        <f t="shared" ref="P99:AN99" si="758">P66-P98</f>
        <v>1310.8600000000001</v>
      </c>
      <c r="Q99" s="55">
        <f t="shared" si="758"/>
        <v>1101.99</v>
      </c>
      <c r="R99" s="55">
        <f t="shared" si="758"/>
        <v>1101.3900000000001</v>
      </c>
      <c r="S99" s="55">
        <f t="shared" si="758"/>
        <v>1684.5700000000002</v>
      </c>
      <c r="T99" s="55">
        <f t="shared" si="758"/>
        <v>1935.9299999999998</v>
      </c>
      <c r="U99" s="55">
        <f t="shared" si="758"/>
        <v>1396.17</v>
      </c>
      <c r="V99" s="55">
        <f t="shared" si="758"/>
        <v>2402.7399999999998</v>
      </c>
      <c r="W99" s="55">
        <f t="shared" si="758"/>
        <v>6226.71</v>
      </c>
      <c r="X99" s="55">
        <f t="shared" si="758"/>
        <v>7109.73</v>
      </c>
      <c r="Y99" s="55">
        <f t="shared" si="758"/>
        <v>6848.9000000000005</v>
      </c>
      <c r="Z99" s="55">
        <f t="shared" si="758"/>
        <v>4031.6899999999996</v>
      </c>
      <c r="AA99" s="55">
        <f t="shared" si="758"/>
        <v>1347.03</v>
      </c>
      <c r="AB99" s="55">
        <f t="shared" si="758"/>
        <v>2584.7600000000002</v>
      </c>
      <c r="AC99" s="55">
        <f t="shared" si="758"/>
        <v>2742.04</v>
      </c>
      <c r="AD99" s="55">
        <f t="shared" si="758"/>
        <v>2536.4700000000003</v>
      </c>
      <c r="AE99" s="55">
        <f t="shared" si="758"/>
        <v>1235.1999999999998</v>
      </c>
      <c r="AF99" s="55">
        <f t="shared" si="758"/>
        <v>4730.13</v>
      </c>
      <c r="AG99" s="55">
        <f t="shared" si="758"/>
        <v>2728.84</v>
      </c>
      <c r="AH99" s="55">
        <f t="shared" si="758"/>
        <v>6314.130000000001</v>
      </c>
      <c r="AI99" s="55">
        <f t="shared" si="758"/>
        <v>11774.94</v>
      </c>
      <c r="AJ99" s="55">
        <f t="shared" si="758"/>
        <v>8201.36</v>
      </c>
      <c r="AK99" s="55">
        <f t="shared" si="758"/>
        <v>14887.380000000001</v>
      </c>
      <c r="AL99" s="55">
        <f t="shared" si="758"/>
        <v>7363.49</v>
      </c>
      <c r="AM99" s="514">
        <f t="shared" si="758"/>
        <v>3974.79</v>
      </c>
      <c r="AN99" s="55">
        <f t="shared" si="758"/>
        <v>2355.1999999999998</v>
      </c>
      <c r="AO99" s="55">
        <f t="shared" ref="AO99:AP99" si="759">AO66-AO98</f>
        <v>962.82000000000062</v>
      </c>
      <c r="AP99" s="55">
        <f t="shared" si="759"/>
        <v>243.38000000000011</v>
      </c>
      <c r="AQ99" s="55">
        <f t="shared" ref="AQ99:AR99" si="760">AQ66-AQ98</f>
        <v>-24.739999999999782</v>
      </c>
      <c r="AR99" s="55">
        <f t="shared" si="760"/>
        <v>2096.14</v>
      </c>
      <c r="AS99" s="55">
        <f t="shared" ref="AS99:AT99" si="761">AS66-AS98</f>
        <v>2763.62</v>
      </c>
      <c r="AT99" s="55">
        <f t="shared" si="761"/>
        <v>3837.1100000000006</v>
      </c>
      <c r="AU99" s="55">
        <f t="shared" ref="AU99:AV99" si="762">AU66-AU98</f>
        <v>2124.9599999999991</v>
      </c>
      <c r="AV99" s="55">
        <f t="shared" si="762"/>
        <v>10712.559999999998</v>
      </c>
      <c r="AW99" s="305">
        <f t="shared" ref="AW99" si="763">AW66-AW98</f>
        <v>14161.900000000005</v>
      </c>
      <c r="AX99" s="55">
        <f>AX66-AX98</f>
        <v>4012.8640615437644</v>
      </c>
      <c r="AY99" s="305">
        <f t="shared" ref="AY99:CA99" si="764">AY66-AY98</f>
        <v>2405.8780638602693</v>
      </c>
      <c r="AZ99" s="55">
        <f t="shared" si="764"/>
        <v>2381.0719791162774</v>
      </c>
      <c r="BA99" s="55">
        <f t="shared" si="764"/>
        <v>-460.82953029740747</v>
      </c>
      <c r="BB99" s="55">
        <f t="shared" si="764"/>
        <v>3840.3745146074607</v>
      </c>
      <c r="BC99" s="55">
        <f t="shared" si="764"/>
        <v>-4455.7373597803853</v>
      </c>
      <c r="BD99" s="55">
        <f t="shared" si="764"/>
        <v>1575.2405705928804</v>
      </c>
      <c r="BE99" s="55">
        <f t="shared" si="764"/>
        <v>1171.8654465207692</v>
      </c>
      <c r="BF99" s="55">
        <f t="shared" si="764"/>
        <v>3437.8806048402166</v>
      </c>
      <c r="BG99" s="55">
        <f t="shared" si="764"/>
        <v>1094.6163878340612</v>
      </c>
      <c r="BH99" s="55">
        <f t="shared" si="764"/>
        <v>4999.8126325878511</v>
      </c>
      <c r="BI99" s="55">
        <f t="shared" si="764"/>
        <v>11461.923595424232</v>
      </c>
      <c r="BJ99" s="55">
        <f t="shared" si="764"/>
        <v>736.25932190608182</v>
      </c>
      <c r="BK99" s="305">
        <f t="shared" si="764"/>
        <v>3414.6423603382427</v>
      </c>
      <c r="BL99" s="55">
        <f t="shared" si="764"/>
        <v>2022.8532992478868</v>
      </c>
      <c r="BM99" s="55">
        <f t="shared" si="764"/>
        <v>-2324.9178052314783</v>
      </c>
      <c r="BN99" s="55">
        <f t="shared" si="764"/>
        <v>6746.720962527419</v>
      </c>
      <c r="BO99" s="55">
        <f t="shared" si="764"/>
        <v>-6749.0368701962161</v>
      </c>
      <c r="BP99" s="55">
        <f t="shared" si="764"/>
        <v>1689.4720914580503</v>
      </c>
      <c r="BQ99" s="55">
        <f t="shared" si="764"/>
        <v>544.93887097102743</v>
      </c>
      <c r="BR99" s="55">
        <f t="shared" si="764"/>
        <v>2094.3980114270744</v>
      </c>
      <c r="BS99" s="55">
        <f t="shared" si="764"/>
        <v>564.18082854970999</v>
      </c>
      <c r="BT99" s="55">
        <f t="shared" si="764"/>
        <v>6233.2444502769322</v>
      </c>
      <c r="BU99" s="55">
        <f t="shared" si="764"/>
        <v>12467.830262296491</v>
      </c>
      <c r="BV99" s="55">
        <f t="shared" si="764"/>
        <v>1332.1329399197602</v>
      </c>
      <c r="BW99" s="305">
        <f t="shared" si="764"/>
        <v>3264.4445449797604</v>
      </c>
      <c r="BX99" s="55">
        <f t="shared" si="764"/>
        <v>-2627.8405778892338</v>
      </c>
      <c r="BY99" s="55">
        <f t="shared" si="764"/>
        <v>-7888.837126686507</v>
      </c>
      <c r="BZ99" s="55">
        <f t="shared" si="764"/>
        <v>8941.5443561140382</v>
      </c>
      <c r="CA99" s="55">
        <f t="shared" si="764"/>
        <v>-15450.872925531457</v>
      </c>
      <c r="CB99" s="55">
        <f t="shared" ref="CB99:DG99" si="765">CB66-CB98</f>
        <v>1187.3058234048349</v>
      </c>
      <c r="CC99" s="55">
        <f t="shared" si="765"/>
        <v>-2540.2506185883431</v>
      </c>
      <c r="CD99" s="55">
        <f t="shared" si="765"/>
        <v>-3315.0723808130097</v>
      </c>
      <c r="CE99" s="55">
        <f t="shared" si="765"/>
        <v>-2225.0359300088603</v>
      </c>
      <c r="CF99" s="55">
        <f t="shared" si="765"/>
        <v>633.77294103735039</v>
      </c>
      <c r="CG99" s="55">
        <f t="shared" si="765"/>
        <v>14409.643537494594</v>
      </c>
      <c r="CH99" s="55">
        <f t="shared" si="765"/>
        <v>473.86756565615724</v>
      </c>
      <c r="CI99" s="305">
        <f t="shared" si="765"/>
        <v>-5370.2745832587752</v>
      </c>
      <c r="CJ99" s="55">
        <f t="shared" si="765"/>
        <v>-2221.3823442351641</v>
      </c>
      <c r="CK99" s="55">
        <f t="shared" si="765"/>
        <v>-13819.264323317846</v>
      </c>
      <c r="CL99" s="55">
        <f t="shared" si="765"/>
        <v>8848.8371638980825</v>
      </c>
      <c r="CM99" s="55">
        <f t="shared" si="765"/>
        <v>-22858.339589686453</v>
      </c>
      <c r="CN99" s="55">
        <f t="shared" si="765"/>
        <v>1191.7513779303408</v>
      </c>
      <c r="CO99" s="55">
        <f t="shared" si="765"/>
        <v>-8390.6782988383529</v>
      </c>
      <c r="CP99" s="55">
        <f t="shared" si="765"/>
        <v>-6270.7906070634017</v>
      </c>
      <c r="CQ99" s="55">
        <f t="shared" si="765"/>
        <v>-4309.0038772931439</v>
      </c>
      <c r="CR99" s="55">
        <f t="shared" si="765"/>
        <v>-6705.3628185458001</v>
      </c>
      <c r="CS99" s="55">
        <f t="shared" si="765"/>
        <v>19408.650529555794</v>
      </c>
      <c r="CT99" s="55">
        <f t="shared" si="765"/>
        <v>-2385.796078093168</v>
      </c>
      <c r="CU99" s="305">
        <f t="shared" si="765"/>
        <v>-10917.342952568368</v>
      </c>
      <c r="CV99" s="55">
        <f t="shared" si="765"/>
        <v>-4419.7161868229377</v>
      </c>
      <c r="CW99" s="55">
        <f t="shared" si="765"/>
        <v>-18427.836229666835</v>
      </c>
      <c r="CX99" s="55">
        <f t="shared" si="765"/>
        <v>7043.2622731003976</v>
      </c>
      <c r="CY99" s="55">
        <f t="shared" si="765"/>
        <v>-31650.208103709541</v>
      </c>
      <c r="CZ99" s="55">
        <f t="shared" si="765"/>
        <v>2116.722446218504</v>
      </c>
      <c r="DA99" s="55">
        <f t="shared" si="765"/>
        <v>-16429.3419220457</v>
      </c>
      <c r="DB99" s="55">
        <f t="shared" si="765"/>
        <v>-6552.0753511675939</v>
      </c>
      <c r="DC99" s="55">
        <f t="shared" si="765"/>
        <v>-12437.400018977074</v>
      </c>
      <c r="DD99" s="55">
        <f t="shared" si="765"/>
        <v>-8596.6050666510419</v>
      </c>
      <c r="DE99" s="55">
        <f t="shared" si="765"/>
        <v>28435.208932081565</v>
      </c>
      <c r="DF99" s="55">
        <f t="shared" si="765"/>
        <v>-9183.3428724159457</v>
      </c>
      <c r="DG99" s="55">
        <f t="shared" si="765"/>
        <v>51793.963433197525</v>
      </c>
    </row>
    <row r="100" spans="1:111" s="3" customFormat="1" x14ac:dyDescent="0.3">
      <c r="A100" s="378"/>
      <c r="B100" s="378"/>
      <c r="C100" s="379" t="s">
        <v>243</v>
      </c>
      <c r="D100" s="380"/>
      <c r="E100" s="381">
        <f t="shared" ref="E100:O100" si="766">+E86/8</f>
        <v>0</v>
      </c>
      <c r="F100" s="381">
        <f t="shared" si="766"/>
        <v>0</v>
      </c>
      <c r="G100" s="381">
        <f t="shared" si="766"/>
        <v>0</v>
      </c>
      <c r="H100" s="381">
        <f t="shared" si="766"/>
        <v>0</v>
      </c>
      <c r="I100" s="381">
        <f t="shared" si="766"/>
        <v>0</v>
      </c>
      <c r="J100" s="381">
        <f t="shared" si="766"/>
        <v>0</v>
      </c>
      <c r="K100" s="381">
        <f t="shared" si="766"/>
        <v>0</v>
      </c>
      <c r="L100" s="381">
        <f t="shared" si="766"/>
        <v>0</v>
      </c>
      <c r="M100" s="381">
        <f t="shared" si="766"/>
        <v>6.25</v>
      </c>
      <c r="N100" s="381">
        <f t="shared" si="766"/>
        <v>31.25</v>
      </c>
      <c r="O100" s="381">
        <f t="shared" si="766"/>
        <v>0</v>
      </c>
      <c r="P100" s="381">
        <f t="shared" ref="P100:AU100" si="767">+P99/P14</f>
        <v>0.84790975362065735</v>
      </c>
      <c r="Q100" s="381">
        <f t="shared" si="767"/>
        <v>0.87755524586900258</v>
      </c>
      <c r="R100" s="381">
        <f t="shared" si="767"/>
        <v>0.91269111249223134</v>
      </c>
      <c r="S100" s="381">
        <f t="shared" si="767"/>
        <v>0.86061172672051334</v>
      </c>
      <c r="T100" s="381">
        <f t="shared" si="767"/>
        <v>0.7784416931719027</v>
      </c>
      <c r="U100" s="381">
        <f t="shared" si="767"/>
        <v>0.68324826394836136</v>
      </c>
      <c r="V100" s="381">
        <f t="shared" si="767"/>
        <v>0.84737788749779575</v>
      </c>
      <c r="W100" s="381">
        <f t="shared" si="767"/>
        <v>0.8796453000991713</v>
      </c>
      <c r="X100" s="381">
        <f t="shared" si="767"/>
        <v>0.81197543652475013</v>
      </c>
      <c r="Y100" s="381">
        <f t="shared" si="767"/>
        <v>0.83560161388517107</v>
      </c>
      <c r="Z100" s="381">
        <f t="shared" si="767"/>
        <v>0.81644228977829614</v>
      </c>
      <c r="AA100" s="381">
        <f t="shared" si="767"/>
        <v>0.62813243180228495</v>
      </c>
      <c r="AB100" s="381">
        <f t="shared" si="767"/>
        <v>0.86101265822784823</v>
      </c>
      <c r="AC100" s="381">
        <f t="shared" si="767"/>
        <v>0.62926907630522089</v>
      </c>
      <c r="AD100" s="381">
        <f t="shared" si="767"/>
        <v>0.72897542750395183</v>
      </c>
      <c r="AE100" s="381">
        <f t="shared" si="767"/>
        <v>0.30741662518665996</v>
      </c>
      <c r="AF100" s="381">
        <f t="shared" si="767"/>
        <v>0.87270483092500484</v>
      </c>
      <c r="AG100" s="381">
        <f t="shared" si="767"/>
        <v>0.6333972415778063</v>
      </c>
      <c r="AH100" s="381">
        <f t="shared" si="767"/>
        <v>0.69685538617067422</v>
      </c>
      <c r="AI100" s="381">
        <f t="shared" si="767"/>
        <v>0.83443576264628394</v>
      </c>
      <c r="AJ100" s="381">
        <f t="shared" si="767"/>
        <v>0.82862945188178838</v>
      </c>
      <c r="AK100" s="381">
        <f t="shared" si="767"/>
        <v>0.85531390488775272</v>
      </c>
      <c r="AL100" s="381">
        <f t="shared" si="767"/>
        <v>0.76915339217632006</v>
      </c>
      <c r="AM100" s="383">
        <f t="shared" si="767"/>
        <v>0.76526569118213328</v>
      </c>
      <c r="AN100" s="381">
        <f t="shared" si="767"/>
        <v>0.35763419634044491</v>
      </c>
      <c r="AO100" s="381">
        <f t="shared" si="767"/>
        <v>0.11868907264685441</v>
      </c>
      <c r="AP100" s="381">
        <f t="shared" si="767"/>
        <v>3.1680327815504866E-2</v>
      </c>
      <c r="AQ100" s="381">
        <f t="shared" si="767"/>
        <v>-6.5863560732112563E-3</v>
      </c>
      <c r="AR100" s="381">
        <f t="shared" si="767"/>
        <v>0.34678468028786497</v>
      </c>
      <c r="AS100" s="381">
        <f t="shared" si="767"/>
        <v>0.39959803354540196</v>
      </c>
      <c r="AT100" s="381">
        <f t="shared" si="767"/>
        <v>0.25700669792364372</v>
      </c>
      <c r="AU100" s="381">
        <f t="shared" si="767"/>
        <v>0.10387446839712564</v>
      </c>
      <c r="AV100" s="381">
        <f t="shared" ref="AV100:CA100" si="768">+AV99/AV14</f>
        <v>0.37843539697959894</v>
      </c>
      <c r="AW100" s="382">
        <f t="shared" si="768"/>
        <v>0.35977575970203596</v>
      </c>
      <c r="AX100" s="381">
        <f t="shared" si="768"/>
        <v>0.31394067202602927</v>
      </c>
      <c r="AY100" s="382">
        <f t="shared" si="768"/>
        <v>0.20425944203263316</v>
      </c>
      <c r="AZ100" s="381">
        <f t="shared" si="768"/>
        <v>0.15785913395344353</v>
      </c>
      <c r="BA100" s="381">
        <f t="shared" si="768"/>
        <v>-2.9284701438405034E-2</v>
      </c>
      <c r="BB100" s="381">
        <f t="shared" si="768"/>
        <v>0.2226411546445459</v>
      </c>
      <c r="BC100" s="381">
        <f t="shared" si="768"/>
        <v>-0.54432427902979919</v>
      </c>
      <c r="BD100" s="381">
        <f t="shared" si="768"/>
        <v>0.1064693414422533</v>
      </c>
      <c r="BE100" s="381">
        <f t="shared" si="768"/>
        <v>8.9793910056211401E-2</v>
      </c>
      <c r="BF100" s="381">
        <f t="shared" si="768"/>
        <v>0.17349972095434504</v>
      </c>
      <c r="BG100" s="381">
        <f t="shared" si="768"/>
        <v>5.1657307553136578E-2</v>
      </c>
      <c r="BH100" s="381">
        <f t="shared" si="768"/>
        <v>0.16751454916112782</v>
      </c>
      <c r="BI100" s="381">
        <f t="shared" si="768"/>
        <v>0.32856192080295304</v>
      </c>
      <c r="BJ100" s="381">
        <f t="shared" si="768"/>
        <v>4.4935978462368464E-2</v>
      </c>
      <c r="BK100" s="382">
        <f t="shared" si="768"/>
        <v>0.14670577734129603</v>
      </c>
      <c r="BL100" s="381">
        <f t="shared" si="768"/>
        <v>7.9524734880038556E-2</v>
      </c>
      <c r="BM100" s="381">
        <f t="shared" si="768"/>
        <v>-8.9862736010700092E-2</v>
      </c>
      <c r="BN100" s="381">
        <f t="shared" si="768"/>
        <v>0.23555187932649016</v>
      </c>
      <c r="BO100" s="381">
        <f t="shared" si="768"/>
        <v>-0.53691764393176522</v>
      </c>
      <c r="BP100" s="381">
        <f t="shared" si="768"/>
        <v>7.7072971781778674E-2</v>
      </c>
      <c r="BQ100" s="381">
        <f t="shared" si="768"/>
        <v>2.8736656997386634E-2</v>
      </c>
      <c r="BR100" s="381">
        <f t="shared" si="768"/>
        <v>7.7456355373519498E-2</v>
      </c>
      <c r="BS100" s="381">
        <f t="shared" si="768"/>
        <v>1.7858075174144998E-2</v>
      </c>
      <c r="BT100" s="381">
        <f t="shared" si="768"/>
        <v>0.1474623830898294</v>
      </c>
      <c r="BU100" s="381">
        <f t="shared" si="768"/>
        <v>0.26515783694276268</v>
      </c>
      <c r="BV100" s="381">
        <f t="shared" si="768"/>
        <v>5.4973277786542152E-2</v>
      </c>
      <c r="BW100" s="382">
        <f t="shared" si="768"/>
        <v>9.9551607508726589E-2</v>
      </c>
      <c r="BX100" s="381">
        <f t="shared" si="768"/>
        <v>-7.3205256534513846E-2</v>
      </c>
      <c r="BY100" s="381">
        <f t="shared" si="768"/>
        <v>-0.2048930948005403</v>
      </c>
      <c r="BZ100" s="381">
        <f t="shared" si="768"/>
        <v>0.21981791832880385</v>
      </c>
      <c r="CA100" s="381">
        <f t="shared" si="768"/>
        <v>-0.94768091814458777</v>
      </c>
      <c r="CB100" s="381">
        <f t="shared" ref="CB100:DG100" si="769">+CB99/CB14</f>
        <v>3.4738993941399066E-2</v>
      </c>
      <c r="CC100" s="381">
        <f t="shared" si="769"/>
        <v>-9.4048401327626582E-2</v>
      </c>
      <c r="CD100" s="381">
        <f t="shared" si="769"/>
        <v>-9.0138377065251879E-2</v>
      </c>
      <c r="CE100" s="381">
        <f t="shared" si="769"/>
        <v>-4.7115828189972592E-2</v>
      </c>
      <c r="CF100" s="381">
        <f t="shared" si="769"/>
        <v>1.1021174102260769E-2</v>
      </c>
      <c r="CG100" s="381">
        <f t="shared" si="769"/>
        <v>0.20550240068310557</v>
      </c>
      <c r="CH100" s="381">
        <f t="shared" si="769"/>
        <v>1.3763504733797446E-2</v>
      </c>
      <c r="CI100" s="382">
        <f t="shared" si="769"/>
        <v>-0.12623292008383394</v>
      </c>
      <c r="CJ100" s="381">
        <f t="shared" si="769"/>
        <v>-4.0017161255256499E-2</v>
      </c>
      <c r="CK100" s="381">
        <f t="shared" si="769"/>
        <v>-0.26785484770720153</v>
      </c>
      <c r="CL100" s="381">
        <f t="shared" si="769"/>
        <v>0.16162760332605564</v>
      </c>
      <c r="CM100" s="381">
        <f t="shared" si="769"/>
        <v>-0.95120599019241703</v>
      </c>
      <c r="CN100" s="381">
        <f t="shared" si="769"/>
        <v>2.4776085782940101E-2</v>
      </c>
      <c r="CO100" s="381">
        <f t="shared" si="769"/>
        <v>-0.23245948573142006</v>
      </c>
      <c r="CP100" s="381">
        <f t="shared" si="769"/>
        <v>-0.11625391750148636</v>
      </c>
      <c r="CQ100" s="381">
        <f t="shared" si="769"/>
        <v>-6.5351649041823126E-2</v>
      </c>
      <c r="CR100" s="381">
        <f t="shared" si="769"/>
        <v>-8.7857127750370106E-2</v>
      </c>
      <c r="CS100" s="381">
        <f t="shared" si="769"/>
        <v>0.18931756959828028</v>
      </c>
      <c r="CT100" s="381">
        <f t="shared" si="769"/>
        <v>-4.9548629401746591E-2</v>
      </c>
      <c r="CU100" s="382">
        <f t="shared" si="769"/>
        <v>-0.18291626722513687</v>
      </c>
      <c r="CV100" s="381">
        <f t="shared" si="769"/>
        <v>-5.6642978239099889E-2</v>
      </c>
      <c r="CW100" s="381">
        <f t="shared" si="769"/>
        <v>-0.25445302606810705</v>
      </c>
      <c r="CX100" s="381">
        <f t="shared" si="769"/>
        <v>9.6007556702095903E-2</v>
      </c>
      <c r="CY100" s="381">
        <f t="shared" si="769"/>
        <v>-0.8937333224409052</v>
      </c>
      <c r="CZ100" s="381">
        <f t="shared" si="769"/>
        <v>3.125746269196885E-2</v>
      </c>
      <c r="DA100" s="381">
        <f t="shared" si="769"/>
        <v>-0.33805910804693418</v>
      </c>
      <c r="DB100" s="381">
        <f t="shared" si="769"/>
        <v>-8.234856262827786E-2</v>
      </c>
      <c r="DC100" s="381">
        <f t="shared" si="769"/>
        <v>-0.14004455108836547</v>
      </c>
      <c r="DD100" s="381">
        <f t="shared" si="769"/>
        <v>-7.6246975216377341E-2</v>
      </c>
      <c r="DE100" s="381">
        <f t="shared" si="769"/>
        <v>0.19676263830957771</v>
      </c>
      <c r="DF100" s="381">
        <f t="shared" si="769"/>
        <v>-0.14197362481240752</v>
      </c>
      <c r="DG100" s="383">
        <f t="shared" si="769"/>
        <v>0.58727152205069089</v>
      </c>
    </row>
    <row r="101" spans="1:111" s="5" customFormat="1" x14ac:dyDescent="0.3">
      <c r="A101" s="384"/>
      <c r="B101" s="384"/>
      <c r="C101" s="385" t="s">
        <v>293</v>
      </c>
      <c r="D101" s="386"/>
      <c r="E101" s="387"/>
      <c r="F101" s="387"/>
      <c r="G101" s="387"/>
      <c r="H101" s="387"/>
      <c r="I101" s="387"/>
      <c r="J101" s="387"/>
      <c r="K101" s="387"/>
      <c r="L101" s="387"/>
      <c r="M101" s="387"/>
      <c r="N101" s="387"/>
      <c r="O101" s="387"/>
      <c r="P101" s="387"/>
      <c r="Q101" s="387"/>
      <c r="R101" s="387"/>
      <c r="S101" s="387"/>
      <c r="T101" s="387"/>
      <c r="U101" s="387"/>
      <c r="V101" s="387"/>
      <c r="W101" s="387"/>
      <c r="X101" s="387"/>
      <c r="Y101" s="387"/>
      <c r="Z101" s="387"/>
      <c r="AA101" s="387"/>
      <c r="AB101" s="387">
        <f t="shared" ref="AB101:AW101" si="770">+AB91/AB12</f>
        <v>4.3303292894280768E-2</v>
      </c>
      <c r="AC101" s="387">
        <f t="shared" si="770"/>
        <v>3.5843947217441191E-2</v>
      </c>
      <c r="AD101" s="387">
        <f t="shared" si="770"/>
        <v>4.0856524873828404E-2</v>
      </c>
      <c r="AE101" s="387">
        <f t="shared" si="770"/>
        <v>3.6319999999999998E-2</v>
      </c>
      <c r="AF101" s="387">
        <f t="shared" si="770"/>
        <v>3.2284916201117321E-2</v>
      </c>
      <c r="AG101" s="387">
        <f t="shared" si="770"/>
        <v>5.5005981947088861E-2</v>
      </c>
      <c r="AH101" s="387">
        <f t="shared" si="770"/>
        <v>2.527662222478123E-2</v>
      </c>
      <c r="AI101" s="387">
        <f t="shared" si="770"/>
        <v>2.8720114596241516E-2</v>
      </c>
      <c r="AJ101" s="387">
        <f t="shared" si="770"/>
        <v>3.3773175044203081E-2</v>
      </c>
      <c r="AK101" s="387">
        <f t="shared" si="770"/>
        <v>3.0093320871378247E-2</v>
      </c>
      <c r="AL101" s="387">
        <f t="shared" si="770"/>
        <v>3.3038295647627766E-2</v>
      </c>
      <c r="AM101" s="410">
        <f t="shared" si="770"/>
        <v>3.8755813953488372E-2</v>
      </c>
      <c r="AN101" s="387">
        <f t="shared" si="770"/>
        <v>3.5501350829795449E-2</v>
      </c>
      <c r="AO101" s="387">
        <f t="shared" si="770"/>
        <v>3.4922073890096238E-2</v>
      </c>
      <c r="AP101" s="387">
        <f t="shared" si="770"/>
        <v>3.9777195281782439E-2</v>
      </c>
      <c r="AQ101" s="387">
        <f t="shared" si="770"/>
        <v>4.465091514143095E-2</v>
      </c>
      <c r="AR101" s="387">
        <f t="shared" si="770"/>
        <v>2.8497306257770409E-2</v>
      </c>
      <c r="AS101" s="387">
        <f t="shared" si="770"/>
        <v>3.108831073653353E-2</v>
      </c>
      <c r="AT101" s="387">
        <f t="shared" si="770"/>
        <v>2.9662066644227533E-2</v>
      </c>
      <c r="AU101" s="387">
        <f t="shared" si="770"/>
        <v>3.2271402327005511E-2</v>
      </c>
      <c r="AV101" s="387">
        <f t="shared" si="770"/>
        <v>2.3585242855878971E-2</v>
      </c>
      <c r="AW101" s="389">
        <f t="shared" si="770"/>
        <v>2.3432033957597746E-2</v>
      </c>
      <c r="AX101" s="718">
        <f>+AVERAGE(AU101:AW101)</f>
        <v>2.6429559713494075E-2</v>
      </c>
      <c r="AY101" s="389">
        <f t="shared" ref="AY101:CU101" si="771">+AX101</f>
        <v>2.6429559713494075E-2</v>
      </c>
      <c r="AZ101" s="387">
        <f t="shared" si="771"/>
        <v>2.6429559713494075E-2</v>
      </c>
      <c r="BA101" s="387">
        <f t="shared" si="771"/>
        <v>2.6429559713494075E-2</v>
      </c>
      <c r="BB101" s="387">
        <f t="shared" si="771"/>
        <v>2.6429559713494075E-2</v>
      </c>
      <c r="BC101" s="387">
        <f t="shared" si="771"/>
        <v>2.6429559713494075E-2</v>
      </c>
      <c r="BD101" s="387">
        <f t="shared" si="771"/>
        <v>2.6429559713494075E-2</v>
      </c>
      <c r="BE101" s="387">
        <f t="shared" si="771"/>
        <v>2.6429559713494075E-2</v>
      </c>
      <c r="BF101" s="387">
        <f t="shared" si="771"/>
        <v>2.6429559713494075E-2</v>
      </c>
      <c r="BG101" s="387">
        <f t="shared" si="771"/>
        <v>2.6429559713494075E-2</v>
      </c>
      <c r="BH101" s="387">
        <f t="shared" si="771"/>
        <v>2.6429559713494075E-2</v>
      </c>
      <c r="BI101" s="387">
        <f t="shared" si="771"/>
        <v>2.6429559713494075E-2</v>
      </c>
      <c r="BJ101" s="387">
        <f t="shared" si="771"/>
        <v>2.6429559713494075E-2</v>
      </c>
      <c r="BK101" s="389">
        <f t="shared" si="771"/>
        <v>2.6429559713494075E-2</v>
      </c>
      <c r="BL101" s="387">
        <f t="shared" si="771"/>
        <v>2.6429559713494075E-2</v>
      </c>
      <c r="BM101" s="387">
        <f t="shared" si="771"/>
        <v>2.6429559713494075E-2</v>
      </c>
      <c r="BN101" s="387">
        <f t="shared" si="771"/>
        <v>2.6429559713494075E-2</v>
      </c>
      <c r="BO101" s="387">
        <f t="shared" si="771"/>
        <v>2.6429559713494075E-2</v>
      </c>
      <c r="BP101" s="387">
        <f t="shared" si="771"/>
        <v>2.6429559713494075E-2</v>
      </c>
      <c r="BQ101" s="387">
        <f t="shared" si="771"/>
        <v>2.6429559713494075E-2</v>
      </c>
      <c r="BR101" s="387">
        <f t="shared" si="771"/>
        <v>2.6429559713494075E-2</v>
      </c>
      <c r="BS101" s="387">
        <f t="shared" si="771"/>
        <v>2.6429559713494075E-2</v>
      </c>
      <c r="BT101" s="387">
        <f t="shared" si="771"/>
        <v>2.6429559713494075E-2</v>
      </c>
      <c r="BU101" s="387">
        <f t="shared" si="771"/>
        <v>2.6429559713494075E-2</v>
      </c>
      <c r="BV101" s="387">
        <f t="shared" si="771"/>
        <v>2.6429559713494075E-2</v>
      </c>
      <c r="BW101" s="389">
        <f t="shared" si="771"/>
        <v>2.6429559713494075E-2</v>
      </c>
      <c r="BX101" s="387">
        <f t="shared" si="771"/>
        <v>2.6429559713494075E-2</v>
      </c>
      <c r="BY101" s="387">
        <f t="shared" si="771"/>
        <v>2.6429559713494075E-2</v>
      </c>
      <c r="BZ101" s="387">
        <f t="shared" si="771"/>
        <v>2.6429559713494075E-2</v>
      </c>
      <c r="CA101" s="387">
        <f t="shared" si="771"/>
        <v>2.6429559713494075E-2</v>
      </c>
      <c r="CB101" s="387">
        <f t="shared" si="771"/>
        <v>2.6429559713494075E-2</v>
      </c>
      <c r="CC101" s="387">
        <f t="shared" si="771"/>
        <v>2.6429559713494075E-2</v>
      </c>
      <c r="CD101" s="387">
        <f t="shared" si="771"/>
        <v>2.6429559713494075E-2</v>
      </c>
      <c r="CE101" s="387">
        <f t="shared" si="771"/>
        <v>2.6429559713494075E-2</v>
      </c>
      <c r="CF101" s="387">
        <f t="shared" si="771"/>
        <v>2.6429559713494075E-2</v>
      </c>
      <c r="CG101" s="387">
        <f t="shared" si="771"/>
        <v>2.6429559713494075E-2</v>
      </c>
      <c r="CH101" s="387">
        <f t="shared" si="771"/>
        <v>2.6429559713494075E-2</v>
      </c>
      <c r="CI101" s="389">
        <f t="shared" si="771"/>
        <v>2.6429559713494075E-2</v>
      </c>
      <c r="CJ101" s="387">
        <f t="shared" si="771"/>
        <v>2.6429559713494075E-2</v>
      </c>
      <c r="CK101" s="387">
        <f t="shared" si="771"/>
        <v>2.6429559713494075E-2</v>
      </c>
      <c r="CL101" s="387">
        <f t="shared" si="771"/>
        <v>2.6429559713494075E-2</v>
      </c>
      <c r="CM101" s="387">
        <f t="shared" si="771"/>
        <v>2.6429559713494075E-2</v>
      </c>
      <c r="CN101" s="387">
        <f t="shared" si="771"/>
        <v>2.6429559713494075E-2</v>
      </c>
      <c r="CO101" s="387">
        <f t="shared" si="771"/>
        <v>2.6429559713494075E-2</v>
      </c>
      <c r="CP101" s="387">
        <f t="shared" si="771"/>
        <v>2.6429559713494075E-2</v>
      </c>
      <c r="CQ101" s="387">
        <f t="shared" si="771"/>
        <v>2.6429559713494075E-2</v>
      </c>
      <c r="CR101" s="387">
        <f t="shared" si="771"/>
        <v>2.6429559713494075E-2</v>
      </c>
      <c r="CS101" s="387">
        <f t="shared" si="771"/>
        <v>2.6429559713494075E-2</v>
      </c>
      <c r="CT101" s="387">
        <f t="shared" si="771"/>
        <v>2.6429559713494075E-2</v>
      </c>
      <c r="CU101" s="389">
        <f t="shared" si="771"/>
        <v>2.6429559713494075E-2</v>
      </c>
      <c r="CV101" s="387">
        <f t="shared" ref="CV101:DG101" si="772">+CU101</f>
        <v>2.6429559713494075E-2</v>
      </c>
      <c r="CW101" s="387">
        <f t="shared" si="772"/>
        <v>2.6429559713494075E-2</v>
      </c>
      <c r="CX101" s="387">
        <f t="shared" si="772"/>
        <v>2.6429559713494075E-2</v>
      </c>
      <c r="CY101" s="387">
        <f t="shared" si="772"/>
        <v>2.6429559713494075E-2</v>
      </c>
      <c r="CZ101" s="387">
        <f t="shared" si="772"/>
        <v>2.6429559713494075E-2</v>
      </c>
      <c r="DA101" s="387">
        <f t="shared" si="772"/>
        <v>2.6429559713494075E-2</v>
      </c>
      <c r="DB101" s="387">
        <f t="shared" si="772"/>
        <v>2.6429559713494075E-2</v>
      </c>
      <c r="DC101" s="387">
        <f t="shared" si="772"/>
        <v>2.6429559713494075E-2</v>
      </c>
      <c r="DD101" s="387">
        <f t="shared" si="772"/>
        <v>2.6429559713494075E-2</v>
      </c>
      <c r="DE101" s="387">
        <f t="shared" si="772"/>
        <v>2.6429559713494075E-2</v>
      </c>
      <c r="DF101" s="387">
        <f t="shared" si="772"/>
        <v>2.6429559713494075E-2</v>
      </c>
      <c r="DG101" s="387">
        <f t="shared" si="772"/>
        <v>2.6429559713494075E-2</v>
      </c>
    </row>
    <row r="102" spans="1:111" s="5" customFormat="1" x14ac:dyDescent="0.3">
      <c r="A102" s="384"/>
      <c r="B102" s="384"/>
      <c r="C102" s="385" t="s">
        <v>299</v>
      </c>
      <c r="D102" s="386"/>
      <c r="E102" s="387"/>
      <c r="F102" s="387"/>
      <c r="G102" s="387"/>
      <c r="H102" s="387"/>
      <c r="I102" s="387"/>
      <c r="J102" s="387"/>
      <c r="K102" s="387"/>
      <c r="L102" s="388">
        <f t="shared" ref="L102:AA102" si="773">L85+L89+L63+L71</f>
        <v>12</v>
      </c>
      <c r="M102" s="388">
        <f t="shared" si="773"/>
        <v>298.06</v>
      </c>
      <c r="N102" s="388">
        <f t="shared" si="773"/>
        <v>117.23</v>
      </c>
      <c r="O102" s="388">
        <f t="shared" si="773"/>
        <v>34.43</v>
      </c>
      <c r="P102" s="388">
        <f t="shared" si="773"/>
        <v>130.13</v>
      </c>
      <c r="Q102" s="388">
        <f t="shared" si="773"/>
        <v>48.76</v>
      </c>
      <c r="R102" s="388">
        <f t="shared" si="773"/>
        <v>75.36</v>
      </c>
      <c r="S102" s="388">
        <f t="shared" si="773"/>
        <v>165.85</v>
      </c>
      <c r="T102" s="388">
        <f t="shared" si="773"/>
        <v>125.88</v>
      </c>
      <c r="U102" s="388">
        <f t="shared" si="773"/>
        <v>183.48</v>
      </c>
      <c r="V102" s="388">
        <f t="shared" si="773"/>
        <v>29.2</v>
      </c>
      <c r="W102" s="388">
        <f t="shared" si="773"/>
        <v>45.76</v>
      </c>
      <c r="X102" s="388">
        <f t="shared" si="773"/>
        <v>289.22000000000003</v>
      </c>
      <c r="Y102" s="388">
        <f t="shared" si="773"/>
        <v>381.91</v>
      </c>
      <c r="Z102" s="388">
        <f t="shared" si="773"/>
        <v>57.91</v>
      </c>
      <c r="AA102" s="388">
        <f t="shared" si="773"/>
        <v>28.91</v>
      </c>
      <c r="AB102" s="388">
        <f t="shared" ref="AB102:AN102" si="774">AB85+AB89+AB65+AB71</f>
        <v>78.91</v>
      </c>
      <c r="AC102" s="388">
        <f t="shared" si="774"/>
        <v>1208.3500000000001</v>
      </c>
      <c r="AD102" s="388">
        <f t="shared" si="774"/>
        <v>87.94</v>
      </c>
      <c r="AE102" s="388">
        <f t="shared" si="774"/>
        <v>2416.5500000000002</v>
      </c>
      <c r="AF102" s="388">
        <f t="shared" si="774"/>
        <v>157.97</v>
      </c>
      <c r="AG102" s="388">
        <f t="shared" si="774"/>
        <v>975.68</v>
      </c>
      <c r="AH102" s="388">
        <f t="shared" si="774"/>
        <v>1882.73</v>
      </c>
      <c r="AI102" s="388">
        <f t="shared" si="774"/>
        <v>904.81</v>
      </c>
      <c r="AJ102" s="388">
        <f t="shared" si="774"/>
        <v>894.25</v>
      </c>
      <c r="AK102" s="388">
        <f t="shared" si="774"/>
        <v>1057.31</v>
      </c>
      <c r="AL102" s="388">
        <f t="shared" si="774"/>
        <v>270.40999999999997</v>
      </c>
      <c r="AM102" s="565">
        <f t="shared" si="774"/>
        <v>706.81999999999994</v>
      </c>
      <c r="AN102" s="388">
        <f t="shared" si="774"/>
        <v>218.17</v>
      </c>
      <c r="AO102" s="388">
        <f t="shared" ref="AO102:AP102" si="775">AO85+AO89+AO65+AO71</f>
        <v>568.63</v>
      </c>
      <c r="AP102" s="388">
        <f t="shared" si="775"/>
        <v>170.81</v>
      </c>
      <c r="AQ102" s="388">
        <f t="shared" ref="AQ102:AV102" si="776">AQ85+AQ65+AQ71+SUM(AQ89:AQ91)</f>
        <v>370.03999999999996</v>
      </c>
      <c r="AR102" s="388">
        <f t="shared" si="776"/>
        <v>968.93999999999994</v>
      </c>
      <c r="AS102" s="388">
        <f t="shared" si="776"/>
        <v>961.06999999999994</v>
      </c>
      <c r="AT102" s="388">
        <f t="shared" si="776"/>
        <v>2558.77</v>
      </c>
      <c r="AU102" s="388">
        <f t="shared" si="776"/>
        <v>2163.19</v>
      </c>
      <c r="AV102" s="388">
        <f t="shared" si="776"/>
        <v>5971.5300000000007</v>
      </c>
      <c r="AW102" s="390">
        <f>AW85+AW65+AW71+SUM(AW89:AW91)</f>
        <v>8643.52</v>
      </c>
      <c r="AX102" s="719">
        <f t="shared" ref="AX102:DG102" si="777">AX85+AX65+AX71+SUM(AX89:AX91)</f>
        <v>2119.4738804233707</v>
      </c>
      <c r="AY102" s="390">
        <f t="shared" si="777"/>
        <v>1073.3540170377044</v>
      </c>
      <c r="AZ102" s="388">
        <f t="shared" si="777"/>
        <v>3239.1538213682479</v>
      </c>
      <c r="BA102" s="388">
        <f t="shared" si="777"/>
        <v>4572.9466647490935</v>
      </c>
      <c r="BB102" s="388">
        <f t="shared" si="777"/>
        <v>6948.9884649165879</v>
      </c>
      <c r="BC102" s="388">
        <f t="shared" si="777"/>
        <v>2536.3102809170509</v>
      </c>
      <c r="BD102" s="388">
        <f t="shared" si="777"/>
        <v>7121.3420539405179</v>
      </c>
      <c r="BE102" s="388">
        <f t="shared" si="777"/>
        <v>2402.4624049023523</v>
      </c>
      <c r="BF102" s="388">
        <f t="shared" si="777"/>
        <v>5958.971300559675</v>
      </c>
      <c r="BG102" s="388">
        <f t="shared" si="777"/>
        <v>6210.7379247345807</v>
      </c>
      <c r="BH102" s="388">
        <f t="shared" si="777"/>
        <v>10426.179833365906</v>
      </c>
      <c r="BI102" s="388">
        <f t="shared" si="777"/>
        <v>10958.20599279429</v>
      </c>
      <c r="BJ102" s="388">
        <f t="shared" si="777"/>
        <v>3588.7910939276335</v>
      </c>
      <c r="BK102" s="390">
        <f t="shared" si="777"/>
        <v>6292.1894244534942</v>
      </c>
      <c r="BL102" s="388">
        <f t="shared" si="777"/>
        <v>8368.9993168930414</v>
      </c>
      <c r="BM102" s="388">
        <f t="shared" si="777"/>
        <v>9306.2430536956963</v>
      </c>
      <c r="BN102" s="388">
        <f t="shared" si="777"/>
        <v>12687.991246912374</v>
      </c>
      <c r="BO102" s="388">
        <f t="shared" si="777"/>
        <v>4844.7191565963703</v>
      </c>
      <c r="BP102" s="388">
        <f t="shared" si="777"/>
        <v>11651.314496933781</v>
      </c>
      <c r="BQ102" s="388">
        <f t="shared" si="777"/>
        <v>5713.7608726936533</v>
      </c>
      <c r="BR102" s="388">
        <f t="shared" si="777"/>
        <v>9939.3871513483336</v>
      </c>
      <c r="BS102" s="388">
        <f t="shared" si="777"/>
        <v>11660.329767591486</v>
      </c>
      <c r="BT102" s="388">
        <f t="shared" si="777"/>
        <v>16815.767924813583</v>
      </c>
      <c r="BU102" s="388">
        <f t="shared" si="777"/>
        <v>16499.218736837509</v>
      </c>
      <c r="BV102" s="388">
        <f t="shared" si="777"/>
        <v>6238.8926324980102</v>
      </c>
      <c r="BW102" s="390">
        <f t="shared" si="777"/>
        <v>10634.737074639841</v>
      </c>
      <c r="BX102" s="388">
        <f t="shared" si="777"/>
        <v>13569.980482331875</v>
      </c>
      <c r="BY102" s="388">
        <f t="shared" si="777"/>
        <v>16209.610420505927</v>
      </c>
      <c r="BZ102" s="388">
        <f t="shared" si="777"/>
        <v>18764.091204414326</v>
      </c>
      <c r="CA102" s="388">
        <f t="shared" si="777"/>
        <v>6844.1672165255441</v>
      </c>
      <c r="CB102" s="388">
        <f t="shared" si="777"/>
        <v>19455.206668276529</v>
      </c>
      <c r="CC102" s="388">
        <f t="shared" si="777"/>
        <v>10204.890252324689</v>
      </c>
      <c r="CD102" s="388">
        <f t="shared" si="777"/>
        <v>15290.158694481046</v>
      </c>
      <c r="CE102" s="388">
        <f t="shared" si="777"/>
        <v>19820.635815160185</v>
      </c>
      <c r="CF102" s="388">
        <f t="shared" si="777"/>
        <v>24649.102760627309</v>
      </c>
      <c r="CG102" s="388">
        <f t="shared" si="777"/>
        <v>26978.678575516511</v>
      </c>
      <c r="CH102" s="388">
        <f t="shared" si="777"/>
        <v>9712.0042279549543</v>
      </c>
      <c r="CI102" s="390">
        <f t="shared" si="777"/>
        <v>15101.372898380789</v>
      </c>
      <c r="CJ102" s="388">
        <f t="shared" si="777"/>
        <v>23244.683493600114</v>
      </c>
      <c r="CK102" s="388">
        <f t="shared" si="777"/>
        <v>23383.134003544368</v>
      </c>
      <c r="CL102" s="388">
        <f t="shared" si="777"/>
        <v>26710.991989956037</v>
      </c>
      <c r="CM102" s="388">
        <f t="shared" si="777"/>
        <v>10881.7789099817</v>
      </c>
      <c r="CN102" s="388">
        <f t="shared" si="777"/>
        <v>28326.843225207027</v>
      </c>
      <c r="CO102" s="388">
        <f t="shared" si="777"/>
        <v>15283.718749924799</v>
      </c>
      <c r="CP102" s="388">
        <f t="shared" si="777"/>
        <v>24656.072514572184</v>
      </c>
      <c r="CQ102" s="388">
        <f t="shared" si="777"/>
        <v>29588.326418372359</v>
      </c>
      <c r="CR102" s="388">
        <f t="shared" si="777"/>
        <v>34319.751256277857</v>
      </c>
      <c r="CS102" s="388">
        <f t="shared" si="777"/>
        <v>41654.604314359698</v>
      </c>
      <c r="CT102" s="388">
        <f t="shared" si="777"/>
        <v>15507.624092891154</v>
      </c>
      <c r="CU102" s="390">
        <f t="shared" si="777"/>
        <v>22889.437004762196</v>
      </c>
      <c r="CV102" s="388">
        <f t="shared" si="777"/>
        <v>34358.501977900974</v>
      </c>
      <c r="CW102" s="388">
        <f t="shared" si="777"/>
        <v>34743.580787514453</v>
      </c>
      <c r="CX102" s="388">
        <f t="shared" si="777"/>
        <v>38670.660187264388</v>
      </c>
      <c r="CY102" s="388">
        <f t="shared" si="777"/>
        <v>16791.804880644751</v>
      </c>
      <c r="CZ102" s="388">
        <f t="shared" si="777"/>
        <v>40798.484628119651</v>
      </c>
      <c r="DA102" s="388">
        <f t="shared" si="777"/>
        <v>22249.269708444677</v>
      </c>
      <c r="DB102" s="388">
        <f t="shared" si="777"/>
        <v>38599.177836480027</v>
      </c>
      <c r="DC102" s="388">
        <f t="shared" si="777"/>
        <v>41526.550057760585</v>
      </c>
      <c r="DD102" s="388">
        <f t="shared" si="777"/>
        <v>52939.178912648153</v>
      </c>
      <c r="DE102" s="388">
        <f t="shared" si="777"/>
        <v>60664.027914388113</v>
      </c>
      <c r="DF102" s="388">
        <f t="shared" si="777"/>
        <v>22490.102848596762</v>
      </c>
      <c r="DG102" s="388">
        <f t="shared" si="777"/>
        <v>35777.746277098893</v>
      </c>
    </row>
    <row r="103" spans="1:111" x14ac:dyDescent="0.3">
      <c r="B103" s="1" t="s">
        <v>12</v>
      </c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G103" s="115">
        <v>25</v>
      </c>
      <c r="AW103" s="184"/>
      <c r="AY103" s="184"/>
      <c r="BK103" s="184"/>
      <c r="BW103" s="184"/>
      <c r="CI103" s="184"/>
      <c r="CU103" s="184"/>
    </row>
    <row r="104" spans="1:111" x14ac:dyDescent="0.3">
      <c r="B104" s="1" t="s">
        <v>13</v>
      </c>
      <c r="C104" s="1"/>
      <c r="D104" s="115">
        <f>0</f>
        <v>0</v>
      </c>
      <c r="E104" s="115">
        <f>0</f>
        <v>0</v>
      </c>
      <c r="F104" s="115">
        <f>0</f>
        <v>0</v>
      </c>
      <c r="G104" s="115">
        <f>0</f>
        <v>0</v>
      </c>
      <c r="H104" s="115">
        <f>0</f>
        <v>0</v>
      </c>
      <c r="I104" s="115">
        <f>0</f>
        <v>0</v>
      </c>
      <c r="J104" s="115">
        <f>0</f>
        <v>0</v>
      </c>
      <c r="K104" s="115">
        <v>0</v>
      </c>
      <c r="L104" s="115">
        <v>0</v>
      </c>
      <c r="M104" s="115">
        <v>0.02</v>
      </c>
      <c r="N104" s="115">
        <v>0.03</v>
      </c>
      <c r="O104" s="115">
        <v>0.01</v>
      </c>
      <c r="P104" s="115">
        <v>0</v>
      </c>
      <c r="Q104" s="115">
        <v>0</v>
      </c>
      <c r="R104" s="115">
        <v>0</v>
      </c>
      <c r="S104" s="115">
        <v>0.01</v>
      </c>
      <c r="T104" s="115">
        <v>0.01</v>
      </c>
      <c r="U104" s="115">
        <v>0.01</v>
      </c>
      <c r="V104" s="115">
        <v>0.03</v>
      </c>
      <c r="W104" s="115">
        <v>0.01</v>
      </c>
      <c r="X104" s="115">
        <v>0</v>
      </c>
      <c r="Y104" s="115">
        <v>0</v>
      </c>
      <c r="Z104" s="115">
        <v>0</v>
      </c>
      <c r="AA104" s="115">
        <v>0</v>
      </c>
      <c r="AB104" s="115"/>
      <c r="AC104" s="115"/>
      <c r="AD104" s="115"/>
      <c r="AE104" s="115"/>
      <c r="AF104" s="115"/>
      <c r="AG104" s="115">
        <v>0</v>
      </c>
      <c r="AH104" s="115"/>
      <c r="AI104" s="115">
        <v>0.43</v>
      </c>
      <c r="AJ104" s="115">
        <v>0.69</v>
      </c>
      <c r="AK104" s="115">
        <v>1.74</v>
      </c>
      <c r="AL104" s="115">
        <v>2.41</v>
      </c>
      <c r="AM104" s="513">
        <v>0.08</v>
      </c>
      <c r="AN104" s="115">
        <v>0.01</v>
      </c>
      <c r="AO104" s="115">
        <v>0.01</v>
      </c>
      <c r="AP104" s="115">
        <v>0.01</v>
      </c>
      <c r="AQ104" s="115">
        <v>0.01</v>
      </c>
      <c r="AR104" s="115">
        <v>0.06</v>
      </c>
      <c r="AS104" s="115">
        <v>0.01</v>
      </c>
      <c r="AT104" s="115">
        <v>0.03</v>
      </c>
      <c r="AU104" s="115">
        <v>0.03</v>
      </c>
      <c r="AV104" s="115">
        <v>0.99</v>
      </c>
      <c r="AW104" s="185">
        <v>4.5599999999999996</v>
      </c>
      <c r="AX104" s="287">
        <v>0</v>
      </c>
      <c r="AY104" s="185">
        <f t="shared" ref="AY104:CA104" si="778">AX104</f>
        <v>0</v>
      </c>
      <c r="AZ104" s="115">
        <f t="shared" si="778"/>
        <v>0</v>
      </c>
      <c r="BA104" s="115">
        <f t="shared" si="778"/>
        <v>0</v>
      </c>
      <c r="BB104" s="115">
        <f t="shared" si="778"/>
        <v>0</v>
      </c>
      <c r="BC104" s="115">
        <f t="shared" si="778"/>
        <v>0</v>
      </c>
      <c r="BD104" s="115">
        <f t="shared" si="778"/>
        <v>0</v>
      </c>
      <c r="BE104" s="115">
        <f t="shared" si="778"/>
        <v>0</v>
      </c>
      <c r="BF104" s="115">
        <f t="shared" si="778"/>
        <v>0</v>
      </c>
      <c r="BG104" s="115">
        <f t="shared" si="778"/>
        <v>0</v>
      </c>
      <c r="BH104" s="115">
        <f t="shared" si="778"/>
        <v>0</v>
      </c>
      <c r="BI104" s="115">
        <f t="shared" si="778"/>
        <v>0</v>
      </c>
      <c r="BJ104" s="115">
        <f t="shared" si="778"/>
        <v>0</v>
      </c>
      <c r="BK104" s="185">
        <f t="shared" si="778"/>
        <v>0</v>
      </c>
      <c r="BL104" s="115">
        <f t="shared" si="778"/>
        <v>0</v>
      </c>
      <c r="BM104" s="115">
        <f t="shared" si="778"/>
        <v>0</v>
      </c>
      <c r="BN104" s="115">
        <f t="shared" si="778"/>
        <v>0</v>
      </c>
      <c r="BO104" s="115">
        <f t="shared" si="778"/>
        <v>0</v>
      </c>
      <c r="BP104" s="115">
        <f t="shared" si="778"/>
        <v>0</v>
      </c>
      <c r="BQ104" s="115">
        <f t="shared" si="778"/>
        <v>0</v>
      </c>
      <c r="BR104" s="115">
        <f t="shared" si="778"/>
        <v>0</v>
      </c>
      <c r="BS104" s="115">
        <f t="shared" si="778"/>
        <v>0</v>
      </c>
      <c r="BT104" s="115">
        <f t="shared" si="778"/>
        <v>0</v>
      </c>
      <c r="BU104" s="115">
        <f t="shared" si="778"/>
        <v>0</v>
      </c>
      <c r="BV104" s="115">
        <f t="shared" si="778"/>
        <v>0</v>
      </c>
      <c r="BW104" s="185">
        <f t="shared" si="778"/>
        <v>0</v>
      </c>
      <c r="BX104" s="115">
        <f t="shared" si="778"/>
        <v>0</v>
      </c>
      <c r="BY104" s="115">
        <f t="shared" si="778"/>
        <v>0</v>
      </c>
      <c r="BZ104" s="115">
        <f t="shared" si="778"/>
        <v>0</v>
      </c>
      <c r="CA104" s="115">
        <f t="shared" si="778"/>
        <v>0</v>
      </c>
      <c r="CB104" s="115">
        <f t="shared" ref="CB104:DG104" si="779">CA104</f>
        <v>0</v>
      </c>
      <c r="CC104" s="115">
        <f t="shared" si="779"/>
        <v>0</v>
      </c>
      <c r="CD104" s="115">
        <f t="shared" si="779"/>
        <v>0</v>
      </c>
      <c r="CE104" s="115">
        <f t="shared" si="779"/>
        <v>0</v>
      </c>
      <c r="CF104" s="115">
        <f t="shared" si="779"/>
        <v>0</v>
      </c>
      <c r="CG104" s="115">
        <f t="shared" si="779"/>
        <v>0</v>
      </c>
      <c r="CH104" s="115">
        <f t="shared" si="779"/>
        <v>0</v>
      </c>
      <c r="CI104" s="185">
        <f t="shared" si="779"/>
        <v>0</v>
      </c>
      <c r="CJ104" s="115">
        <f t="shared" si="779"/>
        <v>0</v>
      </c>
      <c r="CK104" s="115">
        <f t="shared" si="779"/>
        <v>0</v>
      </c>
      <c r="CL104" s="115">
        <f t="shared" si="779"/>
        <v>0</v>
      </c>
      <c r="CM104" s="115">
        <f t="shared" si="779"/>
        <v>0</v>
      </c>
      <c r="CN104" s="115">
        <f t="shared" si="779"/>
        <v>0</v>
      </c>
      <c r="CO104" s="115">
        <f t="shared" si="779"/>
        <v>0</v>
      </c>
      <c r="CP104" s="115">
        <f t="shared" si="779"/>
        <v>0</v>
      </c>
      <c r="CQ104" s="115">
        <f t="shared" si="779"/>
        <v>0</v>
      </c>
      <c r="CR104" s="115">
        <f t="shared" si="779"/>
        <v>0</v>
      </c>
      <c r="CS104" s="115">
        <f t="shared" si="779"/>
        <v>0</v>
      </c>
      <c r="CT104" s="115">
        <f t="shared" si="779"/>
        <v>0</v>
      </c>
      <c r="CU104" s="185">
        <f t="shared" si="779"/>
        <v>0</v>
      </c>
      <c r="CV104" s="115">
        <f t="shared" si="779"/>
        <v>0</v>
      </c>
      <c r="CW104" s="115">
        <f t="shared" si="779"/>
        <v>0</v>
      </c>
      <c r="CX104" s="115">
        <f t="shared" si="779"/>
        <v>0</v>
      </c>
      <c r="CY104" s="115">
        <f t="shared" si="779"/>
        <v>0</v>
      </c>
      <c r="CZ104" s="115">
        <f t="shared" si="779"/>
        <v>0</v>
      </c>
      <c r="DA104" s="115">
        <f t="shared" si="779"/>
        <v>0</v>
      </c>
      <c r="DB104" s="115">
        <f t="shared" si="779"/>
        <v>0</v>
      </c>
      <c r="DC104" s="115">
        <f t="shared" si="779"/>
        <v>0</v>
      </c>
      <c r="DD104" s="115">
        <f t="shared" si="779"/>
        <v>0</v>
      </c>
      <c r="DE104" s="115">
        <f t="shared" si="779"/>
        <v>0</v>
      </c>
      <c r="DF104" s="115">
        <f t="shared" si="779"/>
        <v>0</v>
      </c>
      <c r="DG104" s="115">
        <f t="shared" si="779"/>
        <v>0</v>
      </c>
    </row>
    <row r="105" spans="1:111" x14ac:dyDescent="0.3">
      <c r="A105" s="5"/>
      <c r="B105" s="6" t="s">
        <v>14</v>
      </c>
      <c r="C105" s="6"/>
      <c r="D105" s="55">
        <f>D104</f>
        <v>0</v>
      </c>
      <c r="E105" s="55">
        <f t="shared" ref="E105:J105" si="780">E104</f>
        <v>0</v>
      </c>
      <c r="F105" s="55">
        <f t="shared" si="780"/>
        <v>0</v>
      </c>
      <c r="G105" s="55">
        <f t="shared" si="780"/>
        <v>0</v>
      </c>
      <c r="H105" s="55">
        <f t="shared" si="780"/>
        <v>0</v>
      </c>
      <c r="I105" s="55">
        <f t="shared" si="780"/>
        <v>0</v>
      </c>
      <c r="J105" s="55">
        <f t="shared" si="780"/>
        <v>0</v>
      </c>
      <c r="K105" s="55">
        <v>0</v>
      </c>
      <c r="L105" s="55">
        <v>0</v>
      </c>
      <c r="M105" s="54">
        <v>0.02</v>
      </c>
      <c r="N105" s="54">
        <f>N104</f>
        <v>0.03</v>
      </c>
      <c r="O105" s="54">
        <f t="shared" ref="O105:BZ105" si="781">O104</f>
        <v>0.01</v>
      </c>
      <c r="P105" s="54">
        <f t="shared" ref="P105:W105" si="782">P104</f>
        <v>0</v>
      </c>
      <c r="Q105" s="54">
        <f t="shared" si="782"/>
        <v>0</v>
      </c>
      <c r="R105" s="54">
        <f t="shared" si="782"/>
        <v>0</v>
      </c>
      <c r="S105" s="54">
        <f t="shared" si="782"/>
        <v>0.01</v>
      </c>
      <c r="T105" s="54">
        <f t="shared" si="782"/>
        <v>0.01</v>
      </c>
      <c r="U105" s="54">
        <f t="shared" si="782"/>
        <v>0.01</v>
      </c>
      <c r="V105" s="54">
        <f t="shared" si="782"/>
        <v>0.03</v>
      </c>
      <c r="W105" s="54">
        <f t="shared" si="782"/>
        <v>0.01</v>
      </c>
      <c r="X105" s="54">
        <f t="shared" ref="X105:Y105" si="783">X104</f>
        <v>0</v>
      </c>
      <c r="Y105" s="54">
        <f t="shared" si="783"/>
        <v>0</v>
      </c>
      <c r="Z105" s="54">
        <f t="shared" ref="Z105" si="784">Z104</f>
        <v>0</v>
      </c>
      <c r="AA105" s="54">
        <f t="shared" ref="AA105:AB105" si="785">AA104</f>
        <v>0</v>
      </c>
      <c r="AB105" s="54">
        <f t="shared" si="785"/>
        <v>0</v>
      </c>
      <c r="AC105" s="54">
        <f t="shared" ref="AC105:AD105" si="786">AC104</f>
        <v>0</v>
      </c>
      <c r="AD105" s="54">
        <f t="shared" si="786"/>
        <v>0</v>
      </c>
      <c r="AE105" s="54">
        <f t="shared" ref="AE105" si="787">AE104</f>
        <v>0</v>
      </c>
      <c r="AF105" s="54">
        <f t="shared" ref="AF105" si="788">AF104</f>
        <v>0</v>
      </c>
      <c r="AG105" s="54">
        <f>SUM(AG103:AG104)</f>
        <v>25</v>
      </c>
      <c r="AH105" s="54">
        <f t="shared" ref="AH105" si="789">AH104</f>
        <v>0</v>
      </c>
      <c r="AI105" s="54">
        <f t="shared" ref="AI105:AJ105" si="790">AI104</f>
        <v>0.43</v>
      </c>
      <c r="AJ105" s="54">
        <f t="shared" si="790"/>
        <v>0.69</v>
      </c>
      <c r="AK105" s="54">
        <f t="shared" ref="AK105" si="791">AK104</f>
        <v>1.74</v>
      </c>
      <c r="AL105" s="54">
        <f t="shared" ref="AL105" si="792">AL104</f>
        <v>2.41</v>
      </c>
      <c r="AM105" s="566">
        <f t="shared" ref="AM105:AN105" si="793">AM104</f>
        <v>0.08</v>
      </c>
      <c r="AN105" s="54">
        <f t="shared" si="793"/>
        <v>0.01</v>
      </c>
      <c r="AO105" s="54">
        <f t="shared" ref="AO105:AP105" si="794">AO104</f>
        <v>0.01</v>
      </c>
      <c r="AP105" s="54">
        <f t="shared" si="794"/>
        <v>0.01</v>
      </c>
      <c r="AQ105" s="54">
        <f>SUM(AQ103:AQ104)</f>
        <v>0.01</v>
      </c>
      <c r="AR105" s="54">
        <f t="shared" ref="AR105" si="795">AR104</f>
        <v>0.06</v>
      </c>
      <c r="AS105" s="54">
        <f t="shared" ref="AS105:AT105" si="796">AS104</f>
        <v>0.01</v>
      </c>
      <c r="AT105" s="54">
        <f t="shared" si="796"/>
        <v>0.03</v>
      </c>
      <c r="AU105" s="54">
        <f t="shared" ref="AU105:AV105" si="797">AU104</f>
        <v>0.03</v>
      </c>
      <c r="AV105" s="54">
        <f t="shared" si="797"/>
        <v>0.99</v>
      </c>
      <c r="AW105" s="307">
        <f t="shared" ref="AW105" si="798">AW104</f>
        <v>4.5599999999999996</v>
      </c>
      <c r="AX105" s="54">
        <f t="shared" ref="AX105" si="799">AX104</f>
        <v>0</v>
      </c>
      <c r="AY105" s="307">
        <f t="shared" si="781"/>
        <v>0</v>
      </c>
      <c r="AZ105" s="54">
        <f t="shared" si="781"/>
        <v>0</v>
      </c>
      <c r="BA105" s="54">
        <f t="shared" si="781"/>
        <v>0</v>
      </c>
      <c r="BB105" s="54">
        <f t="shared" si="781"/>
        <v>0</v>
      </c>
      <c r="BC105" s="54">
        <f t="shared" si="781"/>
        <v>0</v>
      </c>
      <c r="BD105" s="54">
        <f t="shared" si="781"/>
        <v>0</v>
      </c>
      <c r="BE105" s="54">
        <f t="shared" si="781"/>
        <v>0</v>
      </c>
      <c r="BF105" s="54">
        <f t="shared" si="781"/>
        <v>0</v>
      </c>
      <c r="BG105" s="54">
        <f t="shared" si="781"/>
        <v>0</v>
      </c>
      <c r="BH105" s="54">
        <f t="shared" si="781"/>
        <v>0</v>
      </c>
      <c r="BI105" s="54">
        <f t="shared" si="781"/>
        <v>0</v>
      </c>
      <c r="BJ105" s="54">
        <f t="shared" si="781"/>
        <v>0</v>
      </c>
      <c r="BK105" s="307">
        <f t="shared" si="781"/>
        <v>0</v>
      </c>
      <c r="BL105" s="54">
        <f t="shared" si="781"/>
        <v>0</v>
      </c>
      <c r="BM105" s="54">
        <f t="shared" si="781"/>
        <v>0</v>
      </c>
      <c r="BN105" s="54">
        <f t="shared" si="781"/>
        <v>0</v>
      </c>
      <c r="BO105" s="54">
        <f t="shared" si="781"/>
        <v>0</v>
      </c>
      <c r="BP105" s="54">
        <f t="shared" si="781"/>
        <v>0</v>
      </c>
      <c r="BQ105" s="54">
        <f t="shared" si="781"/>
        <v>0</v>
      </c>
      <c r="BR105" s="54">
        <f t="shared" si="781"/>
        <v>0</v>
      </c>
      <c r="BS105" s="54">
        <f t="shared" si="781"/>
        <v>0</v>
      </c>
      <c r="BT105" s="54">
        <f t="shared" si="781"/>
        <v>0</v>
      </c>
      <c r="BU105" s="54">
        <f t="shared" si="781"/>
        <v>0</v>
      </c>
      <c r="BV105" s="54">
        <f t="shared" si="781"/>
        <v>0</v>
      </c>
      <c r="BW105" s="307">
        <f t="shared" si="781"/>
        <v>0</v>
      </c>
      <c r="BX105" s="54">
        <f t="shared" si="781"/>
        <v>0</v>
      </c>
      <c r="BY105" s="54">
        <f t="shared" si="781"/>
        <v>0</v>
      </c>
      <c r="BZ105" s="54">
        <f t="shared" si="781"/>
        <v>0</v>
      </c>
      <c r="CA105" s="54">
        <f t="shared" ref="CA105:DG105" si="800">CA104</f>
        <v>0</v>
      </c>
      <c r="CB105" s="54">
        <f t="shared" si="800"/>
        <v>0</v>
      </c>
      <c r="CC105" s="54">
        <f t="shared" si="800"/>
        <v>0</v>
      </c>
      <c r="CD105" s="54">
        <f t="shared" si="800"/>
        <v>0</v>
      </c>
      <c r="CE105" s="54">
        <f t="shared" si="800"/>
        <v>0</v>
      </c>
      <c r="CF105" s="54">
        <f t="shared" si="800"/>
        <v>0</v>
      </c>
      <c r="CG105" s="54">
        <f t="shared" si="800"/>
        <v>0</v>
      </c>
      <c r="CH105" s="54">
        <f t="shared" si="800"/>
        <v>0</v>
      </c>
      <c r="CI105" s="307">
        <f t="shared" si="800"/>
        <v>0</v>
      </c>
      <c r="CJ105" s="54">
        <f t="shared" si="800"/>
        <v>0</v>
      </c>
      <c r="CK105" s="54">
        <f t="shared" si="800"/>
        <v>0</v>
      </c>
      <c r="CL105" s="54">
        <f t="shared" si="800"/>
        <v>0</v>
      </c>
      <c r="CM105" s="54">
        <f t="shared" si="800"/>
        <v>0</v>
      </c>
      <c r="CN105" s="54">
        <f t="shared" si="800"/>
        <v>0</v>
      </c>
      <c r="CO105" s="54">
        <f t="shared" si="800"/>
        <v>0</v>
      </c>
      <c r="CP105" s="54">
        <f t="shared" si="800"/>
        <v>0</v>
      </c>
      <c r="CQ105" s="54">
        <f t="shared" si="800"/>
        <v>0</v>
      </c>
      <c r="CR105" s="54">
        <f t="shared" si="800"/>
        <v>0</v>
      </c>
      <c r="CS105" s="54">
        <f t="shared" si="800"/>
        <v>0</v>
      </c>
      <c r="CT105" s="54">
        <f t="shared" si="800"/>
        <v>0</v>
      </c>
      <c r="CU105" s="307">
        <f t="shared" si="800"/>
        <v>0</v>
      </c>
      <c r="CV105" s="54">
        <f t="shared" si="800"/>
        <v>0</v>
      </c>
      <c r="CW105" s="54">
        <f t="shared" si="800"/>
        <v>0</v>
      </c>
      <c r="CX105" s="54">
        <f t="shared" si="800"/>
        <v>0</v>
      </c>
      <c r="CY105" s="54">
        <f t="shared" si="800"/>
        <v>0</v>
      </c>
      <c r="CZ105" s="54">
        <f t="shared" si="800"/>
        <v>0</v>
      </c>
      <c r="DA105" s="54">
        <f t="shared" si="800"/>
        <v>0</v>
      </c>
      <c r="DB105" s="54">
        <f t="shared" si="800"/>
        <v>0</v>
      </c>
      <c r="DC105" s="54">
        <f t="shared" si="800"/>
        <v>0</v>
      </c>
      <c r="DD105" s="54">
        <f t="shared" si="800"/>
        <v>0</v>
      </c>
      <c r="DE105" s="54">
        <f t="shared" si="800"/>
        <v>0</v>
      </c>
      <c r="DF105" s="54">
        <f t="shared" si="800"/>
        <v>0</v>
      </c>
      <c r="DG105" s="54">
        <f t="shared" si="800"/>
        <v>0</v>
      </c>
    </row>
    <row r="106" spans="1:111" x14ac:dyDescent="0.3">
      <c r="B106" s="1" t="s">
        <v>342</v>
      </c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W106" s="184"/>
      <c r="AY106" s="184"/>
      <c r="BK106" s="184"/>
      <c r="BW106" s="184"/>
      <c r="CI106" s="184"/>
      <c r="CU106" s="184"/>
    </row>
    <row r="107" spans="1:111" x14ac:dyDescent="0.3">
      <c r="B107" s="1" t="s">
        <v>343</v>
      </c>
      <c r="C107" s="1"/>
      <c r="D107" s="115">
        <f>0</f>
        <v>0</v>
      </c>
      <c r="E107" s="115">
        <f>0</f>
        <v>0</v>
      </c>
      <c r="F107" s="115">
        <f>0</f>
        <v>0</v>
      </c>
      <c r="G107" s="115">
        <f>0</f>
        <v>0</v>
      </c>
      <c r="H107" s="115">
        <f>0</f>
        <v>0</v>
      </c>
      <c r="I107" s="115">
        <f>0</f>
        <v>0</v>
      </c>
      <c r="J107" s="115">
        <f>0</f>
        <v>0</v>
      </c>
      <c r="K107" s="115">
        <v>0</v>
      </c>
      <c r="L107" s="115">
        <v>0</v>
      </c>
      <c r="M107" s="115">
        <v>0</v>
      </c>
      <c r="N107" s="115">
        <v>0</v>
      </c>
      <c r="O107" s="115">
        <v>0</v>
      </c>
      <c r="P107" s="115">
        <v>0</v>
      </c>
      <c r="Q107" s="115">
        <v>0</v>
      </c>
      <c r="R107" s="115">
        <v>0</v>
      </c>
      <c r="S107" s="115">
        <v>0</v>
      </c>
      <c r="T107" s="115">
        <v>0</v>
      </c>
      <c r="U107" s="115">
        <v>0</v>
      </c>
      <c r="V107" s="115">
        <v>0</v>
      </c>
      <c r="W107" s="115">
        <v>0</v>
      </c>
      <c r="X107" s="115">
        <v>0</v>
      </c>
      <c r="Y107" s="115">
        <v>0</v>
      </c>
      <c r="Z107" s="115">
        <v>0</v>
      </c>
      <c r="AA107" s="115">
        <v>0</v>
      </c>
      <c r="AB107" s="115"/>
      <c r="AC107" s="115"/>
      <c r="AD107" s="115"/>
      <c r="AE107" s="115"/>
      <c r="AF107" s="115"/>
      <c r="AG107" s="115">
        <v>715.26</v>
      </c>
      <c r="AH107" s="115">
        <v>715.26</v>
      </c>
      <c r="AI107" s="115">
        <v>639.62</v>
      </c>
      <c r="AJ107" s="115">
        <v>719.87</v>
      </c>
      <c r="AK107" s="115">
        <v>733.37</v>
      </c>
      <c r="AL107" s="115">
        <v>735.08</v>
      </c>
      <c r="AM107" s="513">
        <v>790.12</v>
      </c>
      <c r="AN107" s="115">
        <v>821.85</v>
      </c>
      <c r="AO107" s="115">
        <v>775.58</v>
      </c>
      <c r="AP107" s="115">
        <v>757.93</v>
      </c>
      <c r="AQ107" s="115">
        <v>757.93</v>
      </c>
      <c r="AR107" s="115">
        <v>692.93</v>
      </c>
      <c r="AS107" s="115">
        <v>769.03</v>
      </c>
      <c r="AT107" s="115">
        <v>775.28</v>
      </c>
      <c r="AU107" s="115">
        <v>727.35</v>
      </c>
      <c r="AV107" s="115">
        <v>727.35</v>
      </c>
      <c r="AW107" s="185">
        <v>846.79</v>
      </c>
      <c r="AX107" s="287">
        <v>800</v>
      </c>
      <c r="AY107" s="185">
        <f t="shared" ref="AY107" si="801">AX107</f>
        <v>800</v>
      </c>
      <c r="AZ107" s="115">
        <f t="shared" ref="AZ107" si="802">AY107</f>
        <v>800</v>
      </c>
      <c r="BA107" s="115">
        <f t="shared" ref="BA107" si="803">AZ107</f>
        <v>800</v>
      </c>
      <c r="BB107" s="115">
        <f t="shared" ref="BB107" si="804">BA107</f>
        <v>800</v>
      </c>
      <c r="BC107" s="115">
        <f t="shared" ref="BC107" si="805">BB107</f>
        <v>800</v>
      </c>
      <c r="BD107" s="115">
        <f t="shared" ref="BD107" si="806">BC107</f>
        <v>800</v>
      </c>
      <c r="BE107" s="115">
        <f t="shared" ref="BE107" si="807">BD107</f>
        <v>800</v>
      </c>
      <c r="BF107" s="115">
        <f t="shared" ref="BF107" si="808">BE107</f>
        <v>800</v>
      </c>
      <c r="BG107" s="115">
        <f t="shared" ref="BG107" si="809">BF107</f>
        <v>800</v>
      </c>
      <c r="BH107" s="115">
        <f t="shared" ref="BH107" si="810">BG107</f>
        <v>800</v>
      </c>
      <c r="BI107" s="115">
        <f t="shared" ref="BI107" si="811">BH107</f>
        <v>800</v>
      </c>
      <c r="BJ107" s="115">
        <f t="shared" ref="BJ107" si="812">BI107</f>
        <v>800</v>
      </c>
      <c r="BK107" s="185">
        <f t="shared" ref="BK107" si="813">BJ107</f>
        <v>800</v>
      </c>
      <c r="BL107" s="115">
        <f t="shared" ref="BL107" si="814">BK107</f>
        <v>800</v>
      </c>
      <c r="BM107" s="115">
        <f t="shared" ref="BM107" si="815">BL107</f>
        <v>800</v>
      </c>
      <c r="BN107" s="115">
        <f t="shared" ref="BN107" si="816">BM107</f>
        <v>800</v>
      </c>
      <c r="BO107" s="115">
        <f t="shared" ref="BO107" si="817">BN107</f>
        <v>800</v>
      </c>
      <c r="BP107" s="115">
        <f t="shared" ref="BP107" si="818">BO107</f>
        <v>800</v>
      </c>
      <c r="BQ107" s="115">
        <f t="shared" ref="BQ107" si="819">BP107</f>
        <v>800</v>
      </c>
      <c r="BR107" s="115">
        <f t="shared" ref="BR107" si="820">BQ107</f>
        <v>800</v>
      </c>
      <c r="BS107" s="115">
        <f t="shared" ref="BS107" si="821">BR107</f>
        <v>800</v>
      </c>
      <c r="BT107" s="115">
        <f t="shared" ref="BT107" si="822">BS107</f>
        <v>800</v>
      </c>
      <c r="BU107" s="115">
        <f t="shared" ref="BU107" si="823">BT107</f>
        <v>800</v>
      </c>
      <c r="BV107" s="115">
        <f t="shared" ref="BV107" si="824">BU107</f>
        <v>800</v>
      </c>
      <c r="BW107" s="185">
        <f t="shared" ref="BW107" si="825">BV107</f>
        <v>800</v>
      </c>
      <c r="BX107" s="115">
        <f t="shared" ref="BX107" si="826">BW107</f>
        <v>800</v>
      </c>
      <c r="BY107" s="115">
        <f t="shared" ref="BY107" si="827">BX107</f>
        <v>800</v>
      </c>
      <c r="BZ107" s="115">
        <f t="shared" ref="BZ107" si="828">BY107</f>
        <v>800</v>
      </c>
      <c r="CA107" s="115">
        <f t="shared" ref="CA107" si="829">BZ107</f>
        <v>800</v>
      </c>
      <c r="CB107" s="115">
        <f t="shared" ref="CB107" si="830">CA107</f>
        <v>800</v>
      </c>
      <c r="CC107" s="115">
        <f t="shared" ref="CC107" si="831">CB107</f>
        <v>800</v>
      </c>
      <c r="CD107" s="115">
        <f t="shared" ref="CD107" si="832">CC107</f>
        <v>800</v>
      </c>
      <c r="CE107" s="115">
        <f t="shared" ref="CE107" si="833">CD107</f>
        <v>800</v>
      </c>
      <c r="CF107" s="115">
        <f t="shared" ref="CF107" si="834">CE107</f>
        <v>800</v>
      </c>
      <c r="CG107" s="115">
        <f t="shared" ref="CG107" si="835">CF107</f>
        <v>800</v>
      </c>
      <c r="CH107" s="115">
        <f t="shared" ref="CH107" si="836">CG107</f>
        <v>800</v>
      </c>
      <c r="CI107" s="185">
        <f t="shared" ref="CI107" si="837">CH107</f>
        <v>800</v>
      </c>
      <c r="CJ107" s="115">
        <f t="shared" ref="CJ107" si="838">CI107</f>
        <v>800</v>
      </c>
      <c r="CK107" s="115">
        <f t="shared" ref="CK107" si="839">CJ107</f>
        <v>800</v>
      </c>
      <c r="CL107" s="115">
        <f t="shared" ref="CL107" si="840">CK107</f>
        <v>800</v>
      </c>
      <c r="CM107" s="115">
        <f t="shared" ref="CM107" si="841">CL107</f>
        <v>800</v>
      </c>
      <c r="CN107" s="115">
        <f t="shared" ref="CN107" si="842">CM107</f>
        <v>800</v>
      </c>
      <c r="CO107" s="115">
        <f t="shared" ref="CO107" si="843">CN107</f>
        <v>800</v>
      </c>
      <c r="CP107" s="115">
        <f t="shared" ref="CP107" si="844">CO107</f>
        <v>800</v>
      </c>
      <c r="CQ107" s="115">
        <f t="shared" ref="CQ107" si="845">CP107</f>
        <v>800</v>
      </c>
      <c r="CR107" s="115">
        <f t="shared" ref="CR107" si="846">CQ107</f>
        <v>800</v>
      </c>
      <c r="CS107" s="115">
        <f t="shared" ref="CS107" si="847">CR107</f>
        <v>800</v>
      </c>
      <c r="CT107" s="115">
        <f t="shared" ref="CT107" si="848">CS107</f>
        <v>800</v>
      </c>
      <c r="CU107" s="185">
        <f t="shared" ref="CU107" si="849">CT107</f>
        <v>800</v>
      </c>
      <c r="CV107" s="115">
        <f t="shared" ref="CV107" si="850">CU107</f>
        <v>800</v>
      </c>
      <c r="CW107" s="115">
        <f t="shared" ref="CW107" si="851">CV107</f>
        <v>800</v>
      </c>
      <c r="CX107" s="115">
        <f t="shared" ref="CX107" si="852">CW107</f>
        <v>800</v>
      </c>
      <c r="CY107" s="115">
        <f t="shared" ref="CY107" si="853">CX107</f>
        <v>800</v>
      </c>
      <c r="CZ107" s="115">
        <f t="shared" ref="CZ107" si="854">CY107</f>
        <v>800</v>
      </c>
      <c r="DA107" s="115">
        <f t="shared" ref="DA107" si="855">CZ107</f>
        <v>800</v>
      </c>
      <c r="DB107" s="115">
        <f t="shared" ref="DB107" si="856">DA107</f>
        <v>800</v>
      </c>
      <c r="DC107" s="115">
        <f t="shared" ref="DC107" si="857">DB107</f>
        <v>800</v>
      </c>
      <c r="DD107" s="115">
        <f t="shared" ref="DD107" si="858">DC107</f>
        <v>800</v>
      </c>
      <c r="DE107" s="115">
        <f t="shared" ref="DE107" si="859">DD107</f>
        <v>800</v>
      </c>
      <c r="DF107" s="115">
        <f t="shared" ref="DF107" si="860">DE107</f>
        <v>800</v>
      </c>
      <c r="DG107" s="115">
        <f t="shared" ref="DG107" si="861">DF107</f>
        <v>800</v>
      </c>
    </row>
    <row r="108" spans="1:111" x14ac:dyDescent="0.3">
      <c r="A108" s="5"/>
      <c r="B108" s="6" t="s">
        <v>344</v>
      </c>
      <c r="C108" s="6"/>
      <c r="D108" s="55">
        <f>D107</f>
        <v>0</v>
      </c>
      <c r="E108" s="55">
        <f t="shared" ref="E108:J108" si="862">E107</f>
        <v>0</v>
      </c>
      <c r="F108" s="55">
        <f t="shared" si="862"/>
        <v>0</v>
      </c>
      <c r="G108" s="55">
        <f t="shared" si="862"/>
        <v>0</v>
      </c>
      <c r="H108" s="55">
        <f t="shared" si="862"/>
        <v>0</v>
      </c>
      <c r="I108" s="55">
        <f t="shared" si="862"/>
        <v>0</v>
      </c>
      <c r="J108" s="55">
        <f t="shared" si="862"/>
        <v>0</v>
      </c>
      <c r="K108" s="55">
        <v>0</v>
      </c>
      <c r="L108" s="55">
        <v>0</v>
      </c>
      <c r="M108" s="54">
        <v>0</v>
      </c>
      <c r="N108" s="54">
        <f>N107</f>
        <v>0</v>
      </c>
      <c r="O108" s="54">
        <f t="shared" ref="O108:BZ108" si="863">O107</f>
        <v>0</v>
      </c>
      <c r="P108" s="54">
        <f t="shared" si="863"/>
        <v>0</v>
      </c>
      <c r="Q108" s="54">
        <f t="shared" si="863"/>
        <v>0</v>
      </c>
      <c r="R108" s="54">
        <f t="shared" si="863"/>
        <v>0</v>
      </c>
      <c r="S108" s="54">
        <f t="shared" si="863"/>
        <v>0</v>
      </c>
      <c r="T108" s="54">
        <f t="shared" si="863"/>
        <v>0</v>
      </c>
      <c r="U108" s="54">
        <f t="shared" si="863"/>
        <v>0</v>
      </c>
      <c r="V108" s="54">
        <f t="shared" si="863"/>
        <v>0</v>
      </c>
      <c r="W108" s="54">
        <f t="shared" si="863"/>
        <v>0</v>
      </c>
      <c r="X108" s="54">
        <f t="shared" si="863"/>
        <v>0</v>
      </c>
      <c r="Y108" s="54">
        <f t="shared" si="863"/>
        <v>0</v>
      </c>
      <c r="Z108" s="54">
        <f t="shared" si="863"/>
        <v>0</v>
      </c>
      <c r="AA108" s="54">
        <f t="shared" si="863"/>
        <v>0</v>
      </c>
      <c r="AB108" s="54">
        <f t="shared" si="863"/>
        <v>0</v>
      </c>
      <c r="AC108" s="54">
        <f t="shared" si="863"/>
        <v>0</v>
      </c>
      <c r="AD108" s="54">
        <f t="shared" si="863"/>
        <v>0</v>
      </c>
      <c r="AE108" s="54">
        <f t="shared" si="863"/>
        <v>0</v>
      </c>
      <c r="AF108" s="54">
        <f t="shared" si="863"/>
        <v>0</v>
      </c>
      <c r="AG108" s="54">
        <f t="shared" si="863"/>
        <v>715.26</v>
      </c>
      <c r="AH108" s="54">
        <f t="shared" si="863"/>
        <v>715.26</v>
      </c>
      <c r="AI108" s="54">
        <f t="shared" si="863"/>
        <v>639.62</v>
      </c>
      <c r="AJ108" s="54">
        <f t="shared" ref="AJ108:AK108" si="864">AJ107</f>
        <v>719.87</v>
      </c>
      <c r="AK108" s="54">
        <f t="shared" si="864"/>
        <v>733.37</v>
      </c>
      <c r="AL108" s="54">
        <f t="shared" ref="AL108" si="865">AL107</f>
        <v>735.08</v>
      </c>
      <c r="AM108" s="566">
        <f t="shared" ref="AM108:AN108" si="866">AM107</f>
        <v>790.12</v>
      </c>
      <c r="AN108" s="54">
        <f t="shared" si="866"/>
        <v>821.85</v>
      </c>
      <c r="AO108" s="54">
        <f t="shared" ref="AO108:AP108" si="867">AO107</f>
        <v>775.58</v>
      </c>
      <c r="AP108" s="54">
        <f t="shared" si="867"/>
        <v>757.93</v>
      </c>
      <c r="AQ108" s="54">
        <f t="shared" ref="AQ108:AR108" si="868">AQ107</f>
        <v>757.93</v>
      </c>
      <c r="AR108" s="54">
        <f t="shared" si="868"/>
        <v>692.93</v>
      </c>
      <c r="AS108" s="54">
        <f t="shared" ref="AS108:AT108" si="869">AS107</f>
        <v>769.03</v>
      </c>
      <c r="AT108" s="54">
        <f t="shared" si="869"/>
        <v>775.28</v>
      </c>
      <c r="AU108" s="54">
        <f t="shared" ref="AU108:AV108" si="870">AU107</f>
        <v>727.35</v>
      </c>
      <c r="AV108" s="54">
        <f t="shared" si="870"/>
        <v>727.35</v>
      </c>
      <c r="AW108" s="307">
        <f t="shared" ref="AW108" si="871">AW107</f>
        <v>846.79</v>
      </c>
      <c r="AX108" s="54">
        <f t="shared" ref="AX108" si="872">AX107</f>
        <v>800</v>
      </c>
      <c r="AY108" s="307">
        <f t="shared" si="863"/>
        <v>800</v>
      </c>
      <c r="AZ108" s="54">
        <f t="shared" si="863"/>
        <v>800</v>
      </c>
      <c r="BA108" s="54">
        <f t="shared" si="863"/>
        <v>800</v>
      </c>
      <c r="BB108" s="54">
        <f t="shared" si="863"/>
        <v>800</v>
      </c>
      <c r="BC108" s="54">
        <f t="shared" si="863"/>
        <v>800</v>
      </c>
      <c r="BD108" s="54">
        <f t="shared" si="863"/>
        <v>800</v>
      </c>
      <c r="BE108" s="54">
        <f t="shared" si="863"/>
        <v>800</v>
      </c>
      <c r="BF108" s="54">
        <f t="shared" si="863"/>
        <v>800</v>
      </c>
      <c r="BG108" s="54">
        <f t="shared" si="863"/>
        <v>800</v>
      </c>
      <c r="BH108" s="54">
        <f t="shared" si="863"/>
        <v>800</v>
      </c>
      <c r="BI108" s="54">
        <f t="shared" si="863"/>
        <v>800</v>
      </c>
      <c r="BJ108" s="54">
        <f t="shared" si="863"/>
        <v>800</v>
      </c>
      <c r="BK108" s="307">
        <f t="shared" si="863"/>
        <v>800</v>
      </c>
      <c r="BL108" s="54">
        <f t="shared" si="863"/>
        <v>800</v>
      </c>
      <c r="BM108" s="54">
        <f t="shared" si="863"/>
        <v>800</v>
      </c>
      <c r="BN108" s="54">
        <f t="shared" si="863"/>
        <v>800</v>
      </c>
      <c r="BO108" s="54">
        <f t="shared" si="863"/>
        <v>800</v>
      </c>
      <c r="BP108" s="54">
        <f t="shared" si="863"/>
        <v>800</v>
      </c>
      <c r="BQ108" s="54">
        <f t="shared" si="863"/>
        <v>800</v>
      </c>
      <c r="BR108" s="54">
        <f t="shared" si="863"/>
        <v>800</v>
      </c>
      <c r="BS108" s="54">
        <f t="shared" si="863"/>
        <v>800</v>
      </c>
      <c r="BT108" s="54">
        <f t="shared" si="863"/>
        <v>800</v>
      </c>
      <c r="BU108" s="54">
        <f t="shared" si="863"/>
        <v>800</v>
      </c>
      <c r="BV108" s="54">
        <f t="shared" si="863"/>
        <v>800</v>
      </c>
      <c r="BW108" s="307">
        <f t="shared" si="863"/>
        <v>800</v>
      </c>
      <c r="BX108" s="54">
        <f t="shared" si="863"/>
        <v>800</v>
      </c>
      <c r="BY108" s="54">
        <f t="shared" si="863"/>
        <v>800</v>
      </c>
      <c r="BZ108" s="54">
        <f t="shared" si="863"/>
        <v>800</v>
      </c>
      <c r="CA108" s="54">
        <f t="shared" ref="CA108:DG108" si="873">CA107</f>
        <v>800</v>
      </c>
      <c r="CB108" s="54">
        <f t="shared" si="873"/>
        <v>800</v>
      </c>
      <c r="CC108" s="54">
        <f t="shared" si="873"/>
        <v>800</v>
      </c>
      <c r="CD108" s="54">
        <f t="shared" si="873"/>
        <v>800</v>
      </c>
      <c r="CE108" s="54">
        <f t="shared" si="873"/>
        <v>800</v>
      </c>
      <c r="CF108" s="54">
        <f t="shared" si="873"/>
        <v>800</v>
      </c>
      <c r="CG108" s="54">
        <f t="shared" si="873"/>
        <v>800</v>
      </c>
      <c r="CH108" s="54">
        <f t="shared" si="873"/>
        <v>800</v>
      </c>
      <c r="CI108" s="307">
        <f t="shared" si="873"/>
        <v>800</v>
      </c>
      <c r="CJ108" s="54">
        <f t="shared" si="873"/>
        <v>800</v>
      </c>
      <c r="CK108" s="54">
        <f t="shared" si="873"/>
        <v>800</v>
      </c>
      <c r="CL108" s="54">
        <f t="shared" si="873"/>
        <v>800</v>
      </c>
      <c r="CM108" s="54">
        <f t="shared" si="873"/>
        <v>800</v>
      </c>
      <c r="CN108" s="54">
        <f t="shared" si="873"/>
        <v>800</v>
      </c>
      <c r="CO108" s="54">
        <f t="shared" si="873"/>
        <v>800</v>
      </c>
      <c r="CP108" s="54">
        <f t="shared" si="873"/>
        <v>800</v>
      </c>
      <c r="CQ108" s="54">
        <f t="shared" si="873"/>
        <v>800</v>
      </c>
      <c r="CR108" s="54">
        <f t="shared" si="873"/>
        <v>800</v>
      </c>
      <c r="CS108" s="54">
        <f t="shared" si="873"/>
        <v>800</v>
      </c>
      <c r="CT108" s="54">
        <f t="shared" si="873"/>
        <v>800</v>
      </c>
      <c r="CU108" s="307">
        <f t="shared" si="873"/>
        <v>800</v>
      </c>
      <c r="CV108" s="54">
        <f t="shared" si="873"/>
        <v>800</v>
      </c>
      <c r="CW108" s="54">
        <f t="shared" si="873"/>
        <v>800</v>
      </c>
      <c r="CX108" s="54">
        <f t="shared" si="873"/>
        <v>800</v>
      </c>
      <c r="CY108" s="54">
        <f t="shared" si="873"/>
        <v>800</v>
      </c>
      <c r="CZ108" s="54">
        <f t="shared" si="873"/>
        <v>800</v>
      </c>
      <c r="DA108" s="54">
        <f t="shared" si="873"/>
        <v>800</v>
      </c>
      <c r="DB108" s="54">
        <f t="shared" si="873"/>
        <v>800</v>
      </c>
      <c r="DC108" s="54">
        <f t="shared" si="873"/>
        <v>800</v>
      </c>
      <c r="DD108" s="54">
        <f t="shared" si="873"/>
        <v>800</v>
      </c>
      <c r="DE108" s="54">
        <f t="shared" si="873"/>
        <v>800</v>
      </c>
      <c r="DF108" s="54">
        <f t="shared" si="873"/>
        <v>800</v>
      </c>
      <c r="DG108" s="54">
        <f t="shared" si="873"/>
        <v>800</v>
      </c>
    </row>
    <row r="109" spans="1:111" x14ac:dyDescent="0.3">
      <c r="A109" s="5"/>
      <c r="B109" s="6" t="s">
        <v>15</v>
      </c>
      <c r="C109" s="6"/>
      <c r="D109" s="55">
        <f t="shared" ref="D109:L109" si="874">D105</f>
        <v>0</v>
      </c>
      <c r="E109" s="55">
        <f t="shared" si="874"/>
        <v>0</v>
      </c>
      <c r="F109" s="55">
        <f t="shared" si="874"/>
        <v>0</v>
      </c>
      <c r="G109" s="55">
        <f t="shared" si="874"/>
        <v>0</v>
      </c>
      <c r="H109" s="55">
        <f t="shared" si="874"/>
        <v>0</v>
      </c>
      <c r="I109" s="55">
        <f t="shared" si="874"/>
        <v>0</v>
      </c>
      <c r="J109" s="55">
        <f t="shared" si="874"/>
        <v>0</v>
      </c>
      <c r="K109" s="55">
        <f t="shared" si="874"/>
        <v>0</v>
      </c>
      <c r="L109" s="55">
        <f t="shared" si="874"/>
        <v>0</v>
      </c>
      <c r="M109" s="54">
        <f>M105-M108</f>
        <v>0.02</v>
      </c>
      <c r="N109" s="54">
        <f t="shared" ref="N109:BY109" si="875">N105-N108</f>
        <v>0.03</v>
      </c>
      <c r="O109" s="54">
        <f t="shared" si="875"/>
        <v>0.01</v>
      </c>
      <c r="P109" s="54">
        <f t="shared" si="875"/>
        <v>0</v>
      </c>
      <c r="Q109" s="54">
        <f t="shared" si="875"/>
        <v>0</v>
      </c>
      <c r="R109" s="54">
        <f t="shared" si="875"/>
        <v>0</v>
      </c>
      <c r="S109" s="54">
        <f t="shared" si="875"/>
        <v>0.01</v>
      </c>
      <c r="T109" s="54">
        <f t="shared" si="875"/>
        <v>0.01</v>
      </c>
      <c r="U109" s="54">
        <f t="shared" si="875"/>
        <v>0.01</v>
      </c>
      <c r="V109" s="54">
        <f t="shared" si="875"/>
        <v>0.03</v>
      </c>
      <c r="W109" s="54">
        <f t="shared" si="875"/>
        <v>0.01</v>
      </c>
      <c r="X109" s="54">
        <f t="shared" si="875"/>
        <v>0</v>
      </c>
      <c r="Y109" s="54">
        <f t="shared" si="875"/>
        <v>0</v>
      </c>
      <c r="Z109" s="54">
        <f t="shared" si="875"/>
        <v>0</v>
      </c>
      <c r="AA109" s="54">
        <f t="shared" si="875"/>
        <v>0</v>
      </c>
      <c r="AB109" s="54">
        <f t="shared" si="875"/>
        <v>0</v>
      </c>
      <c r="AC109" s="54">
        <f t="shared" si="875"/>
        <v>0</v>
      </c>
      <c r="AD109" s="54">
        <f t="shared" si="875"/>
        <v>0</v>
      </c>
      <c r="AE109" s="54">
        <f t="shared" si="875"/>
        <v>0</v>
      </c>
      <c r="AF109" s="54">
        <f t="shared" si="875"/>
        <v>0</v>
      </c>
      <c r="AG109" s="54">
        <f t="shared" si="875"/>
        <v>-690.26</v>
      </c>
      <c r="AH109" s="54">
        <f t="shared" si="875"/>
        <v>-715.26</v>
      </c>
      <c r="AI109" s="54">
        <f t="shared" si="875"/>
        <v>-639.19000000000005</v>
      </c>
      <c r="AJ109" s="54">
        <f t="shared" ref="AJ109:AK109" si="876">AJ105-AJ108</f>
        <v>-719.18</v>
      </c>
      <c r="AK109" s="54">
        <f t="shared" si="876"/>
        <v>-731.63</v>
      </c>
      <c r="AL109" s="54">
        <f t="shared" ref="AL109" si="877">AL105-AL108</f>
        <v>-732.67000000000007</v>
      </c>
      <c r="AM109" s="566">
        <f t="shared" ref="AM109:AN109" si="878">AM105-AM108</f>
        <v>-790.04</v>
      </c>
      <c r="AN109" s="54">
        <f t="shared" si="878"/>
        <v>-821.84</v>
      </c>
      <c r="AO109" s="54">
        <f t="shared" ref="AO109:AP109" si="879">AO105-AO108</f>
        <v>-775.57</v>
      </c>
      <c r="AP109" s="54">
        <f t="shared" si="879"/>
        <v>-757.92</v>
      </c>
      <c r="AQ109" s="54">
        <f t="shared" ref="AQ109:AR109" si="880">AQ105-AQ108</f>
        <v>-757.92</v>
      </c>
      <c r="AR109" s="54">
        <f t="shared" si="880"/>
        <v>-692.87</v>
      </c>
      <c r="AS109" s="54">
        <f t="shared" ref="AS109:AT109" si="881">AS105-AS108</f>
        <v>-769.02</v>
      </c>
      <c r="AT109" s="54">
        <f t="shared" si="881"/>
        <v>-775.25</v>
      </c>
      <c r="AU109" s="54">
        <f t="shared" ref="AU109:AV109" si="882">AU105-AU108</f>
        <v>-727.32</v>
      </c>
      <c r="AV109" s="54">
        <f t="shared" si="882"/>
        <v>-726.36</v>
      </c>
      <c r="AW109" s="307">
        <f t="shared" ref="AW109" si="883">AW105-AW108</f>
        <v>-842.23</v>
      </c>
      <c r="AX109" s="54">
        <f>AX105-AX108</f>
        <v>-800</v>
      </c>
      <c r="AY109" s="307">
        <f t="shared" si="875"/>
        <v>-800</v>
      </c>
      <c r="AZ109" s="54">
        <f t="shared" si="875"/>
        <v>-800</v>
      </c>
      <c r="BA109" s="54">
        <f t="shared" si="875"/>
        <v>-800</v>
      </c>
      <c r="BB109" s="54">
        <f t="shared" si="875"/>
        <v>-800</v>
      </c>
      <c r="BC109" s="54">
        <f t="shared" si="875"/>
        <v>-800</v>
      </c>
      <c r="BD109" s="54">
        <f t="shared" si="875"/>
        <v>-800</v>
      </c>
      <c r="BE109" s="54">
        <f t="shared" si="875"/>
        <v>-800</v>
      </c>
      <c r="BF109" s="54">
        <f t="shared" si="875"/>
        <v>-800</v>
      </c>
      <c r="BG109" s="54">
        <f t="shared" si="875"/>
        <v>-800</v>
      </c>
      <c r="BH109" s="54">
        <f t="shared" si="875"/>
        <v>-800</v>
      </c>
      <c r="BI109" s="54">
        <f t="shared" si="875"/>
        <v>-800</v>
      </c>
      <c r="BJ109" s="54">
        <f t="shared" si="875"/>
        <v>-800</v>
      </c>
      <c r="BK109" s="307">
        <f t="shared" si="875"/>
        <v>-800</v>
      </c>
      <c r="BL109" s="54">
        <f t="shared" si="875"/>
        <v>-800</v>
      </c>
      <c r="BM109" s="54">
        <f t="shared" si="875"/>
        <v>-800</v>
      </c>
      <c r="BN109" s="54">
        <f t="shared" si="875"/>
        <v>-800</v>
      </c>
      <c r="BO109" s="54">
        <f t="shared" si="875"/>
        <v>-800</v>
      </c>
      <c r="BP109" s="54">
        <f t="shared" si="875"/>
        <v>-800</v>
      </c>
      <c r="BQ109" s="54">
        <f t="shared" si="875"/>
        <v>-800</v>
      </c>
      <c r="BR109" s="54">
        <f t="shared" si="875"/>
        <v>-800</v>
      </c>
      <c r="BS109" s="54">
        <f t="shared" si="875"/>
        <v>-800</v>
      </c>
      <c r="BT109" s="54">
        <f t="shared" si="875"/>
        <v>-800</v>
      </c>
      <c r="BU109" s="54">
        <f t="shared" si="875"/>
        <v>-800</v>
      </c>
      <c r="BV109" s="54">
        <f t="shared" si="875"/>
        <v>-800</v>
      </c>
      <c r="BW109" s="307">
        <f t="shared" si="875"/>
        <v>-800</v>
      </c>
      <c r="BX109" s="54">
        <f t="shared" si="875"/>
        <v>-800</v>
      </c>
      <c r="BY109" s="54">
        <f t="shared" si="875"/>
        <v>-800</v>
      </c>
      <c r="BZ109" s="54">
        <f t="shared" ref="BZ109:DG109" si="884">BZ105-BZ108</f>
        <v>-800</v>
      </c>
      <c r="CA109" s="54">
        <f t="shared" si="884"/>
        <v>-800</v>
      </c>
      <c r="CB109" s="54">
        <f t="shared" si="884"/>
        <v>-800</v>
      </c>
      <c r="CC109" s="54">
        <f t="shared" si="884"/>
        <v>-800</v>
      </c>
      <c r="CD109" s="54">
        <f t="shared" si="884"/>
        <v>-800</v>
      </c>
      <c r="CE109" s="54">
        <f t="shared" si="884"/>
        <v>-800</v>
      </c>
      <c r="CF109" s="54">
        <f t="shared" si="884"/>
        <v>-800</v>
      </c>
      <c r="CG109" s="54">
        <f t="shared" si="884"/>
        <v>-800</v>
      </c>
      <c r="CH109" s="54">
        <f t="shared" si="884"/>
        <v>-800</v>
      </c>
      <c r="CI109" s="307">
        <f t="shared" si="884"/>
        <v>-800</v>
      </c>
      <c r="CJ109" s="54">
        <f t="shared" si="884"/>
        <v>-800</v>
      </c>
      <c r="CK109" s="54">
        <f t="shared" si="884"/>
        <v>-800</v>
      </c>
      <c r="CL109" s="54">
        <f t="shared" si="884"/>
        <v>-800</v>
      </c>
      <c r="CM109" s="54">
        <f t="shared" si="884"/>
        <v>-800</v>
      </c>
      <c r="CN109" s="54">
        <f t="shared" si="884"/>
        <v>-800</v>
      </c>
      <c r="CO109" s="54">
        <f t="shared" si="884"/>
        <v>-800</v>
      </c>
      <c r="CP109" s="54">
        <f t="shared" si="884"/>
        <v>-800</v>
      </c>
      <c r="CQ109" s="54">
        <f t="shared" si="884"/>
        <v>-800</v>
      </c>
      <c r="CR109" s="54">
        <f t="shared" si="884"/>
        <v>-800</v>
      </c>
      <c r="CS109" s="54">
        <f t="shared" si="884"/>
        <v>-800</v>
      </c>
      <c r="CT109" s="54">
        <f t="shared" si="884"/>
        <v>-800</v>
      </c>
      <c r="CU109" s="307">
        <f t="shared" si="884"/>
        <v>-800</v>
      </c>
      <c r="CV109" s="54">
        <f t="shared" si="884"/>
        <v>-800</v>
      </c>
      <c r="CW109" s="54">
        <f t="shared" si="884"/>
        <v>-800</v>
      </c>
      <c r="CX109" s="54">
        <f t="shared" si="884"/>
        <v>-800</v>
      </c>
      <c r="CY109" s="54">
        <f t="shared" si="884"/>
        <v>-800</v>
      </c>
      <c r="CZ109" s="54">
        <f t="shared" si="884"/>
        <v>-800</v>
      </c>
      <c r="DA109" s="54">
        <f t="shared" si="884"/>
        <v>-800</v>
      </c>
      <c r="DB109" s="54">
        <f t="shared" si="884"/>
        <v>-800</v>
      </c>
      <c r="DC109" s="54">
        <f t="shared" si="884"/>
        <v>-800</v>
      </c>
      <c r="DD109" s="54">
        <f t="shared" si="884"/>
        <v>-800</v>
      </c>
      <c r="DE109" s="54">
        <f t="shared" si="884"/>
        <v>-800</v>
      </c>
      <c r="DF109" s="54">
        <f t="shared" si="884"/>
        <v>-800</v>
      </c>
      <c r="DG109" s="54">
        <f t="shared" si="884"/>
        <v>-800</v>
      </c>
    </row>
    <row r="110" spans="1:111" s="3" customFormat="1" x14ac:dyDescent="0.3">
      <c r="B110" s="4" t="s">
        <v>16</v>
      </c>
      <c r="C110" s="4"/>
      <c r="D110" s="55">
        <f t="shared" ref="D110:O110" si="885">D99+D109</f>
        <v>0</v>
      </c>
      <c r="E110" s="55">
        <f t="shared" si="885"/>
        <v>0</v>
      </c>
      <c r="F110" s="55">
        <f t="shared" si="885"/>
        <v>0</v>
      </c>
      <c r="G110" s="55">
        <f t="shared" si="885"/>
        <v>0</v>
      </c>
      <c r="H110" s="55">
        <f t="shared" si="885"/>
        <v>0</v>
      </c>
      <c r="I110" s="55">
        <f t="shared" si="885"/>
        <v>0</v>
      </c>
      <c r="J110" s="55">
        <f t="shared" si="885"/>
        <v>0</v>
      </c>
      <c r="K110" s="55">
        <f t="shared" si="885"/>
        <v>375</v>
      </c>
      <c r="L110" s="55">
        <f t="shared" si="885"/>
        <v>1048</v>
      </c>
      <c r="M110" s="55">
        <f t="shared" si="885"/>
        <v>1968.3600000000001</v>
      </c>
      <c r="N110" s="55">
        <f t="shared" si="885"/>
        <v>1617.8</v>
      </c>
      <c r="O110" s="55">
        <f t="shared" si="885"/>
        <v>1870.41</v>
      </c>
      <c r="P110" s="55">
        <f t="shared" ref="P110:W110" si="886">P99+P109</f>
        <v>1310.8600000000001</v>
      </c>
      <c r="Q110" s="55">
        <f t="shared" si="886"/>
        <v>1101.99</v>
      </c>
      <c r="R110" s="55">
        <f t="shared" si="886"/>
        <v>1101.3900000000001</v>
      </c>
      <c r="S110" s="55">
        <f t="shared" si="886"/>
        <v>1684.5800000000002</v>
      </c>
      <c r="T110" s="55">
        <f t="shared" si="886"/>
        <v>1935.9399999999998</v>
      </c>
      <c r="U110" s="55">
        <f t="shared" si="886"/>
        <v>1396.18</v>
      </c>
      <c r="V110" s="55">
        <f t="shared" si="886"/>
        <v>2402.77</v>
      </c>
      <c r="W110" s="55">
        <f t="shared" si="886"/>
        <v>6226.72</v>
      </c>
      <c r="X110" s="55">
        <f t="shared" ref="X110:Y110" si="887">X99+X109</f>
        <v>7109.73</v>
      </c>
      <c r="Y110" s="55">
        <f t="shared" si="887"/>
        <v>6848.9000000000005</v>
      </c>
      <c r="Z110" s="55">
        <f t="shared" ref="Z110" si="888">Z99+Z109</f>
        <v>4031.6899999999996</v>
      </c>
      <c r="AA110" s="55">
        <f t="shared" ref="AA110:AB110" si="889">AA99+AA109</f>
        <v>1347.03</v>
      </c>
      <c r="AB110" s="55">
        <f t="shared" si="889"/>
        <v>2584.7600000000002</v>
      </c>
      <c r="AC110" s="55">
        <f t="shared" ref="AC110:AD110" si="890">AC99+AC109</f>
        <v>2742.04</v>
      </c>
      <c r="AD110" s="55">
        <f t="shared" si="890"/>
        <v>2536.4700000000003</v>
      </c>
      <c r="AE110" s="55">
        <f t="shared" ref="AE110" si="891">AE99+AE109</f>
        <v>1235.1999999999998</v>
      </c>
      <c r="AF110" s="55">
        <f t="shared" ref="AF110:AG110" si="892">AF99+AF109</f>
        <v>4730.13</v>
      </c>
      <c r="AG110" s="55">
        <f t="shared" si="892"/>
        <v>2038.5800000000002</v>
      </c>
      <c r="AH110" s="55">
        <f t="shared" ref="AH110" si="893">AH99+AH109</f>
        <v>5598.8700000000008</v>
      </c>
      <c r="AI110" s="55">
        <f t="shared" ref="AI110:AJ110" si="894">AI99+AI109</f>
        <v>11135.75</v>
      </c>
      <c r="AJ110" s="55">
        <f t="shared" si="894"/>
        <v>7482.18</v>
      </c>
      <c r="AK110" s="55">
        <f t="shared" ref="AK110" si="895">AK99+AK109</f>
        <v>14155.750000000002</v>
      </c>
      <c r="AL110" s="55">
        <f t="shared" ref="AL110" si="896">AL99+AL109</f>
        <v>6630.82</v>
      </c>
      <c r="AM110" s="514">
        <f t="shared" ref="AM110:AN110" si="897">AM99+AM109</f>
        <v>3184.75</v>
      </c>
      <c r="AN110" s="55">
        <f t="shared" si="897"/>
        <v>1533.3599999999997</v>
      </c>
      <c r="AO110" s="55">
        <f t="shared" ref="AO110:AP110" si="898">AO99+AO109</f>
        <v>187.25000000000057</v>
      </c>
      <c r="AP110" s="55">
        <f t="shared" si="898"/>
        <v>-514.53999999999985</v>
      </c>
      <c r="AQ110" s="55">
        <f t="shared" ref="AQ110:AR110" si="899">AQ99+AQ109</f>
        <v>-782.65999999999974</v>
      </c>
      <c r="AR110" s="55">
        <f t="shared" si="899"/>
        <v>1403.27</v>
      </c>
      <c r="AS110" s="55">
        <f t="shared" ref="AS110:AT110" si="900">AS99+AS109</f>
        <v>1994.6</v>
      </c>
      <c r="AT110" s="55">
        <f t="shared" si="900"/>
        <v>3061.8600000000006</v>
      </c>
      <c r="AU110" s="55">
        <f t="shared" ref="AU110:AV110" si="901">AU99+AU109</f>
        <v>1397.639999999999</v>
      </c>
      <c r="AV110" s="55">
        <f t="shared" si="901"/>
        <v>9986.1999999999971</v>
      </c>
      <c r="AW110" s="305">
        <f t="shared" ref="AW110" si="902">AW99+AW109</f>
        <v>13319.670000000006</v>
      </c>
      <c r="AX110" s="55">
        <f>AX99+AX109</f>
        <v>3212.8640615437644</v>
      </c>
      <c r="AY110" s="305">
        <f t="shared" ref="AY110:BP110" si="903">AY99+AY109</f>
        <v>1605.8780638602693</v>
      </c>
      <c r="AZ110" s="55">
        <f t="shared" si="903"/>
        <v>1581.0719791162774</v>
      </c>
      <c r="BA110" s="55">
        <f t="shared" si="903"/>
        <v>-1260.8295302974075</v>
      </c>
      <c r="BB110" s="55">
        <f t="shared" si="903"/>
        <v>3040.3745146074607</v>
      </c>
      <c r="BC110" s="55">
        <f t="shared" si="903"/>
        <v>-5255.7373597803853</v>
      </c>
      <c r="BD110" s="55">
        <f t="shared" si="903"/>
        <v>775.24057059288043</v>
      </c>
      <c r="BE110" s="55">
        <f t="shared" si="903"/>
        <v>371.86544652076918</v>
      </c>
      <c r="BF110" s="55">
        <f t="shared" si="903"/>
        <v>2637.8806048402166</v>
      </c>
      <c r="BG110" s="55">
        <f t="shared" si="903"/>
        <v>294.61638783406124</v>
      </c>
      <c r="BH110" s="55">
        <f t="shared" si="903"/>
        <v>4199.8126325878511</v>
      </c>
      <c r="BI110" s="55">
        <f t="shared" si="903"/>
        <v>10661.923595424232</v>
      </c>
      <c r="BJ110" s="55">
        <f t="shared" si="903"/>
        <v>-63.740678093918177</v>
      </c>
      <c r="BK110" s="305">
        <f t="shared" si="903"/>
        <v>2614.6423603382427</v>
      </c>
      <c r="BL110" s="55">
        <f t="shared" si="903"/>
        <v>1222.8532992478868</v>
      </c>
      <c r="BM110" s="55">
        <f t="shared" si="903"/>
        <v>-3124.9178052314783</v>
      </c>
      <c r="BN110" s="55">
        <f t="shared" si="903"/>
        <v>5946.720962527419</v>
      </c>
      <c r="BO110" s="55">
        <f t="shared" si="903"/>
        <v>-7549.0368701962161</v>
      </c>
      <c r="BP110" s="55">
        <f t="shared" si="903"/>
        <v>889.47209145805027</v>
      </c>
      <c r="BQ110" s="55">
        <f t="shared" ref="BQ110:DG110" si="904">BQ99+BQ109</f>
        <v>-255.06112902897257</v>
      </c>
      <c r="BR110" s="55">
        <f t="shared" si="904"/>
        <v>1294.3980114270744</v>
      </c>
      <c r="BS110" s="55">
        <f t="shared" si="904"/>
        <v>-235.81917145029001</v>
      </c>
      <c r="BT110" s="55">
        <f t="shared" si="904"/>
        <v>5433.2444502769322</v>
      </c>
      <c r="BU110" s="55">
        <f t="shared" si="904"/>
        <v>11667.830262296491</v>
      </c>
      <c r="BV110" s="55">
        <f t="shared" si="904"/>
        <v>532.13293991976025</v>
      </c>
      <c r="BW110" s="305">
        <f t="shared" si="904"/>
        <v>2464.4445449797604</v>
      </c>
      <c r="BX110" s="55">
        <f t="shared" si="904"/>
        <v>-3427.8405778892338</v>
      </c>
      <c r="BY110" s="55">
        <f t="shared" si="904"/>
        <v>-8688.837126686507</v>
      </c>
      <c r="BZ110" s="55">
        <f t="shared" si="904"/>
        <v>8141.5443561140382</v>
      </c>
      <c r="CA110" s="55">
        <f t="shared" si="904"/>
        <v>-16250.872925531457</v>
      </c>
      <c r="CB110" s="55">
        <f t="shared" si="904"/>
        <v>387.30582340483488</v>
      </c>
      <c r="CC110" s="55">
        <f t="shared" si="904"/>
        <v>-3340.2506185883431</v>
      </c>
      <c r="CD110" s="55">
        <f t="shared" si="904"/>
        <v>-4115.0723808130097</v>
      </c>
      <c r="CE110" s="55">
        <f t="shared" si="904"/>
        <v>-3025.0359300088603</v>
      </c>
      <c r="CF110" s="55">
        <f t="shared" si="904"/>
        <v>-166.22705896264961</v>
      </c>
      <c r="CG110" s="55">
        <f t="shared" si="904"/>
        <v>13609.643537494594</v>
      </c>
      <c r="CH110" s="55">
        <f t="shared" si="904"/>
        <v>-326.13243434384276</v>
      </c>
      <c r="CI110" s="305">
        <f t="shared" si="904"/>
        <v>-6170.2745832587752</v>
      </c>
      <c r="CJ110" s="55">
        <f t="shared" si="904"/>
        <v>-3021.3823442351641</v>
      </c>
      <c r="CK110" s="55">
        <f t="shared" si="904"/>
        <v>-14619.264323317846</v>
      </c>
      <c r="CL110" s="55">
        <f t="shared" si="904"/>
        <v>8048.8371638980825</v>
      </c>
      <c r="CM110" s="55">
        <f t="shared" si="904"/>
        <v>-23658.339589686453</v>
      </c>
      <c r="CN110" s="55">
        <f t="shared" si="904"/>
        <v>391.75137793034082</v>
      </c>
      <c r="CO110" s="55">
        <f t="shared" si="904"/>
        <v>-9190.6782988383529</v>
      </c>
      <c r="CP110" s="55">
        <f t="shared" si="904"/>
        <v>-7070.7906070634017</v>
      </c>
      <c r="CQ110" s="55">
        <f t="shared" si="904"/>
        <v>-5109.0038772931439</v>
      </c>
      <c r="CR110" s="55">
        <f t="shared" si="904"/>
        <v>-7505.3628185458001</v>
      </c>
      <c r="CS110" s="55">
        <f t="shared" si="904"/>
        <v>18608.650529555794</v>
      </c>
      <c r="CT110" s="55">
        <f t="shared" si="904"/>
        <v>-3185.796078093168</v>
      </c>
      <c r="CU110" s="305">
        <f t="shared" si="904"/>
        <v>-11717.342952568368</v>
      </c>
      <c r="CV110" s="55">
        <f t="shared" si="904"/>
        <v>-5219.7161868229377</v>
      </c>
      <c r="CW110" s="55">
        <f t="shared" si="904"/>
        <v>-19227.836229666835</v>
      </c>
      <c r="CX110" s="55">
        <f t="shared" si="904"/>
        <v>6243.2622731003976</v>
      </c>
      <c r="CY110" s="55">
        <f t="shared" si="904"/>
        <v>-32450.208103709541</v>
      </c>
      <c r="CZ110" s="55">
        <f t="shared" si="904"/>
        <v>1316.722446218504</v>
      </c>
      <c r="DA110" s="55">
        <f t="shared" si="904"/>
        <v>-17229.3419220457</v>
      </c>
      <c r="DB110" s="55">
        <f t="shared" si="904"/>
        <v>-7352.0753511675939</v>
      </c>
      <c r="DC110" s="55">
        <f t="shared" si="904"/>
        <v>-13237.400018977074</v>
      </c>
      <c r="DD110" s="55">
        <f t="shared" si="904"/>
        <v>-9396.6050666510419</v>
      </c>
      <c r="DE110" s="55">
        <f t="shared" si="904"/>
        <v>27635.208932081565</v>
      </c>
      <c r="DF110" s="55">
        <f t="shared" si="904"/>
        <v>-9983.3428724159457</v>
      </c>
      <c r="DG110" s="55">
        <f t="shared" si="904"/>
        <v>50993.963433197525</v>
      </c>
    </row>
    <row r="111" spans="1:111" x14ac:dyDescent="0.3">
      <c r="B111" s="1"/>
      <c r="C111" s="1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16"/>
      <c r="AN111" s="57"/>
      <c r="AO111" s="57"/>
      <c r="AP111" s="57"/>
      <c r="AQ111" s="57"/>
      <c r="AR111" s="57"/>
      <c r="AS111" s="57"/>
      <c r="AT111" s="57"/>
      <c r="AU111" s="57"/>
      <c r="AV111" s="57"/>
      <c r="AW111" s="306"/>
      <c r="AX111" s="57"/>
      <c r="AY111" s="306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306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  <c r="BV111" s="57"/>
      <c r="BW111" s="306"/>
      <c r="BX111" s="57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306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306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/>
      <c r="DF111" s="57"/>
      <c r="DG111" s="57"/>
    </row>
    <row r="112" spans="1:111" x14ac:dyDescent="0.3">
      <c r="A112" s="29"/>
      <c r="B112" s="66"/>
      <c r="C112" s="66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5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308"/>
      <c r="AX112" s="67"/>
      <c r="AY112" s="308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308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308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308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308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  <c r="DG112" s="67"/>
    </row>
    <row r="113" spans="1:111" s="5" customFormat="1" x14ac:dyDescent="0.3">
      <c r="A113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/>
      <c r="O113" s="2"/>
      <c r="P113" s="2"/>
      <c r="Q113" s="2"/>
      <c r="R113" s="2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 s="97"/>
      <c r="AN113"/>
      <c r="AO113"/>
      <c r="AP113"/>
      <c r="AQ113"/>
      <c r="AR113"/>
      <c r="AS113"/>
      <c r="AT113"/>
      <c r="AU113"/>
      <c r="AV113"/>
      <c r="AW113" s="184"/>
      <c r="AX113"/>
      <c r="AY113" s="184"/>
      <c r="AZ113"/>
      <c r="BA113"/>
      <c r="BB113"/>
      <c r="BC113"/>
      <c r="BD113"/>
      <c r="BE113"/>
      <c r="BF113"/>
      <c r="BG113"/>
      <c r="BH113"/>
      <c r="BI113"/>
      <c r="BJ113"/>
      <c r="BK113" s="184"/>
      <c r="BL113"/>
      <c r="BM113"/>
      <c r="BN113"/>
      <c r="BO113"/>
      <c r="BP113"/>
      <c r="BQ113"/>
      <c r="BR113"/>
      <c r="BS113"/>
      <c r="BT113"/>
      <c r="BU113"/>
      <c r="BV113"/>
      <c r="BW113" s="184"/>
      <c r="BX113"/>
      <c r="BY113"/>
      <c r="BZ113"/>
      <c r="CA113"/>
      <c r="CB113"/>
      <c r="CC113"/>
      <c r="CD113"/>
      <c r="CE113"/>
      <c r="CF113"/>
      <c r="CG113"/>
      <c r="CH113"/>
      <c r="CI113" s="184"/>
      <c r="CJ113"/>
      <c r="CK113"/>
      <c r="CL113"/>
      <c r="CM113"/>
      <c r="CN113"/>
      <c r="CO113"/>
      <c r="CP113"/>
      <c r="CQ113"/>
      <c r="CR113"/>
      <c r="CS113"/>
      <c r="CT113"/>
      <c r="CU113" s="184"/>
      <c r="CV113"/>
      <c r="CW113"/>
      <c r="CX113"/>
      <c r="CY113"/>
      <c r="CZ113"/>
      <c r="DA113"/>
      <c r="DB113"/>
      <c r="DC113"/>
      <c r="DD113"/>
      <c r="DE113"/>
      <c r="DF113"/>
      <c r="DG113"/>
    </row>
    <row r="114" spans="1:111" s="64" customFormat="1" x14ac:dyDescent="0.3">
      <c r="A114"/>
      <c r="B114" s="1" t="s">
        <v>17</v>
      </c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/>
      <c r="O114" s="2"/>
      <c r="P114" s="2"/>
      <c r="Q114" s="2"/>
      <c r="R114" s="2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 s="97"/>
      <c r="AN114"/>
      <c r="AO114"/>
      <c r="AP114"/>
      <c r="AQ114"/>
      <c r="AR114"/>
      <c r="AS114"/>
      <c r="AT114"/>
      <c r="AU114"/>
      <c r="AV114"/>
      <c r="AW114" s="184"/>
      <c r="AX114"/>
      <c r="AY114" s="184"/>
      <c r="AZ114"/>
      <c r="BA114"/>
      <c r="BB114"/>
      <c r="BC114"/>
      <c r="BD114"/>
      <c r="BE114"/>
      <c r="BF114"/>
      <c r="BG114"/>
      <c r="BH114"/>
      <c r="BI114"/>
      <c r="BJ114"/>
      <c r="BK114" s="184"/>
      <c r="BL114"/>
      <c r="BM114"/>
      <c r="BN114"/>
      <c r="BO114"/>
      <c r="BP114"/>
      <c r="BQ114"/>
      <c r="BR114"/>
      <c r="BS114"/>
      <c r="BT114"/>
      <c r="BU114"/>
      <c r="BV114"/>
      <c r="BW114" s="184"/>
      <c r="BX114"/>
      <c r="BY114"/>
      <c r="BZ114"/>
      <c r="CA114"/>
      <c r="CB114"/>
      <c r="CC114"/>
      <c r="CD114"/>
      <c r="CE114"/>
      <c r="CF114"/>
      <c r="CG114"/>
      <c r="CH114"/>
      <c r="CI114" s="184"/>
      <c r="CJ114"/>
      <c r="CK114"/>
      <c r="CL114"/>
      <c r="CM114"/>
      <c r="CN114"/>
      <c r="CO114"/>
      <c r="CP114"/>
      <c r="CQ114"/>
      <c r="CR114"/>
      <c r="CS114"/>
      <c r="CT114"/>
      <c r="CU114" s="184"/>
      <c r="CV114"/>
      <c r="CW114"/>
      <c r="CX114"/>
      <c r="CY114"/>
      <c r="CZ114"/>
      <c r="DA114"/>
      <c r="DB114"/>
      <c r="DC114"/>
      <c r="DD114"/>
      <c r="DE114"/>
      <c r="DF114"/>
      <c r="DG114"/>
    </row>
    <row r="115" spans="1:111" x14ac:dyDescent="0.3">
      <c r="B115" s="1" t="s">
        <v>18</v>
      </c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O115" s="2"/>
      <c r="P115" s="2"/>
      <c r="Q115" s="2"/>
      <c r="R115" s="2"/>
      <c r="AW115" s="184"/>
      <c r="AY115" s="184"/>
      <c r="BK115" s="184"/>
      <c r="BW115" s="184"/>
      <c r="CI115" s="184"/>
      <c r="CU115" s="184"/>
    </row>
    <row r="116" spans="1:111" x14ac:dyDescent="0.3">
      <c r="B116" s="1" t="s">
        <v>19</v>
      </c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O116" s="2"/>
      <c r="P116" s="2"/>
      <c r="Q116" s="2"/>
      <c r="R116" s="2"/>
      <c r="AW116" s="184"/>
      <c r="AY116" s="184"/>
      <c r="BK116" s="184"/>
      <c r="BW116" s="184"/>
      <c r="CI116" s="184"/>
      <c r="CU116" s="184"/>
    </row>
    <row r="117" spans="1:111" s="3" customFormat="1" x14ac:dyDescent="0.3">
      <c r="A117"/>
      <c r="B117" s="1" t="s">
        <v>20</v>
      </c>
      <c r="C117" s="1"/>
      <c r="D117" s="115">
        <f>0</f>
        <v>0</v>
      </c>
      <c r="E117" s="115">
        <f>0</f>
        <v>0</v>
      </c>
      <c r="F117" s="115">
        <f>0</f>
        <v>0</v>
      </c>
      <c r="G117" s="115">
        <f>0</f>
        <v>0</v>
      </c>
      <c r="H117" s="115">
        <f>0</f>
        <v>0</v>
      </c>
      <c r="I117" s="115">
        <f>0</f>
        <v>0</v>
      </c>
      <c r="J117" s="113">
        <v>0</v>
      </c>
      <c r="K117" s="113">
        <v>250</v>
      </c>
      <c r="L117" s="113">
        <v>473</v>
      </c>
      <c r="M117" s="115">
        <v>2717.22</v>
      </c>
      <c r="N117">
        <v>857.37</v>
      </c>
      <c r="O117">
        <v>-60.91</v>
      </c>
      <c r="P117" s="115">
        <v>114.95</v>
      </c>
      <c r="Q117" s="115">
        <v>182.94</v>
      </c>
      <c r="R117" s="115">
        <v>51.39</v>
      </c>
      <c r="S117" s="115">
        <v>320.41000000000003</v>
      </c>
      <c r="T117" s="115">
        <v>175.2</v>
      </c>
      <c r="U117" s="115">
        <v>328.56</v>
      </c>
      <c r="V117" s="115">
        <v>261.7</v>
      </c>
      <c r="W117" s="115">
        <v>148.44</v>
      </c>
      <c r="X117" s="115">
        <v>286.17</v>
      </c>
      <c r="Y117" s="115">
        <v>648.29</v>
      </c>
      <c r="Z117" s="115">
        <v>622.49</v>
      </c>
      <c r="AA117" s="115">
        <v>192.02</v>
      </c>
      <c r="AB117" s="115">
        <v>286.77999999999997</v>
      </c>
      <c r="AC117" s="115">
        <v>546.32000000000005</v>
      </c>
      <c r="AD117" s="115">
        <v>222.79</v>
      </c>
      <c r="AE117" s="115">
        <v>1387.99</v>
      </c>
      <c r="AF117" s="115">
        <v>1058.0899999999999</v>
      </c>
      <c r="AG117" s="115">
        <v>871.9</v>
      </c>
      <c r="AH117" s="115">
        <v>1738.98</v>
      </c>
      <c r="AI117" s="115">
        <v>272.18</v>
      </c>
      <c r="AJ117" s="115">
        <v>1816.83</v>
      </c>
      <c r="AK117" s="115">
        <v>1507.93</v>
      </c>
      <c r="AL117" s="115">
        <v>456.99</v>
      </c>
      <c r="AM117" s="513">
        <v>287.75</v>
      </c>
      <c r="AN117" s="115">
        <v>3818.59</v>
      </c>
      <c r="AO117" s="115">
        <v>489.25</v>
      </c>
      <c r="AP117" s="115">
        <v>980.19</v>
      </c>
      <c r="AQ117" s="115">
        <v>1325.53</v>
      </c>
      <c r="AR117" s="115">
        <v>352.03</v>
      </c>
      <c r="AS117" s="115">
        <v>1054.45</v>
      </c>
      <c r="AT117" s="115">
        <v>2153.7800000000002</v>
      </c>
      <c r="AU117" s="115">
        <v>1994.42</v>
      </c>
      <c r="AV117" s="115">
        <f>2127.22</f>
        <v>2127.2199999999998</v>
      </c>
      <c r="AW117" s="185">
        <f>4252.4</f>
        <v>4252.3999999999996</v>
      </c>
      <c r="AX117"/>
      <c r="AY117" s="184"/>
      <c r="AZ117"/>
      <c r="BA117"/>
      <c r="BB117"/>
      <c r="BC117"/>
      <c r="BD117"/>
      <c r="BE117"/>
      <c r="BF117"/>
      <c r="BG117"/>
      <c r="BH117"/>
      <c r="BI117"/>
      <c r="BJ117"/>
      <c r="BK117" s="184"/>
      <c r="BL117"/>
      <c r="BM117"/>
      <c r="BN117"/>
      <c r="BO117"/>
      <c r="BP117"/>
      <c r="BQ117"/>
      <c r="BR117"/>
      <c r="BS117"/>
      <c r="BT117"/>
      <c r="BU117"/>
      <c r="BV117"/>
      <c r="BW117" s="184"/>
      <c r="BX117"/>
      <c r="BY117"/>
      <c r="BZ117"/>
      <c r="CA117"/>
      <c r="CB117"/>
      <c r="CC117"/>
      <c r="CD117"/>
      <c r="CE117"/>
      <c r="CF117"/>
      <c r="CG117"/>
      <c r="CH117"/>
      <c r="CI117" s="184"/>
      <c r="CJ117"/>
      <c r="CK117"/>
      <c r="CL117"/>
      <c r="CM117"/>
      <c r="CN117"/>
      <c r="CO117"/>
      <c r="CP117"/>
      <c r="CQ117"/>
      <c r="CR117"/>
      <c r="CS117"/>
      <c r="CT117"/>
      <c r="CU117" s="184"/>
      <c r="CV117"/>
      <c r="CW117"/>
      <c r="CX117"/>
      <c r="CY117"/>
      <c r="CZ117"/>
      <c r="DA117"/>
      <c r="DB117"/>
      <c r="DC117"/>
      <c r="DD117"/>
      <c r="DE117"/>
      <c r="DF117"/>
      <c r="DG117"/>
    </row>
    <row r="118" spans="1:111" x14ac:dyDescent="0.3">
      <c r="B118" s="1" t="s">
        <v>21</v>
      </c>
      <c r="C118" s="1"/>
      <c r="D118" s="115">
        <f>0</f>
        <v>0</v>
      </c>
      <c r="E118" s="115">
        <f>0</f>
        <v>0</v>
      </c>
      <c r="F118" s="115">
        <f>0</f>
        <v>0</v>
      </c>
      <c r="G118" s="115">
        <f>0</f>
        <v>0</v>
      </c>
      <c r="H118" s="115">
        <f>0</f>
        <v>0</v>
      </c>
      <c r="I118" s="115">
        <f>0</f>
        <v>0</v>
      </c>
      <c r="J118" s="113">
        <v>0</v>
      </c>
      <c r="K118" s="113">
        <v>0</v>
      </c>
      <c r="L118" s="113">
        <v>0</v>
      </c>
      <c r="M118" s="115">
        <v>50</v>
      </c>
      <c r="N118">
        <v>0</v>
      </c>
      <c r="O118">
        <v>0</v>
      </c>
      <c r="P118" s="115">
        <v>50</v>
      </c>
      <c r="Q118" s="115">
        <v>25</v>
      </c>
      <c r="R118" s="115">
        <v>21</v>
      </c>
      <c r="S118" s="115">
        <v>70</v>
      </c>
      <c r="T118" s="115">
        <v>70</v>
      </c>
      <c r="U118" s="115">
        <v>50</v>
      </c>
      <c r="V118" s="115">
        <v>100</v>
      </c>
      <c r="W118" s="115">
        <v>350</v>
      </c>
      <c r="X118" s="115">
        <v>450</v>
      </c>
      <c r="Y118" s="115">
        <v>0</v>
      </c>
      <c r="Z118" s="115">
        <v>100</v>
      </c>
      <c r="AA118" s="115">
        <v>800</v>
      </c>
      <c r="AB118" s="115">
        <v>1000</v>
      </c>
      <c r="AC118" s="115">
        <v>0</v>
      </c>
      <c r="AD118" s="115">
        <v>0</v>
      </c>
      <c r="AE118" s="115">
        <v>0</v>
      </c>
      <c r="AF118" s="115">
        <v>300</v>
      </c>
      <c r="AG118" s="115">
        <v>823.8</v>
      </c>
      <c r="AH118" s="115">
        <v>1500</v>
      </c>
      <c r="AI118" s="115">
        <v>3000.42</v>
      </c>
      <c r="AJ118" s="115">
        <v>2500.69</v>
      </c>
      <c r="AK118" s="115">
        <v>4001.74</v>
      </c>
      <c r="AL118" s="115">
        <v>3252.41</v>
      </c>
      <c r="AM118" s="513">
        <v>0.08</v>
      </c>
      <c r="AN118" s="115">
        <v>0</v>
      </c>
      <c r="AO118" s="115">
        <v>0</v>
      </c>
      <c r="AP118" s="115">
        <v>0</v>
      </c>
      <c r="AQ118" s="115">
        <v>0</v>
      </c>
      <c r="AR118" s="115">
        <v>200</v>
      </c>
      <c r="AS118" s="115">
        <v>0</v>
      </c>
      <c r="AT118" s="115">
        <v>1000</v>
      </c>
      <c r="AU118" s="115">
        <v>2000</v>
      </c>
      <c r="AV118" s="115">
        <f>4000.93</f>
        <v>4000.93</v>
      </c>
      <c r="AW118" s="185">
        <f>6005.42</f>
        <v>6005.42</v>
      </c>
      <c r="AY118" s="184"/>
      <c r="BK118" s="184"/>
      <c r="BW118" s="184"/>
      <c r="CI118" s="184"/>
      <c r="CU118" s="184"/>
    </row>
    <row r="119" spans="1:111" x14ac:dyDescent="0.3">
      <c r="B119" s="1" t="s">
        <v>22</v>
      </c>
      <c r="C119" s="1"/>
      <c r="D119" s="115">
        <f>0</f>
        <v>0</v>
      </c>
      <c r="E119" s="115">
        <f>0</f>
        <v>0</v>
      </c>
      <c r="F119" s="115">
        <f>0</f>
        <v>0</v>
      </c>
      <c r="G119" s="115">
        <f>0</f>
        <v>0</v>
      </c>
      <c r="H119" s="115">
        <f>0</f>
        <v>0</v>
      </c>
      <c r="I119" s="115">
        <f>0</f>
        <v>0</v>
      </c>
      <c r="J119" s="113">
        <v>0</v>
      </c>
      <c r="K119" s="113">
        <v>5</v>
      </c>
      <c r="L119" s="113">
        <v>5</v>
      </c>
      <c r="M119" s="115">
        <v>105.01</v>
      </c>
      <c r="N119">
        <v>5.03</v>
      </c>
      <c r="O119">
        <v>5.01</v>
      </c>
      <c r="P119" s="115">
        <v>5.01</v>
      </c>
      <c r="Q119" s="115">
        <v>5.01</v>
      </c>
      <c r="R119" s="115">
        <v>55</v>
      </c>
      <c r="S119" s="115">
        <v>5.01</v>
      </c>
      <c r="T119" s="115">
        <v>55.01</v>
      </c>
      <c r="U119" s="115">
        <v>55.01</v>
      </c>
      <c r="V119" s="115">
        <v>205.03</v>
      </c>
      <c r="W119" s="115">
        <v>5.01</v>
      </c>
      <c r="X119" s="115">
        <v>5.01</v>
      </c>
      <c r="Y119" s="115">
        <v>5.01</v>
      </c>
      <c r="Z119" s="115">
        <v>5</v>
      </c>
      <c r="AA119" s="115">
        <v>5</v>
      </c>
      <c r="AB119" s="115">
        <v>5</v>
      </c>
      <c r="AC119" s="115">
        <v>5</v>
      </c>
      <c r="AD119" s="115">
        <v>5</v>
      </c>
      <c r="AE119" s="115">
        <v>5</v>
      </c>
      <c r="AF119" s="115">
        <v>5</v>
      </c>
      <c r="AG119" s="115">
        <v>5</v>
      </c>
      <c r="AH119" s="115">
        <v>5</v>
      </c>
      <c r="AI119" s="115">
        <v>5</v>
      </c>
      <c r="AJ119" s="115">
        <v>5</v>
      </c>
      <c r="AK119" s="115">
        <v>5</v>
      </c>
      <c r="AL119" s="115">
        <v>5</v>
      </c>
      <c r="AM119" s="513">
        <v>5</v>
      </c>
      <c r="AN119" s="115">
        <v>5</v>
      </c>
      <c r="AO119" s="115">
        <v>5</v>
      </c>
      <c r="AP119" s="115">
        <v>5</v>
      </c>
      <c r="AQ119" s="115">
        <v>6</v>
      </c>
      <c r="AR119" s="115">
        <v>5.05</v>
      </c>
      <c r="AS119" s="115">
        <v>5.05</v>
      </c>
      <c r="AT119" s="115">
        <v>5.05</v>
      </c>
      <c r="AU119" s="115">
        <v>5.05</v>
      </c>
      <c r="AV119" s="115">
        <f t="shared" ref="AV119:AW119" si="905">AU119</f>
        <v>5.05</v>
      </c>
      <c r="AW119" s="185">
        <f t="shared" si="905"/>
        <v>5.05</v>
      </c>
      <c r="AY119" s="184"/>
      <c r="BK119" s="184"/>
      <c r="BW119" s="184"/>
      <c r="CI119" s="184"/>
      <c r="CU119" s="184"/>
    </row>
    <row r="120" spans="1:111" x14ac:dyDescent="0.3">
      <c r="B120" s="1" t="s">
        <v>23</v>
      </c>
      <c r="C120" s="1"/>
      <c r="D120" s="115">
        <f>0</f>
        <v>0</v>
      </c>
      <c r="E120" s="115">
        <f>0</f>
        <v>0</v>
      </c>
      <c r="F120" s="115">
        <f>0</f>
        <v>0</v>
      </c>
      <c r="G120" s="115">
        <f>0</f>
        <v>0</v>
      </c>
      <c r="H120" s="115">
        <f>0</f>
        <v>0</v>
      </c>
      <c r="I120" s="115">
        <f>0</f>
        <v>0</v>
      </c>
      <c r="J120" s="113">
        <v>0</v>
      </c>
      <c r="K120" s="113">
        <v>0</v>
      </c>
      <c r="L120" s="113">
        <v>0</v>
      </c>
      <c r="M120" s="115">
        <v>-1851.87</v>
      </c>
      <c r="N120">
        <v>0</v>
      </c>
      <c r="O120">
        <v>0</v>
      </c>
      <c r="P120" s="115">
        <v>0</v>
      </c>
      <c r="Q120" s="115">
        <v>0</v>
      </c>
      <c r="R120" s="115">
        <v>0</v>
      </c>
      <c r="S120" s="115">
        <v>0</v>
      </c>
      <c r="T120" s="115">
        <v>0</v>
      </c>
      <c r="U120" s="115">
        <v>0</v>
      </c>
      <c r="V120" s="115">
        <v>0</v>
      </c>
      <c r="W120" s="115">
        <v>0</v>
      </c>
      <c r="X120" s="115">
        <v>0</v>
      </c>
      <c r="Y120" s="115">
        <v>0</v>
      </c>
      <c r="Z120" s="115">
        <v>0</v>
      </c>
      <c r="AA120" s="115">
        <v>0</v>
      </c>
      <c r="AB120" s="115">
        <v>0</v>
      </c>
      <c r="AC120" s="115">
        <v>0</v>
      </c>
      <c r="AD120" s="115">
        <v>0</v>
      </c>
      <c r="AE120" s="115">
        <v>0</v>
      </c>
      <c r="AF120" s="115">
        <v>0</v>
      </c>
      <c r="AG120" s="115">
        <v>0</v>
      </c>
      <c r="AH120" s="115">
        <v>0</v>
      </c>
      <c r="AI120" s="115">
        <v>0</v>
      </c>
      <c r="AJ120" s="115">
        <v>0</v>
      </c>
      <c r="AK120" s="115">
        <v>0</v>
      </c>
      <c r="AL120" s="115">
        <v>0</v>
      </c>
      <c r="AM120" s="513">
        <v>0</v>
      </c>
      <c r="AN120" s="115">
        <v>0</v>
      </c>
      <c r="AO120" s="115">
        <v>0</v>
      </c>
      <c r="AP120" s="115">
        <v>0</v>
      </c>
      <c r="AQ120" s="115">
        <v>0</v>
      </c>
      <c r="AR120" s="115">
        <v>0</v>
      </c>
      <c r="AS120" s="115">
        <v>0</v>
      </c>
      <c r="AT120" s="115">
        <v>0</v>
      </c>
      <c r="AU120" s="115">
        <v>0</v>
      </c>
      <c r="AV120" s="115">
        <v>0</v>
      </c>
      <c r="AW120" s="185">
        <v>0</v>
      </c>
      <c r="AY120" s="184"/>
      <c r="BK120" s="184"/>
      <c r="BW120" s="184"/>
      <c r="CI120" s="184"/>
      <c r="CU120" s="184"/>
    </row>
    <row r="121" spans="1:111" x14ac:dyDescent="0.3">
      <c r="B121" s="1" t="s">
        <v>284</v>
      </c>
      <c r="C121" s="1"/>
      <c r="D121" s="115"/>
      <c r="E121" s="115"/>
      <c r="F121" s="115"/>
      <c r="G121" s="115"/>
      <c r="H121" s="115"/>
      <c r="I121" s="115"/>
      <c r="J121" s="113"/>
      <c r="K121" s="113"/>
      <c r="L121" s="113"/>
      <c r="M121" s="115"/>
      <c r="P121" s="115"/>
      <c r="Q121" s="115">
        <v>0</v>
      </c>
      <c r="R121" s="115">
        <v>0</v>
      </c>
      <c r="S121" s="115">
        <v>0</v>
      </c>
      <c r="T121" s="115">
        <v>0</v>
      </c>
      <c r="U121" s="115">
        <v>0</v>
      </c>
      <c r="V121" s="115">
        <v>0</v>
      </c>
      <c r="W121" s="115">
        <v>0</v>
      </c>
      <c r="X121" s="115">
        <v>0</v>
      </c>
      <c r="Y121" s="115">
        <v>0</v>
      </c>
      <c r="Z121" s="115">
        <v>0</v>
      </c>
      <c r="AA121" s="115">
        <v>0</v>
      </c>
      <c r="AB121" s="115"/>
      <c r="AC121" s="115">
        <v>0</v>
      </c>
      <c r="AD121" s="115">
        <v>-50</v>
      </c>
      <c r="AE121" s="115">
        <v>-50</v>
      </c>
      <c r="AF121" s="115">
        <v>-85</v>
      </c>
      <c r="AG121" s="115">
        <v>-85</v>
      </c>
      <c r="AH121" s="115">
        <v>-85</v>
      </c>
      <c r="AI121" s="115">
        <v>-85</v>
      </c>
      <c r="AJ121" s="115">
        <v>-85</v>
      </c>
      <c r="AK121" s="115">
        <v>-85</v>
      </c>
      <c r="AL121" s="115">
        <v>0</v>
      </c>
      <c r="AM121" s="513">
        <v>0</v>
      </c>
      <c r="AN121" s="115">
        <v>0</v>
      </c>
      <c r="AO121" s="115">
        <v>0</v>
      </c>
      <c r="AP121" s="115">
        <v>0</v>
      </c>
      <c r="AQ121" s="115">
        <v>0</v>
      </c>
      <c r="AR121" s="115">
        <v>0</v>
      </c>
      <c r="AS121" s="115">
        <v>0</v>
      </c>
      <c r="AT121" s="115">
        <v>0</v>
      </c>
      <c r="AU121" s="115">
        <v>0</v>
      </c>
      <c r="AV121" s="115">
        <v>0</v>
      </c>
      <c r="AW121" s="185">
        <v>0</v>
      </c>
      <c r="AY121" s="184"/>
      <c r="BK121" s="184"/>
      <c r="BW121" s="184"/>
      <c r="CI121" s="184"/>
      <c r="CU121" s="184"/>
    </row>
    <row r="122" spans="1:111" x14ac:dyDescent="0.3">
      <c r="A122" s="3"/>
      <c r="B122" s="4" t="s">
        <v>24</v>
      </c>
      <c r="C122" s="4"/>
      <c r="D122" s="55">
        <f t="shared" ref="D122:I122" si="906">(((D117)+(D118))+(D119))+(D120)</f>
        <v>0</v>
      </c>
      <c r="E122" s="55">
        <f t="shared" si="906"/>
        <v>0</v>
      </c>
      <c r="F122" s="55">
        <f t="shared" si="906"/>
        <v>0</v>
      </c>
      <c r="G122" s="55">
        <f t="shared" si="906"/>
        <v>0</v>
      </c>
      <c r="H122" s="55">
        <f t="shared" si="906"/>
        <v>0</v>
      </c>
      <c r="I122" s="55">
        <f t="shared" si="906"/>
        <v>0</v>
      </c>
      <c r="J122" s="55">
        <f>SUM(J117:J120)</f>
        <v>0</v>
      </c>
      <c r="K122" s="55">
        <f t="shared" ref="K122:P122" si="907">SUM(K117:K120)</f>
        <v>255</v>
      </c>
      <c r="L122" s="55">
        <f t="shared" si="907"/>
        <v>478</v>
      </c>
      <c r="M122" s="55">
        <f t="shared" si="907"/>
        <v>1020.3600000000001</v>
      </c>
      <c r="N122" s="55">
        <f t="shared" si="907"/>
        <v>862.4</v>
      </c>
      <c r="O122" s="55">
        <f t="shared" si="907"/>
        <v>-55.9</v>
      </c>
      <c r="P122" s="55">
        <f t="shared" si="907"/>
        <v>169.95999999999998</v>
      </c>
      <c r="Q122" s="55">
        <f t="shared" ref="Q122:W122" si="908">SUM(Q117:Q120)</f>
        <v>212.95</v>
      </c>
      <c r="R122" s="55">
        <f t="shared" si="908"/>
        <v>127.39</v>
      </c>
      <c r="S122" s="55">
        <f t="shared" si="908"/>
        <v>395.42</v>
      </c>
      <c r="T122" s="55">
        <f t="shared" si="908"/>
        <v>300.20999999999998</v>
      </c>
      <c r="U122" s="55">
        <f t="shared" si="908"/>
        <v>433.57</v>
      </c>
      <c r="V122" s="55">
        <f t="shared" si="908"/>
        <v>566.73</v>
      </c>
      <c r="W122" s="55">
        <f t="shared" si="908"/>
        <v>503.45</v>
      </c>
      <c r="X122" s="55">
        <f t="shared" ref="X122" si="909">SUM(X117:X120)</f>
        <v>741.18000000000006</v>
      </c>
      <c r="Y122" s="55">
        <f>SUM(Y117:Y121)</f>
        <v>653.29999999999995</v>
      </c>
      <c r="Z122" s="55">
        <f t="shared" ref="Z122:AD122" si="910">SUM(Z117:Z121)</f>
        <v>727.49</v>
      </c>
      <c r="AA122" s="55">
        <f t="shared" si="910"/>
        <v>997.02</v>
      </c>
      <c r="AB122" s="55">
        <f t="shared" si="910"/>
        <v>1291.78</v>
      </c>
      <c r="AC122" s="55">
        <f t="shared" si="910"/>
        <v>551.32000000000005</v>
      </c>
      <c r="AD122" s="55">
        <f t="shared" si="910"/>
        <v>177.79</v>
      </c>
      <c r="AE122" s="55">
        <f t="shared" ref="AE122" si="911">SUM(AE117:AE121)</f>
        <v>1342.99</v>
      </c>
      <c r="AF122" s="55">
        <f t="shared" ref="AF122:AG122" si="912">SUM(AF117:AF121)</f>
        <v>1278.0899999999999</v>
      </c>
      <c r="AG122" s="55">
        <f t="shared" si="912"/>
        <v>1615.6999999999998</v>
      </c>
      <c r="AH122" s="55">
        <f t="shared" ref="AH122" si="913">SUM(AH117:AH121)</f>
        <v>3158.98</v>
      </c>
      <c r="AI122" s="55">
        <f t="shared" ref="AI122:AJ122" si="914">SUM(AI117:AI121)</f>
        <v>3192.6</v>
      </c>
      <c r="AJ122" s="55">
        <f t="shared" si="914"/>
        <v>4237.5200000000004</v>
      </c>
      <c r="AK122" s="55">
        <f t="shared" ref="AK122:AL122" si="915">SUM(AK117:AK121)</f>
        <v>5429.67</v>
      </c>
      <c r="AL122" s="55">
        <f t="shared" si="915"/>
        <v>3714.3999999999996</v>
      </c>
      <c r="AM122" s="514">
        <f t="shared" ref="AM122:AN122" si="916">SUM(AM117:AM121)</f>
        <v>292.83</v>
      </c>
      <c r="AN122" s="55">
        <f t="shared" si="916"/>
        <v>3823.59</v>
      </c>
      <c r="AO122" s="55">
        <f t="shared" ref="AO122:AP122" si="917">SUM(AO117:AO121)</f>
        <v>494.25</v>
      </c>
      <c r="AP122" s="55">
        <f t="shared" si="917"/>
        <v>985.19</v>
      </c>
      <c r="AQ122" s="55">
        <f t="shared" ref="AQ122:AR122" si="918">SUM(AQ117:AQ121)</f>
        <v>1331.53</v>
      </c>
      <c r="AR122" s="55">
        <f t="shared" si="918"/>
        <v>557.07999999999993</v>
      </c>
      <c r="AS122" s="55">
        <f t="shared" ref="AS122:AT122" si="919">SUM(AS117:AS121)</f>
        <v>1059.5</v>
      </c>
      <c r="AT122" s="55">
        <f t="shared" si="919"/>
        <v>3158.8300000000004</v>
      </c>
      <c r="AU122" s="55">
        <f t="shared" ref="AU122:AV122" si="920">SUM(AU117:AU121)</f>
        <v>3999.4700000000003</v>
      </c>
      <c r="AV122" s="55">
        <f t="shared" si="920"/>
        <v>6133.2</v>
      </c>
      <c r="AW122" s="305">
        <f t="shared" ref="AW122" si="921">SUM(AW117:AW121)</f>
        <v>10262.869999999999</v>
      </c>
      <c r="AX122" s="55">
        <f>AW122+AX171</f>
        <v>31672.692830222062</v>
      </c>
      <c r="AY122" s="305">
        <f t="shared" ref="AY122:BW122" si="922">AX122+AY171</f>
        <v>33443.471954650413</v>
      </c>
      <c r="AZ122" s="55">
        <f t="shared" si="922"/>
        <v>34481.555928780057</v>
      </c>
      <c r="BA122" s="55">
        <f t="shared" si="922"/>
        <v>33113.497952618993</v>
      </c>
      <c r="BB122" s="55">
        <f t="shared" si="922"/>
        <v>35905.299272422744</v>
      </c>
      <c r="BC122" s="55">
        <f t="shared" si="922"/>
        <v>32138.613897397925</v>
      </c>
      <c r="BD122" s="55">
        <f t="shared" si="922"/>
        <v>31827.96560035841</v>
      </c>
      <c r="BE122" s="55">
        <f t="shared" si="922"/>
        <v>32486.464243393875</v>
      </c>
      <c r="BF122" s="55">
        <f t="shared" si="922"/>
        <v>34013.013831535609</v>
      </c>
      <c r="BG122" s="55">
        <f t="shared" si="922"/>
        <v>34081.717091194943</v>
      </c>
      <c r="BH122" s="55">
        <f t="shared" si="922"/>
        <v>36859.227007487571</v>
      </c>
      <c r="BI122" s="55">
        <f t="shared" si="922"/>
        <v>46693.424127902894</v>
      </c>
      <c r="BJ122" s="55">
        <f t="shared" si="922"/>
        <v>49669.19872761779</v>
      </c>
      <c r="BK122" s="305">
        <f t="shared" si="922"/>
        <v>51151.723136391316</v>
      </c>
      <c r="BL122" s="55">
        <f t="shared" si="922"/>
        <v>52019.482560308767</v>
      </c>
      <c r="BM122" s="55">
        <f t="shared" si="922"/>
        <v>48823.081007542889</v>
      </c>
      <c r="BN122" s="55">
        <f t="shared" si="922"/>
        <v>54314.657728601669</v>
      </c>
      <c r="BO122" s="55">
        <f t="shared" si="922"/>
        <v>49406.185685079254</v>
      </c>
      <c r="BP122" s="55">
        <f t="shared" si="922"/>
        <v>48759.436648426316</v>
      </c>
      <c r="BQ122" s="55">
        <f t="shared" si="922"/>
        <v>48990.22915856789</v>
      </c>
      <c r="BR122" s="55">
        <f t="shared" si="922"/>
        <v>48957.705402300504</v>
      </c>
      <c r="BS122" s="55">
        <f t="shared" si="922"/>
        <v>47973.896545017131</v>
      </c>
      <c r="BT122" s="55">
        <f t="shared" si="922"/>
        <v>51652.880436042498</v>
      </c>
      <c r="BU122" s="55">
        <f t="shared" si="922"/>
        <v>62540.258748221546</v>
      </c>
      <c r="BV122" s="55">
        <f t="shared" si="922"/>
        <v>66816.323137525207</v>
      </c>
      <c r="BW122" s="305">
        <f t="shared" si="922"/>
        <v>67874.560078685987</v>
      </c>
      <c r="BX122" s="55">
        <f t="shared" ref="BX122:DG122" si="923">BW122+BX171</f>
        <v>63936.521184037345</v>
      </c>
      <c r="BY122" s="55">
        <f t="shared" si="923"/>
        <v>54819.645177958293</v>
      </c>
      <c r="BZ122" s="55">
        <f t="shared" si="923"/>
        <v>62603.877189518789</v>
      </c>
      <c r="CA122" s="55">
        <f t="shared" si="923"/>
        <v>50357.363429998295</v>
      </c>
      <c r="CB122" s="55">
        <f t="shared" si="923"/>
        <v>47808.079707237404</v>
      </c>
      <c r="CC122" s="55">
        <f t="shared" si="923"/>
        <v>45645.464087502754</v>
      </c>
      <c r="CD122" s="55">
        <f t="shared" si="923"/>
        <v>39925.643601914497</v>
      </c>
      <c r="CE122" s="55">
        <f t="shared" si="923"/>
        <v>35184.195614547047</v>
      </c>
      <c r="CF122" s="55">
        <f t="shared" si="923"/>
        <v>33328.992723728021</v>
      </c>
      <c r="CG122" s="55">
        <f t="shared" si="923"/>
        <v>44866.223587570494</v>
      </c>
      <c r="CH122" s="55">
        <f t="shared" si="923"/>
        <v>50403.704401035837</v>
      </c>
      <c r="CI122" s="305">
        <f t="shared" si="923"/>
        <v>42900.465058660193</v>
      </c>
      <c r="CJ122" s="55">
        <f t="shared" si="923"/>
        <v>37748.495670427059</v>
      </c>
      <c r="CK122" s="55">
        <f t="shared" si="923"/>
        <v>23772.996653961425</v>
      </c>
      <c r="CL122" s="55">
        <f t="shared" si="923"/>
        <v>31303.332406402664</v>
      </c>
      <c r="CM122" s="55">
        <f t="shared" si="923"/>
        <v>12691.668706464785</v>
      </c>
      <c r="CN122" s="55">
        <f t="shared" si="923"/>
        <v>9128.8752017539609</v>
      </c>
      <c r="CO122" s="55">
        <f t="shared" si="923"/>
        <v>1910.6489878178263</v>
      </c>
      <c r="CP122" s="55">
        <f t="shared" si="923"/>
        <v>-8092.0021740722323</v>
      </c>
      <c r="CQ122" s="55">
        <f t="shared" si="923"/>
        <v>-15171.740305985866</v>
      </c>
      <c r="CR122" s="55">
        <f t="shared" si="923"/>
        <v>-24383.385309207406</v>
      </c>
      <c r="CS122" s="55">
        <f t="shared" si="923"/>
        <v>-10078.868386675054</v>
      </c>
      <c r="CT122" s="55">
        <f t="shared" si="923"/>
        <v>-4332.2751148486022</v>
      </c>
      <c r="CU122" s="305">
        <f t="shared" si="923"/>
        <v>-17944.635060195029</v>
      </c>
      <c r="CV122" s="55">
        <f t="shared" si="923"/>
        <v>-26177.939739310546</v>
      </c>
      <c r="CW122" s="55">
        <f t="shared" si="923"/>
        <v>-44484.705704393775</v>
      </c>
      <c r="CX122" s="55">
        <f t="shared" si="923"/>
        <v>-38395.907896645018</v>
      </c>
      <c r="CY122" s="55">
        <f t="shared" si="923"/>
        <v>-64611.488213535311</v>
      </c>
      <c r="CZ122" s="55">
        <f t="shared" si="923"/>
        <v>-68602.350797497769</v>
      </c>
      <c r="DA122" s="55">
        <f t="shared" si="923"/>
        <v>-82690.40917557395</v>
      </c>
      <c r="DB122" s="55">
        <f t="shared" si="923"/>
        <v>-95130.024100510083</v>
      </c>
      <c r="DC122" s="55">
        <f t="shared" si="923"/>
        <v>-109886.34662532882</v>
      </c>
      <c r="DD122" s="55">
        <f t="shared" si="923"/>
        <v>-123215.57220188176</v>
      </c>
      <c r="DE122" s="55">
        <f t="shared" si="923"/>
        <v>-100799.72032190624</v>
      </c>
      <c r="DF122" s="55">
        <f t="shared" si="923"/>
        <v>-97667.192933594459</v>
      </c>
      <c r="DG122" s="55">
        <f t="shared" si="923"/>
        <v>-50535.905146195917</v>
      </c>
    </row>
    <row r="123" spans="1:111" x14ac:dyDescent="0.3">
      <c r="B123" s="1" t="s">
        <v>25</v>
      </c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W123" s="184"/>
      <c r="AY123" s="184"/>
      <c r="BK123" s="184"/>
      <c r="BW123" s="184"/>
      <c r="CI123" s="184"/>
      <c r="CU123" s="184"/>
    </row>
    <row r="124" spans="1:111" x14ac:dyDescent="0.3">
      <c r="B124" s="1" t="s">
        <v>26</v>
      </c>
      <c r="C124" s="1"/>
      <c r="D124" s="115">
        <f>0</f>
        <v>0</v>
      </c>
      <c r="E124" s="115">
        <f>0</f>
        <v>0</v>
      </c>
      <c r="F124" s="115">
        <f>0</f>
        <v>0</v>
      </c>
      <c r="G124" s="115">
        <f>0</f>
        <v>0</v>
      </c>
      <c r="H124" s="115">
        <f>0</f>
        <v>0</v>
      </c>
      <c r="I124" s="115">
        <f>0</f>
        <v>0</v>
      </c>
      <c r="J124" s="113">
        <v>0</v>
      </c>
      <c r="K124" s="113">
        <v>375</v>
      </c>
      <c r="L124" s="113">
        <v>1200</v>
      </c>
      <c r="M124" s="113">
        <v>2365</v>
      </c>
      <c r="N124" s="115">
        <v>960</v>
      </c>
      <c r="O124" s="115">
        <v>900</v>
      </c>
      <c r="P124" s="115">
        <v>60</v>
      </c>
      <c r="Q124" s="115">
        <v>69</v>
      </c>
      <c r="R124" s="115">
        <v>75</v>
      </c>
      <c r="S124" s="115">
        <v>187.5</v>
      </c>
      <c r="T124" s="115">
        <v>35.93</v>
      </c>
      <c r="U124" s="115">
        <v>390</v>
      </c>
      <c r="V124" s="115">
        <v>270</v>
      </c>
      <c r="W124" s="115">
        <v>90</v>
      </c>
      <c r="X124" s="115">
        <v>1112</v>
      </c>
      <c r="Y124" s="115">
        <v>300</v>
      </c>
      <c r="Z124" s="115">
        <v>160</v>
      </c>
      <c r="AA124" s="115">
        <v>60</v>
      </c>
      <c r="AB124" s="115">
        <v>240</v>
      </c>
      <c r="AC124" s="115">
        <v>435</v>
      </c>
      <c r="AD124" s="115">
        <v>75</v>
      </c>
      <c r="AE124" s="115">
        <v>457.5</v>
      </c>
      <c r="AF124" s="115">
        <v>995</v>
      </c>
      <c r="AG124" s="115">
        <v>725.01</v>
      </c>
      <c r="AH124" s="115">
        <v>2460.0100000000002</v>
      </c>
      <c r="AI124" s="115">
        <v>3316.89</v>
      </c>
      <c r="AJ124" s="115">
        <v>3162.5</v>
      </c>
      <c r="AK124" s="115">
        <v>3155</v>
      </c>
      <c r="AL124" s="115">
        <v>3395</v>
      </c>
      <c r="AM124" s="513">
        <v>3370</v>
      </c>
      <c r="AN124" s="115">
        <v>2263.75</v>
      </c>
      <c r="AO124" s="115">
        <v>2736.75</v>
      </c>
      <c r="AP124" s="115">
        <v>1437.5</v>
      </c>
      <c r="AQ124" s="115">
        <v>752.5</v>
      </c>
      <c r="AR124" s="115">
        <v>2214.75</v>
      </c>
      <c r="AS124" s="115">
        <v>3207.25</v>
      </c>
      <c r="AT124" s="115">
        <v>4196.25</v>
      </c>
      <c r="AU124" s="115">
        <v>4147.5</v>
      </c>
      <c r="AV124" s="115">
        <f>11337.5</f>
        <v>11337.5</v>
      </c>
      <c r="AW124" s="185">
        <f>20771.25</f>
        <v>20771.25</v>
      </c>
      <c r="AX124" s="115">
        <f t="shared" ref="AX124:CC124" si="924">(AX126*AX14)/30.4333</f>
        <v>2100.0412313217021</v>
      </c>
      <c r="AY124" s="185">
        <f t="shared" si="924"/>
        <v>1935.1401707536204</v>
      </c>
      <c r="AZ124" s="113">
        <f t="shared" si="924"/>
        <v>2478.1281757402571</v>
      </c>
      <c r="BA124" s="113">
        <f t="shared" si="924"/>
        <v>2585.3566216039153</v>
      </c>
      <c r="BB124" s="113">
        <f t="shared" si="924"/>
        <v>2833.9298164076258</v>
      </c>
      <c r="BC124" s="113">
        <f t="shared" si="924"/>
        <v>1344.8778316520606</v>
      </c>
      <c r="BD124" s="113">
        <f t="shared" si="924"/>
        <v>2430.7666992844561</v>
      </c>
      <c r="BE124" s="113">
        <f t="shared" si="924"/>
        <v>2144.1335027697583</v>
      </c>
      <c r="BF124" s="113">
        <f t="shared" si="924"/>
        <v>3255.4645194682398</v>
      </c>
      <c r="BG124" s="113">
        <f t="shared" si="924"/>
        <v>3481.3776476429698</v>
      </c>
      <c r="BH124" s="113">
        <f t="shared" si="924"/>
        <v>4903.6803639381915</v>
      </c>
      <c r="BI124" s="113">
        <f t="shared" si="924"/>
        <v>5731.4068389470967</v>
      </c>
      <c r="BJ124" s="113">
        <f t="shared" si="924"/>
        <v>2691.8915611382799</v>
      </c>
      <c r="BK124" s="185">
        <f t="shared" si="924"/>
        <v>3824.009512702999</v>
      </c>
      <c r="BL124" s="113">
        <f t="shared" si="924"/>
        <v>4179.1033880334344</v>
      </c>
      <c r="BM124" s="113">
        <f t="shared" si="924"/>
        <v>4250.5871355678355</v>
      </c>
      <c r="BN124" s="113">
        <f t="shared" si="924"/>
        <v>4705.7313770364754</v>
      </c>
      <c r="BO124" s="113">
        <f t="shared" si="924"/>
        <v>2065.1665503626705</v>
      </c>
      <c r="BP124" s="113">
        <f t="shared" si="924"/>
        <v>3601.3876784736608</v>
      </c>
      <c r="BQ124" s="113">
        <f t="shared" si="924"/>
        <v>3115.5340393031111</v>
      </c>
      <c r="BR124" s="113">
        <f t="shared" si="924"/>
        <v>4442.4558069975728</v>
      </c>
      <c r="BS124" s="113">
        <f t="shared" si="924"/>
        <v>5190.4454928306568</v>
      </c>
      <c r="BT124" s="113">
        <f t="shared" si="924"/>
        <v>6944.7060520822224</v>
      </c>
      <c r="BU124" s="113">
        <f t="shared" si="924"/>
        <v>7725.1580021996642</v>
      </c>
      <c r="BV124" s="113">
        <f t="shared" si="924"/>
        <v>3981.2265528157682</v>
      </c>
      <c r="BW124" s="185">
        <f t="shared" si="924"/>
        <v>5387.4341566347539</v>
      </c>
      <c r="BX124" s="113">
        <f t="shared" si="924"/>
        <v>5897.6324733941592</v>
      </c>
      <c r="BY124" s="113">
        <f t="shared" si="924"/>
        <v>6325.6713527867059</v>
      </c>
      <c r="BZ124" s="113">
        <f t="shared" si="924"/>
        <v>6682.9836973402489</v>
      </c>
      <c r="CA124" s="113">
        <f t="shared" si="924"/>
        <v>2678.6245313292902</v>
      </c>
      <c r="CB124" s="113">
        <f t="shared" si="924"/>
        <v>5615.214077495014</v>
      </c>
      <c r="CC124" s="113">
        <f t="shared" si="924"/>
        <v>4437.5790786413236</v>
      </c>
      <c r="CD124" s="113">
        <f t="shared" ref="CD124:DG124" si="925">(CD126*CD14)/30.4333</f>
        <v>6042.3271834165726</v>
      </c>
      <c r="CE124" s="113">
        <f t="shared" si="925"/>
        <v>7758.7392407751659</v>
      </c>
      <c r="CF124" s="113">
        <f t="shared" si="925"/>
        <v>9447.7150726315394</v>
      </c>
      <c r="CG124" s="113">
        <f t="shared" si="925"/>
        <v>11520.127746283659</v>
      </c>
      <c r="CH124" s="113">
        <f t="shared" si="925"/>
        <v>5656.5144984744711</v>
      </c>
      <c r="CI124" s="185">
        <f t="shared" si="925"/>
        <v>6989.4792575913361</v>
      </c>
      <c r="CJ124" s="113">
        <f t="shared" si="925"/>
        <v>9120.0663015893097</v>
      </c>
      <c r="CK124" s="113">
        <f t="shared" si="925"/>
        <v>8476.3009947370956</v>
      </c>
      <c r="CL124" s="113">
        <f t="shared" si="925"/>
        <v>8994.8024061939395</v>
      </c>
      <c r="CM124" s="113">
        <f t="shared" si="925"/>
        <v>3948.1265164453648</v>
      </c>
      <c r="CN124" s="113">
        <f t="shared" si="925"/>
        <v>7902.6713990865292</v>
      </c>
      <c r="CO124" s="113">
        <f t="shared" si="925"/>
        <v>5930.2193141843109</v>
      </c>
      <c r="CP124" s="113">
        <f t="shared" si="925"/>
        <v>8862.0798690109677</v>
      </c>
      <c r="CQ124" s="113">
        <f t="shared" si="925"/>
        <v>10832.814123631457</v>
      </c>
      <c r="CR124" s="113">
        <f t="shared" si="925"/>
        <v>12539.096308307195</v>
      </c>
      <c r="CS124" s="113">
        <f t="shared" si="925"/>
        <v>16843.229915330638</v>
      </c>
      <c r="CT124" s="113">
        <f t="shared" si="925"/>
        <v>7910.8405654110175</v>
      </c>
      <c r="CU124" s="185">
        <f t="shared" si="925"/>
        <v>9805.8575581890764</v>
      </c>
      <c r="CV124" s="113">
        <f t="shared" si="925"/>
        <v>12819.446050481656</v>
      </c>
      <c r="CW124" s="113">
        <f t="shared" si="925"/>
        <v>11898.37578589805</v>
      </c>
      <c r="CX124" s="113">
        <f t="shared" si="925"/>
        <v>12052.840251249689</v>
      </c>
      <c r="CY124" s="113">
        <f t="shared" si="925"/>
        <v>5818.2124644304422</v>
      </c>
      <c r="CZ124" s="113">
        <f t="shared" si="925"/>
        <v>11125.797494611406</v>
      </c>
      <c r="DA124" s="113">
        <f t="shared" si="925"/>
        <v>7984.5139506418873</v>
      </c>
      <c r="DB124" s="113">
        <f t="shared" si="925"/>
        <v>13072.053524410425</v>
      </c>
      <c r="DC124" s="113">
        <f t="shared" si="925"/>
        <v>14590.976030252084</v>
      </c>
      <c r="DD124" s="113">
        <f t="shared" si="925"/>
        <v>18523.596540153976</v>
      </c>
      <c r="DE124" s="113">
        <f t="shared" si="925"/>
        <v>23742.953592260008</v>
      </c>
      <c r="DF124" s="113">
        <f t="shared" si="925"/>
        <v>10627.083331532282</v>
      </c>
      <c r="DG124" s="113">
        <f t="shared" si="925"/>
        <v>14489.758977331261</v>
      </c>
    </row>
    <row r="125" spans="1:111" x14ac:dyDescent="0.3">
      <c r="A125" s="5"/>
      <c r="B125" s="6" t="s">
        <v>27</v>
      </c>
      <c r="C125" s="6"/>
      <c r="D125" s="54">
        <f>D124</f>
        <v>0</v>
      </c>
      <c r="E125" s="54">
        <f t="shared" ref="E125:M125" si="926">E124</f>
        <v>0</v>
      </c>
      <c r="F125" s="54">
        <f t="shared" si="926"/>
        <v>0</v>
      </c>
      <c r="G125" s="54">
        <f t="shared" si="926"/>
        <v>0</v>
      </c>
      <c r="H125" s="54">
        <f t="shared" si="926"/>
        <v>0</v>
      </c>
      <c r="I125" s="54">
        <f t="shared" si="926"/>
        <v>0</v>
      </c>
      <c r="J125" s="54">
        <f t="shared" si="926"/>
        <v>0</v>
      </c>
      <c r="K125" s="54">
        <f t="shared" si="926"/>
        <v>375</v>
      </c>
      <c r="L125" s="54">
        <f t="shared" si="926"/>
        <v>1200</v>
      </c>
      <c r="M125" s="54">
        <f t="shared" si="926"/>
        <v>2365</v>
      </c>
      <c r="N125" s="54">
        <f>N124</f>
        <v>960</v>
      </c>
      <c r="O125" s="54">
        <f>O124</f>
        <v>900</v>
      </c>
      <c r="P125" s="54">
        <f t="shared" ref="P125:BZ125" si="927">P124</f>
        <v>60</v>
      </c>
      <c r="Q125" s="54">
        <f t="shared" ref="Q125:W125" si="928">Q124</f>
        <v>69</v>
      </c>
      <c r="R125" s="54">
        <f t="shared" si="928"/>
        <v>75</v>
      </c>
      <c r="S125" s="54">
        <f t="shared" si="928"/>
        <v>187.5</v>
      </c>
      <c r="T125" s="54">
        <f t="shared" si="928"/>
        <v>35.93</v>
      </c>
      <c r="U125" s="54">
        <f t="shared" si="928"/>
        <v>390</v>
      </c>
      <c r="V125" s="54">
        <f t="shared" si="928"/>
        <v>270</v>
      </c>
      <c r="W125" s="54">
        <f t="shared" si="928"/>
        <v>90</v>
      </c>
      <c r="X125" s="54">
        <f t="shared" ref="X125:Y125" si="929">X124</f>
        <v>1112</v>
      </c>
      <c r="Y125" s="54">
        <f t="shared" si="929"/>
        <v>300</v>
      </c>
      <c r="Z125" s="54">
        <f t="shared" ref="Z125:AA125" si="930">Z124</f>
        <v>160</v>
      </c>
      <c r="AA125" s="54">
        <f t="shared" si="930"/>
        <v>60</v>
      </c>
      <c r="AB125" s="54">
        <f t="shared" ref="AB125" si="931">AB124</f>
        <v>240</v>
      </c>
      <c r="AC125" s="54">
        <f t="shared" ref="AC125:AD125" si="932">AC124</f>
        <v>435</v>
      </c>
      <c r="AD125" s="54">
        <f t="shared" si="932"/>
        <v>75</v>
      </c>
      <c r="AE125" s="54">
        <f t="shared" ref="AE125" si="933">AE124</f>
        <v>457.5</v>
      </c>
      <c r="AF125" s="54">
        <f t="shared" ref="AF125:AG125" si="934">AF124</f>
        <v>995</v>
      </c>
      <c r="AG125" s="54">
        <f t="shared" si="934"/>
        <v>725.01</v>
      </c>
      <c r="AH125" s="54">
        <f t="shared" ref="AH125" si="935">AH124</f>
        <v>2460.0100000000002</v>
      </c>
      <c r="AI125" s="54">
        <f t="shared" ref="AI125:AJ125" si="936">AI124</f>
        <v>3316.89</v>
      </c>
      <c r="AJ125" s="54">
        <f t="shared" si="936"/>
        <v>3162.5</v>
      </c>
      <c r="AK125" s="54">
        <f t="shared" ref="AK125" si="937">AK124</f>
        <v>3155</v>
      </c>
      <c r="AL125" s="54">
        <f t="shared" ref="AL125:AM125" si="938">AL124</f>
        <v>3395</v>
      </c>
      <c r="AM125" s="566">
        <f t="shared" si="938"/>
        <v>3370</v>
      </c>
      <c r="AN125" s="54">
        <f t="shared" ref="AN125:AO125" si="939">AN124</f>
        <v>2263.75</v>
      </c>
      <c r="AO125" s="54">
        <f t="shared" si="939"/>
        <v>2736.75</v>
      </c>
      <c r="AP125" s="54">
        <f t="shared" ref="AP125:AQ125" si="940">AP124</f>
        <v>1437.5</v>
      </c>
      <c r="AQ125" s="54">
        <f t="shared" si="940"/>
        <v>752.5</v>
      </c>
      <c r="AR125" s="54">
        <f t="shared" ref="AR125:AS125" si="941">AR124</f>
        <v>2214.75</v>
      </c>
      <c r="AS125" s="54">
        <f t="shared" si="941"/>
        <v>3207.25</v>
      </c>
      <c r="AT125" s="54">
        <f t="shared" ref="AT125:AU125" si="942">AT124</f>
        <v>4196.25</v>
      </c>
      <c r="AU125" s="54">
        <f t="shared" si="942"/>
        <v>4147.5</v>
      </c>
      <c r="AV125" s="54">
        <f t="shared" ref="AV125:AW125" si="943">AV124</f>
        <v>11337.5</v>
      </c>
      <c r="AW125" s="307">
        <f t="shared" si="943"/>
        <v>20771.25</v>
      </c>
      <c r="AX125" s="54">
        <f t="shared" ref="AX125" si="944">AX124</f>
        <v>2100.0412313217021</v>
      </c>
      <c r="AY125" s="307">
        <f t="shared" si="927"/>
        <v>1935.1401707536204</v>
      </c>
      <c r="AZ125" s="54">
        <f t="shared" si="927"/>
        <v>2478.1281757402571</v>
      </c>
      <c r="BA125" s="54">
        <f t="shared" si="927"/>
        <v>2585.3566216039153</v>
      </c>
      <c r="BB125" s="54">
        <f t="shared" si="927"/>
        <v>2833.9298164076258</v>
      </c>
      <c r="BC125" s="54">
        <f t="shared" si="927"/>
        <v>1344.8778316520606</v>
      </c>
      <c r="BD125" s="54">
        <f t="shared" si="927"/>
        <v>2430.7666992844561</v>
      </c>
      <c r="BE125" s="54">
        <f t="shared" si="927"/>
        <v>2144.1335027697583</v>
      </c>
      <c r="BF125" s="54">
        <f t="shared" si="927"/>
        <v>3255.4645194682398</v>
      </c>
      <c r="BG125" s="54">
        <f t="shared" si="927"/>
        <v>3481.3776476429698</v>
      </c>
      <c r="BH125" s="54">
        <f t="shared" si="927"/>
        <v>4903.6803639381915</v>
      </c>
      <c r="BI125" s="54">
        <f t="shared" si="927"/>
        <v>5731.4068389470967</v>
      </c>
      <c r="BJ125" s="54">
        <f t="shared" si="927"/>
        <v>2691.8915611382799</v>
      </c>
      <c r="BK125" s="307">
        <f t="shared" si="927"/>
        <v>3824.009512702999</v>
      </c>
      <c r="BL125" s="54">
        <f t="shared" si="927"/>
        <v>4179.1033880334344</v>
      </c>
      <c r="BM125" s="54">
        <f t="shared" si="927"/>
        <v>4250.5871355678355</v>
      </c>
      <c r="BN125" s="54">
        <f t="shared" si="927"/>
        <v>4705.7313770364754</v>
      </c>
      <c r="BO125" s="54">
        <f t="shared" si="927"/>
        <v>2065.1665503626705</v>
      </c>
      <c r="BP125" s="54">
        <f t="shared" si="927"/>
        <v>3601.3876784736608</v>
      </c>
      <c r="BQ125" s="54">
        <f t="shared" si="927"/>
        <v>3115.5340393031111</v>
      </c>
      <c r="BR125" s="54">
        <f t="shared" si="927"/>
        <v>4442.4558069975728</v>
      </c>
      <c r="BS125" s="54">
        <f t="shared" si="927"/>
        <v>5190.4454928306568</v>
      </c>
      <c r="BT125" s="54">
        <f t="shared" si="927"/>
        <v>6944.7060520822224</v>
      </c>
      <c r="BU125" s="54">
        <f t="shared" si="927"/>
        <v>7725.1580021996642</v>
      </c>
      <c r="BV125" s="54">
        <f t="shared" si="927"/>
        <v>3981.2265528157682</v>
      </c>
      <c r="BW125" s="307">
        <f t="shared" si="927"/>
        <v>5387.4341566347539</v>
      </c>
      <c r="BX125" s="54">
        <f t="shared" si="927"/>
        <v>5897.6324733941592</v>
      </c>
      <c r="BY125" s="54">
        <f t="shared" si="927"/>
        <v>6325.6713527867059</v>
      </c>
      <c r="BZ125" s="54">
        <f t="shared" si="927"/>
        <v>6682.9836973402489</v>
      </c>
      <c r="CA125" s="54">
        <f t="shared" ref="CA125:DG125" si="945">CA124</f>
        <v>2678.6245313292902</v>
      </c>
      <c r="CB125" s="54">
        <f t="shared" si="945"/>
        <v>5615.214077495014</v>
      </c>
      <c r="CC125" s="54">
        <f t="shared" si="945"/>
        <v>4437.5790786413236</v>
      </c>
      <c r="CD125" s="54">
        <f t="shared" si="945"/>
        <v>6042.3271834165726</v>
      </c>
      <c r="CE125" s="54">
        <f t="shared" si="945"/>
        <v>7758.7392407751659</v>
      </c>
      <c r="CF125" s="54">
        <f t="shared" si="945"/>
        <v>9447.7150726315394</v>
      </c>
      <c r="CG125" s="54">
        <f t="shared" si="945"/>
        <v>11520.127746283659</v>
      </c>
      <c r="CH125" s="54">
        <f t="shared" si="945"/>
        <v>5656.5144984744711</v>
      </c>
      <c r="CI125" s="307">
        <f t="shared" si="945"/>
        <v>6989.4792575913361</v>
      </c>
      <c r="CJ125" s="54">
        <f t="shared" si="945"/>
        <v>9120.0663015893097</v>
      </c>
      <c r="CK125" s="54">
        <f t="shared" si="945"/>
        <v>8476.3009947370956</v>
      </c>
      <c r="CL125" s="54">
        <f t="shared" si="945"/>
        <v>8994.8024061939395</v>
      </c>
      <c r="CM125" s="54">
        <f t="shared" si="945"/>
        <v>3948.1265164453648</v>
      </c>
      <c r="CN125" s="54">
        <f t="shared" si="945"/>
        <v>7902.6713990865292</v>
      </c>
      <c r="CO125" s="54">
        <f t="shared" si="945"/>
        <v>5930.2193141843109</v>
      </c>
      <c r="CP125" s="54">
        <f t="shared" si="945"/>
        <v>8862.0798690109677</v>
      </c>
      <c r="CQ125" s="54">
        <f t="shared" si="945"/>
        <v>10832.814123631457</v>
      </c>
      <c r="CR125" s="54">
        <f t="shared" si="945"/>
        <v>12539.096308307195</v>
      </c>
      <c r="CS125" s="54">
        <f t="shared" si="945"/>
        <v>16843.229915330638</v>
      </c>
      <c r="CT125" s="54">
        <f t="shared" si="945"/>
        <v>7910.8405654110175</v>
      </c>
      <c r="CU125" s="307">
        <f t="shared" si="945"/>
        <v>9805.8575581890764</v>
      </c>
      <c r="CV125" s="54">
        <f t="shared" si="945"/>
        <v>12819.446050481656</v>
      </c>
      <c r="CW125" s="54">
        <f t="shared" si="945"/>
        <v>11898.37578589805</v>
      </c>
      <c r="CX125" s="54">
        <f t="shared" si="945"/>
        <v>12052.840251249689</v>
      </c>
      <c r="CY125" s="54">
        <f t="shared" si="945"/>
        <v>5818.2124644304422</v>
      </c>
      <c r="CZ125" s="54">
        <f t="shared" si="945"/>
        <v>11125.797494611406</v>
      </c>
      <c r="DA125" s="54">
        <f t="shared" si="945"/>
        <v>7984.5139506418873</v>
      </c>
      <c r="DB125" s="54">
        <f t="shared" si="945"/>
        <v>13072.053524410425</v>
      </c>
      <c r="DC125" s="54">
        <f t="shared" si="945"/>
        <v>14590.976030252084</v>
      </c>
      <c r="DD125" s="54">
        <f t="shared" si="945"/>
        <v>18523.596540153976</v>
      </c>
      <c r="DE125" s="54">
        <f t="shared" si="945"/>
        <v>23742.953592260008</v>
      </c>
      <c r="DF125" s="54">
        <f t="shared" si="945"/>
        <v>10627.083331532282</v>
      </c>
      <c r="DG125" s="54">
        <f t="shared" si="945"/>
        <v>14489.758977331261</v>
      </c>
    </row>
    <row r="126" spans="1:111" x14ac:dyDescent="0.3">
      <c r="A126" s="64"/>
      <c r="B126" s="61"/>
      <c r="C126" s="62" t="s">
        <v>164</v>
      </c>
      <c r="D126" s="63">
        <v>0</v>
      </c>
      <c r="E126" s="63">
        <f t="shared" ref="E126:AW126" si="946">IFERROR(AVERAGE(D124:E124)/(E14/30.4333), 0)</f>
        <v>0</v>
      </c>
      <c r="F126" s="63">
        <f t="shared" si="946"/>
        <v>0</v>
      </c>
      <c r="G126" s="63">
        <f t="shared" si="946"/>
        <v>0</v>
      </c>
      <c r="H126" s="63">
        <f t="shared" si="946"/>
        <v>0</v>
      </c>
      <c r="I126" s="63">
        <f t="shared" si="946"/>
        <v>0</v>
      </c>
      <c r="J126" s="63">
        <f t="shared" si="946"/>
        <v>0</v>
      </c>
      <c r="K126" s="63">
        <f t="shared" si="946"/>
        <v>15.21665</v>
      </c>
      <c r="L126" s="63">
        <f t="shared" si="946"/>
        <v>22.294161627906973</v>
      </c>
      <c r="M126" s="63">
        <f t="shared" si="946"/>
        <v>14.408328618857903</v>
      </c>
      <c r="N126" s="63">
        <f t="shared" si="946"/>
        <v>24.208306818181818</v>
      </c>
      <c r="O126" s="63">
        <f t="shared" si="946"/>
        <v>13.9252</v>
      </c>
      <c r="P126" s="63">
        <f t="shared" si="946"/>
        <v>9.4489511575107201</v>
      </c>
      <c r="Q126" s="63">
        <f t="shared" si="946"/>
        <v>1.5631677085407125</v>
      </c>
      <c r="R126" s="63">
        <f t="shared" si="946"/>
        <v>1.8157842137973896</v>
      </c>
      <c r="S126" s="63">
        <f t="shared" si="946"/>
        <v>2.0406407574294603</v>
      </c>
      <c r="T126" s="63">
        <f t="shared" si="946"/>
        <v>1.3670895881669367</v>
      </c>
      <c r="U126" s="63">
        <f t="shared" si="946"/>
        <v>3.1717395430721873</v>
      </c>
      <c r="V126" s="63">
        <f t="shared" si="946"/>
        <v>3.5418758596367481</v>
      </c>
      <c r="W126" s="63">
        <f t="shared" si="946"/>
        <v>0.77387443386177612</v>
      </c>
      <c r="X126" s="63">
        <f t="shared" si="946"/>
        <v>2.0888790887256752</v>
      </c>
      <c r="Y126" s="63">
        <f t="shared" si="946"/>
        <v>2.6213933485189171</v>
      </c>
      <c r="Z126" s="63">
        <f t="shared" si="946"/>
        <v>1.4174744639660437</v>
      </c>
      <c r="AA126" s="63">
        <f t="shared" si="946"/>
        <v>1.5610459314525529</v>
      </c>
      <c r="AB126" s="63">
        <f t="shared" si="946"/>
        <v>1.5206512325116588</v>
      </c>
      <c r="AC126" s="63">
        <f t="shared" si="946"/>
        <v>2.3571402753872635</v>
      </c>
      <c r="AD126" s="63">
        <f t="shared" si="946"/>
        <v>2.2303467452220147</v>
      </c>
      <c r="AE126" s="63">
        <f t="shared" si="946"/>
        <v>2.0166416438526631</v>
      </c>
      <c r="AF126" s="63">
        <f t="shared" si="946"/>
        <v>4.077833560574752</v>
      </c>
      <c r="AG126" s="63">
        <f t="shared" si="946"/>
        <v>6.0750256870523121</v>
      </c>
      <c r="AH126" s="63">
        <f t="shared" si="946"/>
        <v>5.3488492392027709</v>
      </c>
      <c r="AI126" s="63">
        <f t="shared" si="946"/>
        <v>6.2294270947456134</v>
      </c>
      <c r="AJ126" s="63">
        <f t="shared" si="946"/>
        <v>9.961567046577418</v>
      </c>
      <c r="AK126" s="63">
        <f t="shared" si="946"/>
        <v>5.5229557114746566</v>
      </c>
      <c r="AL126" s="63">
        <f t="shared" si="946"/>
        <v>10.410931999791089</v>
      </c>
      <c r="AM126" s="568">
        <f t="shared" si="946"/>
        <v>19.819144638043895</v>
      </c>
      <c r="AN126" s="63">
        <f t="shared" si="946"/>
        <v>13.017508456077746</v>
      </c>
      <c r="AO126" s="63">
        <f t="shared" si="946"/>
        <v>9.3798980198764319</v>
      </c>
      <c r="AP126" s="63">
        <f t="shared" si="946"/>
        <v>8.268034638073928</v>
      </c>
      <c r="AQ126" s="63">
        <f t="shared" si="946"/>
        <v>8.871737371048253</v>
      </c>
      <c r="AR126" s="63">
        <f t="shared" si="946"/>
        <v>7.4698659463148314</v>
      </c>
      <c r="AS126" s="63">
        <f t="shared" si="946"/>
        <v>11.929536769809138</v>
      </c>
      <c r="AT126" s="63">
        <f t="shared" si="946"/>
        <v>7.5456442247153381</v>
      </c>
      <c r="AU126" s="63">
        <f t="shared" si="946"/>
        <v>6.2063803801877109</v>
      </c>
      <c r="AV126" s="63">
        <f t="shared" si="946"/>
        <v>8.3239362448114456</v>
      </c>
      <c r="AW126" s="309">
        <f t="shared" si="946"/>
        <v>12.41231606042253</v>
      </c>
      <c r="AX126" s="287">
        <v>5</v>
      </c>
      <c r="AY126" s="309">
        <f t="shared" ref="AY126:CA126" si="947">AX126</f>
        <v>5</v>
      </c>
      <c r="AZ126" s="63">
        <f t="shared" si="947"/>
        <v>5</v>
      </c>
      <c r="BA126" s="63">
        <f t="shared" si="947"/>
        <v>5</v>
      </c>
      <c r="BB126" s="63">
        <f t="shared" si="947"/>
        <v>5</v>
      </c>
      <c r="BC126" s="63">
        <f t="shared" si="947"/>
        <v>5</v>
      </c>
      <c r="BD126" s="63">
        <f t="shared" si="947"/>
        <v>5</v>
      </c>
      <c r="BE126" s="63">
        <f t="shared" si="947"/>
        <v>5</v>
      </c>
      <c r="BF126" s="63">
        <f t="shared" si="947"/>
        <v>5</v>
      </c>
      <c r="BG126" s="63">
        <f t="shared" si="947"/>
        <v>5</v>
      </c>
      <c r="BH126" s="63">
        <f t="shared" si="947"/>
        <v>5</v>
      </c>
      <c r="BI126" s="63">
        <f t="shared" si="947"/>
        <v>5</v>
      </c>
      <c r="BJ126" s="63">
        <f t="shared" si="947"/>
        <v>5</v>
      </c>
      <c r="BK126" s="309">
        <f t="shared" si="947"/>
        <v>5</v>
      </c>
      <c r="BL126" s="63">
        <f t="shared" si="947"/>
        <v>5</v>
      </c>
      <c r="BM126" s="63">
        <f t="shared" si="947"/>
        <v>5</v>
      </c>
      <c r="BN126" s="63">
        <f t="shared" si="947"/>
        <v>5</v>
      </c>
      <c r="BO126" s="63">
        <f t="shared" si="947"/>
        <v>5</v>
      </c>
      <c r="BP126" s="63">
        <f t="shared" si="947"/>
        <v>5</v>
      </c>
      <c r="BQ126" s="63">
        <f t="shared" si="947"/>
        <v>5</v>
      </c>
      <c r="BR126" s="63">
        <f t="shared" si="947"/>
        <v>5</v>
      </c>
      <c r="BS126" s="63">
        <f t="shared" si="947"/>
        <v>5</v>
      </c>
      <c r="BT126" s="63">
        <f t="shared" si="947"/>
        <v>5</v>
      </c>
      <c r="BU126" s="63">
        <f t="shared" si="947"/>
        <v>5</v>
      </c>
      <c r="BV126" s="63">
        <f t="shared" si="947"/>
        <v>5</v>
      </c>
      <c r="BW126" s="309">
        <f t="shared" si="947"/>
        <v>5</v>
      </c>
      <c r="BX126" s="63">
        <f t="shared" si="947"/>
        <v>5</v>
      </c>
      <c r="BY126" s="63">
        <f t="shared" si="947"/>
        <v>5</v>
      </c>
      <c r="BZ126" s="63">
        <f t="shared" si="947"/>
        <v>5</v>
      </c>
      <c r="CA126" s="63">
        <f t="shared" si="947"/>
        <v>5</v>
      </c>
      <c r="CB126" s="63">
        <f t="shared" ref="CB126:DG126" si="948">CA126</f>
        <v>5</v>
      </c>
      <c r="CC126" s="63">
        <f t="shared" si="948"/>
        <v>5</v>
      </c>
      <c r="CD126" s="63">
        <f t="shared" si="948"/>
        <v>5</v>
      </c>
      <c r="CE126" s="63">
        <f t="shared" si="948"/>
        <v>5</v>
      </c>
      <c r="CF126" s="63">
        <f t="shared" si="948"/>
        <v>5</v>
      </c>
      <c r="CG126" s="63">
        <f t="shared" si="948"/>
        <v>5</v>
      </c>
      <c r="CH126" s="63">
        <f t="shared" si="948"/>
        <v>5</v>
      </c>
      <c r="CI126" s="309">
        <f t="shared" si="948"/>
        <v>5</v>
      </c>
      <c r="CJ126" s="63">
        <f t="shared" si="948"/>
        <v>5</v>
      </c>
      <c r="CK126" s="63">
        <f t="shared" si="948"/>
        <v>5</v>
      </c>
      <c r="CL126" s="63">
        <f t="shared" si="948"/>
        <v>5</v>
      </c>
      <c r="CM126" s="63">
        <f t="shared" si="948"/>
        <v>5</v>
      </c>
      <c r="CN126" s="63">
        <f t="shared" si="948"/>
        <v>5</v>
      </c>
      <c r="CO126" s="63">
        <f t="shared" si="948"/>
        <v>5</v>
      </c>
      <c r="CP126" s="63">
        <f t="shared" si="948"/>
        <v>5</v>
      </c>
      <c r="CQ126" s="63">
        <f t="shared" si="948"/>
        <v>5</v>
      </c>
      <c r="CR126" s="63">
        <f t="shared" si="948"/>
        <v>5</v>
      </c>
      <c r="CS126" s="63">
        <f t="shared" si="948"/>
        <v>5</v>
      </c>
      <c r="CT126" s="63">
        <f t="shared" si="948"/>
        <v>5</v>
      </c>
      <c r="CU126" s="309">
        <f t="shared" si="948"/>
        <v>5</v>
      </c>
      <c r="CV126" s="63">
        <f t="shared" si="948"/>
        <v>5</v>
      </c>
      <c r="CW126" s="63">
        <f t="shared" si="948"/>
        <v>5</v>
      </c>
      <c r="CX126" s="63">
        <f t="shared" si="948"/>
        <v>5</v>
      </c>
      <c r="CY126" s="63">
        <f t="shared" si="948"/>
        <v>5</v>
      </c>
      <c r="CZ126" s="63">
        <f t="shared" si="948"/>
        <v>5</v>
      </c>
      <c r="DA126" s="63">
        <f t="shared" si="948"/>
        <v>5</v>
      </c>
      <c r="DB126" s="63">
        <f t="shared" si="948"/>
        <v>5</v>
      </c>
      <c r="DC126" s="63">
        <f t="shared" si="948"/>
        <v>5</v>
      </c>
      <c r="DD126" s="63">
        <f t="shared" si="948"/>
        <v>5</v>
      </c>
      <c r="DE126" s="63">
        <f t="shared" si="948"/>
        <v>5</v>
      </c>
      <c r="DF126" s="63">
        <f t="shared" si="948"/>
        <v>5</v>
      </c>
      <c r="DG126" s="63">
        <f t="shared" si="948"/>
        <v>5</v>
      </c>
    </row>
    <row r="127" spans="1:111" x14ac:dyDescent="0.3">
      <c r="B127" s="1" t="s">
        <v>221</v>
      </c>
      <c r="C127" s="1"/>
      <c r="D127" s="57"/>
      <c r="E127" s="57"/>
      <c r="F127" s="57"/>
      <c r="G127" s="57"/>
      <c r="H127" s="57"/>
      <c r="I127" s="57"/>
      <c r="J127" s="57"/>
      <c r="K127" s="57"/>
      <c r="L127" s="57"/>
      <c r="M127" s="57" t="s">
        <v>163</v>
      </c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69"/>
      <c r="AN127" s="51"/>
      <c r="AO127" s="51"/>
      <c r="AP127" s="51"/>
      <c r="AQ127" s="51"/>
      <c r="AR127" s="51"/>
      <c r="AS127" s="51"/>
      <c r="AT127" s="51"/>
      <c r="AU127" s="51"/>
      <c r="AV127" s="51"/>
      <c r="AW127" s="598"/>
      <c r="AY127" s="184"/>
      <c r="BK127" s="184"/>
      <c r="BW127" s="184"/>
      <c r="CI127" s="184"/>
      <c r="CU127" s="184"/>
    </row>
    <row r="128" spans="1:111" x14ac:dyDescent="0.3">
      <c r="B128" s="1" t="s">
        <v>354</v>
      </c>
      <c r="C128" s="1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O128" s="51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513">
        <v>0</v>
      </c>
      <c r="AN128" s="115"/>
      <c r="AO128" s="115"/>
      <c r="AP128" s="115"/>
      <c r="AQ128" s="115"/>
      <c r="AR128" s="115"/>
      <c r="AS128" s="115"/>
      <c r="AT128" s="115"/>
      <c r="AU128" s="115"/>
      <c r="AV128" s="115"/>
      <c r="AW128" s="185"/>
      <c r="AX128" s="115"/>
      <c r="AY128" s="185"/>
      <c r="AZ128" s="115"/>
      <c r="BA128" s="115"/>
      <c r="BB128" s="115"/>
      <c r="BC128" s="115"/>
      <c r="BD128" s="115"/>
      <c r="BE128" s="115"/>
      <c r="BF128" s="115"/>
      <c r="BG128" s="115"/>
      <c r="BH128" s="115"/>
      <c r="BI128" s="115"/>
      <c r="BJ128" s="115"/>
      <c r="BK128" s="185"/>
      <c r="BL128" s="115"/>
      <c r="BM128" s="115"/>
      <c r="BN128" s="115"/>
      <c r="BO128" s="115"/>
      <c r="BP128" s="115"/>
      <c r="BQ128" s="115"/>
      <c r="BR128" s="115"/>
      <c r="BS128" s="115"/>
      <c r="BT128" s="115"/>
      <c r="BU128" s="115"/>
      <c r="BV128" s="115"/>
      <c r="BW128" s="185"/>
      <c r="BX128" s="115"/>
      <c r="BY128" s="115"/>
      <c r="BZ128" s="115"/>
      <c r="CA128" s="115"/>
      <c r="CB128" s="115"/>
      <c r="CC128" s="115"/>
      <c r="CD128" s="115"/>
      <c r="CE128" s="115"/>
      <c r="CF128" s="115"/>
      <c r="CG128" s="115"/>
      <c r="CH128" s="115"/>
      <c r="CI128" s="185"/>
      <c r="CJ128" s="115"/>
      <c r="CK128" s="115"/>
      <c r="CL128" s="115"/>
      <c r="CM128" s="115"/>
      <c r="CN128" s="115"/>
      <c r="CO128" s="115"/>
      <c r="CP128" s="115"/>
      <c r="CQ128" s="115"/>
      <c r="CR128" s="115"/>
      <c r="CS128" s="115"/>
      <c r="CT128" s="115"/>
      <c r="CU128" s="185"/>
      <c r="CV128" s="115"/>
      <c r="CW128" s="115"/>
      <c r="CX128" s="115"/>
      <c r="CY128" s="115"/>
      <c r="CZ128" s="115"/>
      <c r="DA128" s="115"/>
      <c r="DB128" s="115"/>
      <c r="DC128" s="115"/>
      <c r="DD128" s="115"/>
      <c r="DE128" s="115"/>
      <c r="DF128" s="115"/>
      <c r="DG128" s="115"/>
    </row>
    <row r="129" spans="1:111" x14ac:dyDescent="0.3">
      <c r="B129" s="1" t="s">
        <v>376</v>
      </c>
      <c r="C129" s="1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O129" s="51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513">
        <v>0</v>
      </c>
      <c r="AN129" s="115"/>
      <c r="AO129" s="115">
        <v>37.5</v>
      </c>
      <c r="AP129" s="115">
        <v>112.5</v>
      </c>
      <c r="AQ129" s="115">
        <v>112.5</v>
      </c>
      <c r="AR129" s="115">
        <v>0</v>
      </c>
      <c r="AS129" s="115">
        <v>0</v>
      </c>
      <c r="AT129" s="115">
        <v>0</v>
      </c>
      <c r="AU129" s="115">
        <v>0</v>
      </c>
      <c r="AV129" s="115">
        <v>0</v>
      </c>
      <c r="AW129" s="185">
        <v>0</v>
      </c>
      <c r="AX129" s="115"/>
      <c r="AY129" s="185"/>
      <c r="AZ129" s="115"/>
      <c r="BA129" s="115"/>
      <c r="BB129" s="115"/>
      <c r="BC129" s="115"/>
      <c r="BD129" s="115"/>
      <c r="BE129" s="115"/>
      <c r="BF129" s="115"/>
      <c r="BG129" s="115"/>
      <c r="BH129" s="115"/>
      <c r="BI129" s="115"/>
      <c r="BJ129" s="115"/>
      <c r="BK129" s="185"/>
      <c r="BL129" s="115"/>
      <c r="BM129" s="115"/>
      <c r="BN129" s="115"/>
      <c r="BO129" s="115"/>
      <c r="BP129" s="115"/>
      <c r="BQ129" s="115"/>
      <c r="BR129" s="115"/>
      <c r="BS129" s="115"/>
      <c r="BT129" s="115"/>
      <c r="BU129" s="115"/>
      <c r="BV129" s="115"/>
      <c r="BW129" s="185"/>
      <c r="BX129" s="115"/>
      <c r="BY129" s="115"/>
      <c r="BZ129" s="115"/>
      <c r="CA129" s="115"/>
      <c r="CB129" s="115"/>
      <c r="CC129" s="115"/>
      <c r="CD129" s="115"/>
      <c r="CE129" s="115"/>
      <c r="CF129" s="115"/>
      <c r="CG129" s="115"/>
      <c r="CH129" s="115"/>
      <c r="CI129" s="185"/>
      <c r="CJ129" s="115"/>
      <c r="CK129" s="115"/>
      <c r="CL129" s="115"/>
      <c r="CM129" s="115"/>
      <c r="CN129" s="115"/>
      <c r="CO129" s="115"/>
      <c r="CP129" s="115"/>
      <c r="CQ129" s="115"/>
      <c r="CR129" s="115"/>
      <c r="CS129" s="115"/>
      <c r="CT129" s="115"/>
      <c r="CU129" s="185"/>
      <c r="CV129" s="115"/>
      <c r="CW129" s="115"/>
      <c r="CX129" s="115"/>
      <c r="CY129" s="115"/>
      <c r="CZ129" s="115"/>
      <c r="DA129" s="115"/>
      <c r="DB129" s="115"/>
      <c r="DC129" s="115"/>
      <c r="DD129" s="115"/>
      <c r="DE129" s="115"/>
      <c r="DF129" s="115"/>
      <c r="DG129" s="115"/>
    </row>
    <row r="130" spans="1:111" x14ac:dyDescent="0.3">
      <c r="B130" s="1" t="s">
        <v>353</v>
      </c>
      <c r="C130" s="1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O130" s="51"/>
      <c r="P130" s="115">
        <v>0</v>
      </c>
      <c r="Q130" s="115">
        <v>0</v>
      </c>
      <c r="R130" s="115">
        <v>-44.05</v>
      </c>
      <c r="S130" s="115">
        <v>0</v>
      </c>
      <c r="T130" s="115">
        <v>0</v>
      </c>
      <c r="U130" s="115">
        <v>0</v>
      </c>
      <c r="V130" s="115">
        <v>0</v>
      </c>
      <c r="W130" s="115">
        <v>0</v>
      </c>
      <c r="X130" s="115">
        <v>0</v>
      </c>
      <c r="Y130" s="115">
        <v>0</v>
      </c>
      <c r="Z130" s="115">
        <v>0</v>
      </c>
      <c r="AA130" s="115">
        <v>0</v>
      </c>
      <c r="AB130" s="115"/>
      <c r="AC130" s="115">
        <v>0</v>
      </c>
      <c r="AD130" s="115">
        <v>0</v>
      </c>
      <c r="AE130" s="115">
        <v>0</v>
      </c>
      <c r="AF130" s="115">
        <v>0</v>
      </c>
      <c r="AG130" s="115">
        <v>0</v>
      </c>
      <c r="AH130" s="115">
        <v>0</v>
      </c>
      <c r="AI130" s="115">
        <v>0</v>
      </c>
      <c r="AJ130" s="115">
        <v>0</v>
      </c>
      <c r="AK130" s="115">
        <v>308</v>
      </c>
      <c r="AL130" s="115">
        <v>280</v>
      </c>
      <c r="AM130" s="513">
        <v>252</v>
      </c>
      <c r="AN130" s="115">
        <v>224</v>
      </c>
      <c r="AO130" s="115">
        <v>196</v>
      </c>
      <c r="AP130" s="115">
        <v>168</v>
      </c>
      <c r="AQ130" s="115">
        <v>140</v>
      </c>
      <c r="AR130" s="115">
        <v>112</v>
      </c>
      <c r="AS130" s="115">
        <v>84</v>
      </c>
      <c r="AT130" s="115">
        <v>56</v>
      </c>
      <c r="AU130" s="115">
        <v>28</v>
      </c>
      <c r="AV130" s="115">
        <v>0</v>
      </c>
      <c r="AW130" s="185">
        <v>0</v>
      </c>
      <c r="AX130" s="115">
        <v>308</v>
      </c>
      <c r="AY130" s="185">
        <f t="shared" ref="AY130:CI130" si="949">AX130</f>
        <v>308</v>
      </c>
      <c r="AZ130" s="115">
        <f t="shared" si="949"/>
        <v>308</v>
      </c>
      <c r="BA130" s="115">
        <f t="shared" si="949"/>
        <v>308</v>
      </c>
      <c r="BB130" s="115">
        <f t="shared" si="949"/>
        <v>308</v>
      </c>
      <c r="BC130" s="115">
        <f t="shared" si="949"/>
        <v>308</v>
      </c>
      <c r="BD130" s="115">
        <f t="shared" si="949"/>
        <v>308</v>
      </c>
      <c r="BE130" s="115">
        <f t="shared" si="949"/>
        <v>308</v>
      </c>
      <c r="BF130" s="115">
        <f t="shared" si="949"/>
        <v>308</v>
      </c>
      <c r="BG130" s="115">
        <f t="shared" si="949"/>
        <v>308</v>
      </c>
      <c r="BH130" s="115">
        <f t="shared" si="949"/>
        <v>308</v>
      </c>
      <c r="BI130" s="115">
        <f t="shared" si="949"/>
        <v>308</v>
      </c>
      <c r="BJ130" s="115">
        <f t="shared" si="949"/>
        <v>308</v>
      </c>
      <c r="BK130" s="185">
        <f t="shared" si="949"/>
        <v>308</v>
      </c>
      <c r="BL130" s="115">
        <f t="shared" si="949"/>
        <v>308</v>
      </c>
      <c r="BM130" s="115">
        <f t="shared" si="949"/>
        <v>308</v>
      </c>
      <c r="BN130" s="115">
        <f t="shared" si="949"/>
        <v>308</v>
      </c>
      <c r="BO130" s="115">
        <f t="shared" si="949"/>
        <v>308</v>
      </c>
      <c r="BP130" s="115">
        <f t="shared" si="949"/>
        <v>308</v>
      </c>
      <c r="BQ130" s="115">
        <f t="shared" si="949"/>
        <v>308</v>
      </c>
      <c r="BR130" s="115">
        <f t="shared" si="949"/>
        <v>308</v>
      </c>
      <c r="BS130" s="115">
        <f t="shared" si="949"/>
        <v>308</v>
      </c>
      <c r="BT130" s="115">
        <f t="shared" si="949"/>
        <v>308</v>
      </c>
      <c r="BU130" s="115">
        <f t="shared" si="949"/>
        <v>308</v>
      </c>
      <c r="BV130" s="115">
        <f t="shared" si="949"/>
        <v>308</v>
      </c>
      <c r="BW130" s="185">
        <f t="shared" si="949"/>
        <v>308</v>
      </c>
      <c r="BX130" s="115">
        <f t="shared" si="949"/>
        <v>308</v>
      </c>
      <c r="BY130" s="115">
        <f t="shared" si="949"/>
        <v>308</v>
      </c>
      <c r="BZ130" s="115">
        <f t="shared" si="949"/>
        <v>308</v>
      </c>
      <c r="CA130" s="115">
        <f t="shared" si="949"/>
        <v>308</v>
      </c>
      <c r="CB130" s="115">
        <f t="shared" si="949"/>
        <v>308</v>
      </c>
      <c r="CC130" s="115">
        <f t="shared" si="949"/>
        <v>308</v>
      </c>
      <c r="CD130" s="115">
        <f t="shared" si="949"/>
        <v>308</v>
      </c>
      <c r="CE130" s="115">
        <f t="shared" si="949"/>
        <v>308</v>
      </c>
      <c r="CF130" s="115">
        <f t="shared" si="949"/>
        <v>308</v>
      </c>
      <c r="CG130" s="115">
        <f t="shared" si="949"/>
        <v>308</v>
      </c>
      <c r="CH130" s="115">
        <f t="shared" si="949"/>
        <v>308</v>
      </c>
      <c r="CI130" s="185">
        <f t="shared" si="949"/>
        <v>308</v>
      </c>
      <c r="CJ130" s="115">
        <f t="shared" ref="CJ130:DG130" si="950">CI130</f>
        <v>308</v>
      </c>
      <c r="CK130" s="115">
        <f t="shared" si="950"/>
        <v>308</v>
      </c>
      <c r="CL130" s="115">
        <f t="shared" si="950"/>
        <v>308</v>
      </c>
      <c r="CM130" s="115">
        <f t="shared" si="950"/>
        <v>308</v>
      </c>
      <c r="CN130" s="115">
        <f t="shared" si="950"/>
        <v>308</v>
      </c>
      <c r="CO130" s="115">
        <f t="shared" si="950"/>
        <v>308</v>
      </c>
      <c r="CP130" s="115">
        <f t="shared" si="950"/>
        <v>308</v>
      </c>
      <c r="CQ130" s="115">
        <f t="shared" si="950"/>
        <v>308</v>
      </c>
      <c r="CR130" s="115">
        <f t="shared" si="950"/>
        <v>308</v>
      </c>
      <c r="CS130" s="115">
        <f t="shared" si="950"/>
        <v>308</v>
      </c>
      <c r="CT130" s="115">
        <f t="shared" si="950"/>
        <v>308</v>
      </c>
      <c r="CU130" s="185">
        <f t="shared" si="950"/>
        <v>308</v>
      </c>
      <c r="CV130" s="115">
        <f t="shared" si="950"/>
        <v>308</v>
      </c>
      <c r="CW130" s="115">
        <f t="shared" si="950"/>
        <v>308</v>
      </c>
      <c r="CX130" s="115">
        <f t="shared" si="950"/>
        <v>308</v>
      </c>
      <c r="CY130" s="115">
        <f t="shared" si="950"/>
        <v>308</v>
      </c>
      <c r="CZ130" s="115">
        <f t="shared" si="950"/>
        <v>308</v>
      </c>
      <c r="DA130" s="115">
        <f t="shared" si="950"/>
        <v>308</v>
      </c>
      <c r="DB130" s="115">
        <f t="shared" si="950"/>
        <v>308</v>
      </c>
      <c r="DC130" s="115">
        <f t="shared" si="950"/>
        <v>308</v>
      </c>
      <c r="DD130" s="115">
        <f t="shared" si="950"/>
        <v>308</v>
      </c>
      <c r="DE130" s="115">
        <f t="shared" si="950"/>
        <v>308</v>
      </c>
      <c r="DF130" s="115">
        <f t="shared" si="950"/>
        <v>308</v>
      </c>
      <c r="DG130" s="115">
        <f t="shared" si="950"/>
        <v>308</v>
      </c>
    </row>
    <row r="131" spans="1:111" x14ac:dyDescent="0.3">
      <c r="B131" s="1" t="s">
        <v>224</v>
      </c>
      <c r="C131" s="1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O131" s="51"/>
      <c r="P131" s="115">
        <v>0</v>
      </c>
      <c r="Q131" s="115">
        <v>0</v>
      </c>
      <c r="R131" s="115">
        <v>0</v>
      </c>
      <c r="S131" s="115">
        <v>60</v>
      </c>
      <c r="T131" s="115">
        <v>86.25</v>
      </c>
      <c r="U131" s="115">
        <v>0</v>
      </c>
      <c r="V131" s="115">
        <v>0</v>
      </c>
      <c r="W131" s="115">
        <v>140</v>
      </c>
      <c r="X131" s="115">
        <v>240</v>
      </c>
      <c r="Y131" s="115">
        <v>0</v>
      </c>
      <c r="Z131" s="115">
        <v>172.5</v>
      </c>
      <c r="AA131" s="115">
        <v>0</v>
      </c>
      <c r="AB131" s="115">
        <v>60</v>
      </c>
      <c r="AC131" s="115">
        <v>60</v>
      </c>
      <c r="AD131" s="115">
        <v>222.5</v>
      </c>
      <c r="AE131" s="115">
        <v>60</v>
      </c>
      <c r="AF131" s="115">
        <v>135</v>
      </c>
      <c r="AG131" s="115">
        <v>78.75</v>
      </c>
      <c r="AH131" s="115">
        <v>187.5</v>
      </c>
      <c r="AI131" s="115">
        <v>322.5</v>
      </c>
      <c r="AJ131" s="115">
        <v>75</v>
      </c>
      <c r="AK131" s="115">
        <v>537.5</v>
      </c>
      <c r="AL131" s="115">
        <v>300</v>
      </c>
      <c r="AM131" s="513">
        <v>0</v>
      </c>
      <c r="AN131" s="115">
        <v>0</v>
      </c>
      <c r="AO131" s="115">
        <v>0</v>
      </c>
      <c r="AP131" s="115">
        <v>0</v>
      </c>
      <c r="AQ131" s="115">
        <v>0</v>
      </c>
      <c r="AR131" s="115">
        <v>0</v>
      </c>
      <c r="AS131" s="115">
        <v>0</v>
      </c>
      <c r="AT131" s="115">
        <v>225</v>
      </c>
      <c r="AU131" s="115">
        <v>0</v>
      </c>
      <c r="AV131" s="115">
        <v>0</v>
      </c>
      <c r="AW131" s="185">
        <v>0</v>
      </c>
      <c r="AX131" s="115">
        <v>0</v>
      </c>
      <c r="AY131" s="185">
        <v>0</v>
      </c>
      <c r="AZ131" s="115">
        <v>0</v>
      </c>
      <c r="BA131" s="115">
        <v>0</v>
      </c>
      <c r="BB131" s="115">
        <v>0</v>
      </c>
      <c r="BC131" s="115">
        <v>0</v>
      </c>
      <c r="BD131" s="115">
        <v>0</v>
      </c>
      <c r="BE131" s="115">
        <v>0</v>
      </c>
      <c r="BF131" s="115">
        <v>0</v>
      </c>
      <c r="BG131" s="115">
        <v>0</v>
      </c>
      <c r="BH131" s="115">
        <v>0</v>
      </c>
      <c r="BI131" s="115">
        <v>0</v>
      </c>
      <c r="BJ131" s="115">
        <v>0</v>
      </c>
      <c r="BK131" s="185">
        <v>0</v>
      </c>
      <c r="BL131" s="115">
        <v>0</v>
      </c>
      <c r="BM131" s="115">
        <v>0</v>
      </c>
      <c r="BN131" s="115">
        <v>0</v>
      </c>
      <c r="BO131" s="115">
        <v>0</v>
      </c>
      <c r="BP131" s="115">
        <v>0</v>
      </c>
      <c r="BQ131" s="115">
        <v>0</v>
      </c>
      <c r="BR131" s="115">
        <v>0</v>
      </c>
      <c r="BS131" s="115">
        <v>0</v>
      </c>
      <c r="BT131" s="115">
        <v>0</v>
      </c>
      <c r="BU131" s="115">
        <v>0</v>
      </c>
      <c r="BV131" s="115">
        <v>0</v>
      </c>
      <c r="BW131" s="185">
        <v>0</v>
      </c>
      <c r="BX131" s="115">
        <v>0</v>
      </c>
      <c r="BY131" s="115">
        <v>0</v>
      </c>
      <c r="BZ131" s="115">
        <v>0</v>
      </c>
      <c r="CA131" s="115">
        <v>0</v>
      </c>
      <c r="CB131" s="115">
        <v>0</v>
      </c>
      <c r="CC131" s="115">
        <v>0</v>
      </c>
      <c r="CD131" s="115">
        <v>0</v>
      </c>
      <c r="CE131" s="115">
        <v>0</v>
      </c>
      <c r="CF131" s="115">
        <v>0</v>
      </c>
      <c r="CG131" s="115">
        <v>0</v>
      </c>
      <c r="CH131" s="115">
        <v>0</v>
      </c>
      <c r="CI131" s="185">
        <v>0</v>
      </c>
      <c r="CJ131" s="115">
        <v>0</v>
      </c>
      <c r="CK131" s="115">
        <v>0</v>
      </c>
      <c r="CL131" s="115">
        <v>0</v>
      </c>
      <c r="CM131" s="115">
        <v>0</v>
      </c>
      <c r="CN131" s="115">
        <v>0</v>
      </c>
      <c r="CO131" s="115">
        <v>0</v>
      </c>
      <c r="CP131" s="115">
        <v>0</v>
      </c>
      <c r="CQ131" s="115">
        <v>0</v>
      </c>
      <c r="CR131" s="115">
        <v>0</v>
      </c>
      <c r="CS131" s="115">
        <v>0</v>
      </c>
      <c r="CT131" s="115">
        <v>0</v>
      </c>
      <c r="CU131" s="185">
        <v>0</v>
      </c>
      <c r="CV131" s="115">
        <v>0</v>
      </c>
      <c r="CW131" s="115">
        <v>0</v>
      </c>
      <c r="CX131" s="115">
        <v>0</v>
      </c>
      <c r="CY131" s="115">
        <v>0</v>
      </c>
      <c r="CZ131" s="115">
        <v>0</v>
      </c>
      <c r="DA131" s="115">
        <v>0</v>
      </c>
      <c r="DB131" s="115">
        <v>0</v>
      </c>
      <c r="DC131" s="115">
        <v>0</v>
      </c>
      <c r="DD131" s="115">
        <v>0</v>
      </c>
      <c r="DE131" s="115">
        <v>0</v>
      </c>
      <c r="DF131" s="115">
        <v>0</v>
      </c>
      <c r="DG131" s="115">
        <v>0</v>
      </c>
    </row>
    <row r="132" spans="1:111" s="55" customFormat="1" x14ac:dyDescent="0.3">
      <c r="B132" s="55" t="s">
        <v>222</v>
      </c>
      <c r="P132" s="55">
        <f>+SUM(P130:P131)</f>
        <v>0</v>
      </c>
      <c r="Q132" s="55">
        <f t="shared" ref="Q132:V132" si="951">+SUM(Q130:Q131)</f>
        <v>0</v>
      </c>
      <c r="R132" s="55">
        <f t="shared" si="951"/>
        <v>-44.05</v>
      </c>
      <c r="S132" s="55">
        <f t="shared" si="951"/>
        <v>60</v>
      </c>
      <c r="T132" s="55">
        <f t="shared" si="951"/>
        <v>86.25</v>
      </c>
      <c r="U132" s="55">
        <f t="shared" si="951"/>
        <v>0</v>
      </c>
      <c r="V132" s="55">
        <f t="shared" si="951"/>
        <v>0</v>
      </c>
      <c r="W132" s="55">
        <f t="shared" ref="W132:AA132" si="952">+SUM(W130:W131)</f>
        <v>140</v>
      </c>
      <c r="X132" s="55">
        <f t="shared" si="952"/>
        <v>240</v>
      </c>
      <c r="Y132" s="55">
        <f t="shared" si="952"/>
        <v>0</v>
      </c>
      <c r="Z132" s="55">
        <f t="shared" si="952"/>
        <v>172.5</v>
      </c>
      <c r="AA132" s="55">
        <f t="shared" si="952"/>
        <v>0</v>
      </c>
      <c r="AB132" s="55">
        <f t="shared" ref="AB132:AL132" si="953">SUM(AB128:AB131)</f>
        <v>60</v>
      </c>
      <c r="AC132" s="55">
        <f t="shared" si="953"/>
        <v>60</v>
      </c>
      <c r="AD132" s="55">
        <f t="shared" si="953"/>
        <v>222.5</v>
      </c>
      <c r="AE132" s="55">
        <f t="shared" si="953"/>
        <v>60</v>
      </c>
      <c r="AF132" s="55">
        <f t="shared" si="953"/>
        <v>135</v>
      </c>
      <c r="AG132" s="55">
        <f t="shared" si="953"/>
        <v>78.75</v>
      </c>
      <c r="AH132" s="55">
        <f t="shared" si="953"/>
        <v>187.5</v>
      </c>
      <c r="AI132" s="55">
        <f t="shared" si="953"/>
        <v>322.5</v>
      </c>
      <c r="AJ132" s="55">
        <f t="shared" si="953"/>
        <v>75</v>
      </c>
      <c r="AK132" s="55">
        <f t="shared" si="953"/>
        <v>845.5</v>
      </c>
      <c r="AL132" s="55">
        <f t="shared" si="953"/>
        <v>580</v>
      </c>
      <c r="AM132" s="514">
        <f>SUM(AM128:AM131)</f>
        <v>252</v>
      </c>
      <c r="AN132" s="55">
        <f t="shared" ref="AN132:CY132" si="954">SUM(AN128:AN131)</f>
        <v>224</v>
      </c>
      <c r="AO132" s="55">
        <f t="shared" si="954"/>
        <v>233.5</v>
      </c>
      <c r="AP132" s="55">
        <f t="shared" ref="AP132:AQ132" si="955">SUM(AP128:AP131)</f>
        <v>280.5</v>
      </c>
      <c r="AQ132" s="55">
        <f t="shared" si="955"/>
        <v>252.5</v>
      </c>
      <c r="AR132" s="55">
        <f t="shared" ref="AR132:AS132" si="956">SUM(AR128:AR131)</f>
        <v>112</v>
      </c>
      <c r="AS132" s="55">
        <f t="shared" si="956"/>
        <v>84</v>
      </c>
      <c r="AT132" s="55">
        <f>SUM(AT128:AT131)</f>
        <v>281</v>
      </c>
      <c r="AU132" s="55">
        <f>SUM(AU128:AU131)</f>
        <v>28</v>
      </c>
      <c r="AV132" s="55">
        <f>SUM(AV128:AV131)</f>
        <v>0</v>
      </c>
      <c r="AW132" s="305">
        <f>SUM(AW128:AW131)</f>
        <v>0</v>
      </c>
      <c r="AX132" s="55">
        <f t="shared" ref="AX132" si="957">SUM(AX128:AX131)</f>
        <v>308</v>
      </c>
      <c r="AY132" s="305">
        <f t="shared" si="954"/>
        <v>308</v>
      </c>
      <c r="AZ132" s="55">
        <f t="shared" si="954"/>
        <v>308</v>
      </c>
      <c r="BA132" s="55">
        <f t="shared" si="954"/>
        <v>308</v>
      </c>
      <c r="BB132" s="55">
        <f t="shared" si="954"/>
        <v>308</v>
      </c>
      <c r="BC132" s="55">
        <f t="shared" si="954"/>
        <v>308</v>
      </c>
      <c r="BD132" s="55">
        <f t="shared" si="954"/>
        <v>308</v>
      </c>
      <c r="BE132" s="55">
        <f t="shared" si="954"/>
        <v>308</v>
      </c>
      <c r="BF132" s="55">
        <f t="shared" si="954"/>
        <v>308</v>
      </c>
      <c r="BG132" s="55">
        <f t="shared" si="954"/>
        <v>308</v>
      </c>
      <c r="BH132" s="55">
        <f t="shared" si="954"/>
        <v>308</v>
      </c>
      <c r="BI132" s="55">
        <f t="shared" si="954"/>
        <v>308</v>
      </c>
      <c r="BJ132" s="55">
        <f t="shared" si="954"/>
        <v>308</v>
      </c>
      <c r="BK132" s="305">
        <f t="shared" si="954"/>
        <v>308</v>
      </c>
      <c r="BL132" s="55">
        <f t="shared" si="954"/>
        <v>308</v>
      </c>
      <c r="BM132" s="55">
        <f t="shared" si="954"/>
        <v>308</v>
      </c>
      <c r="BN132" s="55">
        <f t="shared" si="954"/>
        <v>308</v>
      </c>
      <c r="BO132" s="55">
        <f t="shared" si="954"/>
        <v>308</v>
      </c>
      <c r="BP132" s="55">
        <f t="shared" si="954"/>
        <v>308</v>
      </c>
      <c r="BQ132" s="55">
        <f t="shared" si="954"/>
        <v>308</v>
      </c>
      <c r="BR132" s="55">
        <f t="shared" si="954"/>
        <v>308</v>
      </c>
      <c r="BS132" s="55">
        <f t="shared" si="954"/>
        <v>308</v>
      </c>
      <c r="BT132" s="55">
        <f t="shared" si="954"/>
        <v>308</v>
      </c>
      <c r="BU132" s="55">
        <f t="shared" si="954"/>
        <v>308</v>
      </c>
      <c r="BV132" s="55">
        <f t="shared" si="954"/>
        <v>308</v>
      </c>
      <c r="BW132" s="305">
        <f t="shared" si="954"/>
        <v>308</v>
      </c>
      <c r="BX132" s="55">
        <f t="shared" si="954"/>
        <v>308</v>
      </c>
      <c r="BY132" s="55">
        <f t="shared" si="954"/>
        <v>308</v>
      </c>
      <c r="BZ132" s="55">
        <f t="shared" si="954"/>
        <v>308</v>
      </c>
      <c r="CA132" s="55">
        <f t="shared" si="954"/>
        <v>308</v>
      </c>
      <c r="CB132" s="55">
        <f t="shared" si="954"/>
        <v>308</v>
      </c>
      <c r="CC132" s="55">
        <f t="shared" si="954"/>
        <v>308</v>
      </c>
      <c r="CD132" s="55">
        <f t="shared" si="954"/>
        <v>308</v>
      </c>
      <c r="CE132" s="55">
        <f t="shared" si="954"/>
        <v>308</v>
      </c>
      <c r="CF132" s="55">
        <f t="shared" si="954"/>
        <v>308</v>
      </c>
      <c r="CG132" s="55">
        <f t="shared" si="954"/>
        <v>308</v>
      </c>
      <c r="CH132" s="55">
        <f t="shared" si="954"/>
        <v>308</v>
      </c>
      <c r="CI132" s="305">
        <f t="shared" si="954"/>
        <v>308</v>
      </c>
      <c r="CJ132" s="55">
        <f t="shared" si="954"/>
        <v>308</v>
      </c>
      <c r="CK132" s="55">
        <f t="shared" si="954"/>
        <v>308</v>
      </c>
      <c r="CL132" s="55">
        <f t="shared" si="954"/>
        <v>308</v>
      </c>
      <c r="CM132" s="55">
        <f t="shared" si="954"/>
        <v>308</v>
      </c>
      <c r="CN132" s="55">
        <f t="shared" si="954"/>
        <v>308</v>
      </c>
      <c r="CO132" s="55">
        <f t="shared" si="954"/>
        <v>308</v>
      </c>
      <c r="CP132" s="55">
        <f t="shared" si="954"/>
        <v>308</v>
      </c>
      <c r="CQ132" s="55">
        <f t="shared" si="954"/>
        <v>308</v>
      </c>
      <c r="CR132" s="55">
        <f t="shared" si="954"/>
        <v>308</v>
      </c>
      <c r="CS132" s="55">
        <f t="shared" si="954"/>
        <v>308</v>
      </c>
      <c r="CT132" s="55">
        <f t="shared" si="954"/>
        <v>308</v>
      </c>
      <c r="CU132" s="305">
        <f t="shared" si="954"/>
        <v>308</v>
      </c>
      <c r="CV132" s="55">
        <f t="shared" si="954"/>
        <v>308</v>
      </c>
      <c r="CW132" s="55">
        <f t="shared" si="954"/>
        <v>308</v>
      </c>
      <c r="CX132" s="55">
        <f t="shared" si="954"/>
        <v>308</v>
      </c>
      <c r="CY132" s="55">
        <f t="shared" si="954"/>
        <v>308</v>
      </c>
      <c r="CZ132" s="55">
        <f t="shared" ref="CZ132:DG132" si="958">SUM(CZ128:CZ131)</f>
        <v>308</v>
      </c>
      <c r="DA132" s="55">
        <f t="shared" si="958"/>
        <v>308</v>
      </c>
      <c r="DB132" s="55">
        <f t="shared" si="958"/>
        <v>308</v>
      </c>
      <c r="DC132" s="55">
        <f t="shared" si="958"/>
        <v>308</v>
      </c>
      <c r="DD132" s="55">
        <f t="shared" si="958"/>
        <v>308</v>
      </c>
      <c r="DE132" s="55">
        <f t="shared" si="958"/>
        <v>308</v>
      </c>
      <c r="DF132" s="55">
        <f t="shared" si="958"/>
        <v>308</v>
      </c>
      <c r="DG132" s="55">
        <f t="shared" si="958"/>
        <v>308</v>
      </c>
    </row>
    <row r="133" spans="1:111" s="5" customFormat="1" x14ac:dyDescent="0.3">
      <c r="A133"/>
      <c r="B133" s="1" t="s">
        <v>28</v>
      </c>
      <c r="C133" s="1"/>
      <c r="D133" s="56">
        <f t="shared" ref="D133:J133" si="959">(D122)+(D125)</f>
        <v>0</v>
      </c>
      <c r="E133" s="56">
        <f t="shared" si="959"/>
        <v>0</v>
      </c>
      <c r="F133" s="56">
        <f t="shared" si="959"/>
        <v>0</v>
      </c>
      <c r="G133" s="56">
        <f t="shared" si="959"/>
        <v>0</v>
      </c>
      <c r="H133" s="56">
        <f t="shared" si="959"/>
        <v>0</v>
      </c>
      <c r="I133" s="56">
        <f t="shared" si="959"/>
        <v>0</v>
      </c>
      <c r="J133" s="56">
        <f t="shared" si="959"/>
        <v>0</v>
      </c>
      <c r="K133" s="56">
        <f>K125+K122</f>
        <v>630</v>
      </c>
      <c r="L133" s="56">
        <f>L125+L122</f>
        <v>1678</v>
      </c>
      <c r="M133" s="56">
        <f>M125+M122</f>
        <v>3385.36</v>
      </c>
      <c r="N133" s="57">
        <f>N125+N122</f>
        <v>1822.4</v>
      </c>
      <c r="O133" s="57">
        <f>O125+O122</f>
        <v>844.1</v>
      </c>
      <c r="P133" s="57">
        <f t="shared" ref="P133:V133" si="960">P125+P122+P132</f>
        <v>229.95999999999998</v>
      </c>
      <c r="Q133" s="57">
        <f t="shared" si="960"/>
        <v>281.95</v>
      </c>
      <c r="R133" s="57">
        <f t="shared" si="960"/>
        <v>158.33999999999997</v>
      </c>
      <c r="S133" s="57">
        <f t="shared" si="960"/>
        <v>642.92000000000007</v>
      </c>
      <c r="T133" s="57">
        <f t="shared" si="960"/>
        <v>422.39</v>
      </c>
      <c r="U133" s="57">
        <f t="shared" si="960"/>
        <v>823.56999999999994</v>
      </c>
      <c r="V133" s="57">
        <f t="shared" si="960"/>
        <v>836.73</v>
      </c>
      <c r="W133" s="57">
        <f t="shared" ref="W133:AA133" si="961">W125+W122+W132</f>
        <v>733.45</v>
      </c>
      <c r="X133" s="57">
        <f t="shared" si="961"/>
        <v>2093.1800000000003</v>
      </c>
      <c r="Y133" s="57">
        <f t="shared" si="961"/>
        <v>953.3</v>
      </c>
      <c r="Z133" s="57">
        <f t="shared" si="961"/>
        <v>1059.99</v>
      </c>
      <c r="AA133" s="57">
        <f t="shared" si="961"/>
        <v>1057.02</v>
      </c>
      <c r="AB133" s="57">
        <f t="shared" ref="AB133" si="962">AB125+AB122+AB132</f>
        <v>1591.78</v>
      </c>
      <c r="AC133" s="57">
        <f t="shared" ref="AC133:AD133" si="963">AC125+AC122+AC132</f>
        <v>1046.3200000000002</v>
      </c>
      <c r="AD133" s="57">
        <f t="shared" si="963"/>
        <v>475.28999999999996</v>
      </c>
      <c r="AE133" s="57">
        <f t="shared" ref="AE133" si="964">AE125+AE122+AE132</f>
        <v>1860.49</v>
      </c>
      <c r="AF133" s="57">
        <f t="shared" ref="AF133:AG133" si="965">AF125+AF122+AF132</f>
        <v>2408.09</v>
      </c>
      <c r="AG133" s="57">
        <f t="shared" si="965"/>
        <v>2419.46</v>
      </c>
      <c r="AH133" s="57">
        <f t="shared" ref="AH133" si="966">AH125+AH122+AH132</f>
        <v>5806.49</v>
      </c>
      <c r="AI133" s="57">
        <f t="shared" ref="AI133:AJ133" si="967">AI125+AI122+AI132</f>
        <v>6831.99</v>
      </c>
      <c r="AJ133" s="57">
        <f t="shared" si="967"/>
        <v>7475.02</v>
      </c>
      <c r="AK133" s="57">
        <f t="shared" ref="AK133" si="968">AK125+AK122+AK132</f>
        <v>9430.17</v>
      </c>
      <c r="AL133" s="57">
        <f t="shared" ref="AL133:AM133" si="969">AL125+AL122+AL132</f>
        <v>7689.4</v>
      </c>
      <c r="AM133" s="516">
        <f t="shared" si="969"/>
        <v>3914.83</v>
      </c>
      <c r="AN133" s="57">
        <f t="shared" ref="AN133:AO133" si="970">AN125+AN122+AN132</f>
        <v>6311.34</v>
      </c>
      <c r="AO133" s="57">
        <f t="shared" si="970"/>
        <v>3464.5</v>
      </c>
      <c r="AP133" s="57">
        <f t="shared" ref="AP133:AQ133" si="971">AP125+AP122+AP132</f>
        <v>2703.19</v>
      </c>
      <c r="AQ133" s="57">
        <f t="shared" si="971"/>
        <v>2336.5299999999997</v>
      </c>
      <c r="AR133" s="57">
        <f t="shared" ref="AR133:AS133" si="972">AR125+AR122+AR132</f>
        <v>2883.83</v>
      </c>
      <c r="AS133" s="57">
        <f t="shared" si="972"/>
        <v>4350.75</v>
      </c>
      <c r="AT133" s="57">
        <f t="shared" ref="AT133:AU133" si="973">AT125+AT122+AT132</f>
        <v>7636.08</v>
      </c>
      <c r="AU133" s="57">
        <f t="shared" si="973"/>
        <v>8174.97</v>
      </c>
      <c r="AV133" s="57">
        <f t="shared" ref="AV133:AW133" si="974">AV125+AV122+AV132</f>
        <v>17470.7</v>
      </c>
      <c r="AW133" s="306">
        <f t="shared" si="974"/>
        <v>31034.12</v>
      </c>
      <c r="AX133" s="57">
        <f t="shared" ref="AX133" si="975">AX125+AX122+AX132</f>
        <v>34080.734061543764</v>
      </c>
      <c r="AY133" s="306">
        <f t="shared" ref="AY133:CB133" si="976">AY125+AY122+AY132</f>
        <v>35686.612125404034</v>
      </c>
      <c r="AZ133" s="57">
        <f t="shared" si="976"/>
        <v>37267.684104520311</v>
      </c>
      <c r="BA133" s="57">
        <f t="shared" si="976"/>
        <v>36006.854574222911</v>
      </c>
      <c r="BB133" s="57">
        <f t="shared" si="976"/>
        <v>39047.229088830369</v>
      </c>
      <c r="BC133" s="57">
        <f t="shared" si="976"/>
        <v>33791.491729049987</v>
      </c>
      <c r="BD133" s="57">
        <f t="shared" si="976"/>
        <v>34566.732299642863</v>
      </c>
      <c r="BE133" s="57">
        <f t="shared" si="976"/>
        <v>34938.597746163636</v>
      </c>
      <c r="BF133" s="57">
        <f t="shared" si="976"/>
        <v>37576.478351003847</v>
      </c>
      <c r="BG133" s="57">
        <f t="shared" si="976"/>
        <v>37871.094738837914</v>
      </c>
      <c r="BH133" s="57">
        <f t="shared" si="976"/>
        <v>42070.907371425761</v>
      </c>
      <c r="BI133" s="57">
        <f t="shared" si="976"/>
        <v>52732.830966849993</v>
      </c>
      <c r="BJ133" s="57">
        <f t="shared" si="976"/>
        <v>52669.090288756066</v>
      </c>
      <c r="BK133" s="306">
        <f t="shared" si="976"/>
        <v>55283.732649094316</v>
      </c>
      <c r="BL133" s="57">
        <f t="shared" si="976"/>
        <v>56506.585948342203</v>
      </c>
      <c r="BM133" s="57">
        <f t="shared" si="976"/>
        <v>53381.668143110728</v>
      </c>
      <c r="BN133" s="57">
        <f t="shared" si="976"/>
        <v>59328.389105638147</v>
      </c>
      <c r="BO133" s="57">
        <f t="shared" si="976"/>
        <v>51779.352235441926</v>
      </c>
      <c r="BP133" s="57">
        <f t="shared" si="976"/>
        <v>52668.824326899979</v>
      </c>
      <c r="BQ133" s="57">
        <f t="shared" si="976"/>
        <v>52413.763197870998</v>
      </c>
      <c r="BR133" s="57">
        <f t="shared" si="976"/>
        <v>53708.161209298079</v>
      </c>
      <c r="BS133" s="57">
        <f t="shared" si="976"/>
        <v>53472.342037847789</v>
      </c>
      <c r="BT133" s="57">
        <f t="shared" si="976"/>
        <v>58905.586488124718</v>
      </c>
      <c r="BU133" s="57">
        <f t="shared" si="976"/>
        <v>70573.416750421209</v>
      </c>
      <c r="BV133" s="57">
        <f t="shared" si="976"/>
        <v>71105.54969034098</v>
      </c>
      <c r="BW133" s="306">
        <f t="shared" si="976"/>
        <v>73569.994235320744</v>
      </c>
      <c r="BX133" s="57">
        <f t="shared" si="976"/>
        <v>70142.153657431511</v>
      </c>
      <c r="BY133" s="57">
        <f t="shared" si="976"/>
        <v>61453.316530744996</v>
      </c>
      <c r="BZ133" s="57">
        <f t="shared" si="976"/>
        <v>69594.860886859038</v>
      </c>
      <c r="CA133" s="57">
        <f t="shared" si="976"/>
        <v>53343.987961327584</v>
      </c>
      <c r="CB133" s="57">
        <f t="shared" si="976"/>
        <v>53731.293784732421</v>
      </c>
      <c r="CC133" s="57">
        <f t="shared" ref="CC133:DG133" si="977">CC125+CC122+CC132</f>
        <v>50391.043166144082</v>
      </c>
      <c r="CD133" s="57">
        <f t="shared" si="977"/>
        <v>46275.970785331068</v>
      </c>
      <c r="CE133" s="57">
        <f t="shared" si="977"/>
        <v>43250.934855322215</v>
      </c>
      <c r="CF133" s="57">
        <f t="shared" si="977"/>
        <v>43084.707796359558</v>
      </c>
      <c r="CG133" s="57">
        <f t="shared" si="977"/>
        <v>56694.351333854152</v>
      </c>
      <c r="CH133" s="57">
        <f t="shared" si="977"/>
        <v>56368.218899510306</v>
      </c>
      <c r="CI133" s="306">
        <f t="shared" si="977"/>
        <v>50197.944316251531</v>
      </c>
      <c r="CJ133" s="57">
        <f t="shared" si="977"/>
        <v>47176.561972016367</v>
      </c>
      <c r="CK133" s="57">
        <f t="shared" si="977"/>
        <v>32557.297648698521</v>
      </c>
      <c r="CL133" s="57">
        <f t="shared" si="977"/>
        <v>40606.134812596603</v>
      </c>
      <c r="CM133" s="57">
        <f t="shared" si="977"/>
        <v>16947.79522291015</v>
      </c>
      <c r="CN133" s="57">
        <f t="shared" si="977"/>
        <v>17339.546600840491</v>
      </c>
      <c r="CO133" s="57">
        <f t="shared" si="977"/>
        <v>8148.8683020021372</v>
      </c>
      <c r="CP133" s="57">
        <f t="shared" si="977"/>
        <v>1078.0776949387355</v>
      </c>
      <c r="CQ133" s="57">
        <f t="shared" si="977"/>
        <v>-4030.9261823544093</v>
      </c>
      <c r="CR133" s="57">
        <f t="shared" si="977"/>
        <v>-11536.289000900211</v>
      </c>
      <c r="CS133" s="57">
        <f t="shared" si="977"/>
        <v>7072.3615286555832</v>
      </c>
      <c r="CT133" s="57">
        <f t="shared" si="977"/>
        <v>3886.5654505624152</v>
      </c>
      <c r="CU133" s="306">
        <f t="shared" si="977"/>
        <v>-7830.7775020059526</v>
      </c>
      <c r="CV133" s="57">
        <f t="shared" si="977"/>
        <v>-13050.49368882889</v>
      </c>
      <c r="CW133" s="57">
        <f t="shared" si="977"/>
        <v>-32278.329918495725</v>
      </c>
      <c r="CX133" s="57">
        <f t="shared" si="977"/>
        <v>-26035.067645395327</v>
      </c>
      <c r="CY133" s="57">
        <f t="shared" si="977"/>
        <v>-58485.275749104869</v>
      </c>
      <c r="CZ133" s="57">
        <f t="shared" si="977"/>
        <v>-57168.553302886365</v>
      </c>
      <c r="DA133" s="57">
        <f t="shared" si="977"/>
        <v>-74397.895224932057</v>
      </c>
      <c r="DB133" s="57">
        <f t="shared" si="977"/>
        <v>-81749.970576099659</v>
      </c>
      <c r="DC133" s="57">
        <f t="shared" si="977"/>
        <v>-94987.370595076733</v>
      </c>
      <c r="DD133" s="57">
        <f t="shared" si="977"/>
        <v>-104383.97566172779</v>
      </c>
      <c r="DE133" s="57">
        <f t="shared" si="977"/>
        <v>-76748.766729646231</v>
      </c>
      <c r="DF133" s="57">
        <f t="shared" si="977"/>
        <v>-86732.109602062177</v>
      </c>
      <c r="DG133" s="57">
        <f t="shared" si="977"/>
        <v>-35738.146168864652</v>
      </c>
    </row>
    <row r="134" spans="1:111" s="55" customFormat="1" x14ac:dyDescent="0.3">
      <c r="B134" s="55" t="s">
        <v>29</v>
      </c>
      <c r="D134" s="55">
        <f t="shared" ref="D134:M134" si="978">D133</f>
        <v>0</v>
      </c>
      <c r="E134" s="55">
        <f t="shared" si="978"/>
        <v>0</v>
      </c>
      <c r="F134" s="55">
        <f t="shared" si="978"/>
        <v>0</v>
      </c>
      <c r="G134" s="55">
        <f t="shared" si="978"/>
        <v>0</v>
      </c>
      <c r="H134" s="55">
        <f t="shared" si="978"/>
        <v>0</v>
      </c>
      <c r="I134" s="55">
        <f t="shared" si="978"/>
        <v>0</v>
      </c>
      <c r="J134" s="55">
        <f t="shared" si="978"/>
        <v>0</v>
      </c>
      <c r="K134" s="55">
        <f t="shared" si="978"/>
        <v>630</v>
      </c>
      <c r="L134" s="55">
        <f t="shared" si="978"/>
        <v>1678</v>
      </c>
      <c r="M134" s="55">
        <f t="shared" si="978"/>
        <v>3385.36</v>
      </c>
      <c r="N134" s="55">
        <f>N133</f>
        <v>1822.4</v>
      </c>
      <c r="O134" s="55">
        <f t="shared" ref="O134:BZ134" si="979">O133</f>
        <v>844.1</v>
      </c>
      <c r="P134" s="55">
        <f t="shared" ref="P134:W134" si="980">P133</f>
        <v>229.95999999999998</v>
      </c>
      <c r="Q134" s="55">
        <f t="shared" si="980"/>
        <v>281.95</v>
      </c>
      <c r="R134" s="55">
        <f t="shared" si="980"/>
        <v>158.33999999999997</v>
      </c>
      <c r="S134" s="55">
        <f t="shared" si="980"/>
        <v>642.92000000000007</v>
      </c>
      <c r="T134" s="55">
        <f t="shared" si="980"/>
        <v>422.39</v>
      </c>
      <c r="U134" s="55">
        <f t="shared" si="980"/>
        <v>823.56999999999994</v>
      </c>
      <c r="V134" s="55">
        <f t="shared" si="980"/>
        <v>836.73</v>
      </c>
      <c r="W134" s="55">
        <f t="shared" si="980"/>
        <v>733.45</v>
      </c>
      <c r="X134" s="55">
        <f t="shared" ref="X134:Y134" si="981">X133</f>
        <v>2093.1800000000003</v>
      </c>
      <c r="Y134" s="55">
        <f t="shared" si="981"/>
        <v>953.3</v>
      </c>
      <c r="Z134" s="55">
        <f t="shared" ref="Z134" si="982">Z133</f>
        <v>1059.99</v>
      </c>
      <c r="AA134" s="55">
        <f t="shared" ref="AA134:AB134" si="983">AA133</f>
        <v>1057.02</v>
      </c>
      <c r="AB134" s="55">
        <f t="shared" si="983"/>
        <v>1591.78</v>
      </c>
      <c r="AC134" s="55">
        <f t="shared" ref="AC134:AD134" si="984">AC133</f>
        <v>1046.3200000000002</v>
      </c>
      <c r="AD134" s="55">
        <f t="shared" si="984"/>
        <v>475.28999999999996</v>
      </c>
      <c r="AE134" s="55">
        <f t="shared" ref="AE134" si="985">AE133</f>
        <v>1860.49</v>
      </c>
      <c r="AF134" s="55">
        <f t="shared" ref="AF134:AG134" si="986">AF133</f>
        <v>2408.09</v>
      </c>
      <c r="AG134" s="55">
        <f t="shared" si="986"/>
        <v>2419.46</v>
      </c>
      <c r="AH134" s="55">
        <f t="shared" ref="AH134" si="987">AH133</f>
        <v>5806.49</v>
      </c>
      <c r="AI134" s="55">
        <f t="shared" ref="AI134:AJ134" si="988">AI133</f>
        <v>6831.99</v>
      </c>
      <c r="AJ134" s="55">
        <f t="shared" si="988"/>
        <v>7475.02</v>
      </c>
      <c r="AK134" s="55">
        <f t="shared" ref="AK134" si="989">AK133</f>
        <v>9430.17</v>
      </c>
      <c r="AL134" s="55">
        <f t="shared" ref="AL134:AM134" si="990">AL133</f>
        <v>7689.4</v>
      </c>
      <c r="AM134" s="514">
        <f t="shared" si="990"/>
        <v>3914.83</v>
      </c>
      <c r="AN134" s="55">
        <f t="shared" ref="AN134:AO134" si="991">AN133</f>
        <v>6311.34</v>
      </c>
      <c r="AO134" s="55">
        <f t="shared" si="991"/>
        <v>3464.5</v>
      </c>
      <c r="AP134" s="55">
        <f t="shared" ref="AP134:AQ134" si="992">AP133</f>
        <v>2703.19</v>
      </c>
      <c r="AQ134" s="55">
        <f t="shared" si="992"/>
        <v>2336.5299999999997</v>
      </c>
      <c r="AR134" s="55">
        <f t="shared" ref="AR134:AS134" si="993">AR133</f>
        <v>2883.83</v>
      </c>
      <c r="AS134" s="55">
        <f t="shared" si="993"/>
        <v>4350.75</v>
      </c>
      <c r="AT134" s="55">
        <f t="shared" ref="AT134:AU134" si="994">AT133</f>
        <v>7636.08</v>
      </c>
      <c r="AU134" s="55">
        <f t="shared" si="994"/>
        <v>8174.97</v>
      </c>
      <c r="AV134" s="55">
        <f t="shared" ref="AV134:AW134" si="995">AV133</f>
        <v>17470.7</v>
      </c>
      <c r="AW134" s="305">
        <f t="shared" si="995"/>
        <v>31034.12</v>
      </c>
      <c r="AX134" s="55">
        <f t="shared" ref="AX134" si="996">AX133</f>
        <v>34080.734061543764</v>
      </c>
      <c r="AY134" s="305">
        <f t="shared" si="979"/>
        <v>35686.612125404034</v>
      </c>
      <c r="AZ134" s="55">
        <f t="shared" si="979"/>
        <v>37267.684104520311</v>
      </c>
      <c r="BA134" s="55">
        <f t="shared" si="979"/>
        <v>36006.854574222911</v>
      </c>
      <c r="BB134" s="55">
        <f t="shared" si="979"/>
        <v>39047.229088830369</v>
      </c>
      <c r="BC134" s="55">
        <f t="shared" si="979"/>
        <v>33791.491729049987</v>
      </c>
      <c r="BD134" s="55">
        <f t="shared" si="979"/>
        <v>34566.732299642863</v>
      </c>
      <c r="BE134" s="55">
        <f t="shared" si="979"/>
        <v>34938.597746163636</v>
      </c>
      <c r="BF134" s="55">
        <f t="shared" si="979"/>
        <v>37576.478351003847</v>
      </c>
      <c r="BG134" s="55">
        <f t="shared" si="979"/>
        <v>37871.094738837914</v>
      </c>
      <c r="BH134" s="55">
        <f t="shared" si="979"/>
        <v>42070.907371425761</v>
      </c>
      <c r="BI134" s="55">
        <f t="shared" si="979"/>
        <v>52732.830966849993</v>
      </c>
      <c r="BJ134" s="55">
        <f t="shared" si="979"/>
        <v>52669.090288756066</v>
      </c>
      <c r="BK134" s="305">
        <f t="shared" si="979"/>
        <v>55283.732649094316</v>
      </c>
      <c r="BL134" s="55">
        <f t="shared" si="979"/>
        <v>56506.585948342203</v>
      </c>
      <c r="BM134" s="55">
        <f t="shared" si="979"/>
        <v>53381.668143110728</v>
      </c>
      <c r="BN134" s="55">
        <f t="shared" si="979"/>
        <v>59328.389105638147</v>
      </c>
      <c r="BO134" s="55">
        <f t="shared" si="979"/>
        <v>51779.352235441926</v>
      </c>
      <c r="BP134" s="55">
        <f t="shared" si="979"/>
        <v>52668.824326899979</v>
      </c>
      <c r="BQ134" s="55">
        <f t="shared" si="979"/>
        <v>52413.763197870998</v>
      </c>
      <c r="BR134" s="55">
        <f t="shared" si="979"/>
        <v>53708.161209298079</v>
      </c>
      <c r="BS134" s="55">
        <f t="shared" si="979"/>
        <v>53472.342037847789</v>
      </c>
      <c r="BT134" s="55">
        <f t="shared" si="979"/>
        <v>58905.586488124718</v>
      </c>
      <c r="BU134" s="55">
        <f t="shared" si="979"/>
        <v>70573.416750421209</v>
      </c>
      <c r="BV134" s="55">
        <f t="shared" si="979"/>
        <v>71105.54969034098</v>
      </c>
      <c r="BW134" s="305">
        <f t="shared" si="979"/>
        <v>73569.994235320744</v>
      </c>
      <c r="BX134" s="55">
        <f t="shared" si="979"/>
        <v>70142.153657431511</v>
      </c>
      <c r="BY134" s="55">
        <f t="shared" si="979"/>
        <v>61453.316530744996</v>
      </c>
      <c r="BZ134" s="55">
        <f t="shared" si="979"/>
        <v>69594.860886859038</v>
      </c>
      <c r="CA134" s="55">
        <f t="shared" ref="CA134:DG134" si="997">CA133</f>
        <v>53343.987961327584</v>
      </c>
      <c r="CB134" s="55">
        <f t="shared" si="997"/>
        <v>53731.293784732421</v>
      </c>
      <c r="CC134" s="55">
        <f t="shared" si="997"/>
        <v>50391.043166144082</v>
      </c>
      <c r="CD134" s="55">
        <f t="shared" si="997"/>
        <v>46275.970785331068</v>
      </c>
      <c r="CE134" s="55">
        <f t="shared" si="997"/>
        <v>43250.934855322215</v>
      </c>
      <c r="CF134" s="55">
        <f t="shared" si="997"/>
        <v>43084.707796359558</v>
      </c>
      <c r="CG134" s="55">
        <f t="shared" si="997"/>
        <v>56694.351333854152</v>
      </c>
      <c r="CH134" s="55">
        <f t="shared" si="997"/>
        <v>56368.218899510306</v>
      </c>
      <c r="CI134" s="305">
        <f t="shared" si="997"/>
        <v>50197.944316251531</v>
      </c>
      <c r="CJ134" s="55">
        <f t="shared" si="997"/>
        <v>47176.561972016367</v>
      </c>
      <c r="CK134" s="55">
        <f t="shared" si="997"/>
        <v>32557.297648698521</v>
      </c>
      <c r="CL134" s="55">
        <f t="shared" si="997"/>
        <v>40606.134812596603</v>
      </c>
      <c r="CM134" s="55">
        <f t="shared" si="997"/>
        <v>16947.79522291015</v>
      </c>
      <c r="CN134" s="55">
        <f t="shared" si="997"/>
        <v>17339.546600840491</v>
      </c>
      <c r="CO134" s="55">
        <f t="shared" si="997"/>
        <v>8148.8683020021372</v>
      </c>
      <c r="CP134" s="55">
        <f t="shared" si="997"/>
        <v>1078.0776949387355</v>
      </c>
      <c r="CQ134" s="55">
        <f t="shared" si="997"/>
        <v>-4030.9261823544093</v>
      </c>
      <c r="CR134" s="55">
        <f t="shared" si="997"/>
        <v>-11536.289000900211</v>
      </c>
      <c r="CS134" s="55">
        <f t="shared" si="997"/>
        <v>7072.3615286555832</v>
      </c>
      <c r="CT134" s="55">
        <f t="shared" si="997"/>
        <v>3886.5654505624152</v>
      </c>
      <c r="CU134" s="305">
        <f t="shared" si="997"/>
        <v>-7830.7775020059526</v>
      </c>
      <c r="CV134" s="55">
        <f t="shared" si="997"/>
        <v>-13050.49368882889</v>
      </c>
      <c r="CW134" s="55">
        <f t="shared" si="997"/>
        <v>-32278.329918495725</v>
      </c>
      <c r="CX134" s="55">
        <f t="shared" si="997"/>
        <v>-26035.067645395327</v>
      </c>
      <c r="CY134" s="55">
        <f t="shared" si="997"/>
        <v>-58485.275749104869</v>
      </c>
      <c r="CZ134" s="55">
        <f t="shared" si="997"/>
        <v>-57168.553302886365</v>
      </c>
      <c r="DA134" s="55">
        <f t="shared" si="997"/>
        <v>-74397.895224932057</v>
      </c>
      <c r="DB134" s="55">
        <f t="shared" si="997"/>
        <v>-81749.970576099659</v>
      </c>
      <c r="DC134" s="55">
        <f t="shared" si="997"/>
        <v>-94987.370595076733</v>
      </c>
      <c r="DD134" s="55">
        <f t="shared" si="997"/>
        <v>-104383.97566172779</v>
      </c>
      <c r="DE134" s="55">
        <f t="shared" si="997"/>
        <v>-76748.766729646231</v>
      </c>
      <c r="DF134" s="55">
        <f t="shared" si="997"/>
        <v>-86732.109602062177</v>
      </c>
      <c r="DG134" s="55">
        <f t="shared" si="997"/>
        <v>-35738.146168864652</v>
      </c>
    </row>
    <row r="135" spans="1:111" x14ac:dyDescent="0.3">
      <c r="B135" s="1" t="s">
        <v>30</v>
      </c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570"/>
      <c r="AN135" s="2"/>
      <c r="AO135" s="2"/>
      <c r="AP135" s="2"/>
      <c r="AQ135" s="2"/>
      <c r="AR135" s="2"/>
      <c r="AS135" s="2"/>
      <c r="AT135" s="2"/>
      <c r="AU135" s="2"/>
      <c r="AV135" s="2"/>
      <c r="AW135" s="597"/>
      <c r="AY135" s="184"/>
      <c r="BK135" s="184"/>
      <c r="BW135" s="184"/>
      <c r="CI135" s="184"/>
      <c r="CU135" s="184"/>
    </row>
    <row r="136" spans="1:111" x14ac:dyDescent="0.3">
      <c r="B136" s="1" t="s">
        <v>31</v>
      </c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570"/>
      <c r="AN136" s="2"/>
      <c r="AO136" s="2"/>
      <c r="AP136" s="2"/>
      <c r="AQ136" s="2"/>
      <c r="AR136" s="2"/>
      <c r="AS136" s="2"/>
      <c r="AT136" s="2"/>
      <c r="AU136" s="2"/>
      <c r="AV136" s="2"/>
      <c r="AW136" s="597"/>
      <c r="AY136" s="184"/>
      <c r="BK136" s="184"/>
      <c r="BW136" s="184"/>
      <c r="CI136" s="184"/>
      <c r="CU136" s="184"/>
    </row>
    <row r="137" spans="1:111" s="29" customFormat="1" x14ac:dyDescent="0.3">
      <c r="A137"/>
      <c r="B137" s="1" t="s">
        <v>209</v>
      </c>
      <c r="C137" s="1"/>
      <c r="D137" s="2"/>
      <c r="E137" s="2"/>
      <c r="F137" s="2"/>
      <c r="G137" s="2"/>
      <c r="H137" s="2"/>
      <c r="I137" s="2"/>
      <c r="J137" s="115">
        <v>0</v>
      </c>
      <c r="K137" s="115">
        <v>0</v>
      </c>
      <c r="L137" s="115">
        <v>0</v>
      </c>
      <c r="M137" s="115">
        <v>0</v>
      </c>
      <c r="N137" s="115">
        <v>0</v>
      </c>
      <c r="O137" s="115">
        <v>0</v>
      </c>
      <c r="P137" s="115">
        <v>75</v>
      </c>
      <c r="Q137" s="115">
        <v>75</v>
      </c>
      <c r="R137" s="115">
        <v>0</v>
      </c>
      <c r="S137" s="115">
        <v>75</v>
      </c>
      <c r="T137" s="115">
        <v>0</v>
      </c>
      <c r="U137" s="115">
        <v>225</v>
      </c>
      <c r="V137" s="115">
        <v>300</v>
      </c>
      <c r="W137" s="115">
        <v>375</v>
      </c>
      <c r="X137" s="115">
        <v>225</v>
      </c>
      <c r="Y137" s="115">
        <v>75</v>
      </c>
      <c r="Z137" s="115">
        <v>150</v>
      </c>
      <c r="AA137" s="115">
        <v>225</v>
      </c>
      <c r="AB137" s="115">
        <v>75</v>
      </c>
      <c r="AC137" s="115">
        <v>112.5</v>
      </c>
      <c r="AD137" s="115">
        <v>225</v>
      </c>
      <c r="AE137" s="115">
        <v>300</v>
      </c>
      <c r="AF137" s="115">
        <v>217.47</v>
      </c>
      <c r="AG137" s="115">
        <v>940.26</v>
      </c>
      <c r="AH137" s="115">
        <v>1632.37</v>
      </c>
      <c r="AI137" s="115">
        <v>1297.1199999999999</v>
      </c>
      <c r="AJ137" s="115">
        <v>1225.47</v>
      </c>
      <c r="AK137" s="115">
        <v>1524.87</v>
      </c>
      <c r="AL137" s="115">
        <v>933.28</v>
      </c>
      <c r="AM137" s="513">
        <v>1426.37</v>
      </c>
      <c r="AN137" s="115">
        <v>1310.25</v>
      </c>
      <c r="AO137" s="115">
        <v>712.5</v>
      </c>
      <c r="AP137" s="115">
        <v>465.73</v>
      </c>
      <c r="AQ137" s="115">
        <v>880.73</v>
      </c>
      <c r="AR137" s="115">
        <v>771.25</v>
      </c>
      <c r="AS137" s="115">
        <v>281.25</v>
      </c>
      <c r="AT137" s="115">
        <v>450</v>
      </c>
      <c r="AU137" s="115">
        <v>453.75</v>
      </c>
      <c r="AV137" s="115">
        <v>337.5</v>
      </c>
      <c r="AW137" s="185">
        <f>581.25</f>
        <v>581.25</v>
      </c>
      <c r="AX137" s="220">
        <v>415</v>
      </c>
      <c r="AY137" s="312">
        <f t="shared" ref="AY137:CC137" si="998">AX137</f>
        <v>415</v>
      </c>
      <c r="AZ137" s="9">
        <f t="shared" si="998"/>
        <v>415</v>
      </c>
      <c r="BA137" s="9">
        <f t="shared" si="998"/>
        <v>415</v>
      </c>
      <c r="BB137" s="9">
        <f t="shared" si="998"/>
        <v>415</v>
      </c>
      <c r="BC137" s="9">
        <f t="shared" si="998"/>
        <v>415</v>
      </c>
      <c r="BD137" s="9">
        <f t="shared" si="998"/>
        <v>415</v>
      </c>
      <c r="BE137" s="9">
        <f t="shared" si="998"/>
        <v>415</v>
      </c>
      <c r="BF137" s="9">
        <f t="shared" si="998"/>
        <v>415</v>
      </c>
      <c r="BG137" s="9">
        <f t="shared" si="998"/>
        <v>415</v>
      </c>
      <c r="BH137" s="9">
        <f t="shared" si="998"/>
        <v>415</v>
      </c>
      <c r="BI137" s="9">
        <f t="shared" si="998"/>
        <v>415</v>
      </c>
      <c r="BJ137" s="9">
        <f t="shared" si="998"/>
        <v>415</v>
      </c>
      <c r="BK137" s="312">
        <f t="shared" si="998"/>
        <v>415</v>
      </c>
      <c r="BL137" s="9">
        <f t="shared" si="998"/>
        <v>415</v>
      </c>
      <c r="BM137" s="9">
        <f t="shared" si="998"/>
        <v>415</v>
      </c>
      <c r="BN137" s="9">
        <f t="shared" si="998"/>
        <v>415</v>
      </c>
      <c r="BO137" s="9">
        <f t="shared" si="998"/>
        <v>415</v>
      </c>
      <c r="BP137" s="9">
        <f t="shared" si="998"/>
        <v>415</v>
      </c>
      <c r="BQ137" s="9">
        <f t="shared" si="998"/>
        <v>415</v>
      </c>
      <c r="BR137" s="9">
        <f t="shared" si="998"/>
        <v>415</v>
      </c>
      <c r="BS137" s="9">
        <f t="shared" si="998"/>
        <v>415</v>
      </c>
      <c r="BT137" s="9">
        <f t="shared" si="998"/>
        <v>415</v>
      </c>
      <c r="BU137" s="9">
        <f t="shared" si="998"/>
        <v>415</v>
      </c>
      <c r="BV137" s="9">
        <f t="shared" si="998"/>
        <v>415</v>
      </c>
      <c r="BW137" s="312">
        <f t="shared" si="998"/>
        <v>415</v>
      </c>
      <c r="BX137" s="9">
        <f t="shared" si="998"/>
        <v>415</v>
      </c>
      <c r="BY137" s="9">
        <f t="shared" si="998"/>
        <v>415</v>
      </c>
      <c r="BZ137" s="9">
        <f t="shared" si="998"/>
        <v>415</v>
      </c>
      <c r="CA137" s="9">
        <f t="shared" si="998"/>
        <v>415</v>
      </c>
      <c r="CB137" s="9">
        <f t="shared" si="998"/>
        <v>415</v>
      </c>
      <c r="CC137" s="9">
        <f t="shared" si="998"/>
        <v>415</v>
      </c>
      <c r="CD137" s="9">
        <f t="shared" ref="CD137:DG137" si="999">CC137</f>
        <v>415</v>
      </c>
      <c r="CE137" s="9">
        <f t="shared" si="999"/>
        <v>415</v>
      </c>
      <c r="CF137" s="9">
        <f t="shared" si="999"/>
        <v>415</v>
      </c>
      <c r="CG137" s="9">
        <f t="shared" si="999"/>
        <v>415</v>
      </c>
      <c r="CH137" s="9">
        <f t="shared" si="999"/>
        <v>415</v>
      </c>
      <c r="CI137" s="312">
        <f t="shared" si="999"/>
        <v>415</v>
      </c>
      <c r="CJ137" s="9">
        <f t="shared" si="999"/>
        <v>415</v>
      </c>
      <c r="CK137" s="9">
        <f t="shared" si="999"/>
        <v>415</v>
      </c>
      <c r="CL137" s="9">
        <f t="shared" si="999"/>
        <v>415</v>
      </c>
      <c r="CM137" s="9">
        <f t="shared" si="999"/>
        <v>415</v>
      </c>
      <c r="CN137" s="9">
        <f t="shared" si="999"/>
        <v>415</v>
      </c>
      <c r="CO137" s="9">
        <f t="shared" si="999"/>
        <v>415</v>
      </c>
      <c r="CP137" s="9">
        <f t="shared" si="999"/>
        <v>415</v>
      </c>
      <c r="CQ137" s="9">
        <f t="shared" si="999"/>
        <v>415</v>
      </c>
      <c r="CR137" s="9">
        <f t="shared" si="999"/>
        <v>415</v>
      </c>
      <c r="CS137" s="9">
        <f t="shared" si="999"/>
        <v>415</v>
      </c>
      <c r="CT137" s="9">
        <f t="shared" si="999"/>
        <v>415</v>
      </c>
      <c r="CU137" s="312">
        <f t="shared" si="999"/>
        <v>415</v>
      </c>
      <c r="CV137" s="9">
        <f t="shared" si="999"/>
        <v>415</v>
      </c>
      <c r="CW137" s="9">
        <f t="shared" si="999"/>
        <v>415</v>
      </c>
      <c r="CX137" s="9">
        <f t="shared" si="999"/>
        <v>415</v>
      </c>
      <c r="CY137" s="9">
        <f t="shared" si="999"/>
        <v>415</v>
      </c>
      <c r="CZ137" s="9">
        <f t="shared" si="999"/>
        <v>415</v>
      </c>
      <c r="DA137" s="9">
        <f t="shared" si="999"/>
        <v>415</v>
      </c>
      <c r="DB137" s="9">
        <f t="shared" si="999"/>
        <v>415</v>
      </c>
      <c r="DC137" s="9">
        <f t="shared" si="999"/>
        <v>415</v>
      </c>
      <c r="DD137" s="9">
        <f t="shared" si="999"/>
        <v>415</v>
      </c>
      <c r="DE137" s="9">
        <f t="shared" si="999"/>
        <v>415</v>
      </c>
      <c r="DF137" s="9">
        <f t="shared" si="999"/>
        <v>415</v>
      </c>
      <c r="DG137" s="9">
        <f t="shared" si="999"/>
        <v>415</v>
      </c>
    </row>
    <row r="138" spans="1:111" x14ac:dyDescent="0.3">
      <c r="A138" s="5"/>
      <c r="B138" s="6" t="s">
        <v>367</v>
      </c>
      <c r="C138" s="6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>
        <f>SUM(AH137)</f>
        <v>1632.37</v>
      </c>
      <c r="AI138" s="54">
        <f t="shared" ref="AI138:CT138" si="1000">SUM(AI137)</f>
        <v>1297.1199999999999</v>
      </c>
      <c r="AJ138" s="54">
        <f t="shared" si="1000"/>
        <v>1225.47</v>
      </c>
      <c r="AK138" s="54">
        <f t="shared" si="1000"/>
        <v>1524.87</v>
      </c>
      <c r="AL138" s="54">
        <f t="shared" si="1000"/>
        <v>933.28</v>
      </c>
      <c r="AM138" s="566">
        <f t="shared" si="1000"/>
        <v>1426.37</v>
      </c>
      <c r="AN138" s="54">
        <f t="shared" si="1000"/>
        <v>1310.25</v>
      </c>
      <c r="AO138" s="54">
        <f t="shared" ref="AO138:AP138" si="1001">SUM(AO137)</f>
        <v>712.5</v>
      </c>
      <c r="AP138" s="54">
        <f t="shared" si="1001"/>
        <v>465.73</v>
      </c>
      <c r="AQ138" s="54">
        <f t="shared" ref="AQ138:AR138" si="1002">SUM(AQ137)</f>
        <v>880.73</v>
      </c>
      <c r="AR138" s="54">
        <f t="shared" si="1002"/>
        <v>771.25</v>
      </c>
      <c r="AS138" s="54">
        <f t="shared" ref="AS138:AT138" si="1003">SUM(AS137)</f>
        <v>281.25</v>
      </c>
      <c r="AT138" s="54">
        <f t="shared" si="1003"/>
        <v>450</v>
      </c>
      <c r="AU138" s="54">
        <f t="shared" ref="AU138:AV138" si="1004">SUM(AU137)</f>
        <v>453.75</v>
      </c>
      <c r="AV138" s="54">
        <f t="shared" si="1004"/>
        <v>337.5</v>
      </c>
      <c r="AW138" s="307">
        <f t="shared" ref="AW138" si="1005">SUM(AW137)</f>
        <v>581.25</v>
      </c>
      <c r="AX138" s="54">
        <f t="shared" ref="AX138" si="1006">SUM(AX137)</f>
        <v>415</v>
      </c>
      <c r="AY138" s="307">
        <f t="shared" si="1000"/>
        <v>415</v>
      </c>
      <c r="AZ138" s="54">
        <f t="shared" si="1000"/>
        <v>415</v>
      </c>
      <c r="BA138" s="54">
        <f t="shared" si="1000"/>
        <v>415</v>
      </c>
      <c r="BB138" s="54">
        <f t="shared" si="1000"/>
        <v>415</v>
      </c>
      <c r="BC138" s="54">
        <f t="shared" si="1000"/>
        <v>415</v>
      </c>
      <c r="BD138" s="54">
        <f t="shared" si="1000"/>
        <v>415</v>
      </c>
      <c r="BE138" s="54">
        <f t="shared" si="1000"/>
        <v>415</v>
      </c>
      <c r="BF138" s="54">
        <f t="shared" si="1000"/>
        <v>415</v>
      </c>
      <c r="BG138" s="54">
        <f t="shared" si="1000"/>
        <v>415</v>
      </c>
      <c r="BH138" s="54">
        <f t="shared" si="1000"/>
        <v>415</v>
      </c>
      <c r="BI138" s="54">
        <f t="shared" si="1000"/>
        <v>415</v>
      </c>
      <c r="BJ138" s="54">
        <f t="shared" si="1000"/>
        <v>415</v>
      </c>
      <c r="BK138" s="307">
        <f t="shared" si="1000"/>
        <v>415</v>
      </c>
      <c r="BL138" s="54">
        <f t="shared" si="1000"/>
        <v>415</v>
      </c>
      <c r="BM138" s="54">
        <f t="shared" si="1000"/>
        <v>415</v>
      </c>
      <c r="BN138" s="54">
        <f t="shared" si="1000"/>
        <v>415</v>
      </c>
      <c r="BO138" s="54">
        <f t="shared" si="1000"/>
        <v>415</v>
      </c>
      <c r="BP138" s="54">
        <f t="shared" si="1000"/>
        <v>415</v>
      </c>
      <c r="BQ138" s="54">
        <f t="shared" si="1000"/>
        <v>415</v>
      </c>
      <c r="BR138" s="54">
        <f t="shared" si="1000"/>
        <v>415</v>
      </c>
      <c r="BS138" s="54">
        <f t="shared" si="1000"/>
        <v>415</v>
      </c>
      <c r="BT138" s="54">
        <f t="shared" si="1000"/>
        <v>415</v>
      </c>
      <c r="BU138" s="54">
        <f t="shared" si="1000"/>
        <v>415</v>
      </c>
      <c r="BV138" s="54">
        <f t="shared" si="1000"/>
        <v>415</v>
      </c>
      <c r="BW138" s="307">
        <f t="shared" si="1000"/>
        <v>415</v>
      </c>
      <c r="BX138" s="54">
        <f t="shared" si="1000"/>
        <v>415</v>
      </c>
      <c r="BY138" s="54">
        <f t="shared" si="1000"/>
        <v>415</v>
      </c>
      <c r="BZ138" s="54">
        <f t="shared" si="1000"/>
        <v>415</v>
      </c>
      <c r="CA138" s="54">
        <f t="shared" si="1000"/>
        <v>415</v>
      </c>
      <c r="CB138" s="54">
        <f t="shared" si="1000"/>
        <v>415</v>
      </c>
      <c r="CC138" s="54">
        <f t="shared" si="1000"/>
        <v>415</v>
      </c>
      <c r="CD138" s="54">
        <f t="shared" si="1000"/>
        <v>415</v>
      </c>
      <c r="CE138" s="54">
        <f t="shared" si="1000"/>
        <v>415</v>
      </c>
      <c r="CF138" s="54">
        <f t="shared" si="1000"/>
        <v>415</v>
      </c>
      <c r="CG138" s="54">
        <f t="shared" si="1000"/>
        <v>415</v>
      </c>
      <c r="CH138" s="54">
        <f t="shared" si="1000"/>
        <v>415</v>
      </c>
      <c r="CI138" s="307">
        <f t="shared" si="1000"/>
        <v>415</v>
      </c>
      <c r="CJ138" s="54">
        <f t="shared" si="1000"/>
        <v>415</v>
      </c>
      <c r="CK138" s="54">
        <f t="shared" si="1000"/>
        <v>415</v>
      </c>
      <c r="CL138" s="54">
        <f t="shared" si="1000"/>
        <v>415</v>
      </c>
      <c r="CM138" s="54">
        <f t="shared" si="1000"/>
        <v>415</v>
      </c>
      <c r="CN138" s="54">
        <f t="shared" si="1000"/>
        <v>415</v>
      </c>
      <c r="CO138" s="54">
        <f t="shared" si="1000"/>
        <v>415</v>
      </c>
      <c r="CP138" s="54">
        <f t="shared" si="1000"/>
        <v>415</v>
      </c>
      <c r="CQ138" s="54">
        <f t="shared" si="1000"/>
        <v>415</v>
      </c>
      <c r="CR138" s="54">
        <f t="shared" si="1000"/>
        <v>415</v>
      </c>
      <c r="CS138" s="54">
        <f t="shared" si="1000"/>
        <v>415</v>
      </c>
      <c r="CT138" s="54">
        <f t="shared" si="1000"/>
        <v>415</v>
      </c>
      <c r="CU138" s="307">
        <f t="shared" ref="CU138:DG138" si="1007">SUM(CU137)</f>
        <v>415</v>
      </c>
      <c r="CV138" s="54">
        <f t="shared" si="1007"/>
        <v>415</v>
      </c>
      <c r="CW138" s="54">
        <f t="shared" si="1007"/>
        <v>415</v>
      </c>
      <c r="CX138" s="54">
        <f t="shared" si="1007"/>
        <v>415</v>
      </c>
      <c r="CY138" s="54">
        <f t="shared" si="1007"/>
        <v>415</v>
      </c>
      <c r="CZ138" s="54">
        <f t="shared" si="1007"/>
        <v>415</v>
      </c>
      <c r="DA138" s="54">
        <f t="shared" si="1007"/>
        <v>415</v>
      </c>
      <c r="DB138" s="54">
        <f t="shared" si="1007"/>
        <v>415</v>
      </c>
      <c r="DC138" s="54">
        <f t="shared" si="1007"/>
        <v>415</v>
      </c>
      <c r="DD138" s="54">
        <f t="shared" si="1007"/>
        <v>415</v>
      </c>
      <c r="DE138" s="54">
        <f t="shared" si="1007"/>
        <v>415</v>
      </c>
      <c r="DF138" s="54">
        <f t="shared" si="1007"/>
        <v>415</v>
      </c>
      <c r="DG138" s="54">
        <f t="shared" si="1007"/>
        <v>415</v>
      </c>
    </row>
    <row r="139" spans="1:111" s="29" customFormat="1" x14ac:dyDescent="0.3">
      <c r="A139"/>
      <c r="B139" s="1" t="s">
        <v>368</v>
      </c>
      <c r="C139" s="1"/>
      <c r="D139" s="2"/>
      <c r="E139" s="2"/>
      <c r="F139" s="2"/>
      <c r="G139" s="2"/>
      <c r="H139" s="2"/>
      <c r="I139" s="2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513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85"/>
      <c r="AX139" s="220"/>
      <c r="AY139" s="312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312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312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312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312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</row>
    <row r="140" spans="1:111" s="29" customFormat="1" x14ac:dyDescent="0.3">
      <c r="A140"/>
      <c r="B140" s="1" t="s">
        <v>369</v>
      </c>
      <c r="C140" s="1"/>
      <c r="D140" s="2"/>
      <c r="E140" s="2"/>
      <c r="F140" s="2"/>
      <c r="G140" s="2"/>
      <c r="H140" s="2"/>
      <c r="I140" s="2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513"/>
      <c r="AN140" s="115"/>
      <c r="AO140" s="115"/>
      <c r="AP140" s="115"/>
      <c r="AQ140" s="115"/>
      <c r="AR140" s="115"/>
      <c r="AS140" s="115"/>
      <c r="AT140" s="707"/>
      <c r="AU140" s="707"/>
      <c r="AV140" s="707"/>
      <c r="AW140" s="708"/>
      <c r="AX140" s="220"/>
      <c r="AY140" s="312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312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312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312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312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</row>
    <row r="141" spans="1:111" s="29" customFormat="1" x14ac:dyDescent="0.3">
      <c r="A141"/>
      <c r="B141" s="1" t="s">
        <v>370</v>
      </c>
      <c r="C141" s="1"/>
      <c r="D141" s="2"/>
      <c r="E141" s="2"/>
      <c r="F141" s="2"/>
      <c r="G141" s="2"/>
      <c r="H141" s="2"/>
      <c r="I141" s="2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513"/>
      <c r="AN141" s="115">
        <v>1275</v>
      </c>
      <c r="AO141" s="115">
        <v>0</v>
      </c>
      <c r="AP141" s="115">
        <v>0</v>
      </c>
      <c r="AQ141" s="115">
        <v>0</v>
      </c>
      <c r="AR141" s="115">
        <v>0</v>
      </c>
      <c r="AS141" s="115">
        <v>0</v>
      </c>
      <c r="AT141" s="115">
        <v>0</v>
      </c>
      <c r="AU141" s="115">
        <v>0</v>
      </c>
      <c r="AV141" s="115">
        <v>0</v>
      </c>
      <c r="AW141" s="185">
        <v>0</v>
      </c>
      <c r="AX141" s="220">
        <v>0</v>
      </c>
      <c r="AY141" s="312">
        <f t="shared" ref="AY141:DB142" si="1008">+AX141</f>
        <v>0</v>
      </c>
      <c r="AZ141" s="9">
        <f t="shared" si="1008"/>
        <v>0</v>
      </c>
      <c r="BA141" s="9">
        <f t="shared" si="1008"/>
        <v>0</v>
      </c>
      <c r="BB141" s="9">
        <f t="shared" si="1008"/>
        <v>0</v>
      </c>
      <c r="BC141" s="9">
        <f t="shared" si="1008"/>
        <v>0</v>
      </c>
      <c r="BD141" s="9">
        <f t="shared" si="1008"/>
        <v>0</v>
      </c>
      <c r="BE141" s="9">
        <f t="shared" si="1008"/>
        <v>0</v>
      </c>
      <c r="BF141" s="9">
        <f t="shared" si="1008"/>
        <v>0</v>
      </c>
      <c r="BG141" s="9">
        <f t="shared" si="1008"/>
        <v>0</v>
      </c>
      <c r="BH141" s="9">
        <f t="shared" si="1008"/>
        <v>0</v>
      </c>
      <c r="BI141" s="9">
        <f t="shared" si="1008"/>
        <v>0</v>
      </c>
      <c r="BJ141" s="9">
        <f t="shared" si="1008"/>
        <v>0</v>
      </c>
      <c r="BK141" s="312">
        <f t="shared" si="1008"/>
        <v>0</v>
      </c>
      <c r="BL141" s="9">
        <f t="shared" si="1008"/>
        <v>0</v>
      </c>
      <c r="BM141" s="9">
        <f t="shared" si="1008"/>
        <v>0</v>
      </c>
      <c r="BN141" s="9">
        <f t="shared" si="1008"/>
        <v>0</v>
      </c>
      <c r="BO141" s="9">
        <f t="shared" si="1008"/>
        <v>0</v>
      </c>
      <c r="BP141" s="9">
        <f t="shared" si="1008"/>
        <v>0</v>
      </c>
      <c r="BQ141" s="9">
        <f t="shared" si="1008"/>
        <v>0</v>
      </c>
      <c r="BR141" s="9">
        <f t="shared" si="1008"/>
        <v>0</v>
      </c>
      <c r="BS141" s="9">
        <f t="shared" si="1008"/>
        <v>0</v>
      </c>
      <c r="BT141" s="9">
        <f t="shared" si="1008"/>
        <v>0</v>
      </c>
      <c r="BU141" s="9">
        <f t="shared" si="1008"/>
        <v>0</v>
      </c>
      <c r="BV141" s="9">
        <f t="shared" si="1008"/>
        <v>0</v>
      </c>
      <c r="BW141" s="312">
        <f t="shared" si="1008"/>
        <v>0</v>
      </c>
      <c r="BX141" s="9">
        <f t="shared" si="1008"/>
        <v>0</v>
      </c>
      <c r="BY141" s="9">
        <f t="shared" si="1008"/>
        <v>0</v>
      </c>
      <c r="BZ141" s="9">
        <f t="shared" si="1008"/>
        <v>0</v>
      </c>
      <c r="CA141" s="9">
        <f t="shared" si="1008"/>
        <v>0</v>
      </c>
      <c r="CB141" s="9">
        <f t="shared" si="1008"/>
        <v>0</v>
      </c>
      <c r="CC141" s="9">
        <f t="shared" si="1008"/>
        <v>0</v>
      </c>
      <c r="CD141" s="9">
        <f t="shared" si="1008"/>
        <v>0</v>
      </c>
      <c r="CE141" s="9">
        <f t="shared" si="1008"/>
        <v>0</v>
      </c>
      <c r="CF141" s="9">
        <f t="shared" si="1008"/>
        <v>0</v>
      </c>
      <c r="CG141" s="9">
        <f t="shared" si="1008"/>
        <v>0</v>
      </c>
      <c r="CH141" s="9">
        <f t="shared" si="1008"/>
        <v>0</v>
      </c>
      <c r="CI141" s="312">
        <f t="shared" si="1008"/>
        <v>0</v>
      </c>
      <c r="CJ141" s="9">
        <f t="shared" si="1008"/>
        <v>0</v>
      </c>
      <c r="CK141" s="9">
        <f t="shared" si="1008"/>
        <v>0</v>
      </c>
      <c r="CL141" s="9">
        <f t="shared" si="1008"/>
        <v>0</v>
      </c>
      <c r="CM141" s="9">
        <f t="shared" si="1008"/>
        <v>0</v>
      </c>
      <c r="CN141" s="9">
        <f t="shared" si="1008"/>
        <v>0</v>
      </c>
      <c r="CO141" s="9">
        <f t="shared" si="1008"/>
        <v>0</v>
      </c>
      <c r="CP141" s="9">
        <f t="shared" si="1008"/>
        <v>0</v>
      </c>
      <c r="CQ141" s="9">
        <f t="shared" si="1008"/>
        <v>0</v>
      </c>
      <c r="CR141" s="9">
        <f t="shared" si="1008"/>
        <v>0</v>
      </c>
      <c r="CS141" s="9">
        <f t="shared" si="1008"/>
        <v>0</v>
      </c>
      <c r="CT141" s="9">
        <f t="shared" si="1008"/>
        <v>0</v>
      </c>
      <c r="CU141" s="312">
        <f t="shared" si="1008"/>
        <v>0</v>
      </c>
      <c r="CV141" s="9">
        <f t="shared" si="1008"/>
        <v>0</v>
      </c>
      <c r="CW141" s="9">
        <f t="shared" si="1008"/>
        <v>0</v>
      </c>
      <c r="CX141" s="9">
        <f t="shared" si="1008"/>
        <v>0</v>
      </c>
      <c r="CY141" s="9">
        <f t="shared" si="1008"/>
        <v>0</v>
      </c>
      <c r="CZ141" s="9">
        <f t="shared" si="1008"/>
        <v>0</v>
      </c>
      <c r="DA141" s="9">
        <f t="shared" si="1008"/>
        <v>0</v>
      </c>
      <c r="DB141" s="9">
        <f t="shared" si="1008"/>
        <v>0</v>
      </c>
      <c r="DC141" s="9">
        <f t="shared" ref="DC141:DG143" si="1009">+DB141</f>
        <v>0</v>
      </c>
      <c r="DD141" s="9">
        <f t="shared" si="1009"/>
        <v>0</v>
      </c>
      <c r="DE141" s="9">
        <f t="shared" si="1009"/>
        <v>0</v>
      </c>
      <c r="DF141" s="9">
        <f t="shared" si="1009"/>
        <v>0</v>
      </c>
      <c r="DG141" s="9">
        <f t="shared" si="1009"/>
        <v>0</v>
      </c>
    </row>
    <row r="142" spans="1:111" s="29" customFormat="1" x14ac:dyDescent="0.3">
      <c r="A142"/>
      <c r="B142" s="1" t="s">
        <v>371</v>
      </c>
      <c r="C142" s="1"/>
      <c r="D142" s="2"/>
      <c r="E142" s="2"/>
      <c r="F142" s="2"/>
      <c r="G142" s="2"/>
      <c r="H142" s="2"/>
      <c r="I142" s="2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513"/>
      <c r="AN142" s="115">
        <v>137.07</v>
      </c>
      <c r="AO142" s="115">
        <v>0</v>
      </c>
      <c r="AP142" s="115">
        <v>0</v>
      </c>
      <c r="AQ142" s="115">
        <v>0</v>
      </c>
      <c r="AR142" s="115">
        <v>0</v>
      </c>
      <c r="AS142" s="115">
        <v>0</v>
      </c>
      <c r="AT142" s="115">
        <v>0</v>
      </c>
      <c r="AU142" s="115">
        <v>0</v>
      </c>
      <c r="AV142" s="115">
        <v>0</v>
      </c>
      <c r="AW142" s="185">
        <v>0</v>
      </c>
      <c r="AX142" s="220">
        <v>0</v>
      </c>
      <c r="AY142" s="312">
        <f t="shared" ref="AY142:BE142" si="1010">+AX142</f>
        <v>0</v>
      </c>
      <c r="AZ142" s="9">
        <f t="shared" si="1010"/>
        <v>0</v>
      </c>
      <c r="BA142" s="9">
        <f t="shared" si="1010"/>
        <v>0</v>
      </c>
      <c r="BB142" s="9">
        <f t="shared" si="1010"/>
        <v>0</v>
      </c>
      <c r="BC142" s="9">
        <f t="shared" si="1010"/>
        <v>0</v>
      </c>
      <c r="BD142" s="9">
        <f t="shared" si="1010"/>
        <v>0</v>
      </c>
      <c r="BE142" s="9">
        <f t="shared" si="1010"/>
        <v>0</v>
      </c>
      <c r="BF142" s="9">
        <f t="shared" si="1008"/>
        <v>0</v>
      </c>
      <c r="BG142" s="9">
        <f t="shared" si="1008"/>
        <v>0</v>
      </c>
      <c r="BH142" s="9">
        <f t="shared" si="1008"/>
        <v>0</v>
      </c>
      <c r="BI142" s="9">
        <f t="shared" si="1008"/>
        <v>0</v>
      </c>
      <c r="BJ142" s="9">
        <f t="shared" si="1008"/>
        <v>0</v>
      </c>
      <c r="BK142" s="312">
        <f t="shared" si="1008"/>
        <v>0</v>
      </c>
      <c r="BL142" s="9">
        <f t="shared" si="1008"/>
        <v>0</v>
      </c>
      <c r="BM142" s="9">
        <f t="shared" si="1008"/>
        <v>0</v>
      </c>
      <c r="BN142" s="9">
        <f t="shared" si="1008"/>
        <v>0</v>
      </c>
      <c r="BO142" s="9">
        <f t="shared" si="1008"/>
        <v>0</v>
      </c>
      <c r="BP142" s="9">
        <f t="shared" si="1008"/>
        <v>0</v>
      </c>
      <c r="BQ142" s="9">
        <f t="shared" si="1008"/>
        <v>0</v>
      </c>
      <c r="BR142" s="9">
        <f t="shared" si="1008"/>
        <v>0</v>
      </c>
      <c r="BS142" s="9">
        <f t="shared" si="1008"/>
        <v>0</v>
      </c>
      <c r="BT142" s="9">
        <f t="shared" si="1008"/>
        <v>0</v>
      </c>
      <c r="BU142" s="9">
        <f t="shared" si="1008"/>
        <v>0</v>
      </c>
      <c r="BV142" s="9">
        <f t="shared" si="1008"/>
        <v>0</v>
      </c>
      <c r="BW142" s="312">
        <f t="shared" si="1008"/>
        <v>0</v>
      </c>
      <c r="BX142" s="9">
        <f t="shared" si="1008"/>
        <v>0</v>
      </c>
      <c r="BY142" s="9">
        <f t="shared" si="1008"/>
        <v>0</v>
      </c>
      <c r="BZ142" s="9">
        <f t="shared" si="1008"/>
        <v>0</v>
      </c>
      <c r="CA142" s="9">
        <f t="shared" si="1008"/>
        <v>0</v>
      </c>
      <c r="CB142" s="9">
        <f t="shared" si="1008"/>
        <v>0</v>
      </c>
      <c r="CC142" s="9">
        <f t="shared" si="1008"/>
        <v>0</v>
      </c>
      <c r="CD142" s="9">
        <f t="shared" si="1008"/>
        <v>0</v>
      </c>
      <c r="CE142" s="9">
        <f t="shared" si="1008"/>
        <v>0</v>
      </c>
      <c r="CF142" s="9">
        <f t="shared" si="1008"/>
        <v>0</v>
      </c>
      <c r="CG142" s="9">
        <f t="shared" si="1008"/>
        <v>0</v>
      </c>
      <c r="CH142" s="9">
        <f t="shared" si="1008"/>
        <v>0</v>
      </c>
      <c r="CI142" s="312">
        <f t="shared" si="1008"/>
        <v>0</v>
      </c>
      <c r="CJ142" s="9">
        <f t="shared" si="1008"/>
        <v>0</v>
      </c>
      <c r="CK142" s="9">
        <f t="shared" si="1008"/>
        <v>0</v>
      </c>
      <c r="CL142" s="9">
        <f t="shared" si="1008"/>
        <v>0</v>
      </c>
      <c r="CM142" s="9">
        <f t="shared" si="1008"/>
        <v>0</v>
      </c>
      <c r="CN142" s="9">
        <f t="shared" si="1008"/>
        <v>0</v>
      </c>
      <c r="CO142" s="9">
        <f t="shared" si="1008"/>
        <v>0</v>
      </c>
      <c r="CP142" s="9">
        <f t="shared" si="1008"/>
        <v>0</v>
      </c>
      <c r="CQ142" s="9">
        <f t="shared" si="1008"/>
        <v>0</v>
      </c>
      <c r="CR142" s="9">
        <f t="shared" si="1008"/>
        <v>0</v>
      </c>
      <c r="CS142" s="9">
        <f t="shared" si="1008"/>
        <v>0</v>
      </c>
      <c r="CT142" s="9">
        <f t="shared" si="1008"/>
        <v>0</v>
      </c>
      <c r="CU142" s="312">
        <f t="shared" si="1008"/>
        <v>0</v>
      </c>
      <c r="CV142" s="9">
        <f t="shared" si="1008"/>
        <v>0</v>
      </c>
      <c r="CW142" s="9">
        <f t="shared" si="1008"/>
        <v>0</v>
      </c>
      <c r="CX142" s="9">
        <f t="shared" si="1008"/>
        <v>0</v>
      </c>
      <c r="CY142" s="9">
        <f t="shared" si="1008"/>
        <v>0</v>
      </c>
      <c r="CZ142" s="9">
        <f t="shared" si="1008"/>
        <v>0</v>
      </c>
      <c r="DA142" s="9">
        <f t="shared" si="1008"/>
        <v>0</v>
      </c>
      <c r="DB142" s="9">
        <f t="shared" si="1008"/>
        <v>0</v>
      </c>
      <c r="DC142" s="9">
        <f t="shared" si="1009"/>
        <v>0</v>
      </c>
      <c r="DD142" s="9">
        <f t="shared" si="1009"/>
        <v>0</v>
      </c>
      <c r="DE142" s="9">
        <f t="shared" si="1009"/>
        <v>0</v>
      </c>
      <c r="DF142" s="9">
        <f t="shared" si="1009"/>
        <v>0</v>
      </c>
      <c r="DG142" s="9">
        <f t="shared" si="1009"/>
        <v>0</v>
      </c>
    </row>
    <row r="143" spans="1:111" s="29" customFormat="1" x14ac:dyDescent="0.3">
      <c r="A143"/>
      <c r="B143" s="1" t="s">
        <v>372</v>
      </c>
      <c r="C143" s="1"/>
      <c r="D143" s="2"/>
      <c r="E143" s="2"/>
      <c r="F143" s="2"/>
      <c r="G143" s="2"/>
      <c r="H143" s="2"/>
      <c r="I143" s="2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513"/>
      <c r="AN143" s="115">
        <v>1717.2</v>
      </c>
      <c r="AO143" s="115">
        <v>692.93</v>
      </c>
      <c r="AP143" s="115">
        <v>692.93</v>
      </c>
      <c r="AQ143" s="115">
        <v>692.93</v>
      </c>
      <c r="AR143" s="115">
        <v>692.93</v>
      </c>
      <c r="AS143" s="115">
        <v>0</v>
      </c>
      <c r="AT143" s="115">
        <v>0</v>
      </c>
      <c r="AU143" s="115">
        <v>0</v>
      </c>
      <c r="AV143" s="115">
        <v>0</v>
      </c>
      <c r="AW143" s="185">
        <v>0</v>
      </c>
      <c r="AX143" s="220">
        <v>0</v>
      </c>
      <c r="AY143" s="312">
        <f t="shared" ref="AY143:DB143" si="1011">+AX143</f>
        <v>0</v>
      </c>
      <c r="AZ143" s="9">
        <f t="shared" si="1011"/>
        <v>0</v>
      </c>
      <c r="BA143" s="9">
        <f t="shared" si="1011"/>
        <v>0</v>
      </c>
      <c r="BB143" s="9">
        <f t="shared" si="1011"/>
        <v>0</v>
      </c>
      <c r="BC143" s="9">
        <f t="shared" si="1011"/>
        <v>0</v>
      </c>
      <c r="BD143" s="9">
        <f t="shared" si="1011"/>
        <v>0</v>
      </c>
      <c r="BE143" s="9">
        <f t="shared" si="1011"/>
        <v>0</v>
      </c>
      <c r="BF143" s="9">
        <f t="shared" si="1011"/>
        <v>0</v>
      </c>
      <c r="BG143" s="9">
        <f t="shared" si="1011"/>
        <v>0</v>
      </c>
      <c r="BH143" s="9">
        <f t="shared" si="1011"/>
        <v>0</v>
      </c>
      <c r="BI143" s="9">
        <f t="shared" si="1011"/>
        <v>0</v>
      </c>
      <c r="BJ143" s="9">
        <f t="shared" si="1011"/>
        <v>0</v>
      </c>
      <c r="BK143" s="312">
        <f t="shared" si="1011"/>
        <v>0</v>
      </c>
      <c r="BL143" s="9">
        <f t="shared" si="1011"/>
        <v>0</v>
      </c>
      <c r="BM143" s="9">
        <f t="shared" si="1011"/>
        <v>0</v>
      </c>
      <c r="BN143" s="9">
        <f t="shared" si="1011"/>
        <v>0</v>
      </c>
      <c r="BO143" s="9">
        <f t="shared" si="1011"/>
        <v>0</v>
      </c>
      <c r="BP143" s="9">
        <f t="shared" si="1011"/>
        <v>0</v>
      </c>
      <c r="BQ143" s="9">
        <f t="shared" si="1011"/>
        <v>0</v>
      </c>
      <c r="BR143" s="9">
        <f t="shared" si="1011"/>
        <v>0</v>
      </c>
      <c r="BS143" s="9">
        <f t="shared" si="1011"/>
        <v>0</v>
      </c>
      <c r="BT143" s="9">
        <f t="shared" si="1011"/>
        <v>0</v>
      </c>
      <c r="BU143" s="9">
        <f t="shared" si="1011"/>
        <v>0</v>
      </c>
      <c r="BV143" s="9">
        <f t="shared" si="1011"/>
        <v>0</v>
      </c>
      <c r="BW143" s="312">
        <f t="shared" si="1011"/>
        <v>0</v>
      </c>
      <c r="BX143" s="9">
        <f t="shared" si="1011"/>
        <v>0</v>
      </c>
      <c r="BY143" s="9">
        <f t="shared" si="1011"/>
        <v>0</v>
      </c>
      <c r="BZ143" s="9">
        <f t="shared" si="1011"/>
        <v>0</v>
      </c>
      <c r="CA143" s="9">
        <f t="shared" si="1011"/>
        <v>0</v>
      </c>
      <c r="CB143" s="9">
        <f t="shared" si="1011"/>
        <v>0</v>
      </c>
      <c r="CC143" s="9">
        <f t="shared" si="1011"/>
        <v>0</v>
      </c>
      <c r="CD143" s="9">
        <f t="shared" si="1011"/>
        <v>0</v>
      </c>
      <c r="CE143" s="9">
        <f t="shared" si="1011"/>
        <v>0</v>
      </c>
      <c r="CF143" s="9">
        <f t="shared" si="1011"/>
        <v>0</v>
      </c>
      <c r="CG143" s="9">
        <f t="shared" si="1011"/>
        <v>0</v>
      </c>
      <c r="CH143" s="9">
        <f t="shared" si="1011"/>
        <v>0</v>
      </c>
      <c r="CI143" s="312">
        <f t="shared" si="1011"/>
        <v>0</v>
      </c>
      <c r="CJ143" s="9">
        <f t="shared" si="1011"/>
        <v>0</v>
      </c>
      <c r="CK143" s="9">
        <f t="shared" si="1011"/>
        <v>0</v>
      </c>
      <c r="CL143" s="9">
        <f t="shared" si="1011"/>
        <v>0</v>
      </c>
      <c r="CM143" s="9">
        <f t="shared" si="1011"/>
        <v>0</v>
      </c>
      <c r="CN143" s="9">
        <f t="shared" si="1011"/>
        <v>0</v>
      </c>
      <c r="CO143" s="9">
        <f t="shared" si="1011"/>
        <v>0</v>
      </c>
      <c r="CP143" s="9">
        <f t="shared" si="1011"/>
        <v>0</v>
      </c>
      <c r="CQ143" s="9">
        <f t="shared" si="1011"/>
        <v>0</v>
      </c>
      <c r="CR143" s="9">
        <f t="shared" si="1011"/>
        <v>0</v>
      </c>
      <c r="CS143" s="9">
        <f t="shared" si="1011"/>
        <v>0</v>
      </c>
      <c r="CT143" s="9">
        <f t="shared" si="1011"/>
        <v>0</v>
      </c>
      <c r="CU143" s="312">
        <f t="shared" si="1011"/>
        <v>0</v>
      </c>
      <c r="CV143" s="9">
        <f t="shared" si="1011"/>
        <v>0</v>
      </c>
      <c r="CW143" s="9">
        <f t="shared" si="1011"/>
        <v>0</v>
      </c>
      <c r="CX143" s="9">
        <f t="shared" si="1011"/>
        <v>0</v>
      </c>
      <c r="CY143" s="9">
        <f t="shared" si="1011"/>
        <v>0</v>
      </c>
      <c r="CZ143" s="9">
        <f t="shared" si="1011"/>
        <v>0</v>
      </c>
      <c r="DA143" s="9">
        <f t="shared" si="1011"/>
        <v>0</v>
      </c>
      <c r="DB143" s="9">
        <f t="shared" si="1011"/>
        <v>0</v>
      </c>
      <c r="DC143" s="9">
        <f t="shared" si="1009"/>
        <v>0</v>
      </c>
      <c r="DD143" s="9">
        <f t="shared" si="1009"/>
        <v>0</v>
      </c>
      <c r="DE143" s="9">
        <f t="shared" si="1009"/>
        <v>0</v>
      </c>
      <c r="DF143" s="9">
        <f t="shared" si="1009"/>
        <v>0</v>
      </c>
      <c r="DG143" s="9">
        <f t="shared" si="1009"/>
        <v>0</v>
      </c>
    </row>
    <row r="144" spans="1:111" x14ac:dyDescent="0.3">
      <c r="A144" s="5"/>
      <c r="B144" s="6" t="s">
        <v>373</v>
      </c>
      <c r="C144" s="6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>
        <f t="shared" ref="AH144:AM144" si="1012">SUM(AH141:AH143)</f>
        <v>0</v>
      </c>
      <c r="AI144" s="54">
        <f t="shared" si="1012"/>
        <v>0</v>
      </c>
      <c r="AJ144" s="54">
        <f t="shared" si="1012"/>
        <v>0</v>
      </c>
      <c r="AK144" s="54">
        <f t="shared" si="1012"/>
        <v>0</v>
      </c>
      <c r="AL144" s="54">
        <f t="shared" si="1012"/>
        <v>0</v>
      </c>
      <c r="AM144" s="566">
        <f t="shared" si="1012"/>
        <v>0</v>
      </c>
      <c r="AN144" s="54">
        <f t="shared" ref="AN144:AS144" si="1013">SUM(AN141:AN143)</f>
        <v>3129.27</v>
      </c>
      <c r="AO144" s="54">
        <f t="shared" si="1013"/>
        <v>692.93</v>
      </c>
      <c r="AP144" s="54">
        <f t="shared" si="1013"/>
        <v>692.93</v>
      </c>
      <c r="AQ144" s="54">
        <f t="shared" si="1013"/>
        <v>692.93</v>
      </c>
      <c r="AR144" s="54">
        <f t="shared" si="1013"/>
        <v>692.93</v>
      </c>
      <c r="AS144" s="54">
        <f t="shared" si="1013"/>
        <v>0</v>
      </c>
      <c r="AT144" s="54">
        <f>SUM(AT140:AT143)</f>
        <v>0</v>
      </c>
      <c r="AU144" s="54">
        <f>SUM(AU140:AU143)</f>
        <v>0</v>
      </c>
      <c r="AV144" s="54">
        <f>SUM(AV140:AV143)</f>
        <v>0</v>
      </c>
      <c r="AW144" s="307">
        <f>SUM(AW140:AW143)</f>
        <v>0</v>
      </c>
      <c r="AX144" s="54">
        <f t="shared" ref="AX144" si="1014">SUM(AX141:AX143)</f>
        <v>0</v>
      </c>
      <c r="AY144" s="307">
        <f t="shared" ref="AY144:CZ144" si="1015">SUM(AY141:AY143)</f>
        <v>0</v>
      </c>
      <c r="AZ144" s="54">
        <f t="shared" si="1015"/>
        <v>0</v>
      </c>
      <c r="BA144" s="54">
        <f t="shared" si="1015"/>
        <v>0</v>
      </c>
      <c r="BB144" s="54">
        <f t="shared" si="1015"/>
        <v>0</v>
      </c>
      <c r="BC144" s="54">
        <f t="shared" si="1015"/>
        <v>0</v>
      </c>
      <c r="BD144" s="54">
        <f t="shared" si="1015"/>
        <v>0</v>
      </c>
      <c r="BE144" s="54">
        <f t="shared" si="1015"/>
        <v>0</v>
      </c>
      <c r="BF144" s="54">
        <f t="shared" si="1015"/>
        <v>0</v>
      </c>
      <c r="BG144" s="54">
        <f t="shared" si="1015"/>
        <v>0</v>
      </c>
      <c r="BH144" s="54">
        <f t="shared" si="1015"/>
        <v>0</v>
      </c>
      <c r="BI144" s="54">
        <f t="shared" si="1015"/>
        <v>0</v>
      </c>
      <c r="BJ144" s="54">
        <f t="shared" si="1015"/>
        <v>0</v>
      </c>
      <c r="BK144" s="307">
        <f t="shared" si="1015"/>
        <v>0</v>
      </c>
      <c r="BL144" s="54">
        <f t="shared" si="1015"/>
        <v>0</v>
      </c>
      <c r="BM144" s="54">
        <f t="shared" si="1015"/>
        <v>0</v>
      </c>
      <c r="BN144" s="54">
        <f t="shared" si="1015"/>
        <v>0</v>
      </c>
      <c r="BO144" s="54">
        <f t="shared" si="1015"/>
        <v>0</v>
      </c>
      <c r="BP144" s="54">
        <f t="shared" si="1015"/>
        <v>0</v>
      </c>
      <c r="BQ144" s="54">
        <f t="shared" si="1015"/>
        <v>0</v>
      </c>
      <c r="BR144" s="54">
        <f t="shared" si="1015"/>
        <v>0</v>
      </c>
      <c r="BS144" s="54">
        <f t="shared" si="1015"/>
        <v>0</v>
      </c>
      <c r="BT144" s="54">
        <f t="shared" si="1015"/>
        <v>0</v>
      </c>
      <c r="BU144" s="54">
        <f t="shared" si="1015"/>
        <v>0</v>
      </c>
      <c r="BV144" s="54">
        <f t="shared" si="1015"/>
        <v>0</v>
      </c>
      <c r="BW144" s="307">
        <f t="shared" si="1015"/>
        <v>0</v>
      </c>
      <c r="BX144" s="54">
        <f t="shared" si="1015"/>
        <v>0</v>
      </c>
      <c r="BY144" s="54">
        <f t="shared" si="1015"/>
        <v>0</v>
      </c>
      <c r="BZ144" s="54">
        <f t="shared" si="1015"/>
        <v>0</v>
      </c>
      <c r="CA144" s="54">
        <f t="shared" si="1015"/>
        <v>0</v>
      </c>
      <c r="CB144" s="54">
        <f t="shared" si="1015"/>
        <v>0</v>
      </c>
      <c r="CC144" s="54">
        <f t="shared" si="1015"/>
        <v>0</v>
      </c>
      <c r="CD144" s="54">
        <f t="shared" si="1015"/>
        <v>0</v>
      </c>
      <c r="CE144" s="54">
        <f t="shared" si="1015"/>
        <v>0</v>
      </c>
      <c r="CF144" s="54">
        <f t="shared" si="1015"/>
        <v>0</v>
      </c>
      <c r="CG144" s="54">
        <f t="shared" si="1015"/>
        <v>0</v>
      </c>
      <c r="CH144" s="54">
        <f t="shared" si="1015"/>
        <v>0</v>
      </c>
      <c r="CI144" s="307">
        <f t="shared" si="1015"/>
        <v>0</v>
      </c>
      <c r="CJ144" s="54">
        <f t="shared" si="1015"/>
        <v>0</v>
      </c>
      <c r="CK144" s="54">
        <f t="shared" si="1015"/>
        <v>0</v>
      </c>
      <c r="CL144" s="54">
        <f t="shared" si="1015"/>
        <v>0</v>
      </c>
      <c r="CM144" s="54">
        <f t="shared" si="1015"/>
        <v>0</v>
      </c>
      <c r="CN144" s="54">
        <f t="shared" si="1015"/>
        <v>0</v>
      </c>
      <c r="CO144" s="54">
        <f t="shared" si="1015"/>
        <v>0</v>
      </c>
      <c r="CP144" s="54">
        <f t="shared" si="1015"/>
        <v>0</v>
      </c>
      <c r="CQ144" s="54">
        <f t="shared" si="1015"/>
        <v>0</v>
      </c>
      <c r="CR144" s="54">
        <f t="shared" si="1015"/>
        <v>0</v>
      </c>
      <c r="CS144" s="54">
        <f t="shared" si="1015"/>
        <v>0</v>
      </c>
      <c r="CT144" s="54">
        <f t="shared" si="1015"/>
        <v>0</v>
      </c>
      <c r="CU144" s="307">
        <f t="shared" si="1015"/>
        <v>0</v>
      </c>
      <c r="CV144" s="54">
        <f t="shared" si="1015"/>
        <v>0</v>
      </c>
      <c r="CW144" s="54">
        <f t="shared" si="1015"/>
        <v>0</v>
      </c>
      <c r="CX144" s="54">
        <f t="shared" si="1015"/>
        <v>0</v>
      </c>
      <c r="CY144" s="54">
        <f t="shared" si="1015"/>
        <v>0</v>
      </c>
      <c r="CZ144" s="54">
        <f t="shared" si="1015"/>
        <v>0</v>
      </c>
      <c r="DA144" s="54">
        <f t="shared" ref="DA144:DG144" si="1016">SUM(DA141:DA143)</f>
        <v>0</v>
      </c>
      <c r="DB144" s="54">
        <f t="shared" si="1016"/>
        <v>0</v>
      </c>
      <c r="DC144" s="54">
        <f t="shared" si="1016"/>
        <v>0</v>
      </c>
      <c r="DD144" s="54">
        <f t="shared" si="1016"/>
        <v>0</v>
      </c>
      <c r="DE144" s="54">
        <f t="shared" si="1016"/>
        <v>0</v>
      </c>
      <c r="DF144" s="54">
        <f t="shared" si="1016"/>
        <v>0</v>
      </c>
      <c r="DG144" s="54">
        <f t="shared" si="1016"/>
        <v>0</v>
      </c>
    </row>
    <row r="145" spans="1:111" x14ac:dyDescent="0.3">
      <c r="A145" s="5"/>
      <c r="B145" s="6" t="s">
        <v>386</v>
      </c>
      <c r="C145" s="6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66"/>
      <c r="AN145" s="54"/>
      <c r="AO145" s="54"/>
      <c r="AP145" s="54"/>
      <c r="AQ145" s="54"/>
      <c r="AR145" s="54"/>
      <c r="AS145" s="54"/>
      <c r="AT145" s="115">
        <v>862.5</v>
      </c>
      <c r="AU145" s="115"/>
      <c r="AV145" s="115"/>
      <c r="AW145" s="185"/>
      <c r="AX145" s="54"/>
      <c r="AY145" s="307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307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307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307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307"/>
      <c r="CV145" s="54"/>
      <c r="CW145" s="54"/>
      <c r="CX145" s="54"/>
      <c r="CY145" s="54"/>
      <c r="CZ145" s="54"/>
      <c r="DA145" s="54"/>
      <c r="DB145" s="54"/>
      <c r="DC145" s="54"/>
      <c r="DD145" s="54"/>
      <c r="DE145" s="54"/>
      <c r="DF145" s="54"/>
      <c r="DG145" s="54"/>
    </row>
    <row r="146" spans="1:111" x14ac:dyDescent="0.3">
      <c r="A146" s="5"/>
      <c r="B146" s="6" t="s">
        <v>374</v>
      </c>
      <c r="C146" s="6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>
        <f t="shared" ref="AH146:AM146" si="1017">SUM(AH144)</f>
        <v>0</v>
      </c>
      <c r="AI146" s="54">
        <f t="shared" si="1017"/>
        <v>0</v>
      </c>
      <c r="AJ146" s="54">
        <f t="shared" si="1017"/>
        <v>0</v>
      </c>
      <c r="AK146" s="54">
        <f t="shared" si="1017"/>
        <v>0</v>
      </c>
      <c r="AL146" s="54">
        <f t="shared" si="1017"/>
        <v>0</v>
      </c>
      <c r="AM146" s="566">
        <f t="shared" si="1017"/>
        <v>0</v>
      </c>
      <c r="AN146" s="54">
        <f t="shared" ref="AN146:AR146" si="1018">SUM(AN144)</f>
        <v>3129.27</v>
      </c>
      <c r="AO146" s="54">
        <f t="shared" si="1018"/>
        <v>692.93</v>
      </c>
      <c r="AP146" s="54">
        <f t="shared" si="1018"/>
        <v>692.93</v>
      </c>
      <c r="AQ146" s="54">
        <f t="shared" si="1018"/>
        <v>692.93</v>
      </c>
      <c r="AR146" s="54">
        <f t="shared" si="1018"/>
        <v>692.93</v>
      </c>
      <c r="AS146" s="54">
        <f>SUM(AS144)</f>
        <v>0</v>
      </c>
      <c r="AT146" s="54">
        <f>SUM(AT144:AT145)</f>
        <v>862.5</v>
      </c>
      <c r="AU146" s="54">
        <f t="shared" ref="AU146:DF146" si="1019">SUM(AU144:AU145)</f>
        <v>0</v>
      </c>
      <c r="AV146" s="54">
        <f t="shared" ref="AV146:AW146" si="1020">SUM(AV144:AV145)</f>
        <v>0</v>
      </c>
      <c r="AW146" s="307">
        <f t="shared" si="1020"/>
        <v>0</v>
      </c>
      <c r="AX146" s="54">
        <f t="shared" ref="AX146" si="1021">SUM(AX144:AX145)</f>
        <v>0</v>
      </c>
      <c r="AY146" s="307">
        <f t="shared" si="1019"/>
        <v>0</v>
      </c>
      <c r="AZ146" s="54">
        <f t="shared" si="1019"/>
        <v>0</v>
      </c>
      <c r="BA146" s="54">
        <f t="shared" si="1019"/>
        <v>0</v>
      </c>
      <c r="BB146" s="54">
        <f t="shared" si="1019"/>
        <v>0</v>
      </c>
      <c r="BC146" s="54">
        <f t="shared" si="1019"/>
        <v>0</v>
      </c>
      <c r="BD146" s="54">
        <f t="shared" si="1019"/>
        <v>0</v>
      </c>
      <c r="BE146" s="54">
        <f t="shared" si="1019"/>
        <v>0</v>
      </c>
      <c r="BF146" s="54">
        <f t="shared" si="1019"/>
        <v>0</v>
      </c>
      <c r="BG146" s="54">
        <f t="shared" si="1019"/>
        <v>0</v>
      </c>
      <c r="BH146" s="54">
        <f t="shared" si="1019"/>
        <v>0</v>
      </c>
      <c r="BI146" s="54">
        <f t="shared" si="1019"/>
        <v>0</v>
      </c>
      <c r="BJ146" s="54">
        <f t="shared" si="1019"/>
        <v>0</v>
      </c>
      <c r="BK146" s="307">
        <f t="shared" si="1019"/>
        <v>0</v>
      </c>
      <c r="BL146" s="54">
        <f t="shared" si="1019"/>
        <v>0</v>
      </c>
      <c r="BM146" s="54">
        <f t="shared" si="1019"/>
        <v>0</v>
      </c>
      <c r="BN146" s="54">
        <f t="shared" si="1019"/>
        <v>0</v>
      </c>
      <c r="BO146" s="54">
        <f t="shared" si="1019"/>
        <v>0</v>
      </c>
      <c r="BP146" s="54">
        <f t="shared" si="1019"/>
        <v>0</v>
      </c>
      <c r="BQ146" s="54">
        <f t="shared" si="1019"/>
        <v>0</v>
      </c>
      <c r="BR146" s="54">
        <f t="shared" si="1019"/>
        <v>0</v>
      </c>
      <c r="BS146" s="54">
        <f t="shared" si="1019"/>
        <v>0</v>
      </c>
      <c r="BT146" s="54">
        <f t="shared" si="1019"/>
        <v>0</v>
      </c>
      <c r="BU146" s="54">
        <f t="shared" si="1019"/>
        <v>0</v>
      </c>
      <c r="BV146" s="54">
        <f t="shared" si="1019"/>
        <v>0</v>
      </c>
      <c r="BW146" s="307">
        <f t="shared" si="1019"/>
        <v>0</v>
      </c>
      <c r="BX146" s="54">
        <f t="shared" si="1019"/>
        <v>0</v>
      </c>
      <c r="BY146" s="54">
        <f t="shared" si="1019"/>
        <v>0</v>
      </c>
      <c r="BZ146" s="54">
        <f t="shared" si="1019"/>
        <v>0</v>
      </c>
      <c r="CA146" s="54">
        <f t="shared" si="1019"/>
        <v>0</v>
      </c>
      <c r="CB146" s="54">
        <f t="shared" si="1019"/>
        <v>0</v>
      </c>
      <c r="CC146" s="54">
        <f t="shared" si="1019"/>
        <v>0</v>
      </c>
      <c r="CD146" s="54">
        <f t="shared" si="1019"/>
        <v>0</v>
      </c>
      <c r="CE146" s="54">
        <f t="shared" si="1019"/>
        <v>0</v>
      </c>
      <c r="CF146" s="54">
        <f t="shared" si="1019"/>
        <v>0</v>
      </c>
      <c r="CG146" s="54">
        <f t="shared" si="1019"/>
        <v>0</v>
      </c>
      <c r="CH146" s="54">
        <f t="shared" si="1019"/>
        <v>0</v>
      </c>
      <c r="CI146" s="307">
        <f t="shared" si="1019"/>
        <v>0</v>
      </c>
      <c r="CJ146" s="54">
        <f t="shared" si="1019"/>
        <v>0</v>
      </c>
      <c r="CK146" s="54">
        <f t="shared" si="1019"/>
        <v>0</v>
      </c>
      <c r="CL146" s="54">
        <f t="shared" si="1019"/>
        <v>0</v>
      </c>
      <c r="CM146" s="54">
        <f t="shared" si="1019"/>
        <v>0</v>
      </c>
      <c r="CN146" s="54">
        <f t="shared" si="1019"/>
        <v>0</v>
      </c>
      <c r="CO146" s="54">
        <f t="shared" si="1019"/>
        <v>0</v>
      </c>
      <c r="CP146" s="54">
        <f t="shared" si="1019"/>
        <v>0</v>
      </c>
      <c r="CQ146" s="54">
        <f t="shared" si="1019"/>
        <v>0</v>
      </c>
      <c r="CR146" s="54">
        <f t="shared" si="1019"/>
        <v>0</v>
      </c>
      <c r="CS146" s="54">
        <f t="shared" si="1019"/>
        <v>0</v>
      </c>
      <c r="CT146" s="54">
        <f t="shared" si="1019"/>
        <v>0</v>
      </c>
      <c r="CU146" s="307">
        <f t="shared" si="1019"/>
        <v>0</v>
      </c>
      <c r="CV146" s="54">
        <f t="shared" si="1019"/>
        <v>0</v>
      </c>
      <c r="CW146" s="54">
        <f t="shared" si="1019"/>
        <v>0</v>
      </c>
      <c r="CX146" s="54">
        <f t="shared" si="1019"/>
        <v>0</v>
      </c>
      <c r="CY146" s="54">
        <f t="shared" si="1019"/>
        <v>0</v>
      </c>
      <c r="CZ146" s="54">
        <f t="shared" si="1019"/>
        <v>0</v>
      </c>
      <c r="DA146" s="54">
        <f t="shared" si="1019"/>
        <v>0</v>
      </c>
      <c r="DB146" s="54">
        <f t="shared" si="1019"/>
        <v>0</v>
      </c>
      <c r="DC146" s="54">
        <f t="shared" si="1019"/>
        <v>0</v>
      </c>
      <c r="DD146" s="54">
        <f t="shared" si="1019"/>
        <v>0</v>
      </c>
      <c r="DE146" s="54">
        <f t="shared" si="1019"/>
        <v>0</v>
      </c>
      <c r="DF146" s="54">
        <f t="shared" si="1019"/>
        <v>0</v>
      </c>
      <c r="DG146" s="54">
        <f t="shared" ref="DG146" si="1022">SUM(DG144:DG145)</f>
        <v>0</v>
      </c>
    </row>
    <row r="147" spans="1:111" x14ac:dyDescent="0.3">
      <c r="B147" s="1" t="s">
        <v>32</v>
      </c>
      <c r="C147" s="1"/>
      <c r="D147" s="2"/>
      <c r="E147" s="2"/>
      <c r="F147" s="2"/>
      <c r="G147" s="2"/>
      <c r="H147" s="2"/>
      <c r="I147" s="2"/>
      <c r="J147" s="54">
        <f t="shared" ref="J147:W147" si="1023">SUM(J137)</f>
        <v>0</v>
      </c>
      <c r="K147" s="54">
        <f t="shared" si="1023"/>
        <v>0</v>
      </c>
      <c r="L147" s="54">
        <f t="shared" si="1023"/>
        <v>0</v>
      </c>
      <c r="M147" s="54">
        <f t="shared" si="1023"/>
        <v>0</v>
      </c>
      <c r="N147" s="54">
        <f t="shared" si="1023"/>
        <v>0</v>
      </c>
      <c r="O147" s="54">
        <f t="shared" si="1023"/>
        <v>0</v>
      </c>
      <c r="P147" s="54">
        <f t="shared" si="1023"/>
        <v>75</v>
      </c>
      <c r="Q147" s="54">
        <f t="shared" si="1023"/>
        <v>75</v>
      </c>
      <c r="R147" s="54">
        <f t="shared" si="1023"/>
        <v>0</v>
      </c>
      <c r="S147" s="54">
        <f t="shared" si="1023"/>
        <v>75</v>
      </c>
      <c r="T147" s="54">
        <f t="shared" si="1023"/>
        <v>0</v>
      </c>
      <c r="U147" s="54">
        <f t="shared" si="1023"/>
        <v>225</v>
      </c>
      <c r="V147" s="54">
        <f t="shared" si="1023"/>
        <v>300</v>
      </c>
      <c r="W147" s="54">
        <f t="shared" si="1023"/>
        <v>375</v>
      </c>
      <c r="X147" s="54">
        <f t="shared" ref="X147:Y147" si="1024">SUM(X137)</f>
        <v>225</v>
      </c>
      <c r="Y147" s="54">
        <f t="shared" si="1024"/>
        <v>75</v>
      </c>
      <c r="Z147" s="54">
        <f t="shared" ref="Z147" si="1025">SUM(Z137)</f>
        <v>150</v>
      </c>
      <c r="AA147" s="54">
        <f t="shared" ref="AA147:AB147" si="1026">SUM(AA137)</f>
        <v>225</v>
      </c>
      <c r="AB147" s="54">
        <f t="shared" si="1026"/>
        <v>75</v>
      </c>
      <c r="AC147" s="54">
        <f t="shared" ref="AC147:AD147" si="1027">SUM(AC137)</f>
        <v>112.5</v>
      </c>
      <c r="AD147" s="54">
        <f t="shared" si="1027"/>
        <v>225</v>
      </c>
      <c r="AE147" s="54">
        <f t="shared" ref="AE147" si="1028">SUM(AE137)</f>
        <v>300</v>
      </c>
      <c r="AF147" s="54">
        <f t="shared" ref="AF147:AG147" si="1029">SUM(AF137)</f>
        <v>217.47</v>
      </c>
      <c r="AG147" s="54">
        <f t="shared" si="1029"/>
        <v>940.26</v>
      </c>
      <c r="AH147" s="54">
        <f t="shared" ref="AH147:AM147" si="1030">SUM(AH137,AH146)</f>
        <v>1632.37</v>
      </c>
      <c r="AI147" s="54">
        <f t="shared" si="1030"/>
        <v>1297.1199999999999</v>
      </c>
      <c r="AJ147" s="54">
        <f t="shared" si="1030"/>
        <v>1225.47</v>
      </c>
      <c r="AK147" s="54">
        <f t="shared" si="1030"/>
        <v>1524.87</v>
      </c>
      <c r="AL147" s="54">
        <f t="shared" si="1030"/>
        <v>933.28</v>
      </c>
      <c r="AM147" s="566">
        <f t="shared" si="1030"/>
        <v>1426.37</v>
      </c>
      <c r="AN147" s="54">
        <f t="shared" ref="AN147:AR147" si="1031">SUM(AN137,AN146)</f>
        <v>4439.5200000000004</v>
      </c>
      <c r="AO147" s="54">
        <f t="shared" si="1031"/>
        <v>1405.4299999999998</v>
      </c>
      <c r="AP147" s="54">
        <f t="shared" si="1031"/>
        <v>1158.6599999999999</v>
      </c>
      <c r="AQ147" s="54">
        <f t="shared" si="1031"/>
        <v>1573.6599999999999</v>
      </c>
      <c r="AR147" s="54">
        <f t="shared" si="1031"/>
        <v>1464.1799999999998</v>
      </c>
      <c r="AS147" s="54">
        <f>SUM(AS137,AS146)</f>
        <v>281.25</v>
      </c>
      <c r="AT147" s="54">
        <f t="shared" ref="AT147" si="1032">SUM(AT137,AT146)</f>
        <v>1312.5</v>
      </c>
      <c r="AU147" s="54">
        <f>SUM(AU137,AU146)</f>
        <v>453.75</v>
      </c>
      <c r="AV147" s="54">
        <f>SUM(AV137,AV146)</f>
        <v>337.5</v>
      </c>
      <c r="AW147" s="307">
        <f>SUM(AW137,AW146)</f>
        <v>581.25</v>
      </c>
      <c r="AX147" s="54">
        <f t="shared" ref="AX147" si="1033">SUM(AX137,AX146)</f>
        <v>415</v>
      </c>
      <c r="AY147" s="307">
        <f t="shared" ref="AY147:CB147" si="1034">SUM(AY137,AY146)</f>
        <v>415</v>
      </c>
      <c r="AZ147" s="54">
        <f t="shared" si="1034"/>
        <v>415</v>
      </c>
      <c r="BA147" s="54">
        <f t="shared" si="1034"/>
        <v>415</v>
      </c>
      <c r="BB147" s="54">
        <f t="shared" si="1034"/>
        <v>415</v>
      </c>
      <c r="BC147" s="54">
        <f t="shared" si="1034"/>
        <v>415</v>
      </c>
      <c r="BD147" s="54">
        <f t="shared" si="1034"/>
        <v>415</v>
      </c>
      <c r="BE147" s="54">
        <f t="shared" si="1034"/>
        <v>415</v>
      </c>
      <c r="BF147" s="54">
        <f t="shared" si="1034"/>
        <v>415</v>
      </c>
      <c r="BG147" s="54">
        <f t="shared" si="1034"/>
        <v>415</v>
      </c>
      <c r="BH147" s="54">
        <f t="shared" si="1034"/>
        <v>415</v>
      </c>
      <c r="BI147" s="54">
        <f t="shared" si="1034"/>
        <v>415</v>
      </c>
      <c r="BJ147" s="54">
        <f t="shared" si="1034"/>
        <v>415</v>
      </c>
      <c r="BK147" s="307">
        <f t="shared" si="1034"/>
        <v>415</v>
      </c>
      <c r="BL147" s="54">
        <f t="shared" si="1034"/>
        <v>415</v>
      </c>
      <c r="BM147" s="54">
        <f t="shared" si="1034"/>
        <v>415</v>
      </c>
      <c r="BN147" s="54">
        <f t="shared" si="1034"/>
        <v>415</v>
      </c>
      <c r="BO147" s="54">
        <f t="shared" si="1034"/>
        <v>415</v>
      </c>
      <c r="BP147" s="54">
        <f t="shared" si="1034"/>
        <v>415</v>
      </c>
      <c r="BQ147" s="54">
        <f t="shared" si="1034"/>
        <v>415</v>
      </c>
      <c r="BR147" s="54">
        <f t="shared" si="1034"/>
        <v>415</v>
      </c>
      <c r="BS147" s="54">
        <f t="shared" si="1034"/>
        <v>415</v>
      </c>
      <c r="BT147" s="54">
        <f t="shared" si="1034"/>
        <v>415</v>
      </c>
      <c r="BU147" s="54">
        <f t="shared" si="1034"/>
        <v>415</v>
      </c>
      <c r="BV147" s="54">
        <f t="shared" si="1034"/>
        <v>415</v>
      </c>
      <c r="BW147" s="307">
        <f t="shared" si="1034"/>
        <v>415</v>
      </c>
      <c r="BX147" s="54">
        <f t="shared" si="1034"/>
        <v>415</v>
      </c>
      <c r="BY147" s="54">
        <f t="shared" si="1034"/>
        <v>415</v>
      </c>
      <c r="BZ147" s="54">
        <f t="shared" si="1034"/>
        <v>415</v>
      </c>
      <c r="CA147" s="54">
        <f t="shared" si="1034"/>
        <v>415</v>
      </c>
      <c r="CB147" s="54">
        <f t="shared" si="1034"/>
        <v>415</v>
      </c>
      <c r="CC147" s="54">
        <f t="shared" ref="CC147:CZ147" si="1035">SUM(CC137,CC146)</f>
        <v>415</v>
      </c>
      <c r="CD147" s="54">
        <f t="shared" si="1035"/>
        <v>415</v>
      </c>
      <c r="CE147" s="54">
        <f t="shared" si="1035"/>
        <v>415</v>
      </c>
      <c r="CF147" s="54">
        <f t="shared" si="1035"/>
        <v>415</v>
      </c>
      <c r="CG147" s="54">
        <f t="shared" si="1035"/>
        <v>415</v>
      </c>
      <c r="CH147" s="54">
        <f t="shared" si="1035"/>
        <v>415</v>
      </c>
      <c r="CI147" s="307">
        <f t="shared" si="1035"/>
        <v>415</v>
      </c>
      <c r="CJ147" s="54">
        <f t="shared" si="1035"/>
        <v>415</v>
      </c>
      <c r="CK147" s="54">
        <f t="shared" si="1035"/>
        <v>415</v>
      </c>
      <c r="CL147" s="54">
        <f t="shared" si="1035"/>
        <v>415</v>
      </c>
      <c r="CM147" s="54">
        <f t="shared" si="1035"/>
        <v>415</v>
      </c>
      <c r="CN147" s="54">
        <f t="shared" si="1035"/>
        <v>415</v>
      </c>
      <c r="CO147" s="54">
        <f t="shared" si="1035"/>
        <v>415</v>
      </c>
      <c r="CP147" s="54">
        <f t="shared" si="1035"/>
        <v>415</v>
      </c>
      <c r="CQ147" s="54">
        <f t="shared" si="1035"/>
        <v>415</v>
      </c>
      <c r="CR147" s="54">
        <f t="shared" si="1035"/>
        <v>415</v>
      </c>
      <c r="CS147" s="54">
        <f t="shared" si="1035"/>
        <v>415</v>
      </c>
      <c r="CT147" s="54">
        <f t="shared" si="1035"/>
        <v>415</v>
      </c>
      <c r="CU147" s="307">
        <f t="shared" si="1035"/>
        <v>415</v>
      </c>
      <c r="CV147" s="54">
        <f t="shared" si="1035"/>
        <v>415</v>
      </c>
      <c r="CW147" s="54">
        <f t="shared" si="1035"/>
        <v>415</v>
      </c>
      <c r="CX147" s="54">
        <f t="shared" si="1035"/>
        <v>415</v>
      </c>
      <c r="CY147" s="54">
        <f t="shared" si="1035"/>
        <v>415</v>
      </c>
      <c r="CZ147" s="54">
        <f t="shared" si="1035"/>
        <v>415</v>
      </c>
      <c r="DA147" s="54">
        <f t="shared" ref="DA147:DG147" si="1036">SUM(DA137,DA146)</f>
        <v>415</v>
      </c>
      <c r="DB147" s="54">
        <f t="shared" si="1036"/>
        <v>415</v>
      </c>
      <c r="DC147" s="54">
        <f t="shared" si="1036"/>
        <v>415</v>
      </c>
      <c r="DD147" s="54">
        <f t="shared" si="1036"/>
        <v>415</v>
      </c>
      <c r="DE147" s="54">
        <f t="shared" si="1036"/>
        <v>415</v>
      </c>
      <c r="DF147" s="54">
        <f t="shared" si="1036"/>
        <v>415</v>
      </c>
      <c r="DG147" s="54">
        <f t="shared" si="1036"/>
        <v>415</v>
      </c>
    </row>
    <row r="148" spans="1:111" x14ac:dyDescent="0.3">
      <c r="B148" s="1" t="s">
        <v>33</v>
      </c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6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570"/>
      <c r="AN148" s="2"/>
      <c r="AO148" s="2"/>
      <c r="AP148" s="2"/>
      <c r="AQ148" s="2"/>
      <c r="AR148" s="2"/>
      <c r="AS148" s="2"/>
      <c r="AT148" s="2"/>
      <c r="AU148" s="2"/>
      <c r="AV148" s="2"/>
      <c r="AW148" s="597"/>
      <c r="AY148" s="184"/>
      <c r="BK148" s="184"/>
      <c r="BW148" s="184"/>
      <c r="CI148" s="184"/>
      <c r="CU148" s="184"/>
    </row>
    <row r="149" spans="1:111" x14ac:dyDescent="0.3">
      <c r="B149" s="1" t="s">
        <v>34</v>
      </c>
      <c r="C149" s="1"/>
      <c r="D149" s="115">
        <f>0</f>
        <v>0</v>
      </c>
      <c r="E149" s="115">
        <f>0</f>
        <v>0</v>
      </c>
      <c r="F149" s="115">
        <f>0</f>
        <v>0</v>
      </c>
      <c r="G149" s="115">
        <f>0</f>
        <v>0</v>
      </c>
      <c r="H149" s="115">
        <f>0</f>
        <v>0</v>
      </c>
      <c r="I149" s="115">
        <f>0</f>
        <v>0</v>
      </c>
      <c r="J149" s="113">
        <v>0</v>
      </c>
      <c r="K149" s="113">
        <v>255</v>
      </c>
      <c r="L149" s="113">
        <v>255</v>
      </c>
      <c r="M149" s="115">
        <v>344</v>
      </c>
      <c r="N149" s="115">
        <v>344</v>
      </c>
      <c r="O149" s="115">
        <v>344</v>
      </c>
      <c r="P149" s="115">
        <v>344</v>
      </c>
      <c r="Q149" s="115">
        <v>344</v>
      </c>
      <c r="R149" s="115">
        <v>344</v>
      </c>
      <c r="S149" s="115">
        <v>344</v>
      </c>
      <c r="T149" s="115">
        <v>662.53</v>
      </c>
      <c r="U149" s="115">
        <v>712.53</v>
      </c>
      <c r="V149" s="115">
        <v>712.53</v>
      </c>
      <c r="W149" s="115">
        <v>712.53</v>
      </c>
      <c r="X149" s="115">
        <v>712.53</v>
      </c>
      <c r="Y149" s="115">
        <v>773.75</v>
      </c>
      <c r="Z149" s="115">
        <v>873.75</v>
      </c>
      <c r="AA149" s="115">
        <v>873.75</v>
      </c>
      <c r="AB149" s="115">
        <v>873.75</v>
      </c>
      <c r="AC149" s="115">
        <v>873.75</v>
      </c>
      <c r="AD149" s="115">
        <v>873.75</v>
      </c>
      <c r="AE149" s="115">
        <v>3273.75</v>
      </c>
      <c r="AF149" s="115">
        <v>3273.75</v>
      </c>
      <c r="AG149" s="115">
        <v>3273.75</v>
      </c>
      <c r="AH149" s="115">
        <v>3273.75</v>
      </c>
      <c r="AI149" s="115">
        <v>3273.75</v>
      </c>
      <c r="AJ149" s="115">
        <v>3273.75</v>
      </c>
      <c r="AK149" s="115">
        <v>3273.75</v>
      </c>
      <c r="AL149" s="115">
        <v>3273.75</v>
      </c>
      <c r="AM149" s="513">
        <v>3273.75</v>
      </c>
      <c r="AN149" s="115">
        <v>3273.75</v>
      </c>
      <c r="AO149" s="115">
        <v>3273.75</v>
      </c>
      <c r="AP149" s="115">
        <v>3273.75</v>
      </c>
      <c r="AQ149" s="115">
        <v>23948.75</v>
      </c>
      <c r="AR149" s="115">
        <v>31669.75</v>
      </c>
      <c r="AS149" s="115">
        <v>31669.75</v>
      </c>
      <c r="AT149" s="115">
        <v>31919.75</v>
      </c>
      <c r="AU149" s="115">
        <v>31919.75</v>
      </c>
      <c r="AV149" s="115">
        <f>33919.75</f>
        <v>33919.75</v>
      </c>
      <c r="AW149" s="185">
        <f>33919.75</f>
        <v>33919.75</v>
      </c>
      <c r="AX149" s="720">
        <f>AW149</f>
        <v>33919.75</v>
      </c>
      <c r="AY149" s="185">
        <f t="shared" ref="AY149:CA149" si="1037">AX149</f>
        <v>33919.75</v>
      </c>
      <c r="AZ149" s="115">
        <f t="shared" si="1037"/>
        <v>33919.75</v>
      </c>
      <c r="BA149" s="115">
        <f t="shared" si="1037"/>
        <v>33919.75</v>
      </c>
      <c r="BB149" s="115">
        <f t="shared" si="1037"/>
        <v>33919.75</v>
      </c>
      <c r="BC149" s="115">
        <f t="shared" si="1037"/>
        <v>33919.75</v>
      </c>
      <c r="BD149" s="115">
        <f t="shared" si="1037"/>
        <v>33919.75</v>
      </c>
      <c r="BE149" s="115">
        <f t="shared" si="1037"/>
        <v>33919.75</v>
      </c>
      <c r="BF149" s="115">
        <f t="shared" si="1037"/>
        <v>33919.75</v>
      </c>
      <c r="BG149" s="115">
        <f t="shared" si="1037"/>
        <v>33919.75</v>
      </c>
      <c r="BH149" s="115">
        <f t="shared" si="1037"/>
        <v>33919.75</v>
      </c>
      <c r="BI149" s="115">
        <f t="shared" si="1037"/>
        <v>33919.75</v>
      </c>
      <c r="BJ149" s="115">
        <f t="shared" si="1037"/>
        <v>33919.75</v>
      </c>
      <c r="BK149" s="185">
        <f t="shared" si="1037"/>
        <v>33919.75</v>
      </c>
      <c r="BL149" s="115">
        <f t="shared" si="1037"/>
        <v>33919.75</v>
      </c>
      <c r="BM149" s="115">
        <f t="shared" si="1037"/>
        <v>33919.75</v>
      </c>
      <c r="BN149" s="115">
        <f t="shared" si="1037"/>
        <v>33919.75</v>
      </c>
      <c r="BO149" s="115">
        <f t="shared" si="1037"/>
        <v>33919.75</v>
      </c>
      <c r="BP149" s="115">
        <f t="shared" si="1037"/>
        <v>33919.75</v>
      </c>
      <c r="BQ149" s="115">
        <f t="shared" si="1037"/>
        <v>33919.75</v>
      </c>
      <c r="BR149" s="115">
        <f t="shared" si="1037"/>
        <v>33919.75</v>
      </c>
      <c r="BS149" s="115">
        <f t="shared" si="1037"/>
        <v>33919.75</v>
      </c>
      <c r="BT149" s="115">
        <f t="shared" si="1037"/>
        <v>33919.75</v>
      </c>
      <c r="BU149" s="115">
        <f t="shared" si="1037"/>
        <v>33919.75</v>
      </c>
      <c r="BV149" s="115">
        <f t="shared" si="1037"/>
        <v>33919.75</v>
      </c>
      <c r="BW149" s="185">
        <f t="shared" si="1037"/>
        <v>33919.75</v>
      </c>
      <c r="BX149" s="115">
        <f t="shared" si="1037"/>
        <v>33919.75</v>
      </c>
      <c r="BY149" s="115">
        <f t="shared" si="1037"/>
        <v>33919.75</v>
      </c>
      <c r="BZ149" s="115">
        <f t="shared" si="1037"/>
        <v>33919.75</v>
      </c>
      <c r="CA149" s="115">
        <f t="shared" si="1037"/>
        <v>33919.75</v>
      </c>
      <c r="CB149" s="115">
        <f t="shared" ref="CB149:DG149" si="1038">CA149</f>
        <v>33919.75</v>
      </c>
      <c r="CC149" s="115">
        <f t="shared" si="1038"/>
        <v>33919.75</v>
      </c>
      <c r="CD149" s="115">
        <f t="shared" si="1038"/>
        <v>33919.75</v>
      </c>
      <c r="CE149" s="115">
        <f t="shared" si="1038"/>
        <v>33919.75</v>
      </c>
      <c r="CF149" s="115">
        <f t="shared" si="1038"/>
        <v>33919.75</v>
      </c>
      <c r="CG149" s="115">
        <f t="shared" si="1038"/>
        <v>33919.75</v>
      </c>
      <c r="CH149" s="115">
        <f t="shared" si="1038"/>
        <v>33919.75</v>
      </c>
      <c r="CI149" s="185">
        <f t="shared" si="1038"/>
        <v>33919.75</v>
      </c>
      <c r="CJ149" s="115">
        <f t="shared" si="1038"/>
        <v>33919.75</v>
      </c>
      <c r="CK149" s="115">
        <f t="shared" si="1038"/>
        <v>33919.75</v>
      </c>
      <c r="CL149" s="115">
        <f t="shared" si="1038"/>
        <v>33919.75</v>
      </c>
      <c r="CM149" s="115">
        <f t="shared" si="1038"/>
        <v>33919.75</v>
      </c>
      <c r="CN149" s="115">
        <f t="shared" si="1038"/>
        <v>33919.75</v>
      </c>
      <c r="CO149" s="115">
        <f t="shared" si="1038"/>
        <v>33919.75</v>
      </c>
      <c r="CP149" s="115">
        <f t="shared" si="1038"/>
        <v>33919.75</v>
      </c>
      <c r="CQ149" s="115">
        <f t="shared" si="1038"/>
        <v>33919.75</v>
      </c>
      <c r="CR149" s="115">
        <f t="shared" si="1038"/>
        <v>33919.75</v>
      </c>
      <c r="CS149" s="115">
        <f t="shared" si="1038"/>
        <v>33919.75</v>
      </c>
      <c r="CT149" s="115">
        <f t="shared" si="1038"/>
        <v>33919.75</v>
      </c>
      <c r="CU149" s="185">
        <f t="shared" si="1038"/>
        <v>33919.75</v>
      </c>
      <c r="CV149" s="115">
        <f t="shared" si="1038"/>
        <v>33919.75</v>
      </c>
      <c r="CW149" s="115">
        <f t="shared" si="1038"/>
        <v>33919.75</v>
      </c>
      <c r="CX149" s="115">
        <f t="shared" si="1038"/>
        <v>33919.75</v>
      </c>
      <c r="CY149" s="115">
        <f t="shared" si="1038"/>
        <v>33919.75</v>
      </c>
      <c r="CZ149" s="115">
        <f t="shared" si="1038"/>
        <v>33919.75</v>
      </c>
      <c r="DA149" s="115">
        <f t="shared" si="1038"/>
        <v>33919.75</v>
      </c>
      <c r="DB149" s="115">
        <f t="shared" si="1038"/>
        <v>33919.75</v>
      </c>
      <c r="DC149" s="115">
        <f t="shared" si="1038"/>
        <v>33919.75</v>
      </c>
      <c r="DD149" s="115">
        <f t="shared" si="1038"/>
        <v>33919.75</v>
      </c>
      <c r="DE149" s="115">
        <f t="shared" si="1038"/>
        <v>33919.75</v>
      </c>
      <c r="DF149" s="115">
        <f t="shared" si="1038"/>
        <v>33919.75</v>
      </c>
      <c r="DG149" s="115">
        <f t="shared" si="1038"/>
        <v>33919.75</v>
      </c>
    </row>
    <row r="150" spans="1:111" x14ac:dyDescent="0.3">
      <c r="B150" s="1" t="s">
        <v>35</v>
      </c>
      <c r="C150" s="1"/>
      <c r="D150" s="115">
        <f>0</f>
        <v>0</v>
      </c>
      <c r="E150" s="115">
        <f>0</f>
        <v>0</v>
      </c>
      <c r="F150" s="115">
        <f>0</f>
        <v>0</v>
      </c>
      <c r="G150" s="115">
        <f>0</f>
        <v>0</v>
      </c>
      <c r="H150" s="115">
        <f>0</f>
        <v>0</v>
      </c>
      <c r="I150" s="115">
        <f>0</f>
        <v>0</v>
      </c>
      <c r="J150" s="113">
        <v>0</v>
      </c>
      <c r="K150" s="113">
        <v>0</v>
      </c>
      <c r="L150" s="113">
        <v>0</v>
      </c>
      <c r="M150" s="115">
        <v>-350</v>
      </c>
      <c r="N150" s="115">
        <v>-3530.76</v>
      </c>
      <c r="O150" s="115">
        <v>-6379.47</v>
      </c>
      <c r="P150" s="115">
        <v>-8379.4699999999993</v>
      </c>
      <c r="Q150" s="115">
        <v>-9429.4699999999993</v>
      </c>
      <c r="R150" s="115">
        <v>-10579.47</v>
      </c>
      <c r="S150" s="115">
        <v>-11854.47</v>
      </c>
      <c r="T150" s="115">
        <v>-14254.47</v>
      </c>
      <c r="U150" s="115">
        <v>-15524.47</v>
      </c>
      <c r="V150" s="115">
        <v>-17989.080000000002</v>
      </c>
      <c r="W150" s="115">
        <v>-24394.080000000002</v>
      </c>
      <c r="X150" s="115">
        <v>-29994.080000000002</v>
      </c>
      <c r="Y150" s="115">
        <v>-37894.080000000002</v>
      </c>
      <c r="Z150" s="115">
        <v>-41994.080000000002</v>
      </c>
      <c r="AA150" s="115">
        <v>-43419.08</v>
      </c>
      <c r="AB150" s="115">
        <v>-45319.08</v>
      </c>
      <c r="AC150" s="115">
        <v>-48644.08</v>
      </c>
      <c r="AD150" s="115">
        <v>-51864.08</v>
      </c>
      <c r="AE150" s="115">
        <v>-54189.08</v>
      </c>
      <c r="AF150" s="115">
        <v>-58289.08</v>
      </c>
      <c r="AG150" s="115">
        <v>-61039.08</v>
      </c>
      <c r="AH150" s="115">
        <v>-63943.03</v>
      </c>
      <c r="AI150" s="115">
        <v>-73718.03</v>
      </c>
      <c r="AJ150" s="115">
        <v>-80485.53</v>
      </c>
      <c r="AK150" s="115">
        <v>-92985.53</v>
      </c>
      <c r="AL150" s="115">
        <v>-100765.53</v>
      </c>
      <c r="AM150" s="513">
        <v>-108217.94</v>
      </c>
      <c r="AN150" s="115">
        <v>-110367.94</v>
      </c>
      <c r="AO150" s="115">
        <v>-110367.94</v>
      </c>
      <c r="AP150" s="115">
        <v>-110367.94</v>
      </c>
      <c r="AQ150" s="115">
        <v>-110367.94</v>
      </c>
      <c r="AR150" s="115">
        <v>-118835.43</v>
      </c>
      <c r="AS150" s="115">
        <v>-118142.5</v>
      </c>
      <c r="AT150" s="115">
        <v>-119200.28</v>
      </c>
      <c r="AU150" s="115">
        <v>-119200.28</v>
      </c>
      <c r="AV150" s="115">
        <f>-121774.5</f>
        <v>-121774.5</v>
      </c>
      <c r="AW150" s="185">
        <f>-121774.5</f>
        <v>-121774.5</v>
      </c>
      <c r="AX150" s="720">
        <f t="shared" ref="AX150" si="1039">AW150+AX157</f>
        <v>-121774.5</v>
      </c>
      <c r="AY150" s="185">
        <f t="shared" ref="AY150:BW150" si="1040">AX150+AY157</f>
        <v>-121774.5</v>
      </c>
      <c r="AZ150" s="115">
        <f t="shared" si="1040"/>
        <v>-121774.5</v>
      </c>
      <c r="BA150" s="115">
        <f t="shared" si="1040"/>
        <v>-121774.5</v>
      </c>
      <c r="BB150" s="115">
        <f t="shared" si="1040"/>
        <v>-121774.5</v>
      </c>
      <c r="BC150" s="115">
        <f t="shared" si="1040"/>
        <v>-121774.5</v>
      </c>
      <c r="BD150" s="115">
        <f t="shared" si="1040"/>
        <v>-121774.5</v>
      </c>
      <c r="BE150" s="115">
        <f t="shared" si="1040"/>
        <v>-121774.5</v>
      </c>
      <c r="BF150" s="115">
        <f t="shared" si="1040"/>
        <v>-121774.5</v>
      </c>
      <c r="BG150" s="115">
        <f t="shared" si="1040"/>
        <v>-121774.5</v>
      </c>
      <c r="BH150" s="115">
        <f t="shared" si="1040"/>
        <v>-121774.5</v>
      </c>
      <c r="BI150" s="115">
        <f t="shared" si="1040"/>
        <v>-121774.5</v>
      </c>
      <c r="BJ150" s="115">
        <f t="shared" si="1040"/>
        <v>-121774.5</v>
      </c>
      <c r="BK150" s="185">
        <f t="shared" si="1040"/>
        <v>-121774.5</v>
      </c>
      <c r="BL150" s="115">
        <f t="shared" si="1040"/>
        <v>-121774.5</v>
      </c>
      <c r="BM150" s="115">
        <f t="shared" si="1040"/>
        <v>-121774.5</v>
      </c>
      <c r="BN150" s="115">
        <f t="shared" si="1040"/>
        <v>-121774.5</v>
      </c>
      <c r="BO150" s="115">
        <f t="shared" si="1040"/>
        <v>-121774.5</v>
      </c>
      <c r="BP150" s="115">
        <f t="shared" si="1040"/>
        <v>-121774.5</v>
      </c>
      <c r="BQ150" s="115">
        <f t="shared" si="1040"/>
        <v>-121774.5</v>
      </c>
      <c r="BR150" s="115">
        <f t="shared" si="1040"/>
        <v>-121774.5</v>
      </c>
      <c r="BS150" s="115">
        <f t="shared" si="1040"/>
        <v>-121774.5</v>
      </c>
      <c r="BT150" s="115">
        <f t="shared" si="1040"/>
        <v>-121774.5</v>
      </c>
      <c r="BU150" s="115">
        <f t="shared" si="1040"/>
        <v>-121774.5</v>
      </c>
      <c r="BV150" s="115">
        <f t="shared" si="1040"/>
        <v>-121774.5</v>
      </c>
      <c r="BW150" s="185">
        <f t="shared" si="1040"/>
        <v>-121774.5</v>
      </c>
      <c r="BX150" s="115">
        <f t="shared" ref="BX150:DG150" si="1041">BW150+BX157</f>
        <v>-121774.5</v>
      </c>
      <c r="BY150" s="115">
        <f t="shared" si="1041"/>
        <v>-121774.5</v>
      </c>
      <c r="BZ150" s="115">
        <f t="shared" si="1041"/>
        <v>-121774.5</v>
      </c>
      <c r="CA150" s="115">
        <f t="shared" si="1041"/>
        <v>-121774.5</v>
      </c>
      <c r="CB150" s="115">
        <f t="shared" si="1041"/>
        <v>-121774.5</v>
      </c>
      <c r="CC150" s="115">
        <f t="shared" si="1041"/>
        <v>-121774.5</v>
      </c>
      <c r="CD150" s="115">
        <f t="shared" si="1041"/>
        <v>-121774.5</v>
      </c>
      <c r="CE150" s="115">
        <f t="shared" si="1041"/>
        <v>-121774.5</v>
      </c>
      <c r="CF150" s="115">
        <f t="shared" si="1041"/>
        <v>-121774.5</v>
      </c>
      <c r="CG150" s="115">
        <f t="shared" si="1041"/>
        <v>-121774.5</v>
      </c>
      <c r="CH150" s="115">
        <f t="shared" si="1041"/>
        <v>-121774.5</v>
      </c>
      <c r="CI150" s="185">
        <f t="shared" si="1041"/>
        <v>-121774.5</v>
      </c>
      <c r="CJ150" s="115">
        <f t="shared" si="1041"/>
        <v>-121774.5</v>
      </c>
      <c r="CK150" s="115">
        <f t="shared" si="1041"/>
        <v>-121774.5</v>
      </c>
      <c r="CL150" s="115">
        <f t="shared" si="1041"/>
        <v>-121774.5</v>
      </c>
      <c r="CM150" s="115">
        <f t="shared" si="1041"/>
        <v>-121774.5</v>
      </c>
      <c r="CN150" s="115">
        <f t="shared" si="1041"/>
        <v>-121774.5</v>
      </c>
      <c r="CO150" s="115">
        <f t="shared" si="1041"/>
        <v>-121774.5</v>
      </c>
      <c r="CP150" s="115">
        <f t="shared" si="1041"/>
        <v>-121774.5</v>
      </c>
      <c r="CQ150" s="115">
        <f t="shared" si="1041"/>
        <v>-121774.5</v>
      </c>
      <c r="CR150" s="115">
        <f t="shared" si="1041"/>
        <v>-121774.5</v>
      </c>
      <c r="CS150" s="115">
        <f t="shared" si="1041"/>
        <v>-121774.5</v>
      </c>
      <c r="CT150" s="115">
        <f t="shared" si="1041"/>
        <v>-121774.5</v>
      </c>
      <c r="CU150" s="185">
        <f t="shared" si="1041"/>
        <v>-121774.5</v>
      </c>
      <c r="CV150" s="115">
        <f t="shared" si="1041"/>
        <v>-121774.5</v>
      </c>
      <c r="CW150" s="115">
        <f t="shared" si="1041"/>
        <v>-121774.5</v>
      </c>
      <c r="CX150" s="115">
        <f t="shared" si="1041"/>
        <v>-121774.5</v>
      </c>
      <c r="CY150" s="115">
        <f t="shared" si="1041"/>
        <v>-121774.5</v>
      </c>
      <c r="CZ150" s="115">
        <f t="shared" si="1041"/>
        <v>-121774.5</v>
      </c>
      <c r="DA150" s="115">
        <f t="shared" si="1041"/>
        <v>-121774.5</v>
      </c>
      <c r="DB150" s="115">
        <f t="shared" si="1041"/>
        <v>-121774.5</v>
      </c>
      <c r="DC150" s="115">
        <f t="shared" si="1041"/>
        <v>-121774.5</v>
      </c>
      <c r="DD150" s="115">
        <f t="shared" si="1041"/>
        <v>-121774.5</v>
      </c>
      <c r="DE150" s="115">
        <f t="shared" si="1041"/>
        <v>-121774.5</v>
      </c>
      <c r="DF150" s="115">
        <f t="shared" si="1041"/>
        <v>-121774.5</v>
      </c>
      <c r="DG150" s="115">
        <f t="shared" si="1041"/>
        <v>-121774.5</v>
      </c>
    </row>
    <row r="151" spans="1:111" s="3" customFormat="1" x14ac:dyDescent="0.3">
      <c r="A151"/>
      <c r="B151" s="1" t="s">
        <v>36</v>
      </c>
      <c r="C151" s="1"/>
      <c r="D151" s="115">
        <f>0</f>
        <v>0</v>
      </c>
      <c r="E151" s="115">
        <f>0</f>
        <v>0</v>
      </c>
      <c r="F151" s="115">
        <f>0</f>
        <v>0</v>
      </c>
      <c r="G151" s="115">
        <f>0</f>
        <v>0</v>
      </c>
      <c r="H151" s="115">
        <f>0</f>
        <v>0</v>
      </c>
      <c r="I151" s="115">
        <f>0</f>
        <v>0</v>
      </c>
      <c r="J151" s="113">
        <v>0</v>
      </c>
      <c r="K151" s="113">
        <v>0</v>
      </c>
      <c r="L151" s="113">
        <v>0</v>
      </c>
      <c r="M151" s="115">
        <v>0</v>
      </c>
      <c r="N151" s="115">
        <v>0</v>
      </c>
      <c r="O151" s="115">
        <v>0</v>
      </c>
      <c r="P151" s="115">
        <v>6879.57</v>
      </c>
      <c r="Q151" s="115">
        <v>6879.57</v>
      </c>
      <c r="R151" s="115">
        <v>6879.57</v>
      </c>
      <c r="S151" s="115">
        <v>6879.57</v>
      </c>
      <c r="T151" s="115">
        <v>6879.57</v>
      </c>
      <c r="U151" s="115">
        <v>6879.57</v>
      </c>
      <c r="V151" s="115">
        <v>6879.57</v>
      </c>
      <c r="W151" s="115">
        <v>6879.57</v>
      </c>
      <c r="X151" s="115">
        <v>6879.57</v>
      </c>
      <c r="Y151" s="115">
        <v>6879.57</v>
      </c>
      <c r="Z151" s="115">
        <v>6879.57</v>
      </c>
      <c r="AA151" s="115">
        <v>6879.57</v>
      </c>
      <c r="AB151" s="115">
        <v>43377.35</v>
      </c>
      <c r="AC151" s="115">
        <v>43377.35</v>
      </c>
      <c r="AD151" s="115">
        <v>43377.35</v>
      </c>
      <c r="AE151" s="115">
        <v>43377.35</v>
      </c>
      <c r="AF151" s="115">
        <v>43377.35</v>
      </c>
      <c r="AG151" s="115">
        <v>43377.35</v>
      </c>
      <c r="AH151" s="115">
        <f t="shared" ref="AH151" si="1042">AG151</f>
        <v>43377.35</v>
      </c>
      <c r="AI151" s="115">
        <f t="shared" ref="AI151" si="1043">AH151</f>
        <v>43377.35</v>
      </c>
      <c r="AJ151" s="115">
        <f t="shared" ref="AJ151" si="1044">AI151</f>
        <v>43377.35</v>
      </c>
      <c r="AK151" s="115">
        <f t="shared" ref="AK151" si="1045">AJ151</f>
        <v>43377.35</v>
      </c>
      <c r="AL151" s="115">
        <f t="shared" ref="AL151" si="1046">AK151</f>
        <v>43377.35</v>
      </c>
      <c r="AM151" s="513">
        <f t="shared" ref="AM151:CA151" si="1047">AL151</f>
        <v>43377.35</v>
      </c>
      <c r="AN151" s="115">
        <f>+AM151+AM154</f>
        <v>107432.65</v>
      </c>
      <c r="AO151" s="115">
        <f t="shared" ref="AO151:AT151" si="1048">+AN151</f>
        <v>107432.65</v>
      </c>
      <c r="AP151" s="115">
        <f t="shared" si="1048"/>
        <v>107432.65</v>
      </c>
      <c r="AQ151" s="115">
        <f t="shared" si="1048"/>
        <v>107432.65</v>
      </c>
      <c r="AR151" s="115">
        <f t="shared" si="1048"/>
        <v>107432.65</v>
      </c>
      <c r="AS151" s="115">
        <f t="shared" si="1048"/>
        <v>107432.65</v>
      </c>
      <c r="AT151" s="115">
        <f t="shared" si="1048"/>
        <v>107432.65</v>
      </c>
      <c r="AU151" s="115">
        <f t="shared" ref="AU151:AW151" si="1049">+AT151</f>
        <v>107432.65</v>
      </c>
      <c r="AV151" s="115">
        <f t="shared" si="1049"/>
        <v>107432.65</v>
      </c>
      <c r="AW151" s="185">
        <f t="shared" si="1049"/>
        <v>107432.65</v>
      </c>
      <c r="AX151" s="220">
        <f>AW151+AW154</f>
        <v>139019.29999999999</v>
      </c>
      <c r="AY151" s="185">
        <f t="shared" si="1047"/>
        <v>139019.29999999999</v>
      </c>
      <c r="AZ151" s="220">
        <f>AY151+AY154</f>
        <v>143838.04212540403</v>
      </c>
      <c r="BA151" s="115">
        <f t="shared" si="1047"/>
        <v>143838.04212540403</v>
      </c>
      <c r="BB151" s="115">
        <f t="shared" si="1047"/>
        <v>143838.04212540403</v>
      </c>
      <c r="BC151" s="115">
        <f t="shared" si="1047"/>
        <v>143838.04212540403</v>
      </c>
      <c r="BD151" s="115">
        <f t="shared" si="1047"/>
        <v>143838.04212540403</v>
      </c>
      <c r="BE151" s="115">
        <f t="shared" si="1047"/>
        <v>143838.04212540403</v>
      </c>
      <c r="BF151" s="115">
        <f t="shared" si="1047"/>
        <v>143838.04212540403</v>
      </c>
      <c r="BG151" s="115">
        <f t="shared" si="1047"/>
        <v>143838.04212540403</v>
      </c>
      <c r="BH151" s="115">
        <f t="shared" si="1047"/>
        <v>143838.04212540403</v>
      </c>
      <c r="BI151" s="115">
        <f t="shared" si="1047"/>
        <v>143838.04212540403</v>
      </c>
      <c r="BJ151" s="115">
        <f t="shared" si="1047"/>
        <v>143838.04212540403</v>
      </c>
      <c r="BK151" s="185">
        <f t="shared" si="1047"/>
        <v>143838.04212540403</v>
      </c>
      <c r="BL151" s="220">
        <f>BK151+BK154</f>
        <v>163435.1626490943</v>
      </c>
      <c r="BM151" s="115">
        <f t="shared" si="1047"/>
        <v>163435.1626490943</v>
      </c>
      <c r="BN151" s="115">
        <f t="shared" si="1047"/>
        <v>163435.1626490943</v>
      </c>
      <c r="BO151" s="115">
        <f t="shared" si="1047"/>
        <v>163435.1626490943</v>
      </c>
      <c r="BP151" s="115">
        <f t="shared" si="1047"/>
        <v>163435.1626490943</v>
      </c>
      <c r="BQ151" s="115">
        <f t="shared" si="1047"/>
        <v>163435.1626490943</v>
      </c>
      <c r="BR151" s="115">
        <f t="shared" si="1047"/>
        <v>163435.1626490943</v>
      </c>
      <c r="BS151" s="115">
        <f t="shared" si="1047"/>
        <v>163435.1626490943</v>
      </c>
      <c r="BT151" s="115">
        <f t="shared" si="1047"/>
        <v>163435.1626490943</v>
      </c>
      <c r="BU151" s="115">
        <f t="shared" si="1047"/>
        <v>163435.1626490943</v>
      </c>
      <c r="BV151" s="115">
        <f t="shared" si="1047"/>
        <v>163435.1626490943</v>
      </c>
      <c r="BW151" s="185">
        <f t="shared" si="1047"/>
        <v>163435.1626490943</v>
      </c>
      <c r="BX151" s="220">
        <f>BW151+BW154</f>
        <v>181721.42423532071</v>
      </c>
      <c r="BY151" s="115">
        <f t="shared" si="1047"/>
        <v>181721.42423532071</v>
      </c>
      <c r="BZ151" s="115">
        <f t="shared" si="1047"/>
        <v>181721.42423532071</v>
      </c>
      <c r="CA151" s="115">
        <f t="shared" si="1047"/>
        <v>181721.42423532071</v>
      </c>
      <c r="CB151" s="115">
        <f t="shared" ref="CB151:DG151" si="1050">CA151</f>
        <v>181721.42423532071</v>
      </c>
      <c r="CC151" s="115">
        <f t="shared" si="1050"/>
        <v>181721.42423532071</v>
      </c>
      <c r="CD151" s="115">
        <f t="shared" si="1050"/>
        <v>181721.42423532071</v>
      </c>
      <c r="CE151" s="115">
        <f t="shared" si="1050"/>
        <v>181721.42423532071</v>
      </c>
      <c r="CF151" s="115">
        <f t="shared" si="1050"/>
        <v>181721.42423532071</v>
      </c>
      <c r="CG151" s="115">
        <f t="shared" si="1050"/>
        <v>181721.42423532071</v>
      </c>
      <c r="CH151" s="115">
        <f t="shared" si="1050"/>
        <v>181721.42423532071</v>
      </c>
      <c r="CI151" s="185">
        <f t="shared" si="1050"/>
        <v>181721.42423532071</v>
      </c>
      <c r="CJ151" s="220">
        <f>CI151+CI154</f>
        <v>158349.37431625149</v>
      </c>
      <c r="CK151" s="115">
        <f t="shared" si="1050"/>
        <v>158349.37431625149</v>
      </c>
      <c r="CL151" s="115">
        <f t="shared" si="1050"/>
        <v>158349.37431625149</v>
      </c>
      <c r="CM151" s="115">
        <f t="shared" si="1050"/>
        <v>158349.37431625149</v>
      </c>
      <c r="CN151" s="115">
        <f t="shared" si="1050"/>
        <v>158349.37431625149</v>
      </c>
      <c r="CO151" s="115">
        <f t="shared" si="1050"/>
        <v>158349.37431625149</v>
      </c>
      <c r="CP151" s="115">
        <f t="shared" si="1050"/>
        <v>158349.37431625149</v>
      </c>
      <c r="CQ151" s="115">
        <f t="shared" si="1050"/>
        <v>158349.37431625149</v>
      </c>
      <c r="CR151" s="115">
        <f t="shared" si="1050"/>
        <v>158349.37431625149</v>
      </c>
      <c r="CS151" s="115">
        <f t="shared" si="1050"/>
        <v>158349.37431625149</v>
      </c>
      <c r="CT151" s="115">
        <f t="shared" si="1050"/>
        <v>158349.37431625149</v>
      </c>
      <c r="CU151" s="185">
        <f t="shared" si="1050"/>
        <v>158349.37431625149</v>
      </c>
      <c r="CV151" s="220">
        <f>CU151+CU154</f>
        <v>100320.652497994</v>
      </c>
      <c r="CW151" s="115">
        <f t="shared" si="1050"/>
        <v>100320.652497994</v>
      </c>
      <c r="CX151" s="115">
        <f t="shared" si="1050"/>
        <v>100320.652497994</v>
      </c>
      <c r="CY151" s="115">
        <f t="shared" si="1050"/>
        <v>100320.652497994</v>
      </c>
      <c r="CZ151" s="115">
        <f t="shared" si="1050"/>
        <v>100320.652497994</v>
      </c>
      <c r="DA151" s="115">
        <f t="shared" si="1050"/>
        <v>100320.652497994</v>
      </c>
      <c r="DB151" s="115">
        <f t="shared" si="1050"/>
        <v>100320.652497994</v>
      </c>
      <c r="DC151" s="115">
        <f t="shared" si="1050"/>
        <v>100320.652497994</v>
      </c>
      <c r="DD151" s="115">
        <f t="shared" si="1050"/>
        <v>100320.652497994</v>
      </c>
      <c r="DE151" s="115">
        <f t="shared" si="1050"/>
        <v>100320.652497994</v>
      </c>
      <c r="DF151" s="115">
        <f t="shared" si="1050"/>
        <v>100320.652497994</v>
      </c>
      <c r="DG151" s="115">
        <f t="shared" si="1050"/>
        <v>100320.652497994</v>
      </c>
    </row>
    <row r="152" spans="1:111" x14ac:dyDescent="0.3">
      <c r="B152" s="1" t="s">
        <v>384</v>
      </c>
      <c r="C152" s="1"/>
      <c r="D152" s="115"/>
      <c r="E152" s="115"/>
      <c r="F152" s="115"/>
      <c r="G152" s="115"/>
      <c r="H152" s="115"/>
      <c r="I152" s="115"/>
      <c r="J152" s="113"/>
      <c r="K152" s="113"/>
      <c r="L152" s="113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513"/>
      <c r="AN152" s="115"/>
      <c r="AO152" s="115"/>
      <c r="AP152" s="115"/>
      <c r="AQ152" s="115">
        <v>-11813</v>
      </c>
      <c r="AR152" s="115">
        <v>-11813</v>
      </c>
      <c r="AS152" s="115">
        <v>-11813</v>
      </c>
      <c r="AT152" s="115">
        <v>-11813</v>
      </c>
      <c r="AU152" s="115">
        <v>-11813</v>
      </c>
      <c r="AV152" s="115">
        <v>-11813</v>
      </c>
      <c r="AW152" s="185">
        <v>-11813</v>
      </c>
      <c r="AX152" s="220">
        <f>+AW152</f>
        <v>-11813</v>
      </c>
      <c r="AY152" s="185">
        <f t="shared" ref="AY152:DD152" si="1051">+AX152</f>
        <v>-11813</v>
      </c>
      <c r="AZ152" s="220">
        <f t="shared" si="1051"/>
        <v>-11813</v>
      </c>
      <c r="BA152" s="115">
        <f t="shared" si="1051"/>
        <v>-11813</v>
      </c>
      <c r="BB152" s="115">
        <f t="shared" si="1051"/>
        <v>-11813</v>
      </c>
      <c r="BC152" s="115">
        <f t="shared" si="1051"/>
        <v>-11813</v>
      </c>
      <c r="BD152" s="115">
        <f t="shared" si="1051"/>
        <v>-11813</v>
      </c>
      <c r="BE152" s="115">
        <f t="shared" si="1051"/>
        <v>-11813</v>
      </c>
      <c r="BF152" s="115">
        <f t="shared" si="1051"/>
        <v>-11813</v>
      </c>
      <c r="BG152" s="115">
        <f t="shared" si="1051"/>
        <v>-11813</v>
      </c>
      <c r="BH152" s="115">
        <f t="shared" si="1051"/>
        <v>-11813</v>
      </c>
      <c r="BI152" s="115">
        <f t="shared" si="1051"/>
        <v>-11813</v>
      </c>
      <c r="BJ152" s="115">
        <f t="shared" si="1051"/>
        <v>-11813</v>
      </c>
      <c r="BK152" s="185">
        <f t="shared" si="1051"/>
        <v>-11813</v>
      </c>
      <c r="BL152" s="220">
        <f t="shared" si="1051"/>
        <v>-11813</v>
      </c>
      <c r="BM152" s="115">
        <f t="shared" si="1051"/>
        <v>-11813</v>
      </c>
      <c r="BN152" s="115">
        <f t="shared" si="1051"/>
        <v>-11813</v>
      </c>
      <c r="BO152" s="115">
        <f t="shared" si="1051"/>
        <v>-11813</v>
      </c>
      <c r="BP152" s="115">
        <f t="shared" si="1051"/>
        <v>-11813</v>
      </c>
      <c r="BQ152" s="115">
        <f t="shared" si="1051"/>
        <v>-11813</v>
      </c>
      <c r="BR152" s="115">
        <f t="shared" si="1051"/>
        <v>-11813</v>
      </c>
      <c r="BS152" s="115">
        <f t="shared" si="1051"/>
        <v>-11813</v>
      </c>
      <c r="BT152" s="115">
        <f t="shared" si="1051"/>
        <v>-11813</v>
      </c>
      <c r="BU152" s="115">
        <f t="shared" si="1051"/>
        <v>-11813</v>
      </c>
      <c r="BV152" s="115">
        <f t="shared" si="1051"/>
        <v>-11813</v>
      </c>
      <c r="BW152" s="185">
        <f t="shared" si="1051"/>
        <v>-11813</v>
      </c>
      <c r="BX152" s="220">
        <f t="shared" si="1051"/>
        <v>-11813</v>
      </c>
      <c r="BY152" s="115">
        <f t="shared" si="1051"/>
        <v>-11813</v>
      </c>
      <c r="BZ152" s="115">
        <f t="shared" si="1051"/>
        <v>-11813</v>
      </c>
      <c r="CA152" s="115">
        <f t="shared" si="1051"/>
        <v>-11813</v>
      </c>
      <c r="CB152" s="115">
        <f t="shared" si="1051"/>
        <v>-11813</v>
      </c>
      <c r="CC152" s="115">
        <f t="shared" si="1051"/>
        <v>-11813</v>
      </c>
      <c r="CD152" s="115">
        <f t="shared" si="1051"/>
        <v>-11813</v>
      </c>
      <c r="CE152" s="115">
        <f t="shared" si="1051"/>
        <v>-11813</v>
      </c>
      <c r="CF152" s="115">
        <f t="shared" si="1051"/>
        <v>-11813</v>
      </c>
      <c r="CG152" s="115">
        <f t="shared" si="1051"/>
        <v>-11813</v>
      </c>
      <c r="CH152" s="115">
        <f t="shared" si="1051"/>
        <v>-11813</v>
      </c>
      <c r="CI152" s="185">
        <f t="shared" si="1051"/>
        <v>-11813</v>
      </c>
      <c r="CJ152" s="220">
        <f t="shared" si="1051"/>
        <v>-11813</v>
      </c>
      <c r="CK152" s="115">
        <f t="shared" si="1051"/>
        <v>-11813</v>
      </c>
      <c r="CL152" s="115">
        <f t="shared" si="1051"/>
        <v>-11813</v>
      </c>
      <c r="CM152" s="115">
        <f t="shared" si="1051"/>
        <v>-11813</v>
      </c>
      <c r="CN152" s="115">
        <f t="shared" si="1051"/>
        <v>-11813</v>
      </c>
      <c r="CO152" s="115">
        <f t="shared" si="1051"/>
        <v>-11813</v>
      </c>
      <c r="CP152" s="115">
        <f t="shared" si="1051"/>
        <v>-11813</v>
      </c>
      <c r="CQ152" s="115">
        <f t="shared" si="1051"/>
        <v>-11813</v>
      </c>
      <c r="CR152" s="115">
        <f t="shared" si="1051"/>
        <v>-11813</v>
      </c>
      <c r="CS152" s="115">
        <f t="shared" si="1051"/>
        <v>-11813</v>
      </c>
      <c r="CT152" s="115">
        <f t="shared" si="1051"/>
        <v>-11813</v>
      </c>
      <c r="CU152" s="185">
        <f t="shared" si="1051"/>
        <v>-11813</v>
      </c>
      <c r="CV152" s="220">
        <f t="shared" si="1051"/>
        <v>-11813</v>
      </c>
      <c r="CW152" s="115">
        <f t="shared" si="1051"/>
        <v>-11813</v>
      </c>
      <c r="CX152" s="115">
        <f t="shared" si="1051"/>
        <v>-11813</v>
      </c>
      <c r="CY152" s="115">
        <f t="shared" si="1051"/>
        <v>-11813</v>
      </c>
      <c r="CZ152" s="115">
        <f t="shared" si="1051"/>
        <v>-11813</v>
      </c>
      <c r="DA152" s="115">
        <f t="shared" si="1051"/>
        <v>-11813</v>
      </c>
      <c r="DB152" s="115">
        <f t="shared" si="1051"/>
        <v>-11813</v>
      </c>
      <c r="DC152" s="115">
        <f t="shared" si="1051"/>
        <v>-11813</v>
      </c>
      <c r="DD152" s="115">
        <f t="shared" si="1051"/>
        <v>-11813</v>
      </c>
      <c r="DE152" s="115">
        <f t="shared" ref="DE152:DG152" si="1052">+DD152</f>
        <v>-11813</v>
      </c>
      <c r="DF152" s="115">
        <f t="shared" si="1052"/>
        <v>-11813</v>
      </c>
      <c r="DG152" s="115">
        <f t="shared" si="1052"/>
        <v>-11813</v>
      </c>
    </row>
    <row r="153" spans="1:111" x14ac:dyDescent="0.3">
      <c r="B153" s="1" t="s">
        <v>382</v>
      </c>
      <c r="C153" s="1"/>
      <c r="D153" s="115"/>
      <c r="E153" s="115"/>
      <c r="F153" s="115"/>
      <c r="G153" s="115"/>
      <c r="H153" s="115"/>
      <c r="I153" s="115"/>
      <c r="J153" s="113"/>
      <c r="K153" s="113"/>
      <c r="L153" s="113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513"/>
      <c r="AN153" s="115"/>
      <c r="AO153" s="115"/>
      <c r="AP153" s="115"/>
      <c r="AQ153" s="115">
        <v>-8861</v>
      </c>
      <c r="AR153" s="115">
        <v>-8861</v>
      </c>
      <c r="AS153" s="115">
        <v>-8898.68</v>
      </c>
      <c r="AT153" s="115">
        <v>-8898.68</v>
      </c>
      <c r="AU153" s="115">
        <v>-8898.68</v>
      </c>
      <c r="AV153" s="115">
        <v>-8898.68</v>
      </c>
      <c r="AW153" s="185">
        <v>-8898.68</v>
      </c>
      <c r="AX153" s="220">
        <f>+AW153</f>
        <v>-8898.68</v>
      </c>
      <c r="AY153" s="185">
        <f t="shared" ref="AY153:DD153" si="1053">+AX153</f>
        <v>-8898.68</v>
      </c>
      <c r="AZ153" s="220">
        <f t="shared" si="1053"/>
        <v>-8898.68</v>
      </c>
      <c r="BA153" s="115">
        <f t="shared" si="1053"/>
        <v>-8898.68</v>
      </c>
      <c r="BB153" s="115">
        <f t="shared" si="1053"/>
        <v>-8898.68</v>
      </c>
      <c r="BC153" s="115">
        <f t="shared" si="1053"/>
        <v>-8898.68</v>
      </c>
      <c r="BD153" s="115">
        <f t="shared" si="1053"/>
        <v>-8898.68</v>
      </c>
      <c r="BE153" s="115">
        <f t="shared" si="1053"/>
        <v>-8898.68</v>
      </c>
      <c r="BF153" s="115">
        <f t="shared" si="1053"/>
        <v>-8898.68</v>
      </c>
      <c r="BG153" s="115">
        <f t="shared" si="1053"/>
        <v>-8898.68</v>
      </c>
      <c r="BH153" s="115">
        <f t="shared" si="1053"/>
        <v>-8898.68</v>
      </c>
      <c r="BI153" s="115">
        <f t="shared" si="1053"/>
        <v>-8898.68</v>
      </c>
      <c r="BJ153" s="115">
        <f t="shared" si="1053"/>
        <v>-8898.68</v>
      </c>
      <c r="BK153" s="185">
        <f t="shared" si="1053"/>
        <v>-8898.68</v>
      </c>
      <c r="BL153" s="220">
        <f t="shared" si="1053"/>
        <v>-8898.68</v>
      </c>
      <c r="BM153" s="115">
        <f t="shared" si="1053"/>
        <v>-8898.68</v>
      </c>
      <c r="BN153" s="115">
        <f t="shared" si="1053"/>
        <v>-8898.68</v>
      </c>
      <c r="BO153" s="115">
        <f t="shared" si="1053"/>
        <v>-8898.68</v>
      </c>
      <c r="BP153" s="115">
        <f t="shared" si="1053"/>
        <v>-8898.68</v>
      </c>
      <c r="BQ153" s="115">
        <f t="shared" si="1053"/>
        <v>-8898.68</v>
      </c>
      <c r="BR153" s="115">
        <f t="shared" si="1053"/>
        <v>-8898.68</v>
      </c>
      <c r="BS153" s="115">
        <f t="shared" si="1053"/>
        <v>-8898.68</v>
      </c>
      <c r="BT153" s="115">
        <f t="shared" si="1053"/>
        <v>-8898.68</v>
      </c>
      <c r="BU153" s="115">
        <f t="shared" si="1053"/>
        <v>-8898.68</v>
      </c>
      <c r="BV153" s="115">
        <f t="shared" si="1053"/>
        <v>-8898.68</v>
      </c>
      <c r="BW153" s="185">
        <f t="shared" si="1053"/>
        <v>-8898.68</v>
      </c>
      <c r="BX153" s="220">
        <f t="shared" si="1053"/>
        <v>-8898.68</v>
      </c>
      <c r="BY153" s="115">
        <f t="shared" si="1053"/>
        <v>-8898.68</v>
      </c>
      <c r="BZ153" s="115">
        <f t="shared" si="1053"/>
        <v>-8898.68</v>
      </c>
      <c r="CA153" s="115">
        <f t="shared" si="1053"/>
        <v>-8898.68</v>
      </c>
      <c r="CB153" s="115">
        <f t="shared" si="1053"/>
        <v>-8898.68</v>
      </c>
      <c r="CC153" s="115">
        <f t="shared" si="1053"/>
        <v>-8898.68</v>
      </c>
      <c r="CD153" s="115">
        <f t="shared" si="1053"/>
        <v>-8898.68</v>
      </c>
      <c r="CE153" s="115">
        <f t="shared" si="1053"/>
        <v>-8898.68</v>
      </c>
      <c r="CF153" s="115">
        <f t="shared" si="1053"/>
        <v>-8898.68</v>
      </c>
      <c r="CG153" s="115">
        <f t="shared" si="1053"/>
        <v>-8898.68</v>
      </c>
      <c r="CH153" s="115">
        <f t="shared" si="1053"/>
        <v>-8898.68</v>
      </c>
      <c r="CI153" s="185">
        <f t="shared" si="1053"/>
        <v>-8898.68</v>
      </c>
      <c r="CJ153" s="220">
        <f t="shared" si="1053"/>
        <v>-8898.68</v>
      </c>
      <c r="CK153" s="115">
        <f t="shared" si="1053"/>
        <v>-8898.68</v>
      </c>
      <c r="CL153" s="115">
        <f t="shared" si="1053"/>
        <v>-8898.68</v>
      </c>
      <c r="CM153" s="115">
        <f t="shared" si="1053"/>
        <v>-8898.68</v>
      </c>
      <c r="CN153" s="115">
        <f t="shared" si="1053"/>
        <v>-8898.68</v>
      </c>
      <c r="CO153" s="115">
        <f t="shared" si="1053"/>
        <v>-8898.68</v>
      </c>
      <c r="CP153" s="115">
        <f t="shared" si="1053"/>
        <v>-8898.68</v>
      </c>
      <c r="CQ153" s="115">
        <f t="shared" si="1053"/>
        <v>-8898.68</v>
      </c>
      <c r="CR153" s="115">
        <f t="shared" si="1053"/>
        <v>-8898.68</v>
      </c>
      <c r="CS153" s="115">
        <f t="shared" si="1053"/>
        <v>-8898.68</v>
      </c>
      <c r="CT153" s="115">
        <f t="shared" si="1053"/>
        <v>-8898.68</v>
      </c>
      <c r="CU153" s="185">
        <f t="shared" si="1053"/>
        <v>-8898.68</v>
      </c>
      <c r="CV153" s="220">
        <f t="shared" si="1053"/>
        <v>-8898.68</v>
      </c>
      <c r="CW153" s="115">
        <f t="shared" si="1053"/>
        <v>-8898.68</v>
      </c>
      <c r="CX153" s="115">
        <f t="shared" si="1053"/>
        <v>-8898.68</v>
      </c>
      <c r="CY153" s="115">
        <f t="shared" si="1053"/>
        <v>-8898.68</v>
      </c>
      <c r="CZ153" s="115">
        <f t="shared" si="1053"/>
        <v>-8898.68</v>
      </c>
      <c r="DA153" s="115">
        <f t="shared" si="1053"/>
        <v>-8898.68</v>
      </c>
      <c r="DB153" s="115">
        <f t="shared" si="1053"/>
        <v>-8898.68</v>
      </c>
      <c r="DC153" s="115">
        <f t="shared" si="1053"/>
        <v>-8898.68</v>
      </c>
      <c r="DD153" s="115">
        <f t="shared" si="1053"/>
        <v>-8898.68</v>
      </c>
      <c r="DE153" s="115">
        <f t="shared" ref="DE153:DG153" si="1054">+DD153</f>
        <v>-8898.68</v>
      </c>
      <c r="DF153" s="115">
        <f t="shared" si="1054"/>
        <v>-8898.68</v>
      </c>
      <c r="DG153" s="115">
        <f t="shared" si="1054"/>
        <v>-8898.68</v>
      </c>
    </row>
    <row r="154" spans="1:111" x14ac:dyDescent="0.3">
      <c r="B154" s="1" t="s">
        <v>37</v>
      </c>
      <c r="C154" s="1"/>
      <c r="D154" s="115">
        <f>0</f>
        <v>0</v>
      </c>
      <c r="E154" s="115">
        <f t="shared" ref="E154:O154" si="1055">D154+E110</f>
        <v>0</v>
      </c>
      <c r="F154" s="115">
        <f t="shared" si="1055"/>
        <v>0</v>
      </c>
      <c r="G154" s="115">
        <f t="shared" si="1055"/>
        <v>0</v>
      </c>
      <c r="H154" s="115">
        <f t="shared" si="1055"/>
        <v>0</v>
      </c>
      <c r="I154" s="115">
        <f t="shared" si="1055"/>
        <v>0</v>
      </c>
      <c r="J154" s="113">
        <f t="shared" si="1055"/>
        <v>0</v>
      </c>
      <c r="K154" s="113">
        <f t="shared" si="1055"/>
        <v>375</v>
      </c>
      <c r="L154" s="113">
        <f t="shared" si="1055"/>
        <v>1423</v>
      </c>
      <c r="M154" s="115">
        <f t="shared" si="1055"/>
        <v>3391.36</v>
      </c>
      <c r="N154" s="115">
        <f t="shared" si="1055"/>
        <v>5009.16</v>
      </c>
      <c r="O154" s="115">
        <f t="shared" si="1055"/>
        <v>6879.57</v>
      </c>
      <c r="P154" s="115">
        <f>+P110</f>
        <v>1310.8600000000001</v>
      </c>
      <c r="Q154" s="115">
        <f t="shared" ref="Q154:AA154" si="1056">+Q110+P154</f>
        <v>2412.8500000000004</v>
      </c>
      <c r="R154" s="115">
        <f t="shared" si="1056"/>
        <v>3514.2400000000007</v>
      </c>
      <c r="S154" s="115">
        <f t="shared" si="1056"/>
        <v>5198.8200000000006</v>
      </c>
      <c r="T154" s="115">
        <f t="shared" si="1056"/>
        <v>7134.76</v>
      </c>
      <c r="U154" s="115">
        <f t="shared" si="1056"/>
        <v>8530.94</v>
      </c>
      <c r="V154" s="115">
        <f t="shared" si="1056"/>
        <v>10933.710000000001</v>
      </c>
      <c r="W154" s="115">
        <f t="shared" si="1056"/>
        <v>17160.43</v>
      </c>
      <c r="X154" s="115">
        <f t="shared" si="1056"/>
        <v>24270.16</v>
      </c>
      <c r="Y154" s="115">
        <f t="shared" si="1056"/>
        <v>31119.06</v>
      </c>
      <c r="Z154" s="115">
        <f t="shared" si="1056"/>
        <v>35150.75</v>
      </c>
      <c r="AA154" s="115">
        <f t="shared" si="1056"/>
        <v>36497.78</v>
      </c>
      <c r="AB154" s="115">
        <f>+AB110</f>
        <v>2584.7600000000002</v>
      </c>
      <c r="AC154" s="115">
        <f t="shared" ref="AC154:AM154" si="1057">+AC110+AB154</f>
        <v>5326.8</v>
      </c>
      <c r="AD154" s="115">
        <f t="shared" si="1057"/>
        <v>7863.27</v>
      </c>
      <c r="AE154" s="115">
        <f t="shared" si="1057"/>
        <v>9098.4700000000012</v>
      </c>
      <c r="AF154" s="115">
        <f t="shared" si="1057"/>
        <v>13828.600000000002</v>
      </c>
      <c r="AG154" s="115">
        <f t="shared" si="1057"/>
        <v>15867.180000000002</v>
      </c>
      <c r="AH154" s="115">
        <f t="shared" si="1057"/>
        <v>21466.050000000003</v>
      </c>
      <c r="AI154" s="115">
        <f t="shared" si="1057"/>
        <v>32601.800000000003</v>
      </c>
      <c r="AJ154" s="115">
        <f t="shared" si="1057"/>
        <v>40083.980000000003</v>
      </c>
      <c r="AK154" s="115">
        <f t="shared" si="1057"/>
        <v>54239.73</v>
      </c>
      <c r="AL154" s="115">
        <f t="shared" si="1057"/>
        <v>60870.55</v>
      </c>
      <c r="AM154" s="513">
        <f t="shared" si="1057"/>
        <v>64055.3</v>
      </c>
      <c r="AN154" s="115">
        <f>+AN110</f>
        <v>1533.3599999999997</v>
      </c>
      <c r="AO154" s="115">
        <f t="shared" ref="AO154:AT154" si="1058">+AO110+AN154</f>
        <v>1720.6100000000001</v>
      </c>
      <c r="AP154" s="115">
        <f t="shared" si="1058"/>
        <v>1206.0700000000002</v>
      </c>
      <c r="AQ154" s="115">
        <f t="shared" si="1058"/>
        <v>423.41000000000042</v>
      </c>
      <c r="AR154" s="115">
        <f t="shared" si="1058"/>
        <v>1826.6800000000003</v>
      </c>
      <c r="AS154" s="115">
        <f>+AS110+AR154</f>
        <v>3821.28</v>
      </c>
      <c r="AT154" s="115">
        <f t="shared" si="1058"/>
        <v>6883.1400000000012</v>
      </c>
      <c r="AU154" s="115">
        <f t="shared" ref="AU154:AW154" si="1059">+AU110+AT154</f>
        <v>8280.7800000000007</v>
      </c>
      <c r="AV154" s="115">
        <f t="shared" si="1059"/>
        <v>18266.979999999996</v>
      </c>
      <c r="AW154" s="185">
        <f t="shared" si="1059"/>
        <v>31586.65</v>
      </c>
      <c r="AX154" s="220">
        <f>+AX110</f>
        <v>3212.8640615437644</v>
      </c>
      <c r="AY154" s="185">
        <f t="shared" ref="AY154" si="1060">+AY110+AX154</f>
        <v>4818.7421254040337</v>
      </c>
      <c r="AZ154" s="115">
        <f>+AZ110</f>
        <v>1581.0719791162774</v>
      </c>
      <c r="BA154" s="115">
        <f t="shared" ref="BA154:BK154" si="1061">+BA110+AZ154</f>
        <v>320.24244881886989</v>
      </c>
      <c r="BB154" s="115">
        <f t="shared" si="1061"/>
        <v>3360.6169634263306</v>
      </c>
      <c r="BC154" s="115">
        <f t="shared" si="1061"/>
        <v>-1895.1203963540547</v>
      </c>
      <c r="BD154" s="115">
        <f t="shared" si="1061"/>
        <v>-1119.8798257611743</v>
      </c>
      <c r="BE154" s="115">
        <f t="shared" si="1061"/>
        <v>-748.01437924040511</v>
      </c>
      <c r="BF154" s="115">
        <f t="shared" si="1061"/>
        <v>1889.8662255998115</v>
      </c>
      <c r="BG154" s="115">
        <f t="shared" si="1061"/>
        <v>2184.4826134338728</v>
      </c>
      <c r="BH154" s="115">
        <f t="shared" si="1061"/>
        <v>6384.2952460217239</v>
      </c>
      <c r="BI154" s="115">
        <f t="shared" si="1061"/>
        <v>17046.218841445956</v>
      </c>
      <c r="BJ154" s="115">
        <f t="shared" si="1061"/>
        <v>16982.47816335204</v>
      </c>
      <c r="BK154" s="185">
        <f t="shared" si="1061"/>
        <v>19597.120523690282</v>
      </c>
      <c r="BL154" s="115">
        <f>+BL110</f>
        <v>1222.8532992478868</v>
      </c>
      <c r="BM154" s="115">
        <f t="shared" ref="BM154:BW154" si="1062">+BM110+BL154</f>
        <v>-1902.0645059835915</v>
      </c>
      <c r="BN154" s="115">
        <f t="shared" si="1062"/>
        <v>4044.6564565438275</v>
      </c>
      <c r="BO154" s="115">
        <f t="shared" si="1062"/>
        <v>-3504.3804136523886</v>
      </c>
      <c r="BP154" s="115">
        <f t="shared" si="1062"/>
        <v>-2614.9083221943383</v>
      </c>
      <c r="BQ154" s="115">
        <f t="shared" si="1062"/>
        <v>-2869.9694512233109</v>
      </c>
      <c r="BR154" s="115">
        <f t="shared" si="1062"/>
        <v>-1575.5714397962365</v>
      </c>
      <c r="BS154" s="115">
        <f t="shared" si="1062"/>
        <v>-1811.3906112465265</v>
      </c>
      <c r="BT154" s="115">
        <f t="shared" si="1062"/>
        <v>3621.8538390304057</v>
      </c>
      <c r="BU154" s="115">
        <f t="shared" si="1062"/>
        <v>15289.684101326897</v>
      </c>
      <c r="BV154" s="115">
        <f t="shared" si="1062"/>
        <v>15821.817041246657</v>
      </c>
      <c r="BW154" s="185">
        <f t="shared" si="1062"/>
        <v>18286.261586226417</v>
      </c>
      <c r="BX154" s="115">
        <f>+BX110</f>
        <v>-3427.8405778892338</v>
      </c>
      <c r="BY154" s="115">
        <f t="shared" ref="BY154:CI154" si="1063">+BY110+BX154</f>
        <v>-12116.677704575741</v>
      </c>
      <c r="BZ154" s="115">
        <f t="shared" si="1063"/>
        <v>-3975.1333484617026</v>
      </c>
      <c r="CA154" s="115">
        <f t="shared" si="1063"/>
        <v>-20226.00627399316</v>
      </c>
      <c r="CB154" s="115">
        <f t="shared" si="1063"/>
        <v>-19838.700450588323</v>
      </c>
      <c r="CC154" s="115">
        <f t="shared" si="1063"/>
        <v>-23178.951069176666</v>
      </c>
      <c r="CD154" s="115">
        <f t="shared" si="1063"/>
        <v>-27294.023449989676</v>
      </c>
      <c r="CE154" s="115">
        <f t="shared" si="1063"/>
        <v>-30319.059379998536</v>
      </c>
      <c r="CF154" s="115">
        <f t="shared" si="1063"/>
        <v>-30485.286438961186</v>
      </c>
      <c r="CG154" s="115">
        <f t="shared" si="1063"/>
        <v>-16875.642901466592</v>
      </c>
      <c r="CH154" s="115">
        <f t="shared" si="1063"/>
        <v>-17201.775335810435</v>
      </c>
      <c r="CI154" s="185">
        <f t="shared" si="1063"/>
        <v>-23372.04991906921</v>
      </c>
      <c r="CJ154" s="115">
        <f>+CJ110</f>
        <v>-3021.3823442351641</v>
      </c>
      <c r="CK154" s="115">
        <f t="shared" ref="CK154:CU154" si="1064">+CK110+CJ154</f>
        <v>-17640.64666755301</v>
      </c>
      <c r="CL154" s="115">
        <f t="shared" si="1064"/>
        <v>-9591.8095036549275</v>
      </c>
      <c r="CM154" s="115">
        <f t="shared" si="1064"/>
        <v>-33250.149093341381</v>
      </c>
      <c r="CN154" s="115">
        <f t="shared" si="1064"/>
        <v>-32858.39771541104</v>
      </c>
      <c r="CO154" s="115">
        <f t="shared" si="1064"/>
        <v>-42049.076014249396</v>
      </c>
      <c r="CP154" s="115">
        <f t="shared" si="1064"/>
        <v>-49119.866621312802</v>
      </c>
      <c r="CQ154" s="115">
        <f t="shared" si="1064"/>
        <v>-54228.870498605946</v>
      </c>
      <c r="CR154" s="115">
        <f t="shared" si="1064"/>
        <v>-61734.233317151746</v>
      </c>
      <c r="CS154" s="115">
        <f t="shared" si="1064"/>
        <v>-43125.582787595951</v>
      </c>
      <c r="CT154" s="115">
        <f t="shared" si="1064"/>
        <v>-46311.378865689119</v>
      </c>
      <c r="CU154" s="185">
        <f t="shared" si="1064"/>
        <v>-58028.721818257487</v>
      </c>
      <c r="CV154" s="115">
        <f>+CV110</f>
        <v>-5219.7161868229377</v>
      </c>
      <c r="CW154" s="115">
        <f t="shared" ref="CW154:DG154" si="1065">+CW110+CV154</f>
        <v>-24447.552416489772</v>
      </c>
      <c r="CX154" s="115">
        <f t="shared" si="1065"/>
        <v>-18204.290143389375</v>
      </c>
      <c r="CY154" s="115">
        <f t="shared" si="1065"/>
        <v>-50654.49824709892</v>
      </c>
      <c r="CZ154" s="115">
        <f t="shared" si="1065"/>
        <v>-49337.775800880416</v>
      </c>
      <c r="DA154" s="115">
        <f t="shared" si="1065"/>
        <v>-66567.117722926108</v>
      </c>
      <c r="DB154" s="115">
        <f t="shared" si="1065"/>
        <v>-73919.193074093695</v>
      </c>
      <c r="DC154" s="115">
        <f t="shared" si="1065"/>
        <v>-87156.593093070769</v>
      </c>
      <c r="DD154" s="115">
        <f t="shared" si="1065"/>
        <v>-96553.198159721811</v>
      </c>
      <c r="DE154" s="115">
        <f t="shared" si="1065"/>
        <v>-68917.989227640239</v>
      </c>
      <c r="DF154" s="115">
        <f t="shared" si="1065"/>
        <v>-78901.332100056185</v>
      </c>
      <c r="DG154" s="115">
        <f t="shared" si="1065"/>
        <v>-27907.36866685866</v>
      </c>
    </row>
    <row r="155" spans="1:111" x14ac:dyDescent="0.3">
      <c r="A155" s="5"/>
      <c r="B155" s="6" t="s">
        <v>38</v>
      </c>
      <c r="C155" s="6"/>
      <c r="D155" s="54">
        <f t="shared" ref="D155:AI155" si="1066">SUM(D149:D154)</f>
        <v>0</v>
      </c>
      <c r="E155" s="54">
        <f t="shared" si="1066"/>
        <v>0</v>
      </c>
      <c r="F155" s="54">
        <f t="shared" si="1066"/>
        <v>0</v>
      </c>
      <c r="G155" s="54">
        <f t="shared" si="1066"/>
        <v>0</v>
      </c>
      <c r="H155" s="54">
        <f t="shared" si="1066"/>
        <v>0</v>
      </c>
      <c r="I155" s="54">
        <f t="shared" si="1066"/>
        <v>0</v>
      </c>
      <c r="J155" s="54">
        <f t="shared" si="1066"/>
        <v>0</v>
      </c>
      <c r="K155" s="54">
        <f t="shared" si="1066"/>
        <v>630</v>
      </c>
      <c r="L155" s="54">
        <f t="shared" si="1066"/>
        <v>1678</v>
      </c>
      <c r="M155" s="54">
        <f t="shared" si="1066"/>
        <v>3385.36</v>
      </c>
      <c r="N155" s="54">
        <f t="shared" si="1066"/>
        <v>1822.3999999999996</v>
      </c>
      <c r="O155" s="54">
        <f t="shared" si="1066"/>
        <v>844.09999999999945</v>
      </c>
      <c r="P155" s="54">
        <f t="shared" si="1066"/>
        <v>154.96000000000049</v>
      </c>
      <c r="Q155" s="54">
        <f t="shared" si="1066"/>
        <v>206.95000000000073</v>
      </c>
      <c r="R155" s="54">
        <f t="shared" si="1066"/>
        <v>158.34000000000106</v>
      </c>
      <c r="S155" s="54">
        <f t="shared" si="1066"/>
        <v>567.92000000000098</v>
      </c>
      <c r="T155" s="54">
        <f t="shared" si="1066"/>
        <v>422.39000000000124</v>
      </c>
      <c r="U155" s="54">
        <f t="shared" si="1066"/>
        <v>598.57000000000153</v>
      </c>
      <c r="V155" s="54">
        <f t="shared" si="1066"/>
        <v>536.72999999999774</v>
      </c>
      <c r="W155" s="54">
        <f t="shared" si="1066"/>
        <v>358.44999999999709</v>
      </c>
      <c r="X155" s="54">
        <f t="shared" si="1066"/>
        <v>1868.1799999999967</v>
      </c>
      <c r="Y155" s="54">
        <f t="shared" si="1066"/>
        <v>878.29999999999927</v>
      </c>
      <c r="Z155" s="54">
        <f t="shared" si="1066"/>
        <v>909.98999999999796</v>
      </c>
      <c r="AA155" s="54">
        <f t="shared" si="1066"/>
        <v>832.0199999999968</v>
      </c>
      <c r="AB155" s="54">
        <f t="shared" si="1066"/>
        <v>1516.779999999997</v>
      </c>
      <c r="AC155" s="54">
        <f t="shared" si="1066"/>
        <v>933.81999999999698</v>
      </c>
      <c r="AD155" s="54">
        <f t="shared" si="1066"/>
        <v>250.28999999999724</v>
      </c>
      <c r="AE155" s="54">
        <f t="shared" si="1066"/>
        <v>1560.489999999998</v>
      </c>
      <c r="AF155" s="54">
        <f t="shared" si="1066"/>
        <v>2190.619999999999</v>
      </c>
      <c r="AG155" s="54">
        <f t="shared" si="1066"/>
        <v>1479.1999999999989</v>
      </c>
      <c r="AH155" s="54">
        <f t="shared" si="1066"/>
        <v>4174.1200000000026</v>
      </c>
      <c r="AI155" s="54">
        <f t="shared" si="1066"/>
        <v>5534.8700000000026</v>
      </c>
      <c r="AJ155" s="54">
        <f t="shared" ref="AJ155:BO155" si="1067">SUM(AJ149:AJ154)</f>
        <v>6249.5500000000029</v>
      </c>
      <c r="AK155" s="54">
        <f t="shared" si="1067"/>
        <v>7905.3000000000029</v>
      </c>
      <c r="AL155" s="54">
        <f t="shared" si="1067"/>
        <v>6756.1200000000026</v>
      </c>
      <c r="AM155" s="566">
        <f t="shared" si="1067"/>
        <v>2488.4599999999991</v>
      </c>
      <c r="AN155" s="54">
        <f t="shared" si="1067"/>
        <v>1871.8199999999915</v>
      </c>
      <c r="AO155" s="54">
        <f t="shared" si="1067"/>
        <v>2059.069999999992</v>
      </c>
      <c r="AP155" s="54">
        <f t="shared" si="1067"/>
        <v>1544.529999999992</v>
      </c>
      <c r="AQ155" s="54">
        <f t="shared" si="1067"/>
        <v>762.86999999999227</v>
      </c>
      <c r="AR155" s="54">
        <f t="shared" si="1067"/>
        <v>1419.6500000000015</v>
      </c>
      <c r="AS155" s="54">
        <f t="shared" ref="AS155:AT155" si="1068">SUM(AS149:AS154)</f>
        <v>4069.4999999999941</v>
      </c>
      <c r="AT155" s="54">
        <f t="shared" si="1068"/>
        <v>6323.5799999999963</v>
      </c>
      <c r="AU155" s="54">
        <f t="shared" ref="AU155:AV155" si="1069">SUM(AU149:AU154)</f>
        <v>7721.2199999999957</v>
      </c>
      <c r="AV155" s="54">
        <f t="shared" si="1069"/>
        <v>17133.19999999999</v>
      </c>
      <c r="AW155" s="307">
        <f t="shared" ref="AW155" si="1070">SUM(AW149:AW154)</f>
        <v>30452.869999999995</v>
      </c>
      <c r="AX155" s="54">
        <f t="shared" ref="AX155" si="1071">SUM(AX149:AX154)</f>
        <v>33665.73406154375</v>
      </c>
      <c r="AY155" s="307">
        <f t="shared" si="1067"/>
        <v>35271.612125404019</v>
      </c>
      <c r="AZ155" s="54">
        <f t="shared" si="1067"/>
        <v>36852.684104520304</v>
      </c>
      <c r="BA155" s="54">
        <f t="shared" si="1067"/>
        <v>35591.854574222896</v>
      </c>
      <c r="BB155" s="54">
        <f t="shared" si="1067"/>
        <v>38632.229088830354</v>
      </c>
      <c r="BC155" s="54">
        <f t="shared" si="1067"/>
        <v>33376.491729049972</v>
      </c>
      <c r="BD155" s="54">
        <f t="shared" si="1067"/>
        <v>34151.732299642856</v>
      </c>
      <c r="BE155" s="54">
        <f t="shared" si="1067"/>
        <v>34523.597746163621</v>
      </c>
      <c r="BF155" s="54">
        <f t="shared" si="1067"/>
        <v>37161.47835100384</v>
      </c>
      <c r="BG155" s="54">
        <f t="shared" si="1067"/>
        <v>37456.094738837899</v>
      </c>
      <c r="BH155" s="54">
        <f t="shared" si="1067"/>
        <v>41655.907371425754</v>
      </c>
      <c r="BI155" s="54">
        <f t="shared" si="1067"/>
        <v>52317.830966849986</v>
      </c>
      <c r="BJ155" s="54">
        <f t="shared" si="1067"/>
        <v>52254.090288756066</v>
      </c>
      <c r="BK155" s="307">
        <f t="shared" si="1067"/>
        <v>54868.732649094309</v>
      </c>
      <c r="BL155" s="54">
        <f t="shared" si="1067"/>
        <v>56091.585948342188</v>
      </c>
      <c r="BM155" s="54">
        <f t="shared" si="1067"/>
        <v>52966.668143110714</v>
      </c>
      <c r="BN155" s="54">
        <f t="shared" si="1067"/>
        <v>58913.389105638125</v>
      </c>
      <c r="BO155" s="54">
        <f t="shared" si="1067"/>
        <v>51364.352235441911</v>
      </c>
      <c r="BP155" s="54">
        <f t="shared" ref="BP155:CU155" si="1072">SUM(BP149:BP154)</f>
        <v>52253.824326899965</v>
      </c>
      <c r="BQ155" s="54">
        <f t="shared" si="1072"/>
        <v>51998.763197870991</v>
      </c>
      <c r="BR155" s="54">
        <f t="shared" si="1072"/>
        <v>53293.161209298065</v>
      </c>
      <c r="BS155" s="54">
        <f t="shared" si="1072"/>
        <v>53057.342037847775</v>
      </c>
      <c r="BT155" s="54">
        <f t="shared" si="1072"/>
        <v>58490.586488124711</v>
      </c>
      <c r="BU155" s="54">
        <f t="shared" si="1072"/>
        <v>70158.416750421195</v>
      </c>
      <c r="BV155" s="54">
        <f t="shared" si="1072"/>
        <v>70690.549690340966</v>
      </c>
      <c r="BW155" s="307">
        <f t="shared" si="1072"/>
        <v>73154.994235320715</v>
      </c>
      <c r="BX155" s="54">
        <f t="shared" si="1072"/>
        <v>69727.153657431481</v>
      </c>
      <c r="BY155" s="54">
        <f t="shared" si="1072"/>
        <v>61038.316530744974</v>
      </c>
      <c r="BZ155" s="54">
        <f t="shared" si="1072"/>
        <v>69179.860886859009</v>
      </c>
      <c r="CA155" s="54">
        <f t="shared" si="1072"/>
        <v>52928.987961327555</v>
      </c>
      <c r="CB155" s="54">
        <f t="shared" si="1072"/>
        <v>53316.293784732392</v>
      </c>
      <c r="CC155" s="54">
        <f t="shared" si="1072"/>
        <v>49976.043166144053</v>
      </c>
      <c r="CD155" s="54">
        <f t="shared" si="1072"/>
        <v>45860.970785331039</v>
      </c>
      <c r="CE155" s="54">
        <f t="shared" si="1072"/>
        <v>42835.934855322179</v>
      </c>
      <c r="CF155" s="54">
        <f t="shared" si="1072"/>
        <v>42669.707796359529</v>
      </c>
      <c r="CG155" s="54">
        <f t="shared" si="1072"/>
        <v>56279.351333854123</v>
      </c>
      <c r="CH155" s="54">
        <f t="shared" si="1072"/>
        <v>55953.218899510277</v>
      </c>
      <c r="CI155" s="307">
        <f t="shared" si="1072"/>
        <v>49782.944316251509</v>
      </c>
      <c r="CJ155" s="54">
        <f t="shared" si="1072"/>
        <v>46761.561972016323</v>
      </c>
      <c r="CK155" s="54">
        <f t="shared" si="1072"/>
        <v>32142.297648698477</v>
      </c>
      <c r="CL155" s="54">
        <f t="shared" si="1072"/>
        <v>40191.13481259656</v>
      </c>
      <c r="CM155" s="54">
        <f t="shared" si="1072"/>
        <v>16532.795222910107</v>
      </c>
      <c r="CN155" s="54">
        <f t="shared" si="1072"/>
        <v>16924.546600840447</v>
      </c>
      <c r="CO155" s="54">
        <f t="shared" si="1072"/>
        <v>7733.8683020020908</v>
      </c>
      <c r="CP155" s="54">
        <f t="shared" si="1072"/>
        <v>663.07769493868545</v>
      </c>
      <c r="CQ155" s="54">
        <f t="shared" si="1072"/>
        <v>-4445.9261823544584</v>
      </c>
      <c r="CR155" s="54">
        <f t="shared" si="1072"/>
        <v>-11951.289000900259</v>
      </c>
      <c r="CS155" s="54">
        <f t="shared" si="1072"/>
        <v>6657.3615286555359</v>
      </c>
      <c r="CT155" s="54">
        <f t="shared" si="1072"/>
        <v>3471.5654505623679</v>
      </c>
      <c r="CU155" s="307">
        <f t="shared" si="1072"/>
        <v>-8245.7775020059998</v>
      </c>
      <c r="CV155" s="54">
        <f t="shared" ref="CV155:DG155" si="1073">SUM(CV149:CV154)</f>
        <v>-13465.493688828938</v>
      </c>
      <c r="CW155" s="54">
        <f t="shared" si="1073"/>
        <v>-32693.329918495772</v>
      </c>
      <c r="CX155" s="54">
        <f t="shared" si="1073"/>
        <v>-26450.067645395375</v>
      </c>
      <c r="CY155" s="54">
        <f t="shared" si="1073"/>
        <v>-58900.27574910492</v>
      </c>
      <c r="CZ155" s="54">
        <f t="shared" si="1073"/>
        <v>-57583.553302886416</v>
      </c>
      <c r="DA155" s="54">
        <f t="shared" si="1073"/>
        <v>-74812.895224932116</v>
      </c>
      <c r="DB155" s="54">
        <f t="shared" si="1073"/>
        <v>-82164.970576099702</v>
      </c>
      <c r="DC155" s="54">
        <f t="shared" si="1073"/>
        <v>-95402.370595076762</v>
      </c>
      <c r="DD155" s="54">
        <f t="shared" si="1073"/>
        <v>-104798.9756617278</v>
      </c>
      <c r="DE155" s="54">
        <f t="shared" si="1073"/>
        <v>-77163.766729646246</v>
      </c>
      <c r="DF155" s="54">
        <f t="shared" si="1073"/>
        <v>-87147.109602062177</v>
      </c>
      <c r="DG155" s="54">
        <f t="shared" si="1073"/>
        <v>-36153.14616886466</v>
      </c>
    </row>
    <row r="156" spans="1:111" x14ac:dyDescent="0.3">
      <c r="A156" s="3"/>
      <c r="B156" s="4" t="s">
        <v>39</v>
      </c>
      <c r="C156" s="4"/>
      <c r="D156" s="55">
        <f t="shared" ref="D156:I156" si="1074">D155</f>
        <v>0</v>
      </c>
      <c r="E156" s="55">
        <f t="shared" si="1074"/>
        <v>0</v>
      </c>
      <c r="F156" s="55">
        <f t="shared" si="1074"/>
        <v>0</v>
      </c>
      <c r="G156" s="55">
        <f t="shared" si="1074"/>
        <v>0</v>
      </c>
      <c r="H156" s="55">
        <f t="shared" si="1074"/>
        <v>0</v>
      </c>
      <c r="I156" s="55">
        <f t="shared" si="1074"/>
        <v>0</v>
      </c>
      <c r="J156" s="55">
        <f t="shared" ref="J156:AO156" si="1075">J155+J147</f>
        <v>0</v>
      </c>
      <c r="K156" s="55">
        <f t="shared" si="1075"/>
        <v>630</v>
      </c>
      <c r="L156" s="55">
        <f t="shared" si="1075"/>
        <v>1678</v>
      </c>
      <c r="M156" s="55">
        <f t="shared" si="1075"/>
        <v>3385.36</v>
      </c>
      <c r="N156" s="55">
        <f t="shared" si="1075"/>
        <v>1822.3999999999996</v>
      </c>
      <c r="O156" s="55">
        <f t="shared" si="1075"/>
        <v>844.09999999999945</v>
      </c>
      <c r="P156" s="55">
        <f t="shared" si="1075"/>
        <v>229.96000000000049</v>
      </c>
      <c r="Q156" s="55">
        <f t="shared" si="1075"/>
        <v>281.95000000000073</v>
      </c>
      <c r="R156" s="55">
        <f t="shared" si="1075"/>
        <v>158.34000000000106</v>
      </c>
      <c r="S156" s="55">
        <f t="shared" si="1075"/>
        <v>642.92000000000098</v>
      </c>
      <c r="T156" s="55">
        <f t="shared" si="1075"/>
        <v>422.39000000000124</v>
      </c>
      <c r="U156" s="55">
        <f t="shared" si="1075"/>
        <v>823.57000000000153</v>
      </c>
      <c r="V156" s="55">
        <f t="shared" si="1075"/>
        <v>836.72999999999774</v>
      </c>
      <c r="W156" s="55">
        <f t="shared" si="1075"/>
        <v>733.44999999999709</v>
      </c>
      <c r="X156" s="55">
        <f t="shared" si="1075"/>
        <v>2093.1799999999967</v>
      </c>
      <c r="Y156" s="55">
        <f t="shared" si="1075"/>
        <v>953.29999999999927</v>
      </c>
      <c r="Z156" s="55">
        <f t="shared" si="1075"/>
        <v>1059.989999999998</v>
      </c>
      <c r="AA156" s="55">
        <f t="shared" si="1075"/>
        <v>1057.0199999999968</v>
      </c>
      <c r="AB156" s="55">
        <f t="shared" si="1075"/>
        <v>1591.779999999997</v>
      </c>
      <c r="AC156" s="55">
        <f t="shared" si="1075"/>
        <v>1046.319999999997</v>
      </c>
      <c r="AD156" s="55">
        <f t="shared" si="1075"/>
        <v>475.28999999999724</v>
      </c>
      <c r="AE156" s="55">
        <f t="shared" si="1075"/>
        <v>1860.489999999998</v>
      </c>
      <c r="AF156" s="55">
        <f t="shared" si="1075"/>
        <v>2408.0899999999988</v>
      </c>
      <c r="AG156" s="55">
        <f t="shared" si="1075"/>
        <v>2419.4599999999991</v>
      </c>
      <c r="AH156" s="55">
        <f t="shared" si="1075"/>
        <v>5806.4900000000025</v>
      </c>
      <c r="AI156" s="55">
        <f t="shared" si="1075"/>
        <v>6831.9900000000025</v>
      </c>
      <c r="AJ156" s="55">
        <f t="shared" si="1075"/>
        <v>7475.0200000000032</v>
      </c>
      <c r="AK156" s="55">
        <f t="shared" si="1075"/>
        <v>9430.1700000000019</v>
      </c>
      <c r="AL156" s="55">
        <f t="shared" si="1075"/>
        <v>7689.4000000000024</v>
      </c>
      <c r="AM156" s="514">
        <f t="shared" si="1075"/>
        <v>3914.829999999999</v>
      </c>
      <c r="AN156" s="55">
        <f t="shared" si="1075"/>
        <v>6311.339999999992</v>
      </c>
      <c r="AO156" s="55">
        <f t="shared" si="1075"/>
        <v>3464.4999999999918</v>
      </c>
      <c r="AP156" s="55">
        <f t="shared" ref="AP156:BU156" si="1076">AP155+AP147</f>
        <v>2703.1899999999919</v>
      </c>
      <c r="AQ156" s="55">
        <f t="shared" si="1076"/>
        <v>2336.529999999992</v>
      </c>
      <c r="AR156" s="55">
        <f t="shared" si="1076"/>
        <v>2883.8300000000013</v>
      </c>
      <c r="AS156" s="55">
        <f t="shared" ref="AS156" si="1077">AS155+AS147</f>
        <v>4350.7499999999945</v>
      </c>
      <c r="AT156" s="55">
        <f>AT155+AT147</f>
        <v>7636.0799999999963</v>
      </c>
      <c r="AU156" s="55">
        <f>AU155+AU147</f>
        <v>8174.9699999999957</v>
      </c>
      <c r="AV156" s="55">
        <f>AV155+AV147</f>
        <v>17470.69999999999</v>
      </c>
      <c r="AW156" s="305">
        <f>AW155+AW147</f>
        <v>31034.119999999995</v>
      </c>
      <c r="AX156" s="55">
        <f t="shared" ref="AX156" si="1078">AX155+AX147</f>
        <v>34080.73406154375</v>
      </c>
      <c r="AY156" s="305">
        <f t="shared" si="1076"/>
        <v>35686.612125404019</v>
      </c>
      <c r="AZ156" s="55">
        <f t="shared" si="1076"/>
        <v>37267.684104520304</v>
      </c>
      <c r="BA156" s="55">
        <f t="shared" si="1076"/>
        <v>36006.854574222896</v>
      </c>
      <c r="BB156" s="55">
        <f t="shared" si="1076"/>
        <v>39047.229088830354</v>
      </c>
      <c r="BC156" s="55">
        <f t="shared" si="1076"/>
        <v>33791.491729049972</v>
      </c>
      <c r="BD156" s="55">
        <f t="shared" si="1076"/>
        <v>34566.732299642856</v>
      </c>
      <c r="BE156" s="55">
        <f t="shared" si="1076"/>
        <v>34938.597746163621</v>
      </c>
      <c r="BF156" s="55">
        <f t="shared" si="1076"/>
        <v>37576.47835100384</v>
      </c>
      <c r="BG156" s="55">
        <f t="shared" si="1076"/>
        <v>37871.094738837899</v>
      </c>
      <c r="BH156" s="55">
        <f t="shared" si="1076"/>
        <v>42070.907371425754</v>
      </c>
      <c r="BI156" s="55">
        <f t="shared" si="1076"/>
        <v>52732.830966849986</v>
      </c>
      <c r="BJ156" s="55">
        <f t="shared" si="1076"/>
        <v>52669.090288756066</v>
      </c>
      <c r="BK156" s="305">
        <f t="shared" si="1076"/>
        <v>55283.732649094309</v>
      </c>
      <c r="BL156" s="55">
        <f t="shared" si="1076"/>
        <v>56506.585948342188</v>
      </c>
      <c r="BM156" s="55">
        <f t="shared" si="1076"/>
        <v>53381.668143110714</v>
      </c>
      <c r="BN156" s="55">
        <f t="shared" si="1076"/>
        <v>59328.389105638125</v>
      </c>
      <c r="BO156" s="55">
        <f t="shared" si="1076"/>
        <v>51779.352235441911</v>
      </c>
      <c r="BP156" s="55">
        <f t="shared" si="1076"/>
        <v>52668.824326899965</v>
      </c>
      <c r="BQ156" s="55">
        <f t="shared" si="1076"/>
        <v>52413.763197870991</v>
      </c>
      <c r="BR156" s="55">
        <f t="shared" si="1076"/>
        <v>53708.161209298065</v>
      </c>
      <c r="BS156" s="55">
        <f t="shared" si="1076"/>
        <v>53472.342037847775</v>
      </c>
      <c r="BT156" s="55">
        <f t="shared" si="1076"/>
        <v>58905.586488124711</v>
      </c>
      <c r="BU156" s="55">
        <f t="shared" si="1076"/>
        <v>70573.416750421195</v>
      </c>
      <c r="BV156" s="55">
        <f t="shared" ref="BV156:DA156" si="1079">BV155+BV147</f>
        <v>71105.549690340966</v>
      </c>
      <c r="BW156" s="305">
        <f t="shared" si="1079"/>
        <v>73569.994235320715</v>
      </c>
      <c r="BX156" s="55">
        <f t="shared" si="1079"/>
        <v>70142.153657431481</v>
      </c>
      <c r="BY156" s="55">
        <f t="shared" si="1079"/>
        <v>61453.316530744974</v>
      </c>
      <c r="BZ156" s="55">
        <f t="shared" si="1079"/>
        <v>69594.860886859009</v>
      </c>
      <c r="CA156" s="55">
        <f t="shared" si="1079"/>
        <v>53343.987961327555</v>
      </c>
      <c r="CB156" s="55">
        <f t="shared" si="1079"/>
        <v>53731.293784732392</v>
      </c>
      <c r="CC156" s="55">
        <f t="shared" si="1079"/>
        <v>50391.043166144053</v>
      </c>
      <c r="CD156" s="55">
        <f t="shared" si="1079"/>
        <v>46275.970785331039</v>
      </c>
      <c r="CE156" s="55">
        <f t="shared" si="1079"/>
        <v>43250.934855322179</v>
      </c>
      <c r="CF156" s="55">
        <f t="shared" si="1079"/>
        <v>43084.707796359529</v>
      </c>
      <c r="CG156" s="55">
        <f t="shared" si="1079"/>
        <v>56694.351333854123</v>
      </c>
      <c r="CH156" s="55">
        <f t="shared" si="1079"/>
        <v>56368.218899510277</v>
      </c>
      <c r="CI156" s="305">
        <f t="shared" si="1079"/>
        <v>50197.944316251509</v>
      </c>
      <c r="CJ156" s="55">
        <f t="shared" si="1079"/>
        <v>47176.561972016323</v>
      </c>
      <c r="CK156" s="55">
        <f t="shared" si="1079"/>
        <v>32557.297648698477</v>
      </c>
      <c r="CL156" s="55">
        <f t="shared" si="1079"/>
        <v>40606.13481259656</v>
      </c>
      <c r="CM156" s="55">
        <f t="shared" si="1079"/>
        <v>16947.795222910107</v>
      </c>
      <c r="CN156" s="55">
        <f t="shared" si="1079"/>
        <v>17339.546600840447</v>
      </c>
      <c r="CO156" s="55">
        <f t="shared" si="1079"/>
        <v>8148.8683020020908</v>
      </c>
      <c r="CP156" s="55">
        <f t="shared" si="1079"/>
        <v>1078.0776949386855</v>
      </c>
      <c r="CQ156" s="55">
        <f t="shared" si="1079"/>
        <v>-4030.9261823544584</v>
      </c>
      <c r="CR156" s="55">
        <f t="shared" si="1079"/>
        <v>-11536.289000900259</v>
      </c>
      <c r="CS156" s="55">
        <f t="shared" si="1079"/>
        <v>7072.3615286555359</v>
      </c>
      <c r="CT156" s="55">
        <f t="shared" si="1079"/>
        <v>3886.5654505623679</v>
      </c>
      <c r="CU156" s="305">
        <f t="shared" si="1079"/>
        <v>-7830.7775020059998</v>
      </c>
      <c r="CV156" s="55">
        <f t="shared" si="1079"/>
        <v>-13050.493688828938</v>
      </c>
      <c r="CW156" s="55">
        <f t="shared" si="1079"/>
        <v>-32278.329918495772</v>
      </c>
      <c r="CX156" s="55">
        <f t="shared" si="1079"/>
        <v>-26035.067645395375</v>
      </c>
      <c r="CY156" s="55">
        <f t="shared" si="1079"/>
        <v>-58485.27574910492</v>
      </c>
      <c r="CZ156" s="55">
        <f t="shared" si="1079"/>
        <v>-57168.553302886416</v>
      </c>
      <c r="DA156" s="55">
        <f t="shared" si="1079"/>
        <v>-74397.895224932116</v>
      </c>
      <c r="DB156" s="55">
        <f t="shared" ref="DB156:DG156" si="1080">DB155+DB147</f>
        <v>-81749.970576099702</v>
      </c>
      <c r="DC156" s="55">
        <f t="shared" si="1080"/>
        <v>-94987.370595076762</v>
      </c>
      <c r="DD156" s="55">
        <f t="shared" si="1080"/>
        <v>-104383.9756617278</v>
      </c>
      <c r="DE156" s="55">
        <f t="shared" si="1080"/>
        <v>-76748.766729646246</v>
      </c>
      <c r="DF156" s="55">
        <f t="shared" si="1080"/>
        <v>-86732.109602062177</v>
      </c>
      <c r="DG156" s="55">
        <f t="shared" si="1080"/>
        <v>-35738.14616886466</v>
      </c>
    </row>
    <row r="157" spans="1:111" x14ac:dyDescent="0.3">
      <c r="A157" s="64"/>
      <c r="B157" s="61"/>
      <c r="C157" s="62" t="s">
        <v>347</v>
      </c>
      <c r="D157" s="63">
        <v>0</v>
      </c>
      <c r="E157" s="63">
        <f t="shared" ref="E157:AA157" si="1081">IFERROR(AVERAGE(D155:E155)/(E35/30.4333), 0)</f>
        <v>0</v>
      </c>
      <c r="F157" s="63">
        <f t="shared" si="1081"/>
        <v>0</v>
      </c>
      <c r="G157" s="63">
        <f t="shared" si="1081"/>
        <v>0</v>
      </c>
      <c r="H157" s="63">
        <f t="shared" si="1081"/>
        <v>0</v>
      </c>
      <c r="I157" s="63">
        <f t="shared" si="1081"/>
        <v>0</v>
      </c>
      <c r="J157" s="63">
        <f t="shared" si="1081"/>
        <v>0</v>
      </c>
      <c r="K157" s="63">
        <f t="shared" si="1081"/>
        <v>191.72979000000001</v>
      </c>
      <c r="L157" s="63">
        <f t="shared" si="1081"/>
        <v>792.24249660465114</v>
      </c>
      <c r="M157" s="63">
        <f t="shared" si="1081"/>
        <v>1473.4159734310758</v>
      </c>
      <c r="N157" s="63">
        <f t="shared" si="1081"/>
        <v>1687.2667098459331</v>
      </c>
      <c r="O157" s="63">
        <f t="shared" si="1081"/>
        <v>578.93270333333305</v>
      </c>
      <c r="P157" s="63">
        <f t="shared" si="1081"/>
        <v>258.91356306908193</v>
      </c>
      <c r="Q157" s="63">
        <f t="shared" si="1081"/>
        <v>93.191302633386726</v>
      </c>
      <c r="R157" s="63">
        <f t="shared" si="1081"/>
        <v>96.729473087632527</v>
      </c>
      <c r="S157" s="63">
        <f t="shared" si="1081"/>
        <v>238.53718366374511</v>
      </c>
      <c r="T157" s="63">
        <f t="shared" si="1081"/>
        <v>256.00790048307613</v>
      </c>
      <c r="U157" s="63">
        <f t="shared" si="1081"/>
        <v>319.31351762869377</v>
      </c>
      <c r="V157" s="63">
        <f t="shared" si="1081"/>
        <v>322.90584570093438</v>
      </c>
      <c r="W157" s="63">
        <f t="shared" si="1081"/>
        <v>203.01626279670046</v>
      </c>
      <c r="X157" s="63">
        <f t="shared" si="1081"/>
        <v>504.97212172667685</v>
      </c>
      <c r="Y157" s="63">
        <f t="shared" si="1081"/>
        <v>694.72103401078664</v>
      </c>
      <c r="Z157" s="63">
        <f t="shared" si="1081"/>
        <v>462.8866399346303</v>
      </c>
      <c r="AA157" s="63">
        <f t="shared" si="1081"/>
        <v>426.44471816005938</v>
      </c>
      <c r="AB157" s="507">
        <f t="shared" ref="AB157:AM157" si="1082">+AB150-AA150</f>
        <v>-1900</v>
      </c>
      <c r="AC157" s="507">
        <f t="shared" si="1082"/>
        <v>-3325</v>
      </c>
      <c r="AD157" s="507">
        <f t="shared" si="1082"/>
        <v>-3220</v>
      </c>
      <c r="AE157" s="507">
        <f t="shared" si="1082"/>
        <v>-2325</v>
      </c>
      <c r="AF157" s="507">
        <f t="shared" si="1082"/>
        <v>-4100</v>
      </c>
      <c r="AG157" s="507">
        <f t="shared" si="1082"/>
        <v>-2750</v>
      </c>
      <c r="AH157" s="507">
        <f t="shared" si="1082"/>
        <v>-2903.9499999999971</v>
      </c>
      <c r="AI157" s="507">
        <f t="shared" si="1082"/>
        <v>-9775</v>
      </c>
      <c r="AJ157" s="507">
        <f t="shared" si="1082"/>
        <v>-6767.5</v>
      </c>
      <c r="AK157" s="507">
        <f t="shared" si="1082"/>
        <v>-12500</v>
      </c>
      <c r="AL157" s="507">
        <f t="shared" si="1082"/>
        <v>-7780</v>
      </c>
      <c r="AM157" s="571">
        <f t="shared" si="1082"/>
        <v>-7452.4100000000035</v>
      </c>
      <c r="AN157" s="507">
        <f t="shared" ref="AN157:AP157" si="1083">+SUM(AN150,AN152:AN153)-SUM(AM150,AM152:AM153)</f>
        <v>-2150</v>
      </c>
      <c r="AO157" s="507">
        <f t="shared" si="1083"/>
        <v>0</v>
      </c>
      <c r="AP157" s="507">
        <f t="shared" si="1083"/>
        <v>0</v>
      </c>
      <c r="AQ157" s="507">
        <f>+SUM(AQ150,AQ152:AQ153)-SUM(AP150,AP152:AP153)</f>
        <v>-20674</v>
      </c>
      <c r="AR157" s="507">
        <f t="shared" ref="AR157:AW157" si="1084">+AR150-AQ150</f>
        <v>-8467.4899999999907</v>
      </c>
      <c r="AS157" s="507">
        <f t="shared" si="1084"/>
        <v>692.92999999999302</v>
      </c>
      <c r="AT157" s="507">
        <f t="shared" si="1084"/>
        <v>-1057.7799999999988</v>
      </c>
      <c r="AU157" s="507">
        <f t="shared" si="1084"/>
        <v>0</v>
      </c>
      <c r="AV157" s="507">
        <f t="shared" si="1084"/>
        <v>-2574.2200000000012</v>
      </c>
      <c r="AW157" s="508">
        <f t="shared" si="1084"/>
        <v>0</v>
      </c>
      <c r="AX157" s="721">
        <v>0</v>
      </c>
      <c r="AY157" s="508">
        <f t="shared" ref="AY157" si="1085">AX157</f>
        <v>0</v>
      </c>
      <c r="AZ157" s="507">
        <f t="shared" ref="AZ157" si="1086">AY157</f>
        <v>0</v>
      </c>
      <c r="BA157" s="507">
        <f t="shared" ref="BA157" si="1087">AZ157</f>
        <v>0</v>
      </c>
      <c r="BB157" s="507">
        <f t="shared" ref="BB157" si="1088">BA157</f>
        <v>0</v>
      </c>
      <c r="BC157" s="507">
        <f t="shared" ref="BC157" si="1089">BB157</f>
        <v>0</v>
      </c>
      <c r="BD157" s="507">
        <f t="shared" ref="BD157" si="1090">BC157</f>
        <v>0</v>
      </c>
      <c r="BE157" s="507">
        <f t="shared" ref="BE157" si="1091">BD157</f>
        <v>0</v>
      </c>
      <c r="BF157" s="507">
        <f t="shared" ref="BF157" si="1092">BE157</f>
        <v>0</v>
      </c>
      <c r="BG157" s="507">
        <f t="shared" ref="BG157" si="1093">BF157</f>
        <v>0</v>
      </c>
      <c r="BH157" s="507">
        <f t="shared" ref="BH157" si="1094">BG157</f>
        <v>0</v>
      </c>
      <c r="BI157" s="507">
        <f t="shared" ref="BI157" si="1095">BH157</f>
        <v>0</v>
      </c>
      <c r="BJ157" s="507">
        <f t="shared" ref="BJ157" si="1096">BI157</f>
        <v>0</v>
      </c>
      <c r="BK157" s="508">
        <f t="shared" ref="BK157" si="1097">BJ157</f>
        <v>0</v>
      </c>
      <c r="BL157" s="507">
        <f t="shared" ref="BL157" si="1098">BK157</f>
        <v>0</v>
      </c>
      <c r="BM157" s="507">
        <f t="shared" ref="BM157" si="1099">BL157</f>
        <v>0</v>
      </c>
      <c r="BN157" s="507">
        <f t="shared" ref="BN157" si="1100">BM157</f>
        <v>0</v>
      </c>
      <c r="BO157" s="507">
        <f t="shared" ref="BO157" si="1101">BN157</f>
        <v>0</v>
      </c>
      <c r="BP157" s="507">
        <f t="shared" ref="BP157" si="1102">BO157</f>
        <v>0</v>
      </c>
      <c r="BQ157" s="507">
        <f t="shared" ref="BQ157" si="1103">BP157</f>
        <v>0</v>
      </c>
      <c r="BR157" s="507">
        <f t="shared" ref="BR157" si="1104">BQ157</f>
        <v>0</v>
      </c>
      <c r="BS157" s="507">
        <f t="shared" ref="BS157" si="1105">BR157</f>
        <v>0</v>
      </c>
      <c r="BT157" s="507">
        <f t="shared" ref="BT157" si="1106">BS157</f>
        <v>0</v>
      </c>
      <c r="BU157" s="507">
        <f t="shared" ref="BU157" si="1107">BT157</f>
        <v>0</v>
      </c>
      <c r="BV157" s="507">
        <f t="shared" ref="BV157" si="1108">BU157</f>
        <v>0</v>
      </c>
      <c r="BW157" s="508">
        <f t="shared" ref="BW157" si="1109">BV157</f>
        <v>0</v>
      </c>
      <c r="BX157" s="507">
        <f t="shared" ref="BX157" si="1110">BW157</f>
        <v>0</v>
      </c>
      <c r="BY157" s="507">
        <f t="shared" ref="BY157" si="1111">BX157</f>
        <v>0</v>
      </c>
      <c r="BZ157" s="507">
        <f t="shared" ref="BZ157" si="1112">BY157</f>
        <v>0</v>
      </c>
      <c r="CA157" s="507">
        <f t="shared" ref="CA157" si="1113">BZ157</f>
        <v>0</v>
      </c>
      <c r="CB157" s="507">
        <f t="shared" ref="CB157" si="1114">CA157</f>
        <v>0</v>
      </c>
      <c r="CC157" s="507">
        <f t="shared" ref="CC157" si="1115">CB157</f>
        <v>0</v>
      </c>
      <c r="CD157" s="507">
        <f t="shared" ref="CD157" si="1116">CC157</f>
        <v>0</v>
      </c>
      <c r="CE157" s="507">
        <f t="shared" ref="CE157" si="1117">CD157</f>
        <v>0</v>
      </c>
      <c r="CF157" s="507">
        <f t="shared" ref="CF157" si="1118">CE157</f>
        <v>0</v>
      </c>
      <c r="CG157" s="507">
        <f t="shared" ref="CG157" si="1119">CF157</f>
        <v>0</v>
      </c>
      <c r="CH157" s="507">
        <f t="shared" ref="CH157" si="1120">CG157</f>
        <v>0</v>
      </c>
      <c r="CI157" s="508">
        <f t="shared" ref="CI157" si="1121">CH157</f>
        <v>0</v>
      </c>
      <c r="CJ157" s="507">
        <f t="shared" ref="CJ157" si="1122">CI157</f>
        <v>0</v>
      </c>
      <c r="CK157" s="507">
        <f t="shared" ref="CK157" si="1123">CJ157</f>
        <v>0</v>
      </c>
      <c r="CL157" s="507">
        <f t="shared" ref="CL157" si="1124">CK157</f>
        <v>0</v>
      </c>
      <c r="CM157" s="507">
        <f t="shared" ref="CM157" si="1125">CL157</f>
        <v>0</v>
      </c>
      <c r="CN157" s="507">
        <f t="shared" ref="CN157" si="1126">CM157</f>
        <v>0</v>
      </c>
      <c r="CO157" s="507">
        <f t="shared" ref="CO157" si="1127">CN157</f>
        <v>0</v>
      </c>
      <c r="CP157" s="507">
        <f t="shared" ref="CP157" si="1128">CO157</f>
        <v>0</v>
      </c>
      <c r="CQ157" s="507">
        <f t="shared" ref="CQ157" si="1129">CP157</f>
        <v>0</v>
      </c>
      <c r="CR157" s="507">
        <f t="shared" ref="CR157" si="1130">CQ157</f>
        <v>0</v>
      </c>
      <c r="CS157" s="507">
        <f t="shared" ref="CS157" si="1131">CR157</f>
        <v>0</v>
      </c>
      <c r="CT157" s="507">
        <f t="shared" ref="CT157" si="1132">CS157</f>
        <v>0</v>
      </c>
      <c r="CU157" s="508">
        <f t="shared" ref="CU157" si="1133">CT157</f>
        <v>0</v>
      </c>
      <c r="CV157" s="507">
        <f t="shared" ref="CV157" si="1134">CU157</f>
        <v>0</v>
      </c>
      <c r="CW157" s="507">
        <f t="shared" ref="CW157" si="1135">CV157</f>
        <v>0</v>
      </c>
      <c r="CX157" s="507">
        <f t="shared" ref="CX157" si="1136">CW157</f>
        <v>0</v>
      </c>
      <c r="CY157" s="507">
        <f t="shared" ref="CY157" si="1137">CX157</f>
        <v>0</v>
      </c>
      <c r="CZ157" s="507">
        <f t="shared" ref="CZ157" si="1138">CY157</f>
        <v>0</v>
      </c>
      <c r="DA157" s="507">
        <f t="shared" ref="DA157" si="1139">CZ157</f>
        <v>0</v>
      </c>
      <c r="DB157" s="507">
        <f t="shared" ref="DB157" si="1140">DA157</f>
        <v>0</v>
      </c>
      <c r="DC157" s="507">
        <f t="shared" ref="DC157" si="1141">DB157</f>
        <v>0</v>
      </c>
      <c r="DD157" s="507">
        <f t="shared" ref="DD157" si="1142">DC157</f>
        <v>0</v>
      </c>
      <c r="DE157" s="507">
        <f t="shared" ref="DE157" si="1143">DD157</f>
        <v>0</v>
      </c>
      <c r="DF157" s="507">
        <f t="shared" ref="DF157" si="1144">DE157</f>
        <v>0</v>
      </c>
      <c r="DG157" s="507">
        <f t="shared" ref="DG157" si="1145">DF157</f>
        <v>0</v>
      </c>
    </row>
    <row r="158" spans="1:111" s="3" customFormat="1" x14ac:dyDescent="0.3">
      <c r="A158"/>
      <c r="B158" s="1"/>
      <c r="C158" s="58" t="s">
        <v>48</v>
      </c>
      <c r="D158" s="57">
        <f t="shared" ref="D158:AI158" si="1146">D156-D134</f>
        <v>0</v>
      </c>
      <c r="E158" s="57">
        <f t="shared" si="1146"/>
        <v>0</v>
      </c>
      <c r="F158" s="57">
        <f t="shared" si="1146"/>
        <v>0</v>
      </c>
      <c r="G158" s="57">
        <f t="shared" si="1146"/>
        <v>0</v>
      </c>
      <c r="H158" s="57">
        <f t="shared" si="1146"/>
        <v>0</v>
      </c>
      <c r="I158" s="57">
        <f t="shared" si="1146"/>
        <v>0</v>
      </c>
      <c r="J158" s="57">
        <f t="shared" si="1146"/>
        <v>0</v>
      </c>
      <c r="K158" s="57">
        <f t="shared" si="1146"/>
        <v>0</v>
      </c>
      <c r="L158" s="57">
        <f t="shared" si="1146"/>
        <v>0</v>
      </c>
      <c r="M158" s="57">
        <f t="shared" si="1146"/>
        <v>0</v>
      </c>
      <c r="N158" s="57">
        <f t="shared" si="1146"/>
        <v>0</v>
      </c>
      <c r="O158" s="57">
        <f t="shared" si="1146"/>
        <v>0</v>
      </c>
      <c r="P158" s="57">
        <f t="shared" si="1146"/>
        <v>5.1159076974727213E-13</v>
      </c>
      <c r="Q158" s="57">
        <f t="shared" si="1146"/>
        <v>7.3896444519050419E-13</v>
      </c>
      <c r="R158" s="57">
        <f t="shared" si="1146"/>
        <v>1.0800249583553523E-12</v>
      </c>
      <c r="S158" s="57">
        <f t="shared" si="1146"/>
        <v>9.0949470177292824E-13</v>
      </c>
      <c r="T158" s="57">
        <f t="shared" si="1146"/>
        <v>1.2505552149377763E-12</v>
      </c>
      <c r="U158" s="57">
        <f t="shared" si="1146"/>
        <v>1.5916157281026244E-12</v>
      </c>
      <c r="V158" s="57">
        <f t="shared" si="1146"/>
        <v>-2.2737367544323206E-12</v>
      </c>
      <c r="W158" s="57">
        <f t="shared" si="1146"/>
        <v>-2.9558577807620168E-12</v>
      </c>
      <c r="X158" s="57">
        <f t="shared" si="1146"/>
        <v>-3.637978807091713E-12</v>
      </c>
      <c r="Y158" s="57">
        <f t="shared" si="1146"/>
        <v>0</v>
      </c>
      <c r="Z158" s="57">
        <f t="shared" si="1146"/>
        <v>-2.0463630789890885E-12</v>
      </c>
      <c r="AA158" s="57">
        <f t="shared" si="1146"/>
        <v>-3.1832314562052488E-12</v>
      </c>
      <c r="AB158" s="57">
        <f t="shared" si="1146"/>
        <v>-2.9558577807620168E-12</v>
      </c>
      <c r="AC158" s="57">
        <f t="shared" si="1146"/>
        <v>-3.1832314562052488E-12</v>
      </c>
      <c r="AD158" s="57">
        <f t="shared" si="1146"/>
        <v>-2.7284841053187847E-12</v>
      </c>
      <c r="AE158" s="57">
        <f t="shared" si="1146"/>
        <v>-2.0463630789890885E-12</v>
      </c>
      <c r="AF158" s="57">
        <f t="shared" si="1146"/>
        <v>0</v>
      </c>
      <c r="AG158" s="57">
        <f t="shared" si="1146"/>
        <v>0</v>
      </c>
      <c r="AH158" s="57">
        <f t="shared" si="1146"/>
        <v>0</v>
      </c>
      <c r="AI158" s="57">
        <f t="shared" si="1146"/>
        <v>0</v>
      </c>
      <c r="AJ158" s="57">
        <f t="shared" ref="AJ158:AQ158" si="1147">AJ156-AJ134</f>
        <v>0</v>
      </c>
      <c r="AK158" s="57">
        <f t="shared" si="1147"/>
        <v>0</v>
      </c>
      <c r="AL158" s="57">
        <f t="shared" si="1147"/>
        <v>0</v>
      </c>
      <c r="AM158" s="516">
        <f t="shared" si="1147"/>
        <v>0</v>
      </c>
      <c r="AN158" s="57">
        <f t="shared" si="1147"/>
        <v>-8.1854523159563541E-12</v>
      </c>
      <c r="AO158" s="57">
        <f t="shared" si="1147"/>
        <v>-8.1854523159563541E-12</v>
      </c>
      <c r="AP158" s="57">
        <f t="shared" si="1147"/>
        <v>-8.1854523159563541E-12</v>
      </c>
      <c r="AQ158" s="57">
        <f t="shared" si="1147"/>
        <v>-7.73070496506989E-12</v>
      </c>
      <c r="AR158" s="57">
        <f t="shared" ref="AR158:AS158" si="1148">AR156-AR134</f>
        <v>0</v>
      </c>
      <c r="AS158" s="57">
        <f t="shared" si="1148"/>
        <v>0</v>
      </c>
      <c r="AT158" s="57">
        <f t="shared" ref="AT158:AU158" si="1149">AT156-AT134</f>
        <v>0</v>
      </c>
      <c r="AU158" s="57">
        <f t="shared" si="1149"/>
        <v>0</v>
      </c>
      <c r="AV158" s="57">
        <f t="shared" ref="AV158:AW158" si="1150">AV156-AV134</f>
        <v>0</v>
      </c>
      <c r="AW158" s="306">
        <f t="shared" si="1150"/>
        <v>0</v>
      </c>
      <c r="AX158" s="57">
        <f t="shared" ref="AX158" si="1151">AX156-AX134</f>
        <v>0</v>
      </c>
      <c r="AY158" s="306">
        <f t="shared" ref="AY158:BO158" si="1152">AY156-AY134</f>
        <v>0</v>
      </c>
      <c r="AZ158" s="57">
        <f t="shared" si="1152"/>
        <v>0</v>
      </c>
      <c r="BA158" s="57">
        <f t="shared" si="1152"/>
        <v>0</v>
      </c>
      <c r="BB158" s="57">
        <f t="shared" si="1152"/>
        <v>0</v>
      </c>
      <c r="BC158" s="57">
        <f t="shared" si="1152"/>
        <v>0</v>
      </c>
      <c r="BD158" s="57">
        <f t="shared" si="1152"/>
        <v>0</v>
      </c>
      <c r="BE158" s="57">
        <f t="shared" si="1152"/>
        <v>0</v>
      </c>
      <c r="BF158" s="57">
        <f t="shared" si="1152"/>
        <v>0</v>
      </c>
      <c r="BG158" s="57">
        <f t="shared" si="1152"/>
        <v>0</v>
      </c>
      <c r="BH158" s="57">
        <f t="shared" si="1152"/>
        <v>0</v>
      </c>
      <c r="BI158" s="57">
        <f t="shared" si="1152"/>
        <v>0</v>
      </c>
      <c r="BJ158" s="57">
        <f t="shared" si="1152"/>
        <v>0</v>
      </c>
      <c r="BK158" s="306">
        <f t="shared" si="1152"/>
        <v>0</v>
      </c>
      <c r="BL158" s="57">
        <f t="shared" si="1152"/>
        <v>0</v>
      </c>
      <c r="BM158" s="57">
        <f t="shared" si="1152"/>
        <v>0</v>
      </c>
      <c r="BN158" s="57">
        <f t="shared" si="1152"/>
        <v>0</v>
      </c>
      <c r="BO158" s="57">
        <f t="shared" si="1152"/>
        <v>0</v>
      </c>
      <c r="BP158" s="57">
        <f t="shared" ref="BP158:CU158" si="1153">BP156-BP134</f>
        <v>0</v>
      </c>
      <c r="BQ158" s="57">
        <f t="shared" si="1153"/>
        <v>0</v>
      </c>
      <c r="BR158" s="57">
        <f t="shared" si="1153"/>
        <v>0</v>
      </c>
      <c r="BS158" s="57">
        <f t="shared" si="1153"/>
        <v>0</v>
      </c>
      <c r="BT158" s="57">
        <f t="shared" si="1153"/>
        <v>0</v>
      </c>
      <c r="BU158" s="57">
        <f t="shared" si="1153"/>
        <v>0</v>
      </c>
      <c r="BV158" s="57">
        <f t="shared" si="1153"/>
        <v>0</v>
      </c>
      <c r="BW158" s="306">
        <f t="shared" si="1153"/>
        <v>0</v>
      </c>
      <c r="BX158" s="57">
        <f t="shared" si="1153"/>
        <v>0</v>
      </c>
      <c r="BY158" s="57">
        <f t="shared" si="1153"/>
        <v>0</v>
      </c>
      <c r="BZ158" s="57">
        <f t="shared" si="1153"/>
        <v>0</v>
      </c>
      <c r="CA158" s="57">
        <f t="shared" si="1153"/>
        <v>0</v>
      </c>
      <c r="CB158" s="57">
        <f t="shared" si="1153"/>
        <v>0</v>
      </c>
      <c r="CC158" s="57">
        <f t="shared" si="1153"/>
        <v>0</v>
      </c>
      <c r="CD158" s="57">
        <f t="shared" si="1153"/>
        <v>0</v>
      </c>
      <c r="CE158" s="57">
        <f t="shared" si="1153"/>
        <v>0</v>
      </c>
      <c r="CF158" s="57">
        <f t="shared" si="1153"/>
        <v>0</v>
      </c>
      <c r="CG158" s="57">
        <f t="shared" si="1153"/>
        <v>0</v>
      </c>
      <c r="CH158" s="57">
        <f t="shared" si="1153"/>
        <v>0</v>
      </c>
      <c r="CI158" s="306">
        <f t="shared" si="1153"/>
        <v>0</v>
      </c>
      <c r="CJ158" s="57">
        <f t="shared" si="1153"/>
        <v>0</v>
      </c>
      <c r="CK158" s="57">
        <f t="shared" si="1153"/>
        <v>-4.3655745685100555E-11</v>
      </c>
      <c r="CL158" s="57">
        <f t="shared" si="1153"/>
        <v>0</v>
      </c>
      <c r="CM158" s="57">
        <f t="shared" si="1153"/>
        <v>-4.3655745685100555E-11</v>
      </c>
      <c r="CN158" s="57">
        <f t="shared" si="1153"/>
        <v>-4.3655745685100555E-11</v>
      </c>
      <c r="CO158" s="57">
        <f t="shared" si="1153"/>
        <v>-4.638422979041934E-11</v>
      </c>
      <c r="CP158" s="57">
        <f t="shared" si="1153"/>
        <v>-5.0022208597511053E-11</v>
      </c>
      <c r="CQ158" s="57">
        <f t="shared" si="1153"/>
        <v>-4.9112713895738125E-11</v>
      </c>
      <c r="CR158" s="57">
        <f t="shared" si="1153"/>
        <v>-4.7293724492192268E-11</v>
      </c>
      <c r="CS158" s="57">
        <f t="shared" si="1153"/>
        <v>-4.7293724492192268E-11</v>
      </c>
      <c r="CT158" s="57">
        <f t="shared" si="1153"/>
        <v>-4.7293724492192268E-11</v>
      </c>
      <c r="CU158" s="306">
        <f t="shared" si="1153"/>
        <v>-4.7293724492192268E-11</v>
      </c>
      <c r="CV158" s="57">
        <f t="shared" ref="CV158:DG158" si="1154">CV156-CV134</f>
        <v>-4.7293724492192268E-11</v>
      </c>
      <c r="CW158" s="57">
        <f t="shared" si="1154"/>
        <v>-4.7293724492192268E-11</v>
      </c>
      <c r="CX158" s="57">
        <f t="shared" si="1154"/>
        <v>-4.7293724492192268E-11</v>
      </c>
      <c r="CY158" s="57">
        <f t="shared" si="1154"/>
        <v>0</v>
      </c>
      <c r="CZ158" s="57">
        <f t="shared" si="1154"/>
        <v>0</v>
      </c>
      <c r="DA158" s="57">
        <f t="shared" si="1154"/>
        <v>0</v>
      </c>
      <c r="DB158" s="57">
        <f t="shared" si="1154"/>
        <v>0</v>
      </c>
      <c r="DC158" s="57">
        <f t="shared" si="1154"/>
        <v>0</v>
      </c>
      <c r="DD158" s="57">
        <f t="shared" si="1154"/>
        <v>0</v>
      </c>
      <c r="DE158" s="57">
        <f t="shared" si="1154"/>
        <v>0</v>
      </c>
      <c r="DF158" s="57">
        <f t="shared" si="1154"/>
        <v>0</v>
      </c>
      <c r="DG158" s="57">
        <f t="shared" si="1154"/>
        <v>0</v>
      </c>
    </row>
    <row r="159" spans="1:111" x14ac:dyDescent="0.3">
      <c r="P159" s="163"/>
      <c r="Q159" s="163"/>
      <c r="R159" s="163"/>
      <c r="AW159" s="184"/>
      <c r="AY159" s="184"/>
      <c r="BK159" s="184"/>
      <c r="BW159" s="184"/>
      <c r="CI159" s="184"/>
      <c r="CU159" s="184"/>
    </row>
    <row r="160" spans="1:111" x14ac:dyDescent="0.3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572"/>
      <c r="AN160" s="29"/>
      <c r="AO160" s="29"/>
      <c r="AP160" s="29"/>
      <c r="AQ160" s="29"/>
      <c r="AR160" s="29"/>
      <c r="AS160" s="29"/>
      <c r="AT160" s="29"/>
      <c r="AU160" s="29"/>
      <c r="AV160" s="29"/>
      <c r="AW160" s="310"/>
      <c r="AX160" s="29"/>
      <c r="AY160" s="310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310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310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310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310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</row>
    <row r="161" spans="1:111" x14ac:dyDescent="0.3">
      <c r="AW161" s="184"/>
      <c r="AY161" s="184"/>
      <c r="BK161" s="184"/>
      <c r="BW161" s="184"/>
      <c r="CI161" s="184"/>
      <c r="CU161" s="184"/>
    </row>
    <row r="162" spans="1:111" x14ac:dyDescent="0.3">
      <c r="B162" s="1" t="s">
        <v>16</v>
      </c>
      <c r="D162" s="115">
        <f t="shared" ref="D162:AI162" si="1155">D110</f>
        <v>0</v>
      </c>
      <c r="E162" s="115">
        <f t="shared" si="1155"/>
        <v>0</v>
      </c>
      <c r="F162" s="115">
        <f t="shared" si="1155"/>
        <v>0</v>
      </c>
      <c r="G162" s="115">
        <f t="shared" si="1155"/>
        <v>0</v>
      </c>
      <c r="H162" s="115">
        <f t="shared" si="1155"/>
        <v>0</v>
      </c>
      <c r="I162" s="115">
        <f t="shared" si="1155"/>
        <v>0</v>
      </c>
      <c r="J162" s="115">
        <f t="shared" si="1155"/>
        <v>0</v>
      </c>
      <c r="K162" s="115">
        <f t="shared" si="1155"/>
        <v>375</v>
      </c>
      <c r="L162" s="115">
        <f t="shared" si="1155"/>
        <v>1048</v>
      </c>
      <c r="M162" s="115">
        <f t="shared" si="1155"/>
        <v>1968.3600000000001</v>
      </c>
      <c r="N162" s="115">
        <f t="shared" si="1155"/>
        <v>1617.8</v>
      </c>
      <c r="O162" s="115">
        <f t="shared" si="1155"/>
        <v>1870.41</v>
      </c>
      <c r="P162" s="115">
        <f t="shared" si="1155"/>
        <v>1310.8600000000001</v>
      </c>
      <c r="Q162" s="115">
        <f t="shared" si="1155"/>
        <v>1101.99</v>
      </c>
      <c r="R162" s="115">
        <f t="shared" si="1155"/>
        <v>1101.3900000000001</v>
      </c>
      <c r="S162" s="115">
        <f t="shared" si="1155"/>
        <v>1684.5800000000002</v>
      </c>
      <c r="T162" s="115">
        <f t="shared" si="1155"/>
        <v>1935.9399999999998</v>
      </c>
      <c r="U162" s="115">
        <f t="shared" si="1155"/>
        <v>1396.18</v>
      </c>
      <c r="V162" s="115">
        <f t="shared" si="1155"/>
        <v>2402.77</v>
      </c>
      <c r="W162" s="115">
        <f t="shared" si="1155"/>
        <v>6226.72</v>
      </c>
      <c r="X162" s="115">
        <f t="shared" si="1155"/>
        <v>7109.73</v>
      </c>
      <c r="Y162" s="115">
        <f t="shared" si="1155"/>
        <v>6848.9000000000005</v>
      </c>
      <c r="Z162" s="115">
        <f t="shared" si="1155"/>
        <v>4031.6899999999996</v>
      </c>
      <c r="AA162" s="115">
        <f t="shared" si="1155"/>
        <v>1347.03</v>
      </c>
      <c r="AB162" s="115">
        <f t="shared" si="1155"/>
        <v>2584.7600000000002</v>
      </c>
      <c r="AC162" s="115">
        <f t="shared" si="1155"/>
        <v>2742.04</v>
      </c>
      <c r="AD162" s="115">
        <f t="shared" si="1155"/>
        <v>2536.4700000000003</v>
      </c>
      <c r="AE162" s="115">
        <f t="shared" si="1155"/>
        <v>1235.1999999999998</v>
      </c>
      <c r="AF162" s="115">
        <f t="shared" si="1155"/>
        <v>4730.13</v>
      </c>
      <c r="AG162" s="115">
        <f t="shared" si="1155"/>
        <v>2038.5800000000002</v>
      </c>
      <c r="AH162" s="115">
        <f t="shared" si="1155"/>
        <v>5598.8700000000008</v>
      </c>
      <c r="AI162" s="115">
        <f t="shared" si="1155"/>
        <v>11135.75</v>
      </c>
      <c r="AJ162" s="115">
        <f t="shared" ref="AJ162:AQ162" si="1156">AJ110</f>
        <v>7482.18</v>
      </c>
      <c r="AK162" s="115">
        <f t="shared" si="1156"/>
        <v>14155.750000000002</v>
      </c>
      <c r="AL162" s="115">
        <f t="shared" si="1156"/>
        <v>6630.82</v>
      </c>
      <c r="AM162" s="513">
        <f t="shared" si="1156"/>
        <v>3184.75</v>
      </c>
      <c r="AN162" s="115">
        <f t="shared" si="1156"/>
        <v>1533.3599999999997</v>
      </c>
      <c r="AO162" s="115">
        <f t="shared" si="1156"/>
        <v>187.25000000000057</v>
      </c>
      <c r="AP162" s="115">
        <f t="shared" si="1156"/>
        <v>-514.53999999999985</v>
      </c>
      <c r="AQ162" s="115">
        <f t="shared" si="1156"/>
        <v>-782.65999999999974</v>
      </c>
      <c r="AR162" s="115">
        <f t="shared" ref="AR162" si="1157">AR110</f>
        <v>1403.27</v>
      </c>
      <c r="AS162" s="115">
        <f t="shared" ref="AS162:AT162" si="1158">AS110</f>
        <v>1994.6</v>
      </c>
      <c r="AT162" s="115">
        <f t="shared" si="1158"/>
        <v>3061.8600000000006</v>
      </c>
      <c r="AU162" s="115">
        <f t="shared" ref="AU162:AV162" si="1159">AU110</f>
        <v>1397.639999999999</v>
      </c>
      <c r="AV162" s="115">
        <f t="shared" si="1159"/>
        <v>9986.1999999999971</v>
      </c>
      <c r="AW162" s="185">
        <f t="shared" ref="AW162" si="1160">AW110</f>
        <v>13319.670000000006</v>
      </c>
      <c r="AX162" s="115">
        <f t="shared" ref="AX162" si="1161">AX110</f>
        <v>3212.8640615437644</v>
      </c>
      <c r="AY162" s="185">
        <f t="shared" ref="AY162:BO162" si="1162">AY110</f>
        <v>1605.8780638602693</v>
      </c>
      <c r="AZ162" s="115">
        <f t="shared" si="1162"/>
        <v>1581.0719791162774</v>
      </c>
      <c r="BA162" s="115">
        <f t="shared" si="1162"/>
        <v>-1260.8295302974075</v>
      </c>
      <c r="BB162" s="115">
        <f t="shared" si="1162"/>
        <v>3040.3745146074607</v>
      </c>
      <c r="BC162" s="115">
        <f t="shared" si="1162"/>
        <v>-5255.7373597803853</v>
      </c>
      <c r="BD162" s="115">
        <f t="shared" si="1162"/>
        <v>775.24057059288043</v>
      </c>
      <c r="BE162" s="115">
        <f t="shared" si="1162"/>
        <v>371.86544652076918</v>
      </c>
      <c r="BF162" s="115">
        <f t="shared" si="1162"/>
        <v>2637.8806048402166</v>
      </c>
      <c r="BG162" s="115">
        <f t="shared" si="1162"/>
        <v>294.61638783406124</v>
      </c>
      <c r="BH162" s="115">
        <f t="shared" si="1162"/>
        <v>4199.8126325878511</v>
      </c>
      <c r="BI162" s="115">
        <f t="shared" si="1162"/>
        <v>10661.923595424232</v>
      </c>
      <c r="BJ162" s="115">
        <f t="shared" si="1162"/>
        <v>-63.740678093918177</v>
      </c>
      <c r="BK162" s="185">
        <f t="shared" si="1162"/>
        <v>2614.6423603382427</v>
      </c>
      <c r="BL162" s="115">
        <f t="shared" si="1162"/>
        <v>1222.8532992478868</v>
      </c>
      <c r="BM162" s="115">
        <f t="shared" si="1162"/>
        <v>-3124.9178052314783</v>
      </c>
      <c r="BN162" s="115">
        <f t="shared" si="1162"/>
        <v>5946.720962527419</v>
      </c>
      <c r="BO162" s="115">
        <f t="shared" si="1162"/>
        <v>-7549.0368701962161</v>
      </c>
      <c r="BP162" s="115">
        <f t="shared" ref="BP162:CU162" si="1163">BP110</f>
        <v>889.47209145805027</v>
      </c>
      <c r="BQ162" s="115">
        <f t="shared" si="1163"/>
        <v>-255.06112902897257</v>
      </c>
      <c r="BR162" s="115">
        <f t="shared" si="1163"/>
        <v>1294.3980114270744</v>
      </c>
      <c r="BS162" s="115">
        <f t="shared" si="1163"/>
        <v>-235.81917145029001</v>
      </c>
      <c r="BT162" s="115">
        <f t="shared" si="1163"/>
        <v>5433.2444502769322</v>
      </c>
      <c r="BU162" s="115">
        <f t="shared" si="1163"/>
        <v>11667.830262296491</v>
      </c>
      <c r="BV162" s="115">
        <f t="shared" si="1163"/>
        <v>532.13293991976025</v>
      </c>
      <c r="BW162" s="185">
        <f t="shared" si="1163"/>
        <v>2464.4445449797604</v>
      </c>
      <c r="BX162" s="115">
        <f t="shared" si="1163"/>
        <v>-3427.8405778892338</v>
      </c>
      <c r="BY162" s="115">
        <f t="shared" si="1163"/>
        <v>-8688.837126686507</v>
      </c>
      <c r="BZ162" s="115">
        <f t="shared" si="1163"/>
        <v>8141.5443561140382</v>
      </c>
      <c r="CA162" s="115">
        <f t="shared" si="1163"/>
        <v>-16250.872925531457</v>
      </c>
      <c r="CB162" s="115">
        <f t="shared" si="1163"/>
        <v>387.30582340483488</v>
      </c>
      <c r="CC162" s="115">
        <f t="shared" si="1163"/>
        <v>-3340.2506185883431</v>
      </c>
      <c r="CD162" s="115">
        <f t="shared" si="1163"/>
        <v>-4115.0723808130097</v>
      </c>
      <c r="CE162" s="115">
        <f t="shared" si="1163"/>
        <v>-3025.0359300088603</v>
      </c>
      <c r="CF162" s="115">
        <f t="shared" si="1163"/>
        <v>-166.22705896264961</v>
      </c>
      <c r="CG162" s="115">
        <f t="shared" si="1163"/>
        <v>13609.643537494594</v>
      </c>
      <c r="CH162" s="115">
        <f t="shared" si="1163"/>
        <v>-326.13243434384276</v>
      </c>
      <c r="CI162" s="185">
        <f t="shared" si="1163"/>
        <v>-6170.2745832587752</v>
      </c>
      <c r="CJ162" s="115">
        <f t="shared" si="1163"/>
        <v>-3021.3823442351641</v>
      </c>
      <c r="CK162" s="115">
        <f t="shared" si="1163"/>
        <v>-14619.264323317846</v>
      </c>
      <c r="CL162" s="115">
        <f t="shared" si="1163"/>
        <v>8048.8371638980825</v>
      </c>
      <c r="CM162" s="115">
        <f t="shared" si="1163"/>
        <v>-23658.339589686453</v>
      </c>
      <c r="CN162" s="115">
        <f t="shared" si="1163"/>
        <v>391.75137793034082</v>
      </c>
      <c r="CO162" s="115">
        <f t="shared" si="1163"/>
        <v>-9190.6782988383529</v>
      </c>
      <c r="CP162" s="115">
        <f t="shared" si="1163"/>
        <v>-7070.7906070634017</v>
      </c>
      <c r="CQ162" s="115">
        <f t="shared" si="1163"/>
        <v>-5109.0038772931439</v>
      </c>
      <c r="CR162" s="115">
        <f t="shared" si="1163"/>
        <v>-7505.3628185458001</v>
      </c>
      <c r="CS162" s="115">
        <f t="shared" si="1163"/>
        <v>18608.650529555794</v>
      </c>
      <c r="CT162" s="115">
        <f t="shared" si="1163"/>
        <v>-3185.796078093168</v>
      </c>
      <c r="CU162" s="185">
        <f t="shared" si="1163"/>
        <v>-11717.342952568368</v>
      </c>
      <c r="CV162" s="115">
        <f t="shared" ref="CV162:DG162" si="1164">CV110</f>
        <v>-5219.7161868229377</v>
      </c>
      <c r="CW162" s="115">
        <f t="shared" si="1164"/>
        <v>-19227.836229666835</v>
      </c>
      <c r="CX162" s="115">
        <f t="shared" si="1164"/>
        <v>6243.2622731003976</v>
      </c>
      <c r="CY162" s="115">
        <f t="shared" si="1164"/>
        <v>-32450.208103709541</v>
      </c>
      <c r="CZ162" s="115">
        <f t="shared" si="1164"/>
        <v>1316.722446218504</v>
      </c>
      <c r="DA162" s="115">
        <f t="shared" si="1164"/>
        <v>-17229.3419220457</v>
      </c>
      <c r="DB162" s="115">
        <f t="shared" si="1164"/>
        <v>-7352.0753511675939</v>
      </c>
      <c r="DC162" s="115">
        <f t="shared" si="1164"/>
        <v>-13237.400018977074</v>
      </c>
      <c r="DD162" s="115">
        <f t="shared" si="1164"/>
        <v>-9396.6050666510419</v>
      </c>
      <c r="DE162" s="115">
        <f t="shared" si="1164"/>
        <v>27635.208932081565</v>
      </c>
      <c r="DF162" s="115">
        <f t="shared" si="1164"/>
        <v>-9983.3428724159457</v>
      </c>
      <c r="DG162" s="115">
        <f t="shared" si="1164"/>
        <v>50993.963433197525</v>
      </c>
    </row>
    <row r="163" spans="1:111" x14ac:dyDescent="0.3">
      <c r="B163" s="11" t="s">
        <v>41</v>
      </c>
      <c r="D163" s="115">
        <f t="shared" ref="D163:AI163" si="1165">-(D125-C125)</f>
        <v>0</v>
      </c>
      <c r="E163" s="115">
        <f t="shared" si="1165"/>
        <v>0</v>
      </c>
      <c r="F163" s="115">
        <f t="shared" si="1165"/>
        <v>0</v>
      </c>
      <c r="G163" s="115">
        <f t="shared" si="1165"/>
        <v>0</v>
      </c>
      <c r="H163" s="115">
        <f t="shared" si="1165"/>
        <v>0</v>
      </c>
      <c r="I163" s="115">
        <f t="shared" si="1165"/>
        <v>0</v>
      </c>
      <c r="J163" s="115">
        <f t="shared" si="1165"/>
        <v>0</v>
      </c>
      <c r="K163" s="115">
        <f t="shared" si="1165"/>
        <v>-375</v>
      </c>
      <c r="L163" s="115">
        <f t="shared" si="1165"/>
        <v>-825</v>
      </c>
      <c r="M163" s="115">
        <f t="shared" si="1165"/>
        <v>-1165</v>
      </c>
      <c r="N163" s="115">
        <f t="shared" si="1165"/>
        <v>1405</v>
      </c>
      <c r="O163" s="115">
        <f t="shared" si="1165"/>
        <v>60</v>
      </c>
      <c r="P163" s="115">
        <f t="shared" si="1165"/>
        <v>840</v>
      </c>
      <c r="Q163" s="115">
        <f t="shared" si="1165"/>
        <v>-9</v>
      </c>
      <c r="R163" s="115">
        <f t="shared" si="1165"/>
        <v>-6</v>
      </c>
      <c r="S163" s="115">
        <f t="shared" si="1165"/>
        <v>-112.5</v>
      </c>
      <c r="T163" s="115">
        <f t="shared" si="1165"/>
        <v>151.57</v>
      </c>
      <c r="U163" s="115">
        <f t="shared" si="1165"/>
        <v>-354.07</v>
      </c>
      <c r="V163" s="115">
        <f t="shared" si="1165"/>
        <v>120</v>
      </c>
      <c r="W163" s="115">
        <f t="shared" si="1165"/>
        <v>180</v>
      </c>
      <c r="X163" s="115">
        <f t="shared" si="1165"/>
        <v>-1022</v>
      </c>
      <c r="Y163" s="115">
        <f t="shared" si="1165"/>
        <v>812</v>
      </c>
      <c r="Z163" s="115">
        <f t="shared" si="1165"/>
        <v>140</v>
      </c>
      <c r="AA163" s="115">
        <f t="shared" si="1165"/>
        <v>100</v>
      </c>
      <c r="AB163" s="115">
        <f t="shared" si="1165"/>
        <v>-180</v>
      </c>
      <c r="AC163" s="115">
        <f t="shared" si="1165"/>
        <v>-195</v>
      </c>
      <c r="AD163" s="115">
        <f t="shared" si="1165"/>
        <v>360</v>
      </c>
      <c r="AE163" s="115">
        <f t="shared" si="1165"/>
        <v>-382.5</v>
      </c>
      <c r="AF163" s="115">
        <f t="shared" si="1165"/>
        <v>-537.5</v>
      </c>
      <c r="AG163" s="115">
        <f t="shared" si="1165"/>
        <v>269.99</v>
      </c>
      <c r="AH163" s="115">
        <f t="shared" si="1165"/>
        <v>-1735.0000000000002</v>
      </c>
      <c r="AI163" s="115">
        <f t="shared" si="1165"/>
        <v>-856.87999999999965</v>
      </c>
      <c r="AJ163" s="115">
        <f t="shared" ref="AJ163:AQ163" si="1166">-(AJ125-AI125)</f>
        <v>154.38999999999987</v>
      </c>
      <c r="AK163" s="115">
        <f t="shared" si="1166"/>
        <v>7.5</v>
      </c>
      <c r="AL163" s="115">
        <f t="shared" si="1166"/>
        <v>-240</v>
      </c>
      <c r="AM163" s="513">
        <f t="shared" si="1166"/>
        <v>25</v>
      </c>
      <c r="AN163" s="115">
        <f t="shared" si="1166"/>
        <v>1106.25</v>
      </c>
      <c r="AO163" s="115">
        <f t="shared" si="1166"/>
        <v>-473</v>
      </c>
      <c r="AP163" s="115">
        <f t="shared" si="1166"/>
        <v>1299.25</v>
      </c>
      <c r="AQ163" s="115">
        <f t="shared" si="1166"/>
        <v>685</v>
      </c>
      <c r="AR163" s="115">
        <f t="shared" ref="AR163" si="1167">-(AR125-AQ125)</f>
        <v>-1462.25</v>
      </c>
      <c r="AS163" s="115">
        <f t="shared" ref="AS163:AW163" si="1168">-(AS125-AR125)</f>
        <v>-992.5</v>
      </c>
      <c r="AT163" s="115">
        <f t="shared" si="1168"/>
        <v>-989</v>
      </c>
      <c r="AU163" s="115">
        <f t="shared" si="1168"/>
        <v>48.75</v>
      </c>
      <c r="AV163" s="115">
        <f t="shared" si="1168"/>
        <v>-7190</v>
      </c>
      <c r="AW163" s="185">
        <f t="shared" si="1168"/>
        <v>-9433.75</v>
      </c>
      <c r="AX163" s="115">
        <f t="shared" ref="AX163:BO163" si="1169">-(AX125-AW125)</f>
        <v>18671.208768678298</v>
      </c>
      <c r="AY163" s="185">
        <f t="shared" si="1169"/>
        <v>164.90106056808168</v>
      </c>
      <c r="AZ163" s="115">
        <f t="shared" si="1169"/>
        <v>-542.98800498663672</v>
      </c>
      <c r="BA163" s="115">
        <f t="shared" si="1169"/>
        <v>-107.22844586365818</v>
      </c>
      <c r="BB163" s="115">
        <f t="shared" si="1169"/>
        <v>-248.57319480371052</v>
      </c>
      <c r="BC163" s="115">
        <f t="shared" si="1169"/>
        <v>1489.0519847555652</v>
      </c>
      <c r="BD163" s="115">
        <f t="shared" si="1169"/>
        <v>-1085.8888676323954</v>
      </c>
      <c r="BE163" s="115">
        <f t="shared" si="1169"/>
        <v>286.63319651469783</v>
      </c>
      <c r="BF163" s="115">
        <f t="shared" si="1169"/>
        <v>-1111.3310166984816</v>
      </c>
      <c r="BG163" s="115">
        <f t="shared" si="1169"/>
        <v>-225.91312817472999</v>
      </c>
      <c r="BH163" s="115">
        <f t="shared" si="1169"/>
        <v>-1422.3027162952217</v>
      </c>
      <c r="BI163" s="115">
        <f t="shared" si="1169"/>
        <v>-827.72647500890525</v>
      </c>
      <c r="BJ163" s="115">
        <f t="shared" si="1169"/>
        <v>3039.5152778088168</v>
      </c>
      <c r="BK163" s="185">
        <f t="shared" si="1169"/>
        <v>-1132.1179515647191</v>
      </c>
      <c r="BL163" s="115">
        <f t="shared" si="1169"/>
        <v>-355.09387533043537</v>
      </c>
      <c r="BM163" s="115">
        <f t="shared" si="1169"/>
        <v>-71.483747534401118</v>
      </c>
      <c r="BN163" s="115">
        <f t="shared" si="1169"/>
        <v>-455.14424146863985</v>
      </c>
      <c r="BO163" s="115">
        <f t="shared" si="1169"/>
        <v>2640.5648266738049</v>
      </c>
      <c r="BP163" s="115">
        <f t="shared" ref="BP163:CU163" si="1170">-(BP125-BO125)</f>
        <v>-1536.2211281109903</v>
      </c>
      <c r="BQ163" s="115">
        <f t="shared" si="1170"/>
        <v>485.85363917054974</v>
      </c>
      <c r="BR163" s="115">
        <f t="shared" si="1170"/>
        <v>-1326.9217676944618</v>
      </c>
      <c r="BS163" s="115">
        <f t="shared" si="1170"/>
        <v>-747.98968583308397</v>
      </c>
      <c r="BT163" s="115">
        <f t="shared" si="1170"/>
        <v>-1754.2605592515656</v>
      </c>
      <c r="BU163" s="115">
        <f t="shared" si="1170"/>
        <v>-780.45195011744181</v>
      </c>
      <c r="BV163" s="115">
        <f t="shared" si="1170"/>
        <v>3743.9314493838961</v>
      </c>
      <c r="BW163" s="185">
        <f t="shared" si="1170"/>
        <v>-1406.2076038189857</v>
      </c>
      <c r="BX163" s="115">
        <f t="shared" si="1170"/>
        <v>-510.19831675940532</v>
      </c>
      <c r="BY163" s="115">
        <f t="shared" si="1170"/>
        <v>-428.03887939254673</v>
      </c>
      <c r="BZ163" s="115">
        <f t="shared" si="1170"/>
        <v>-357.31234455354297</v>
      </c>
      <c r="CA163" s="115">
        <f t="shared" si="1170"/>
        <v>4004.3591660109587</v>
      </c>
      <c r="CB163" s="115">
        <f t="shared" si="1170"/>
        <v>-2936.5895461657237</v>
      </c>
      <c r="CC163" s="115">
        <f t="shared" si="1170"/>
        <v>1177.6349988536904</v>
      </c>
      <c r="CD163" s="115">
        <f t="shared" si="1170"/>
        <v>-1604.748104775249</v>
      </c>
      <c r="CE163" s="115">
        <f t="shared" si="1170"/>
        <v>-1716.4120573585933</v>
      </c>
      <c r="CF163" s="115">
        <f t="shared" si="1170"/>
        <v>-1688.9758318563736</v>
      </c>
      <c r="CG163" s="115">
        <f t="shared" si="1170"/>
        <v>-2072.4126736521193</v>
      </c>
      <c r="CH163" s="115">
        <f t="shared" si="1170"/>
        <v>5863.6132478091877</v>
      </c>
      <c r="CI163" s="185">
        <f t="shared" si="1170"/>
        <v>-1332.964759116865</v>
      </c>
      <c r="CJ163" s="115">
        <f t="shared" si="1170"/>
        <v>-2130.5870439979735</v>
      </c>
      <c r="CK163" s="115">
        <f t="shared" si="1170"/>
        <v>643.76530685221405</v>
      </c>
      <c r="CL163" s="115">
        <f t="shared" si="1170"/>
        <v>-518.50141145684393</v>
      </c>
      <c r="CM163" s="115">
        <f t="shared" si="1170"/>
        <v>5046.6758897485743</v>
      </c>
      <c r="CN163" s="115">
        <f t="shared" si="1170"/>
        <v>-3954.5448826411643</v>
      </c>
      <c r="CO163" s="115">
        <f t="shared" si="1170"/>
        <v>1972.4520849022183</v>
      </c>
      <c r="CP163" s="115">
        <f t="shared" si="1170"/>
        <v>-2931.8605548266569</v>
      </c>
      <c r="CQ163" s="115">
        <f t="shared" si="1170"/>
        <v>-1970.7342546204891</v>
      </c>
      <c r="CR163" s="115">
        <f t="shared" si="1170"/>
        <v>-1706.2821846757379</v>
      </c>
      <c r="CS163" s="115">
        <f t="shared" si="1170"/>
        <v>-4304.1336070234429</v>
      </c>
      <c r="CT163" s="115">
        <f t="shared" si="1170"/>
        <v>8932.3893499196201</v>
      </c>
      <c r="CU163" s="185">
        <f t="shared" si="1170"/>
        <v>-1895.0169927780589</v>
      </c>
      <c r="CV163" s="115">
        <f t="shared" ref="CV163:DG163" si="1171">-(CV125-CU125)</f>
        <v>-3013.5884922925798</v>
      </c>
      <c r="CW163" s="115">
        <f t="shared" si="1171"/>
        <v>921.07026458360633</v>
      </c>
      <c r="CX163" s="115">
        <f t="shared" si="1171"/>
        <v>-154.46446535163886</v>
      </c>
      <c r="CY163" s="115">
        <f t="shared" si="1171"/>
        <v>6234.6277868192465</v>
      </c>
      <c r="CZ163" s="115">
        <f t="shared" si="1171"/>
        <v>-5307.5850301809642</v>
      </c>
      <c r="DA163" s="115">
        <f t="shared" si="1171"/>
        <v>3141.2835439695191</v>
      </c>
      <c r="DB163" s="115">
        <f t="shared" si="1171"/>
        <v>-5087.5395737685376</v>
      </c>
      <c r="DC163" s="115">
        <f t="shared" si="1171"/>
        <v>-1518.9225058416596</v>
      </c>
      <c r="DD163" s="115">
        <f t="shared" si="1171"/>
        <v>-3932.6205099018916</v>
      </c>
      <c r="DE163" s="115">
        <f t="shared" si="1171"/>
        <v>-5219.3570521060319</v>
      </c>
      <c r="DF163" s="115">
        <f t="shared" si="1171"/>
        <v>13115.870260727726</v>
      </c>
      <c r="DG163" s="115">
        <f t="shared" si="1171"/>
        <v>-3862.6756457989795</v>
      </c>
    </row>
    <row r="164" spans="1:111" x14ac:dyDescent="0.3">
      <c r="B164" s="1" t="s">
        <v>42</v>
      </c>
      <c r="D164" s="115">
        <v>0</v>
      </c>
      <c r="E164" s="115">
        <v>0</v>
      </c>
      <c r="F164" s="115">
        <v>0</v>
      </c>
      <c r="G164" s="115">
        <v>0</v>
      </c>
      <c r="H164" s="115">
        <v>0</v>
      </c>
      <c r="I164" s="115">
        <v>0</v>
      </c>
      <c r="J164" s="115">
        <f t="shared" ref="J164:O164" si="1172">J147-H147</f>
        <v>0</v>
      </c>
      <c r="K164" s="115">
        <f t="shared" si="1172"/>
        <v>0</v>
      </c>
      <c r="L164" s="115">
        <f t="shared" si="1172"/>
        <v>0</v>
      </c>
      <c r="M164" s="115">
        <f t="shared" si="1172"/>
        <v>0</v>
      </c>
      <c r="N164" s="115">
        <f t="shared" si="1172"/>
        <v>0</v>
      </c>
      <c r="O164" s="115">
        <f t="shared" si="1172"/>
        <v>0</v>
      </c>
      <c r="P164" s="115">
        <f t="shared" ref="P164:AQ164" si="1173">P147-O147-(P132-O132)</f>
        <v>75</v>
      </c>
      <c r="Q164" s="115">
        <f t="shared" si="1173"/>
        <v>0</v>
      </c>
      <c r="R164" s="115">
        <f t="shared" si="1173"/>
        <v>-30.950000000000003</v>
      </c>
      <c r="S164" s="115">
        <f t="shared" si="1173"/>
        <v>-29.049999999999997</v>
      </c>
      <c r="T164" s="115">
        <f t="shared" si="1173"/>
        <v>-101.25</v>
      </c>
      <c r="U164" s="115">
        <f t="shared" si="1173"/>
        <v>311.25</v>
      </c>
      <c r="V164" s="115">
        <f t="shared" si="1173"/>
        <v>75</v>
      </c>
      <c r="W164" s="115">
        <f t="shared" si="1173"/>
        <v>-65</v>
      </c>
      <c r="X164" s="115">
        <f t="shared" si="1173"/>
        <v>-250</v>
      </c>
      <c r="Y164" s="115">
        <f t="shared" si="1173"/>
        <v>90</v>
      </c>
      <c r="Z164" s="115">
        <f t="shared" si="1173"/>
        <v>-97.5</v>
      </c>
      <c r="AA164" s="115">
        <f t="shared" si="1173"/>
        <v>247.5</v>
      </c>
      <c r="AB164" s="115">
        <f t="shared" si="1173"/>
        <v>-210</v>
      </c>
      <c r="AC164" s="115">
        <f t="shared" si="1173"/>
        <v>37.5</v>
      </c>
      <c r="AD164" s="115">
        <f t="shared" si="1173"/>
        <v>-50</v>
      </c>
      <c r="AE164" s="115">
        <f t="shared" si="1173"/>
        <v>237.5</v>
      </c>
      <c r="AF164" s="115">
        <f t="shared" si="1173"/>
        <v>-157.53</v>
      </c>
      <c r="AG164" s="115">
        <f t="shared" si="1173"/>
        <v>779.04</v>
      </c>
      <c r="AH164" s="115">
        <f t="shared" si="1173"/>
        <v>583.3599999999999</v>
      </c>
      <c r="AI164" s="115">
        <f t="shared" si="1173"/>
        <v>-470.25</v>
      </c>
      <c r="AJ164" s="115">
        <f t="shared" si="1173"/>
        <v>175.85000000000014</v>
      </c>
      <c r="AK164" s="115">
        <f t="shared" si="1173"/>
        <v>-471.10000000000014</v>
      </c>
      <c r="AL164" s="115">
        <f t="shared" si="1173"/>
        <v>-326.08999999999992</v>
      </c>
      <c r="AM164" s="513">
        <f t="shared" si="1173"/>
        <v>821.08999999999992</v>
      </c>
      <c r="AN164" s="115">
        <f t="shared" si="1173"/>
        <v>3041.1500000000005</v>
      </c>
      <c r="AO164" s="115">
        <f t="shared" si="1173"/>
        <v>-3043.5900000000006</v>
      </c>
      <c r="AP164" s="115">
        <f t="shared" si="1173"/>
        <v>-293.77</v>
      </c>
      <c r="AQ164" s="115">
        <f t="shared" si="1173"/>
        <v>443</v>
      </c>
      <c r="AR164" s="115">
        <f t="shared" ref="AR164" si="1174">AR147-AQ147-(AR132-AQ132)</f>
        <v>31.019999999999982</v>
      </c>
      <c r="AS164" s="115">
        <f t="shared" ref="AS164:AW164" si="1175">AS147-AR147-(AS132-AR132)</f>
        <v>-1154.9299999999998</v>
      </c>
      <c r="AT164" s="115">
        <f t="shared" si="1175"/>
        <v>834.25</v>
      </c>
      <c r="AU164" s="115">
        <f t="shared" si="1175"/>
        <v>-605.75</v>
      </c>
      <c r="AV164" s="115">
        <f t="shared" si="1175"/>
        <v>-88.25</v>
      </c>
      <c r="AW164" s="185">
        <f t="shared" si="1175"/>
        <v>243.75</v>
      </c>
      <c r="AX164" s="115">
        <f>AX147-AW147-(AX132-AW132)</f>
        <v>-474.25</v>
      </c>
      <c r="AY164" s="185">
        <f t="shared" ref="AY164:CA164" si="1176">AY147-AX147-(AY132-AX132)</f>
        <v>0</v>
      </c>
      <c r="AZ164" s="115">
        <f t="shared" si="1176"/>
        <v>0</v>
      </c>
      <c r="BA164" s="115">
        <f t="shared" si="1176"/>
        <v>0</v>
      </c>
      <c r="BB164" s="115">
        <f t="shared" si="1176"/>
        <v>0</v>
      </c>
      <c r="BC164" s="115">
        <f t="shared" si="1176"/>
        <v>0</v>
      </c>
      <c r="BD164" s="115">
        <f t="shared" si="1176"/>
        <v>0</v>
      </c>
      <c r="BE164" s="115">
        <f t="shared" si="1176"/>
        <v>0</v>
      </c>
      <c r="BF164" s="115">
        <f t="shared" si="1176"/>
        <v>0</v>
      </c>
      <c r="BG164" s="115">
        <f t="shared" si="1176"/>
        <v>0</v>
      </c>
      <c r="BH164" s="115">
        <f t="shared" si="1176"/>
        <v>0</v>
      </c>
      <c r="BI164" s="115">
        <f t="shared" si="1176"/>
        <v>0</v>
      </c>
      <c r="BJ164" s="115">
        <f t="shared" si="1176"/>
        <v>0</v>
      </c>
      <c r="BK164" s="185">
        <f t="shared" si="1176"/>
        <v>0</v>
      </c>
      <c r="BL164" s="115">
        <f t="shared" si="1176"/>
        <v>0</v>
      </c>
      <c r="BM164" s="115">
        <f t="shared" si="1176"/>
        <v>0</v>
      </c>
      <c r="BN164" s="115">
        <f t="shared" si="1176"/>
        <v>0</v>
      </c>
      <c r="BO164" s="115">
        <f t="shared" si="1176"/>
        <v>0</v>
      </c>
      <c r="BP164" s="115">
        <f t="shared" si="1176"/>
        <v>0</v>
      </c>
      <c r="BQ164" s="115">
        <f t="shared" si="1176"/>
        <v>0</v>
      </c>
      <c r="BR164" s="115">
        <f t="shared" si="1176"/>
        <v>0</v>
      </c>
      <c r="BS164" s="115">
        <f t="shared" si="1176"/>
        <v>0</v>
      </c>
      <c r="BT164" s="115">
        <f t="shared" si="1176"/>
        <v>0</v>
      </c>
      <c r="BU164" s="115">
        <f t="shared" si="1176"/>
        <v>0</v>
      </c>
      <c r="BV164" s="115">
        <f t="shared" si="1176"/>
        <v>0</v>
      </c>
      <c r="BW164" s="185">
        <f t="shared" si="1176"/>
        <v>0</v>
      </c>
      <c r="BX164" s="115">
        <f t="shared" si="1176"/>
        <v>0</v>
      </c>
      <c r="BY164" s="115">
        <f t="shared" si="1176"/>
        <v>0</v>
      </c>
      <c r="BZ164" s="115">
        <f t="shared" si="1176"/>
        <v>0</v>
      </c>
      <c r="CA164" s="115">
        <f t="shared" si="1176"/>
        <v>0</v>
      </c>
      <c r="CB164" s="115">
        <f t="shared" ref="CB164:DG164" si="1177">CB147-CA147-(CB132-CA132)</f>
        <v>0</v>
      </c>
      <c r="CC164" s="115">
        <f t="shared" si="1177"/>
        <v>0</v>
      </c>
      <c r="CD164" s="115">
        <f t="shared" si="1177"/>
        <v>0</v>
      </c>
      <c r="CE164" s="115">
        <f t="shared" si="1177"/>
        <v>0</v>
      </c>
      <c r="CF164" s="115">
        <f t="shared" si="1177"/>
        <v>0</v>
      </c>
      <c r="CG164" s="115">
        <f t="shared" si="1177"/>
        <v>0</v>
      </c>
      <c r="CH164" s="115">
        <f t="shared" si="1177"/>
        <v>0</v>
      </c>
      <c r="CI164" s="185">
        <f t="shared" si="1177"/>
        <v>0</v>
      </c>
      <c r="CJ164" s="115">
        <f t="shared" si="1177"/>
        <v>0</v>
      </c>
      <c r="CK164" s="115">
        <f t="shared" si="1177"/>
        <v>0</v>
      </c>
      <c r="CL164" s="115">
        <f t="shared" si="1177"/>
        <v>0</v>
      </c>
      <c r="CM164" s="115">
        <f t="shared" si="1177"/>
        <v>0</v>
      </c>
      <c r="CN164" s="115">
        <f t="shared" si="1177"/>
        <v>0</v>
      </c>
      <c r="CO164" s="115">
        <f t="shared" si="1177"/>
        <v>0</v>
      </c>
      <c r="CP164" s="115">
        <f t="shared" si="1177"/>
        <v>0</v>
      </c>
      <c r="CQ164" s="115">
        <f t="shared" si="1177"/>
        <v>0</v>
      </c>
      <c r="CR164" s="115">
        <f t="shared" si="1177"/>
        <v>0</v>
      </c>
      <c r="CS164" s="115">
        <f t="shared" si="1177"/>
        <v>0</v>
      </c>
      <c r="CT164" s="115">
        <f t="shared" si="1177"/>
        <v>0</v>
      </c>
      <c r="CU164" s="185">
        <f t="shared" si="1177"/>
        <v>0</v>
      </c>
      <c r="CV164" s="115">
        <f t="shared" si="1177"/>
        <v>0</v>
      </c>
      <c r="CW164" s="115">
        <f t="shared" si="1177"/>
        <v>0</v>
      </c>
      <c r="CX164" s="115">
        <f t="shared" si="1177"/>
        <v>0</v>
      </c>
      <c r="CY164" s="115">
        <f t="shared" si="1177"/>
        <v>0</v>
      </c>
      <c r="CZ164" s="115">
        <f t="shared" si="1177"/>
        <v>0</v>
      </c>
      <c r="DA164" s="115">
        <f t="shared" si="1177"/>
        <v>0</v>
      </c>
      <c r="DB164" s="115">
        <f t="shared" si="1177"/>
        <v>0</v>
      </c>
      <c r="DC164" s="115">
        <f t="shared" si="1177"/>
        <v>0</v>
      </c>
      <c r="DD164" s="115">
        <f t="shared" si="1177"/>
        <v>0</v>
      </c>
      <c r="DE164" s="115">
        <f t="shared" si="1177"/>
        <v>0</v>
      </c>
      <c r="DF164" s="115">
        <f t="shared" si="1177"/>
        <v>0</v>
      </c>
      <c r="DG164" s="115">
        <f t="shared" si="1177"/>
        <v>0</v>
      </c>
    </row>
    <row r="165" spans="1:111" s="3" customFormat="1" x14ac:dyDescent="0.3">
      <c r="A165"/>
      <c r="B165" s="4" t="s">
        <v>40</v>
      </c>
      <c r="D165" s="10">
        <f>SUM(D162:D164)</f>
        <v>0</v>
      </c>
      <c r="E165" s="10">
        <f t="shared" ref="E165:BP165" si="1178">SUM(E162:E164)</f>
        <v>0</v>
      </c>
      <c r="F165" s="10">
        <f t="shared" si="1178"/>
        <v>0</v>
      </c>
      <c r="G165" s="10">
        <f t="shared" si="1178"/>
        <v>0</v>
      </c>
      <c r="H165" s="10">
        <f t="shared" si="1178"/>
        <v>0</v>
      </c>
      <c r="I165" s="10">
        <f t="shared" si="1178"/>
        <v>0</v>
      </c>
      <c r="J165" s="10">
        <f t="shared" si="1178"/>
        <v>0</v>
      </c>
      <c r="K165" s="10">
        <f t="shared" si="1178"/>
        <v>0</v>
      </c>
      <c r="L165" s="10">
        <f t="shared" si="1178"/>
        <v>223</v>
      </c>
      <c r="M165" s="10">
        <f t="shared" si="1178"/>
        <v>803.36000000000013</v>
      </c>
      <c r="N165" s="10">
        <f t="shared" si="1178"/>
        <v>3022.8</v>
      </c>
      <c r="O165" s="10">
        <f t="shared" si="1178"/>
        <v>1930.41</v>
      </c>
      <c r="P165" s="10">
        <f>SUM(P162:P164)</f>
        <v>2225.86</v>
      </c>
      <c r="Q165" s="10">
        <f t="shared" si="1178"/>
        <v>1092.99</v>
      </c>
      <c r="R165" s="10">
        <f t="shared" si="1178"/>
        <v>1064.44</v>
      </c>
      <c r="S165" s="10">
        <f t="shared" si="1178"/>
        <v>1543.0300000000002</v>
      </c>
      <c r="T165" s="10">
        <f t="shared" si="1178"/>
        <v>1986.2599999999998</v>
      </c>
      <c r="U165" s="10">
        <f t="shared" si="1178"/>
        <v>1353.3600000000001</v>
      </c>
      <c r="V165" s="10">
        <f t="shared" si="1178"/>
        <v>2597.77</v>
      </c>
      <c r="W165" s="10">
        <f t="shared" si="1178"/>
        <v>6341.72</v>
      </c>
      <c r="X165" s="10">
        <f t="shared" si="1178"/>
        <v>5837.73</v>
      </c>
      <c r="Y165" s="10">
        <f t="shared" si="1178"/>
        <v>7750.9000000000005</v>
      </c>
      <c r="Z165" s="10">
        <f t="shared" si="1178"/>
        <v>4074.1899999999996</v>
      </c>
      <c r="AA165" s="10">
        <f t="shared" ref="AA165:AB165" si="1179">SUM(AA162:AA164)</f>
        <v>1694.53</v>
      </c>
      <c r="AB165" s="10">
        <f t="shared" si="1179"/>
        <v>2194.7600000000002</v>
      </c>
      <c r="AC165" s="10">
        <f t="shared" ref="AC165" si="1180">SUM(AC162:AC164)</f>
        <v>2584.54</v>
      </c>
      <c r="AD165" s="10">
        <f t="shared" si="1178"/>
        <v>2846.4700000000003</v>
      </c>
      <c r="AE165" s="10">
        <f t="shared" si="1178"/>
        <v>1090.1999999999998</v>
      </c>
      <c r="AF165" s="10">
        <f t="shared" si="1178"/>
        <v>4035.1</v>
      </c>
      <c r="AG165" s="10">
        <f t="shared" ref="AG165:AH165" si="1181">SUM(AG162:AG164)</f>
        <v>3087.61</v>
      </c>
      <c r="AH165" s="10">
        <f t="shared" si="1181"/>
        <v>4447.2300000000005</v>
      </c>
      <c r="AI165" s="10">
        <f t="shared" ref="AI165" si="1182">SUM(AI162:AI164)</f>
        <v>9808.6200000000008</v>
      </c>
      <c r="AJ165" s="10">
        <f t="shared" ref="AJ165" si="1183">SUM(AJ162:AJ164)</f>
        <v>7812.42</v>
      </c>
      <c r="AK165" s="10">
        <f t="shared" si="1178"/>
        <v>13692.150000000001</v>
      </c>
      <c r="AL165" s="10">
        <f t="shared" si="1178"/>
        <v>6064.73</v>
      </c>
      <c r="AM165" s="573">
        <f t="shared" ref="AM165" si="1184">SUM(AM162:AM164)</f>
        <v>4030.84</v>
      </c>
      <c r="AN165" s="10">
        <f t="shared" ref="AN165:AO165" si="1185">SUM(AN162:AN164)</f>
        <v>5680.76</v>
      </c>
      <c r="AO165" s="10">
        <f t="shared" si="1185"/>
        <v>-3329.34</v>
      </c>
      <c r="AP165" s="10">
        <f t="shared" ref="AP165:AQ165" si="1186">SUM(AP162:AP164)</f>
        <v>490.94000000000017</v>
      </c>
      <c r="AQ165" s="10">
        <f t="shared" si="1186"/>
        <v>345.34000000000026</v>
      </c>
      <c r="AR165" s="10">
        <f t="shared" ref="AR165" si="1187">SUM(AR162:AR164)</f>
        <v>-27.960000000000036</v>
      </c>
      <c r="AS165" s="10">
        <f t="shared" ref="AS165:AT165" si="1188">SUM(AS162:AS164)</f>
        <v>-152.82999999999993</v>
      </c>
      <c r="AT165" s="10">
        <f t="shared" si="1188"/>
        <v>2907.1100000000006</v>
      </c>
      <c r="AU165" s="10">
        <f t="shared" ref="AU165:AV165" si="1189">SUM(AU162:AU164)</f>
        <v>840.63999999999896</v>
      </c>
      <c r="AV165" s="10">
        <f t="shared" si="1189"/>
        <v>2707.9499999999971</v>
      </c>
      <c r="AW165" s="311">
        <f t="shared" ref="AW165" si="1190">SUM(AW162:AW164)</f>
        <v>4129.6700000000055</v>
      </c>
      <c r="AX165" s="10">
        <f t="shared" ref="AX165" si="1191">SUM(AX162:AX164)</f>
        <v>21409.822830222063</v>
      </c>
      <c r="AY165" s="311">
        <f t="shared" si="1178"/>
        <v>1770.779124428351</v>
      </c>
      <c r="AZ165" s="10">
        <f t="shared" si="1178"/>
        <v>1038.0839741296406</v>
      </c>
      <c r="BA165" s="10">
        <f t="shared" si="1178"/>
        <v>-1368.0579761610657</v>
      </c>
      <c r="BB165" s="10">
        <f t="shared" si="1178"/>
        <v>2791.8013198037502</v>
      </c>
      <c r="BC165" s="10">
        <f t="shared" si="1178"/>
        <v>-3766.6853750248201</v>
      </c>
      <c r="BD165" s="10">
        <f t="shared" si="1178"/>
        <v>-310.648297039515</v>
      </c>
      <c r="BE165" s="10">
        <f t="shared" si="1178"/>
        <v>658.49864303546701</v>
      </c>
      <c r="BF165" s="10">
        <f t="shared" si="1178"/>
        <v>1526.5495881417351</v>
      </c>
      <c r="BG165" s="10">
        <f t="shared" si="1178"/>
        <v>68.703259659331252</v>
      </c>
      <c r="BH165" s="10">
        <f t="shared" si="1178"/>
        <v>2777.5099162926294</v>
      </c>
      <c r="BI165" s="10">
        <f t="shared" si="1178"/>
        <v>9834.1971204153269</v>
      </c>
      <c r="BJ165" s="10">
        <f t="shared" si="1178"/>
        <v>2975.7745997148986</v>
      </c>
      <c r="BK165" s="311">
        <f t="shared" si="1178"/>
        <v>1482.5244087735236</v>
      </c>
      <c r="BL165" s="10">
        <f t="shared" si="1178"/>
        <v>867.75942391745139</v>
      </c>
      <c r="BM165" s="10">
        <f t="shared" si="1178"/>
        <v>-3196.4015527658794</v>
      </c>
      <c r="BN165" s="10">
        <f t="shared" si="1178"/>
        <v>5491.5767210587792</v>
      </c>
      <c r="BO165" s="10">
        <f t="shared" si="1178"/>
        <v>-4908.4720435224117</v>
      </c>
      <c r="BP165" s="10">
        <f t="shared" si="1178"/>
        <v>-646.74903665294005</v>
      </c>
      <c r="BQ165" s="10">
        <f t="shared" ref="BQ165:DG165" si="1192">SUM(BQ162:BQ164)</f>
        <v>230.79251014157717</v>
      </c>
      <c r="BR165" s="10">
        <f t="shared" si="1192"/>
        <v>-32.523756267387398</v>
      </c>
      <c r="BS165" s="10">
        <f t="shared" si="1192"/>
        <v>-983.80885728337398</v>
      </c>
      <c r="BT165" s="10">
        <f t="shared" si="1192"/>
        <v>3678.9838910253666</v>
      </c>
      <c r="BU165" s="10">
        <f t="shared" si="1192"/>
        <v>10887.378312179049</v>
      </c>
      <c r="BV165" s="10">
        <f t="shared" si="1192"/>
        <v>4276.0643893036558</v>
      </c>
      <c r="BW165" s="311">
        <f t="shared" si="1192"/>
        <v>1058.2369411607747</v>
      </c>
      <c r="BX165" s="10">
        <f t="shared" si="1192"/>
        <v>-3938.0388946486391</v>
      </c>
      <c r="BY165" s="10">
        <f t="shared" si="1192"/>
        <v>-9116.8760060790537</v>
      </c>
      <c r="BZ165" s="10">
        <f t="shared" si="1192"/>
        <v>7784.2320115604953</v>
      </c>
      <c r="CA165" s="10">
        <f t="shared" si="1192"/>
        <v>-12246.513759520498</v>
      </c>
      <c r="CB165" s="10">
        <f t="shared" si="1192"/>
        <v>-2549.2837227608888</v>
      </c>
      <c r="CC165" s="10">
        <f t="shared" si="1192"/>
        <v>-2162.6156197346527</v>
      </c>
      <c r="CD165" s="10">
        <f t="shared" si="1192"/>
        <v>-5719.8204855882586</v>
      </c>
      <c r="CE165" s="10">
        <f t="shared" si="1192"/>
        <v>-4741.4479873674536</v>
      </c>
      <c r="CF165" s="10">
        <f t="shared" si="1192"/>
        <v>-1855.2028908190232</v>
      </c>
      <c r="CG165" s="10">
        <f t="shared" si="1192"/>
        <v>11537.230863842475</v>
      </c>
      <c r="CH165" s="10">
        <f t="shared" si="1192"/>
        <v>5537.4808134653449</v>
      </c>
      <c r="CI165" s="311">
        <f t="shared" si="1192"/>
        <v>-7503.2393423756403</v>
      </c>
      <c r="CJ165" s="10">
        <f t="shared" si="1192"/>
        <v>-5151.9693882331376</v>
      </c>
      <c r="CK165" s="10">
        <f t="shared" si="1192"/>
        <v>-13975.499016465632</v>
      </c>
      <c r="CL165" s="10">
        <f t="shared" si="1192"/>
        <v>7530.3357524412386</v>
      </c>
      <c r="CM165" s="10">
        <f t="shared" si="1192"/>
        <v>-18611.663699937879</v>
      </c>
      <c r="CN165" s="10">
        <f t="shared" si="1192"/>
        <v>-3562.7935047108235</v>
      </c>
      <c r="CO165" s="10">
        <f t="shared" si="1192"/>
        <v>-7218.2262139361346</v>
      </c>
      <c r="CP165" s="10">
        <f t="shared" si="1192"/>
        <v>-10002.651161890059</v>
      </c>
      <c r="CQ165" s="10">
        <f t="shared" si="1192"/>
        <v>-7079.738131913633</v>
      </c>
      <c r="CR165" s="10">
        <f t="shared" si="1192"/>
        <v>-9211.645003221538</v>
      </c>
      <c r="CS165" s="10">
        <f t="shared" si="1192"/>
        <v>14304.516922532352</v>
      </c>
      <c r="CT165" s="10">
        <f t="shared" si="1192"/>
        <v>5746.5932718264521</v>
      </c>
      <c r="CU165" s="311">
        <f t="shared" si="1192"/>
        <v>-13612.359945346427</v>
      </c>
      <c r="CV165" s="10">
        <f t="shared" si="1192"/>
        <v>-8233.3046791155175</v>
      </c>
      <c r="CW165" s="10">
        <f t="shared" si="1192"/>
        <v>-18306.765965083228</v>
      </c>
      <c r="CX165" s="10">
        <f t="shared" si="1192"/>
        <v>6088.7978077487587</v>
      </c>
      <c r="CY165" s="10">
        <f t="shared" si="1192"/>
        <v>-26215.580316890293</v>
      </c>
      <c r="CZ165" s="10">
        <f t="shared" si="1192"/>
        <v>-3990.8625839624601</v>
      </c>
      <c r="DA165" s="10">
        <f t="shared" si="1192"/>
        <v>-14088.058378076181</v>
      </c>
      <c r="DB165" s="10">
        <f t="shared" si="1192"/>
        <v>-12439.614924936132</v>
      </c>
      <c r="DC165" s="10">
        <f t="shared" si="1192"/>
        <v>-14756.322524818734</v>
      </c>
      <c r="DD165" s="10">
        <f t="shared" si="1192"/>
        <v>-13329.225576552933</v>
      </c>
      <c r="DE165" s="10">
        <f t="shared" si="1192"/>
        <v>22415.851879975533</v>
      </c>
      <c r="DF165" s="10">
        <f t="shared" si="1192"/>
        <v>3132.5273883117807</v>
      </c>
      <c r="DG165" s="10">
        <f t="shared" si="1192"/>
        <v>47131.287787398542</v>
      </c>
    </row>
    <row r="166" spans="1:111" x14ac:dyDescent="0.3">
      <c r="AW166" s="184"/>
      <c r="AY166" s="184"/>
      <c r="BK166" s="184"/>
      <c r="BW166" s="184"/>
      <c r="CI166" s="184"/>
      <c r="CU166" s="184"/>
    </row>
    <row r="167" spans="1:111" x14ac:dyDescent="0.3">
      <c r="AW167" s="184"/>
      <c r="AY167" s="184"/>
      <c r="BK167" s="184"/>
      <c r="BW167" s="184"/>
      <c r="CI167" s="184"/>
      <c r="CU167" s="184"/>
    </row>
    <row r="168" spans="1:111" x14ac:dyDescent="0.3">
      <c r="B168" s="1" t="s">
        <v>43</v>
      </c>
      <c r="E168" s="115">
        <f t="shared" ref="E168:J168" si="1193">SUM(E149:E151)-SUM(D149:D151)</f>
        <v>0</v>
      </c>
      <c r="F168" s="115">
        <f t="shared" si="1193"/>
        <v>0</v>
      </c>
      <c r="G168" s="115">
        <f t="shared" si="1193"/>
        <v>0</v>
      </c>
      <c r="H168" s="115">
        <f t="shared" si="1193"/>
        <v>0</v>
      </c>
      <c r="I168" s="115">
        <f t="shared" si="1193"/>
        <v>0</v>
      </c>
      <c r="J168" s="115">
        <f t="shared" si="1193"/>
        <v>0</v>
      </c>
      <c r="K168" s="115">
        <f t="shared" ref="K168:AP168" si="1194">SUM(K149:K150)-SUM(J149:J150)</f>
        <v>255</v>
      </c>
      <c r="L168" s="115">
        <f t="shared" si="1194"/>
        <v>0</v>
      </c>
      <c r="M168" s="115">
        <f t="shared" si="1194"/>
        <v>-261</v>
      </c>
      <c r="N168" s="115">
        <f t="shared" si="1194"/>
        <v>-3180.76</v>
      </c>
      <c r="O168" s="115">
        <f t="shared" si="1194"/>
        <v>-2848.71</v>
      </c>
      <c r="P168" s="115">
        <f t="shared" si="1194"/>
        <v>-1999.9999999999991</v>
      </c>
      <c r="Q168" s="115">
        <f t="shared" si="1194"/>
        <v>-1050</v>
      </c>
      <c r="R168" s="115">
        <f t="shared" si="1194"/>
        <v>-1150</v>
      </c>
      <c r="S168" s="115">
        <f t="shared" si="1194"/>
        <v>-1275</v>
      </c>
      <c r="T168" s="115">
        <f t="shared" si="1194"/>
        <v>-2081.4699999999993</v>
      </c>
      <c r="U168" s="115">
        <f t="shared" si="1194"/>
        <v>-1220</v>
      </c>
      <c r="V168" s="115">
        <f t="shared" si="1194"/>
        <v>-2464.6100000000042</v>
      </c>
      <c r="W168" s="115">
        <f t="shared" si="1194"/>
        <v>-6405</v>
      </c>
      <c r="X168" s="115">
        <f t="shared" si="1194"/>
        <v>-5600</v>
      </c>
      <c r="Y168" s="115">
        <f t="shared" si="1194"/>
        <v>-7838.7799999999988</v>
      </c>
      <c r="Z168" s="115">
        <f t="shared" si="1194"/>
        <v>-4000</v>
      </c>
      <c r="AA168" s="115">
        <f t="shared" si="1194"/>
        <v>-1425</v>
      </c>
      <c r="AB168" s="115">
        <f t="shared" si="1194"/>
        <v>-1900</v>
      </c>
      <c r="AC168" s="115">
        <f t="shared" si="1194"/>
        <v>-3325</v>
      </c>
      <c r="AD168" s="115">
        <f t="shared" si="1194"/>
        <v>-3220</v>
      </c>
      <c r="AE168" s="115">
        <f t="shared" si="1194"/>
        <v>75</v>
      </c>
      <c r="AF168" s="115">
        <f t="shared" si="1194"/>
        <v>-4100</v>
      </c>
      <c r="AG168" s="115">
        <f t="shared" si="1194"/>
        <v>-2750</v>
      </c>
      <c r="AH168" s="115">
        <f t="shared" si="1194"/>
        <v>-2903.9499999999971</v>
      </c>
      <c r="AI168" s="115">
        <f t="shared" si="1194"/>
        <v>-9775</v>
      </c>
      <c r="AJ168" s="115">
        <f t="shared" si="1194"/>
        <v>-6767.5</v>
      </c>
      <c r="AK168" s="115">
        <f t="shared" si="1194"/>
        <v>-12500</v>
      </c>
      <c r="AL168" s="115">
        <f t="shared" si="1194"/>
        <v>-7780</v>
      </c>
      <c r="AM168" s="513">
        <f t="shared" si="1194"/>
        <v>-7452.4100000000035</v>
      </c>
      <c r="AN168" s="115">
        <f t="shared" si="1194"/>
        <v>-2150</v>
      </c>
      <c r="AO168" s="115">
        <f t="shared" si="1194"/>
        <v>0</v>
      </c>
      <c r="AP168" s="115">
        <f t="shared" si="1194"/>
        <v>0</v>
      </c>
      <c r="AQ168" s="115">
        <f>SUM(AQ149:AQ150)-SUM(AP149:AP150)-SUM(AP152:AP153)+SUM(AQ152:AQ153)</f>
        <v>1</v>
      </c>
      <c r="AR168" s="115">
        <f>SUM(AR149:AR150)-SUM(AQ149:AQ150)-SUM(AQ152:AQ153)+SUM(AR152:AR153)</f>
        <v>-746.48999999999069</v>
      </c>
      <c r="AS168" s="115">
        <f t="shared" ref="AS168:DC168" si="1195">SUM(AS149:AS150)-SUM(AR149:AR150)-SUM(AR152:AR153)+SUM(AS152:AS153)</f>
        <v>655.24999999999272</v>
      </c>
      <c r="AT168" s="115">
        <f t="shared" si="1195"/>
        <v>-807.77999999999884</v>
      </c>
      <c r="AU168" s="115">
        <f t="shared" si="1195"/>
        <v>0</v>
      </c>
      <c r="AV168" s="115">
        <f t="shared" si="1195"/>
        <v>-574.22000000000116</v>
      </c>
      <c r="AW168" s="185">
        <f t="shared" si="1195"/>
        <v>0</v>
      </c>
      <c r="AX168" s="115">
        <f t="shared" si="1195"/>
        <v>0</v>
      </c>
      <c r="AY168" s="185">
        <f t="shared" si="1195"/>
        <v>0</v>
      </c>
      <c r="AZ168" s="115">
        <f t="shared" si="1195"/>
        <v>0</v>
      </c>
      <c r="BA168" s="115">
        <f t="shared" si="1195"/>
        <v>0</v>
      </c>
      <c r="BB168" s="115">
        <f t="shared" si="1195"/>
        <v>0</v>
      </c>
      <c r="BC168" s="115">
        <f t="shared" si="1195"/>
        <v>0</v>
      </c>
      <c r="BD168" s="115">
        <f t="shared" si="1195"/>
        <v>0</v>
      </c>
      <c r="BE168" s="115">
        <f t="shared" si="1195"/>
        <v>0</v>
      </c>
      <c r="BF168" s="115">
        <f t="shared" si="1195"/>
        <v>0</v>
      </c>
      <c r="BG168" s="115">
        <f t="shared" si="1195"/>
        <v>0</v>
      </c>
      <c r="BH168" s="115">
        <f t="shared" si="1195"/>
        <v>0</v>
      </c>
      <c r="BI168" s="115">
        <f t="shared" si="1195"/>
        <v>0</v>
      </c>
      <c r="BJ168" s="115">
        <f t="shared" si="1195"/>
        <v>0</v>
      </c>
      <c r="BK168" s="185">
        <f t="shared" si="1195"/>
        <v>0</v>
      </c>
      <c r="BL168" s="115">
        <f t="shared" si="1195"/>
        <v>0</v>
      </c>
      <c r="BM168" s="115">
        <f t="shared" si="1195"/>
        <v>0</v>
      </c>
      <c r="BN168" s="115">
        <f t="shared" si="1195"/>
        <v>0</v>
      </c>
      <c r="BO168" s="115">
        <f t="shared" si="1195"/>
        <v>0</v>
      </c>
      <c r="BP168" s="115">
        <f t="shared" si="1195"/>
        <v>0</v>
      </c>
      <c r="BQ168" s="115">
        <f t="shared" si="1195"/>
        <v>0</v>
      </c>
      <c r="BR168" s="115">
        <f t="shared" si="1195"/>
        <v>0</v>
      </c>
      <c r="BS168" s="115">
        <f t="shared" si="1195"/>
        <v>0</v>
      </c>
      <c r="BT168" s="115">
        <f t="shared" si="1195"/>
        <v>0</v>
      </c>
      <c r="BU168" s="115">
        <f t="shared" si="1195"/>
        <v>0</v>
      </c>
      <c r="BV168" s="115">
        <f t="shared" si="1195"/>
        <v>0</v>
      </c>
      <c r="BW168" s="185">
        <f t="shared" si="1195"/>
        <v>0</v>
      </c>
      <c r="BX168" s="115">
        <f t="shared" si="1195"/>
        <v>0</v>
      </c>
      <c r="BY168" s="115">
        <f t="shared" si="1195"/>
        <v>0</v>
      </c>
      <c r="BZ168" s="115">
        <f t="shared" si="1195"/>
        <v>0</v>
      </c>
      <c r="CA168" s="115">
        <f t="shared" si="1195"/>
        <v>0</v>
      </c>
      <c r="CB168" s="115">
        <f t="shared" si="1195"/>
        <v>0</v>
      </c>
      <c r="CC168" s="115">
        <f t="shared" si="1195"/>
        <v>0</v>
      </c>
      <c r="CD168" s="115">
        <f t="shared" si="1195"/>
        <v>0</v>
      </c>
      <c r="CE168" s="115">
        <f t="shared" si="1195"/>
        <v>0</v>
      </c>
      <c r="CF168" s="115">
        <f t="shared" si="1195"/>
        <v>0</v>
      </c>
      <c r="CG168" s="115">
        <f t="shared" si="1195"/>
        <v>0</v>
      </c>
      <c r="CH168" s="115">
        <f t="shared" si="1195"/>
        <v>0</v>
      </c>
      <c r="CI168" s="185">
        <f t="shared" si="1195"/>
        <v>0</v>
      </c>
      <c r="CJ168" s="115">
        <f t="shared" si="1195"/>
        <v>0</v>
      </c>
      <c r="CK168" s="115">
        <f t="shared" si="1195"/>
        <v>0</v>
      </c>
      <c r="CL168" s="115">
        <f t="shared" si="1195"/>
        <v>0</v>
      </c>
      <c r="CM168" s="115">
        <f t="shared" si="1195"/>
        <v>0</v>
      </c>
      <c r="CN168" s="115">
        <f t="shared" si="1195"/>
        <v>0</v>
      </c>
      <c r="CO168" s="115">
        <f t="shared" si="1195"/>
        <v>0</v>
      </c>
      <c r="CP168" s="115">
        <f t="shared" si="1195"/>
        <v>0</v>
      </c>
      <c r="CQ168" s="115">
        <f t="shared" si="1195"/>
        <v>0</v>
      </c>
      <c r="CR168" s="115">
        <f t="shared" si="1195"/>
        <v>0</v>
      </c>
      <c r="CS168" s="115">
        <f t="shared" si="1195"/>
        <v>0</v>
      </c>
      <c r="CT168" s="115">
        <f t="shared" si="1195"/>
        <v>0</v>
      </c>
      <c r="CU168" s="185">
        <f t="shared" si="1195"/>
        <v>0</v>
      </c>
      <c r="CV168" s="115">
        <f t="shared" si="1195"/>
        <v>0</v>
      </c>
      <c r="CW168" s="115">
        <f t="shared" si="1195"/>
        <v>0</v>
      </c>
      <c r="CX168" s="115">
        <f t="shared" si="1195"/>
        <v>0</v>
      </c>
      <c r="CY168" s="115">
        <f t="shared" si="1195"/>
        <v>0</v>
      </c>
      <c r="CZ168" s="115">
        <f t="shared" si="1195"/>
        <v>0</v>
      </c>
      <c r="DA168" s="115">
        <f t="shared" si="1195"/>
        <v>0</v>
      </c>
      <c r="DB168" s="115">
        <f t="shared" si="1195"/>
        <v>0</v>
      </c>
      <c r="DC168" s="115">
        <f t="shared" si="1195"/>
        <v>0</v>
      </c>
      <c r="DD168" s="115">
        <f t="shared" ref="DD168:DG168" si="1196">SUM(DD149:DD150)-SUM(DC149:DC150)-SUM(DC152:DC153)+SUM(DD152:DD153)</f>
        <v>0</v>
      </c>
      <c r="DE168" s="115">
        <f t="shared" si="1196"/>
        <v>0</v>
      </c>
      <c r="DF168" s="115">
        <f t="shared" si="1196"/>
        <v>0</v>
      </c>
      <c r="DG168" s="115">
        <f t="shared" si="1196"/>
        <v>0</v>
      </c>
    </row>
    <row r="169" spans="1:111" x14ac:dyDescent="0.3">
      <c r="A169" s="3"/>
      <c r="B169" s="4" t="s">
        <v>44</v>
      </c>
      <c r="C169" s="3"/>
      <c r="D169" s="10">
        <v>0</v>
      </c>
      <c r="E169" s="10">
        <f>E168</f>
        <v>0</v>
      </c>
      <c r="F169" s="10">
        <f t="shared" ref="F169:BQ169" si="1197">F168</f>
        <v>0</v>
      </c>
      <c r="G169" s="10">
        <f t="shared" si="1197"/>
        <v>0</v>
      </c>
      <c r="H169" s="10">
        <f t="shared" si="1197"/>
        <v>0</v>
      </c>
      <c r="I169" s="10">
        <f t="shared" si="1197"/>
        <v>0</v>
      </c>
      <c r="J169" s="10">
        <f t="shared" si="1197"/>
        <v>0</v>
      </c>
      <c r="K169" s="10">
        <f t="shared" si="1197"/>
        <v>255</v>
      </c>
      <c r="L169" s="10">
        <f t="shared" si="1197"/>
        <v>0</v>
      </c>
      <c r="M169" s="10">
        <f t="shared" si="1197"/>
        <v>-261</v>
      </c>
      <c r="N169" s="10">
        <f t="shared" si="1197"/>
        <v>-3180.76</v>
      </c>
      <c r="O169" s="10">
        <f t="shared" si="1197"/>
        <v>-2848.71</v>
      </c>
      <c r="P169" s="10">
        <f>P168</f>
        <v>-1999.9999999999991</v>
      </c>
      <c r="Q169" s="10">
        <f t="shared" si="1197"/>
        <v>-1050</v>
      </c>
      <c r="R169" s="10">
        <f t="shared" si="1197"/>
        <v>-1150</v>
      </c>
      <c r="S169" s="10">
        <f t="shared" si="1197"/>
        <v>-1275</v>
      </c>
      <c r="T169" s="10">
        <f t="shared" si="1197"/>
        <v>-2081.4699999999993</v>
      </c>
      <c r="U169" s="10">
        <f t="shared" si="1197"/>
        <v>-1220</v>
      </c>
      <c r="V169" s="10">
        <f t="shared" si="1197"/>
        <v>-2464.6100000000042</v>
      </c>
      <c r="W169" s="10">
        <f t="shared" si="1197"/>
        <v>-6405</v>
      </c>
      <c r="X169" s="10">
        <f t="shared" si="1197"/>
        <v>-5600</v>
      </c>
      <c r="Y169" s="10">
        <f t="shared" si="1197"/>
        <v>-7838.7799999999988</v>
      </c>
      <c r="Z169" s="10">
        <f t="shared" si="1197"/>
        <v>-4000</v>
      </c>
      <c r="AA169" s="10">
        <f t="shared" ref="AA169:AB169" si="1198">AA168</f>
        <v>-1425</v>
      </c>
      <c r="AB169" s="10">
        <f t="shared" si="1198"/>
        <v>-1900</v>
      </c>
      <c r="AC169" s="10">
        <f t="shared" ref="AC169" si="1199">AC168</f>
        <v>-3325</v>
      </c>
      <c r="AD169" s="10">
        <f t="shared" si="1197"/>
        <v>-3220</v>
      </c>
      <c r="AE169" s="10">
        <f t="shared" si="1197"/>
        <v>75</v>
      </c>
      <c r="AF169" s="10">
        <f t="shared" si="1197"/>
        <v>-4100</v>
      </c>
      <c r="AG169" s="10">
        <f t="shared" ref="AG169:AH169" si="1200">AG168</f>
        <v>-2750</v>
      </c>
      <c r="AH169" s="10">
        <f t="shared" si="1200"/>
        <v>-2903.9499999999971</v>
      </c>
      <c r="AI169" s="10">
        <f t="shared" ref="AI169" si="1201">AI168</f>
        <v>-9775</v>
      </c>
      <c r="AJ169" s="10">
        <f t="shared" ref="AJ169" si="1202">AJ168</f>
        <v>-6767.5</v>
      </c>
      <c r="AK169" s="10">
        <f t="shared" si="1197"/>
        <v>-12500</v>
      </c>
      <c r="AL169" s="10">
        <f t="shared" si="1197"/>
        <v>-7780</v>
      </c>
      <c r="AM169" s="573">
        <f t="shared" ref="AM169" si="1203">AM168</f>
        <v>-7452.4100000000035</v>
      </c>
      <c r="AN169" s="10">
        <f t="shared" ref="AN169:AO169" si="1204">AN168</f>
        <v>-2150</v>
      </c>
      <c r="AO169" s="10">
        <f t="shared" si="1204"/>
        <v>0</v>
      </c>
      <c r="AP169" s="10">
        <f t="shared" ref="AP169:AQ169" si="1205">AP168</f>
        <v>0</v>
      </c>
      <c r="AQ169" s="10">
        <f t="shared" si="1205"/>
        <v>1</v>
      </c>
      <c r="AR169" s="10">
        <f t="shared" ref="AR169" si="1206">AR168</f>
        <v>-746.48999999999069</v>
      </c>
      <c r="AS169" s="10">
        <f t="shared" ref="AS169:AT169" si="1207">AS168</f>
        <v>655.24999999999272</v>
      </c>
      <c r="AT169" s="10">
        <f t="shared" si="1207"/>
        <v>-807.77999999999884</v>
      </c>
      <c r="AU169" s="10">
        <f t="shared" ref="AU169:AV169" si="1208">AU168</f>
        <v>0</v>
      </c>
      <c r="AV169" s="10">
        <f t="shared" si="1208"/>
        <v>-574.22000000000116</v>
      </c>
      <c r="AW169" s="311">
        <f t="shared" ref="AW169" si="1209">AW168</f>
        <v>0</v>
      </c>
      <c r="AX169" s="10">
        <f t="shared" ref="AX169" si="1210">AX168</f>
        <v>0</v>
      </c>
      <c r="AY169" s="311">
        <f t="shared" si="1197"/>
        <v>0</v>
      </c>
      <c r="AZ169" s="10">
        <f t="shared" si="1197"/>
        <v>0</v>
      </c>
      <c r="BA169" s="10">
        <f t="shared" si="1197"/>
        <v>0</v>
      </c>
      <c r="BB169" s="10">
        <f t="shared" si="1197"/>
        <v>0</v>
      </c>
      <c r="BC169" s="10">
        <f t="shared" si="1197"/>
        <v>0</v>
      </c>
      <c r="BD169" s="10">
        <f t="shared" si="1197"/>
        <v>0</v>
      </c>
      <c r="BE169" s="10">
        <f t="shared" si="1197"/>
        <v>0</v>
      </c>
      <c r="BF169" s="10">
        <f t="shared" si="1197"/>
        <v>0</v>
      </c>
      <c r="BG169" s="10">
        <f t="shared" si="1197"/>
        <v>0</v>
      </c>
      <c r="BH169" s="10">
        <f t="shared" si="1197"/>
        <v>0</v>
      </c>
      <c r="BI169" s="10">
        <f t="shared" si="1197"/>
        <v>0</v>
      </c>
      <c r="BJ169" s="10">
        <f t="shared" si="1197"/>
        <v>0</v>
      </c>
      <c r="BK169" s="311">
        <f t="shared" si="1197"/>
        <v>0</v>
      </c>
      <c r="BL169" s="10">
        <f t="shared" si="1197"/>
        <v>0</v>
      </c>
      <c r="BM169" s="10">
        <f t="shared" si="1197"/>
        <v>0</v>
      </c>
      <c r="BN169" s="10">
        <f t="shared" si="1197"/>
        <v>0</v>
      </c>
      <c r="BO169" s="10">
        <f t="shared" si="1197"/>
        <v>0</v>
      </c>
      <c r="BP169" s="10">
        <f t="shared" si="1197"/>
        <v>0</v>
      </c>
      <c r="BQ169" s="10">
        <f t="shared" si="1197"/>
        <v>0</v>
      </c>
      <c r="BR169" s="10">
        <f t="shared" ref="BR169:DG169" si="1211">BR168</f>
        <v>0</v>
      </c>
      <c r="BS169" s="10">
        <f t="shared" si="1211"/>
        <v>0</v>
      </c>
      <c r="BT169" s="10">
        <f t="shared" si="1211"/>
        <v>0</v>
      </c>
      <c r="BU169" s="10">
        <f t="shared" si="1211"/>
        <v>0</v>
      </c>
      <c r="BV169" s="10">
        <f t="shared" si="1211"/>
        <v>0</v>
      </c>
      <c r="BW169" s="311">
        <f t="shared" si="1211"/>
        <v>0</v>
      </c>
      <c r="BX169" s="10">
        <f t="shared" si="1211"/>
        <v>0</v>
      </c>
      <c r="BY169" s="10">
        <f t="shared" si="1211"/>
        <v>0</v>
      </c>
      <c r="BZ169" s="10">
        <f t="shared" si="1211"/>
        <v>0</v>
      </c>
      <c r="CA169" s="10">
        <f t="shared" si="1211"/>
        <v>0</v>
      </c>
      <c r="CB169" s="10">
        <f t="shared" si="1211"/>
        <v>0</v>
      </c>
      <c r="CC169" s="10">
        <f t="shared" si="1211"/>
        <v>0</v>
      </c>
      <c r="CD169" s="10">
        <f t="shared" si="1211"/>
        <v>0</v>
      </c>
      <c r="CE169" s="10">
        <f t="shared" si="1211"/>
        <v>0</v>
      </c>
      <c r="CF169" s="10">
        <f t="shared" si="1211"/>
        <v>0</v>
      </c>
      <c r="CG169" s="10">
        <f t="shared" si="1211"/>
        <v>0</v>
      </c>
      <c r="CH169" s="10">
        <f t="shared" si="1211"/>
        <v>0</v>
      </c>
      <c r="CI169" s="311">
        <f t="shared" si="1211"/>
        <v>0</v>
      </c>
      <c r="CJ169" s="10">
        <f t="shared" si="1211"/>
        <v>0</v>
      </c>
      <c r="CK169" s="10">
        <f t="shared" si="1211"/>
        <v>0</v>
      </c>
      <c r="CL169" s="10">
        <f t="shared" si="1211"/>
        <v>0</v>
      </c>
      <c r="CM169" s="10">
        <f t="shared" si="1211"/>
        <v>0</v>
      </c>
      <c r="CN169" s="10">
        <f t="shared" si="1211"/>
        <v>0</v>
      </c>
      <c r="CO169" s="10">
        <f t="shared" si="1211"/>
        <v>0</v>
      </c>
      <c r="CP169" s="10">
        <f t="shared" si="1211"/>
        <v>0</v>
      </c>
      <c r="CQ169" s="10">
        <f t="shared" si="1211"/>
        <v>0</v>
      </c>
      <c r="CR169" s="10">
        <f t="shared" si="1211"/>
        <v>0</v>
      </c>
      <c r="CS169" s="10">
        <f t="shared" si="1211"/>
        <v>0</v>
      </c>
      <c r="CT169" s="10">
        <f t="shared" si="1211"/>
        <v>0</v>
      </c>
      <c r="CU169" s="311">
        <f t="shared" si="1211"/>
        <v>0</v>
      </c>
      <c r="CV169" s="10">
        <f t="shared" si="1211"/>
        <v>0</v>
      </c>
      <c r="CW169" s="10">
        <f t="shared" si="1211"/>
        <v>0</v>
      </c>
      <c r="CX169" s="10">
        <f t="shared" si="1211"/>
        <v>0</v>
      </c>
      <c r="CY169" s="10">
        <f t="shared" si="1211"/>
        <v>0</v>
      </c>
      <c r="CZ169" s="10">
        <f t="shared" si="1211"/>
        <v>0</v>
      </c>
      <c r="DA169" s="10">
        <f t="shared" si="1211"/>
        <v>0</v>
      </c>
      <c r="DB169" s="10">
        <f t="shared" si="1211"/>
        <v>0</v>
      </c>
      <c r="DC169" s="10">
        <f t="shared" si="1211"/>
        <v>0</v>
      </c>
      <c r="DD169" s="10">
        <f t="shared" si="1211"/>
        <v>0</v>
      </c>
      <c r="DE169" s="10">
        <f t="shared" si="1211"/>
        <v>0</v>
      </c>
      <c r="DF169" s="10">
        <f t="shared" si="1211"/>
        <v>0</v>
      </c>
      <c r="DG169" s="10">
        <f t="shared" si="1211"/>
        <v>0</v>
      </c>
    </row>
    <row r="170" spans="1:111" x14ac:dyDescent="0.3">
      <c r="AW170" s="184"/>
      <c r="AY170" s="184"/>
      <c r="BK170" s="184"/>
      <c r="BW170" s="184"/>
      <c r="CI170" s="184"/>
      <c r="CU170" s="184"/>
    </row>
    <row r="171" spans="1:111" x14ac:dyDescent="0.3">
      <c r="B171" s="1" t="s">
        <v>45</v>
      </c>
      <c r="D171" s="9">
        <f>D169+D165</f>
        <v>0</v>
      </c>
      <c r="E171" s="9">
        <f t="shared" ref="E171:BP171" si="1212">E169+E165</f>
        <v>0</v>
      </c>
      <c r="F171" s="9">
        <f t="shared" si="1212"/>
        <v>0</v>
      </c>
      <c r="G171" s="9">
        <f t="shared" si="1212"/>
        <v>0</v>
      </c>
      <c r="H171" s="9">
        <f t="shared" si="1212"/>
        <v>0</v>
      </c>
      <c r="I171" s="9">
        <f t="shared" si="1212"/>
        <v>0</v>
      </c>
      <c r="J171" s="9">
        <f t="shared" si="1212"/>
        <v>0</v>
      </c>
      <c r="K171" s="9">
        <f>K169+K165</f>
        <v>255</v>
      </c>
      <c r="L171" s="9">
        <f t="shared" si="1212"/>
        <v>223</v>
      </c>
      <c r="M171" s="9">
        <f t="shared" si="1212"/>
        <v>542.36000000000013</v>
      </c>
      <c r="N171" s="9">
        <f t="shared" si="1212"/>
        <v>-157.96000000000004</v>
      </c>
      <c r="O171" s="9">
        <f t="shared" si="1212"/>
        <v>-918.3</v>
      </c>
      <c r="P171" s="9">
        <f t="shared" si="1212"/>
        <v>225.86000000000104</v>
      </c>
      <c r="Q171" s="9">
        <f t="shared" si="1212"/>
        <v>42.990000000000009</v>
      </c>
      <c r="R171" s="9">
        <f t="shared" si="1212"/>
        <v>-85.559999999999945</v>
      </c>
      <c r="S171" s="9">
        <f t="shared" si="1212"/>
        <v>268.0300000000002</v>
      </c>
      <c r="T171" s="9">
        <f t="shared" si="1212"/>
        <v>-95.209999999999582</v>
      </c>
      <c r="U171" s="9">
        <f t="shared" si="1212"/>
        <v>133.36000000000013</v>
      </c>
      <c r="V171" s="9">
        <f t="shared" si="1212"/>
        <v>133.15999999999576</v>
      </c>
      <c r="W171" s="9">
        <f t="shared" si="1212"/>
        <v>-63.279999999999745</v>
      </c>
      <c r="X171" s="9">
        <f t="shared" si="1212"/>
        <v>237.72999999999956</v>
      </c>
      <c r="Y171" s="9">
        <f t="shared" si="1212"/>
        <v>-87.87999999999829</v>
      </c>
      <c r="Z171" s="9">
        <f t="shared" si="1212"/>
        <v>74.1899999999996</v>
      </c>
      <c r="AA171" s="9">
        <f t="shared" ref="AA171:AB171" si="1213">AA169+AA165</f>
        <v>269.52999999999997</v>
      </c>
      <c r="AB171" s="9">
        <f t="shared" si="1213"/>
        <v>294.76000000000022</v>
      </c>
      <c r="AC171" s="9">
        <f t="shared" ref="AC171" si="1214">AC169+AC165</f>
        <v>-740.46</v>
      </c>
      <c r="AD171" s="9">
        <f t="shared" si="1212"/>
        <v>-373.52999999999975</v>
      </c>
      <c r="AE171" s="9">
        <f t="shared" si="1212"/>
        <v>1165.1999999999998</v>
      </c>
      <c r="AF171" s="9">
        <f t="shared" si="1212"/>
        <v>-64.900000000000091</v>
      </c>
      <c r="AG171" s="9">
        <f t="shared" ref="AG171:AH171" si="1215">AG169+AG165</f>
        <v>337.61000000000013</v>
      </c>
      <c r="AH171" s="9">
        <f t="shared" si="1215"/>
        <v>1543.2800000000034</v>
      </c>
      <c r="AI171" s="9">
        <f t="shared" ref="AI171" si="1216">AI169+AI165</f>
        <v>33.6200000000008</v>
      </c>
      <c r="AJ171" s="9">
        <f t="shared" ref="AJ171" si="1217">AJ169+AJ165</f>
        <v>1044.92</v>
      </c>
      <c r="AK171" s="9">
        <f t="shared" si="1212"/>
        <v>1192.1500000000015</v>
      </c>
      <c r="AL171" s="9">
        <f t="shared" si="1212"/>
        <v>-1715.2700000000004</v>
      </c>
      <c r="AM171" s="574">
        <f t="shared" ref="AM171" si="1218">AM169+AM165</f>
        <v>-3421.5700000000033</v>
      </c>
      <c r="AN171" s="9">
        <f t="shared" ref="AN171:AO171" si="1219">AN169+AN165</f>
        <v>3530.76</v>
      </c>
      <c r="AO171" s="9">
        <f t="shared" si="1219"/>
        <v>-3329.34</v>
      </c>
      <c r="AP171" s="9">
        <f t="shared" ref="AP171:AQ171" si="1220">AP169+AP165</f>
        <v>490.94000000000017</v>
      </c>
      <c r="AQ171" s="9">
        <f t="shared" si="1220"/>
        <v>346.34000000000026</v>
      </c>
      <c r="AR171" s="9">
        <f t="shared" ref="AR171" si="1221">AR169+AR165</f>
        <v>-774.44999999999072</v>
      </c>
      <c r="AS171" s="9">
        <f t="shared" ref="AS171:AT171" si="1222">AS169+AS165</f>
        <v>502.4199999999928</v>
      </c>
      <c r="AT171" s="9">
        <f t="shared" si="1222"/>
        <v>2099.3300000000017</v>
      </c>
      <c r="AU171" s="9">
        <f t="shared" ref="AU171:AV171" si="1223">AU169+AU165</f>
        <v>840.63999999999896</v>
      </c>
      <c r="AV171" s="9">
        <f t="shared" si="1223"/>
        <v>2133.7299999999959</v>
      </c>
      <c r="AW171" s="312">
        <f t="shared" ref="AW171" si="1224">AW169+AW165</f>
        <v>4129.6700000000055</v>
      </c>
      <c r="AX171" s="9">
        <f t="shared" ref="AX171" si="1225">AX169+AX165</f>
        <v>21409.822830222063</v>
      </c>
      <c r="AY171" s="312">
        <f t="shared" si="1212"/>
        <v>1770.779124428351</v>
      </c>
      <c r="AZ171" s="9">
        <f t="shared" si="1212"/>
        <v>1038.0839741296406</v>
      </c>
      <c r="BA171" s="9">
        <f t="shared" si="1212"/>
        <v>-1368.0579761610657</v>
      </c>
      <c r="BB171" s="9">
        <f t="shared" si="1212"/>
        <v>2791.8013198037502</v>
      </c>
      <c r="BC171" s="9">
        <f t="shared" si="1212"/>
        <v>-3766.6853750248201</v>
      </c>
      <c r="BD171" s="9">
        <f t="shared" si="1212"/>
        <v>-310.648297039515</v>
      </c>
      <c r="BE171" s="9">
        <f t="shared" si="1212"/>
        <v>658.49864303546701</v>
      </c>
      <c r="BF171" s="9">
        <f t="shared" si="1212"/>
        <v>1526.5495881417351</v>
      </c>
      <c r="BG171" s="9">
        <f t="shared" si="1212"/>
        <v>68.703259659331252</v>
      </c>
      <c r="BH171" s="9">
        <f t="shared" si="1212"/>
        <v>2777.5099162926294</v>
      </c>
      <c r="BI171" s="9">
        <f t="shared" si="1212"/>
        <v>9834.1971204153269</v>
      </c>
      <c r="BJ171" s="9">
        <f t="shared" si="1212"/>
        <v>2975.7745997148986</v>
      </c>
      <c r="BK171" s="312">
        <f t="shared" si="1212"/>
        <v>1482.5244087735236</v>
      </c>
      <c r="BL171" s="9">
        <f t="shared" si="1212"/>
        <v>867.75942391745139</v>
      </c>
      <c r="BM171" s="9">
        <f t="shared" si="1212"/>
        <v>-3196.4015527658794</v>
      </c>
      <c r="BN171" s="9">
        <f t="shared" si="1212"/>
        <v>5491.5767210587792</v>
      </c>
      <c r="BO171" s="9">
        <f t="shared" si="1212"/>
        <v>-4908.4720435224117</v>
      </c>
      <c r="BP171" s="9">
        <f t="shared" si="1212"/>
        <v>-646.74903665294005</v>
      </c>
      <c r="BQ171" s="9">
        <f t="shared" ref="BQ171:DG171" si="1226">BQ169+BQ165</f>
        <v>230.79251014157717</v>
      </c>
      <c r="BR171" s="9">
        <f t="shared" si="1226"/>
        <v>-32.523756267387398</v>
      </c>
      <c r="BS171" s="9">
        <f t="shared" si="1226"/>
        <v>-983.80885728337398</v>
      </c>
      <c r="BT171" s="9">
        <f t="shared" si="1226"/>
        <v>3678.9838910253666</v>
      </c>
      <c r="BU171" s="9">
        <f t="shared" si="1226"/>
        <v>10887.378312179049</v>
      </c>
      <c r="BV171" s="9">
        <f t="shared" si="1226"/>
        <v>4276.0643893036558</v>
      </c>
      <c r="BW171" s="312">
        <f t="shared" si="1226"/>
        <v>1058.2369411607747</v>
      </c>
      <c r="BX171" s="9">
        <f t="shared" si="1226"/>
        <v>-3938.0388946486391</v>
      </c>
      <c r="BY171" s="9">
        <f t="shared" si="1226"/>
        <v>-9116.8760060790537</v>
      </c>
      <c r="BZ171" s="9">
        <f t="shared" si="1226"/>
        <v>7784.2320115604953</v>
      </c>
      <c r="CA171" s="9">
        <f t="shared" si="1226"/>
        <v>-12246.513759520498</v>
      </c>
      <c r="CB171" s="9">
        <f t="shared" si="1226"/>
        <v>-2549.2837227608888</v>
      </c>
      <c r="CC171" s="9">
        <f t="shared" si="1226"/>
        <v>-2162.6156197346527</v>
      </c>
      <c r="CD171" s="9">
        <f t="shared" si="1226"/>
        <v>-5719.8204855882586</v>
      </c>
      <c r="CE171" s="9">
        <f t="shared" si="1226"/>
        <v>-4741.4479873674536</v>
      </c>
      <c r="CF171" s="9">
        <f t="shared" si="1226"/>
        <v>-1855.2028908190232</v>
      </c>
      <c r="CG171" s="9">
        <f t="shared" si="1226"/>
        <v>11537.230863842475</v>
      </c>
      <c r="CH171" s="9">
        <f t="shared" si="1226"/>
        <v>5537.4808134653449</v>
      </c>
      <c r="CI171" s="312">
        <f t="shared" si="1226"/>
        <v>-7503.2393423756403</v>
      </c>
      <c r="CJ171" s="9">
        <f t="shared" si="1226"/>
        <v>-5151.9693882331376</v>
      </c>
      <c r="CK171" s="9">
        <f t="shared" si="1226"/>
        <v>-13975.499016465632</v>
      </c>
      <c r="CL171" s="9">
        <f t="shared" si="1226"/>
        <v>7530.3357524412386</v>
      </c>
      <c r="CM171" s="9">
        <f t="shared" si="1226"/>
        <v>-18611.663699937879</v>
      </c>
      <c r="CN171" s="9">
        <f t="shared" si="1226"/>
        <v>-3562.7935047108235</v>
      </c>
      <c r="CO171" s="9">
        <f t="shared" si="1226"/>
        <v>-7218.2262139361346</v>
      </c>
      <c r="CP171" s="9">
        <f t="shared" si="1226"/>
        <v>-10002.651161890059</v>
      </c>
      <c r="CQ171" s="9">
        <f t="shared" si="1226"/>
        <v>-7079.738131913633</v>
      </c>
      <c r="CR171" s="9">
        <f t="shared" si="1226"/>
        <v>-9211.645003221538</v>
      </c>
      <c r="CS171" s="9">
        <f t="shared" si="1226"/>
        <v>14304.516922532352</v>
      </c>
      <c r="CT171" s="9">
        <f t="shared" si="1226"/>
        <v>5746.5932718264521</v>
      </c>
      <c r="CU171" s="312">
        <f t="shared" si="1226"/>
        <v>-13612.359945346427</v>
      </c>
      <c r="CV171" s="9">
        <f t="shared" si="1226"/>
        <v>-8233.3046791155175</v>
      </c>
      <c r="CW171" s="9">
        <f t="shared" si="1226"/>
        <v>-18306.765965083228</v>
      </c>
      <c r="CX171" s="9">
        <f t="shared" si="1226"/>
        <v>6088.7978077487587</v>
      </c>
      <c r="CY171" s="9">
        <f t="shared" si="1226"/>
        <v>-26215.580316890293</v>
      </c>
      <c r="CZ171" s="9">
        <f t="shared" si="1226"/>
        <v>-3990.8625839624601</v>
      </c>
      <c r="DA171" s="9">
        <f t="shared" si="1226"/>
        <v>-14088.058378076181</v>
      </c>
      <c r="DB171" s="9">
        <f t="shared" si="1226"/>
        <v>-12439.614924936132</v>
      </c>
      <c r="DC171" s="9">
        <f t="shared" si="1226"/>
        <v>-14756.322524818734</v>
      </c>
      <c r="DD171" s="9">
        <f t="shared" si="1226"/>
        <v>-13329.225576552933</v>
      </c>
      <c r="DE171" s="9">
        <f t="shared" si="1226"/>
        <v>22415.851879975533</v>
      </c>
      <c r="DF171" s="9">
        <f t="shared" si="1226"/>
        <v>3132.5273883117807</v>
      </c>
      <c r="DG171" s="9">
        <f t="shared" si="1226"/>
        <v>47131.287787398542</v>
      </c>
    </row>
    <row r="172" spans="1:111" x14ac:dyDescent="0.3">
      <c r="AW172" s="184"/>
      <c r="AY172" s="184"/>
      <c r="BK172" s="184"/>
      <c r="BW172" s="184"/>
      <c r="CI172" s="184"/>
      <c r="CU172" s="184"/>
    </row>
    <row r="173" spans="1:111" x14ac:dyDescent="0.3">
      <c r="B173" s="1" t="s">
        <v>46</v>
      </c>
      <c r="D173" s="9">
        <v>0</v>
      </c>
      <c r="E173" s="9">
        <f>D174</f>
        <v>0</v>
      </c>
      <c r="F173" s="9">
        <f t="shared" ref="F173:BQ173" si="1227">E174</f>
        <v>0</v>
      </c>
      <c r="G173" s="9">
        <f t="shared" si="1227"/>
        <v>0</v>
      </c>
      <c r="H173" s="9">
        <f t="shared" si="1227"/>
        <v>0</v>
      </c>
      <c r="I173" s="9">
        <f t="shared" si="1227"/>
        <v>0</v>
      </c>
      <c r="J173" s="9">
        <f t="shared" si="1227"/>
        <v>0</v>
      </c>
      <c r="K173" s="9">
        <f t="shared" si="1227"/>
        <v>0</v>
      </c>
      <c r="L173" s="9">
        <f t="shared" si="1227"/>
        <v>255</v>
      </c>
      <c r="M173" s="9">
        <f t="shared" si="1227"/>
        <v>478</v>
      </c>
      <c r="N173" s="9">
        <f t="shared" si="1227"/>
        <v>1020.3600000000001</v>
      </c>
      <c r="O173" s="9">
        <f t="shared" si="1227"/>
        <v>862.40000000000009</v>
      </c>
      <c r="P173" s="9">
        <f t="shared" si="1227"/>
        <v>-55.899999999999864</v>
      </c>
      <c r="Q173" s="9">
        <f t="shared" si="1227"/>
        <v>169.96000000000117</v>
      </c>
      <c r="R173" s="9">
        <f t="shared" si="1227"/>
        <v>212.95000000000118</v>
      </c>
      <c r="S173" s="9">
        <f t="shared" si="1227"/>
        <v>127.39000000000124</v>
      </c>
      <c r="T173" s="9">
        <f t="shared" si="1227"/>
        <v>395.42000000000144</v>
      </c>
      <c r="U173" s="9">
        <f t="shared" si="1227"/>
        <v>300.21000000000186</v>
      </c>
      <c r="V173" s="9">
        <f t="shared" si="1227"/>
        <v>433.57000000000198</v>
      </c>
      <c r="W173" s="9">
        <f t="shared" si="1227"/>
        <v>566.72999999999774</v>
      </c>
      <c r="X173" s="9">
        <f t="shared" si="1227"/>
        <v>503.449999999998</v>
      </c>
      <c r="Y173" s="9">
        <f t="shared" si="1227"/>
        <v>741.17999999999756</v>
      </c>
      <c r="Z173" s="9">
        <f t="shared" si="1227"/>
        <v>653.29999999999927</v>
      </c>
      <c r="AA173" s="9">
        <f t="shared" si="1227"/>
        <v>727.48999999999887</v>
      </c>
      <c r="AB173" s="9">
        <f t="shared" si="1227"/>
        <v>997.01999999999884</v>
      </c>
      <c r="AC173" s="9">
        <f t="shared" si="1227"/>
        <v>1291.7799999999991</v>
      </c>
      <c r="AD173" s="9">
        <f t="shared" si="1227"/>
        <v>551.31999999999903</v>
      </c>
      <c r="AE173" s="9">
        <f t="shared" si="1227"/>
        <v>177.78999999999928</v>
      </c>
      <c r="AF173" s="9">
        <f t="shared" si="1227"/>
        <v>1342.9899999999991</v>
      </c>
      <c r="AG173" s="9">
        <f t="shared" si="1227"/>
        <v>1278.089999999999</v>
      </c>
      <c r="AH173" s="9">
        <f t="shared" si="1227"/>
        <v>1615.6999999999991</v>
      </c>
      <c r="AI173" s="9">
        <f t="shared" si="1227"/>
        <v>3158.9800000000023</v>
      </c>
      <c r="AJ173" s="9">
        <f t="shared" si="1227"/>
        <v>3192.6000000000031</v>
      </c>
      <c r="AK173" s="9">
        <f t="shared" si="1227"/>
        <v>4237.5200000000032</v>
      </c>
      <c r="AL173" s="9">
        <f t="shared" si="1227"/>
        <v>5429.6700000000046</v>
      </c>
      <c r="AM173" s="574">
        <f t="shared" si="1227"/>
        <v>3714.4000000000042</v>
      </c>
      <c r="AN173" s="9">
        <f t="shared" si="1227"/>
        <v>292.83000000000084</v>
      </c>
      <c r="AO173" s="9">
        <f t="shared" si="1227"/>
        <v>3823.5900000000011</v>
      </c>
      <c r="AP173" s="9">
        <f t="shared" si="1227"/>
        <v>494.25000000000091</v>
      </c>
      <c r="AQ173" s="9">
        <f t="shared" si="1227"/>
        <v>985.19000000000108</v>
      </c>
      <c r="AR173" s="9">
        <f t="shared" si="1227"/>
        <v>1331.5300000000013</v>
      </c>
      <c r="AS173" s="9">
        <f t="shared" ref="AS173:AW173" si="1228">AR174</f>
        <v>557.08000000001061</v>
      </c>
      <c r="AT173" s="9">
        <f t="shared" si="1228"/>
        <v>1059.5000000000034</v>
      </c>
      <c r="AU173" s="9">
        <f t="shared" si="1228"/>
        <v>3158.8300000000054</v>
      </c>
      <c r="AV173" s="9">
        <f t="shared" si="1228"/>
        <v>3999.4700000000043</v>
      </c>
      <c r="AW173" s="312">
        <f t="shared" si="1228"/>
        <v>6133.2000000000007</v>
      </c>
      <c r="AX173" s="9">
        <f t="shared" si="1227"/>
        <v>10262.870000000006</v>
      </c>
      <c r="AY173" s="312">
        <f t="shared" si="1227"/>
        <v>31672.692830222069</v>
      </c>
      <c r="AZ173" s="9">
        <f t="shared" si="1227"/>
        <v>33443.47195465042</v>
      </c>
      <c r="BA173" s="9">
        <f t="shared" si="1227"/>
        <v>34481.555928780064</v>
      </c>
      <c r="BB173" s="9">
        <f t="shared" si="1227"/>
        <v>33113.497952619</v>
      </c>
      <c r="BC173" s="9">
        <f t="shared" si="1227"/>
        <v>35905.299272422752</v>
      </c>
      <c r="BD173" s="9">
        <f t="shared" si="1227"/>
        <v>32138.613897397932</v>
      </c>
      <c r="BE173" s="9">
        <f t="shared" si="1227"/>
        <v>31827.965600358417</v>
      </c>
      <c r="BF173" s="9">
        <f t="shared" si="1227"/>
        <v>32486.464243393882</v>
      </c>
      <c r="BG173" s="9">
        <f t="shared" si="1227"/>
        <v>34013.013831535616</v>
      </c>
      <c r="BH173" s="9">
        <f t="shared" si="1227"/>
        <v>34081.717091194951</v>
      </c>
      <c r="BI173" s="9">
        <f t="shared" si="1227"/>
        <v>36859.227007487578</v>
      </c>
      <c r="BJ173" s="9">
        <f t="shared" si="1227"/>
        <v>46693.424127902908</v>
      </c>
      <c r="BK173" s="312">
        <f t="shared" si="1227"/>
        <v>49669.198727617804</v>
      </c>
      <c r="BL173" s="9">
        <f t="shared" si="1227"/>
        <v>51151.723136391331</v>
      </c>
      <c r="BM173" s="9">
        <f t="shared" si="1227"/>
        <v>52019.482560308781</v>
      </c>
      <c r="BN173" s="9">
        <f t="shared" si="1227"/>
        <v>48823.081007542904</v>
      </c>
      <c r="BO173" s="9">
        <f t="shared" si="1227"/>
        <v>54314.657728601684</v>
      </c>
      <c r="BP173" s="9">
        <f t="shared" si="1227"/>
        <v>49406.185685079268</v>
      </c>
      <c r="BQ173" s="9">
        <f t="shared" si="1227"/>
        <v>48759.43664842633</v>
      </c>
      <c r="BR173" s="9">
        <f t="shared" ref="BR173:DG173" si="1229">BQ174</f>
        <v>48990.229158567905</v>
      </c>
      <c r="BS173" s="9">
        <f t="shared" si="1229"/>
        <v>48957.705402300518</v>
      </c>
      <c r="BT173" s="9">
        <f t="shared" si="1229"/>
        <v>47973.896545017145</v>
      </c>
      <c r="BU173" s="9">
        <f t="shared" si="1229"/>
        <v>51652.880436042513</v>
      </c>
      <c r="BV173" s="9">
        <f t="shared" si="1229"/>
        <v>62540.25874822156</v>
      </c>
      <c r="BW173" s="312">
        <f t="shared" si="1229"/>
        <v>66816.323137525222</v>
      </c>
      <c r="BX173" s="9">
        <f t="shared" si="1229"/>
        <v>67874.560078686001</v>
      </c>
      <c r="BY173" s="9">
        <f t="shared" si="1229"/>
        <v>63936.521184037359</v>
      </c>
      <c r="BZ173" s="9">
        <f t="shared" si="1229"/>
        <v>54819.645177958308</v>
      </c>
      <c r="CA173" s="9">
        <f t="shared" si="1229"/>
        <v>62603.877189518804</v>
      </c>
      <c r="CB173" s="9">
        <f t="shared" si="1229"/>
        <v>50357.36342999831</v>
      </c>
      <c r="CC173" s="9">
        <f t="shared" si="1229"/>
        <v>47808.079707237419</v>
      </c>
      <c r="CD173" s="9">
        <f t="shared" si="1229"/>
        <v>45645.464087502769</v>
      </c>
      <c r="CE173" s="9">
        <f t="shared" si="1229"/>
        <v>39925.643601914511</v>
      </c>
      <c r="CF173" s="9">
        <f t="shared" si="1229"/>
        <v>35184.195614547061</v>
      </c>
      <c r="CG173" s="9">
        <f t="shared" si="1229"/>
        <v>33328.992723728035</v>
      </c>
      <c r="CH173" s="9">
        <f t="shared" si="1229"/>
        <v>44866.223587570508</v>
      </c>
      <c r="CI173" s="312">
        <f t="shared" si="1229"/>
        <v>50403.704401035851</v>
      </c>
      <c r="CJ173" s="9">
        <f t="shared" si="1229"/>
        <v>42900.465058660207</v>
      </c>
      <c r="CK173" s="9">
        <f t="shared" si="1229"/>
        <v>37748.495670427073</v>
      </c>
      <c r="CL173" s="9">
        <f t="shared" si="1229"/>
        <v>23772.99665396144</v>
      </c>
      <c r="CM173" s="9">
        <f t="shared" si="1229"/>
        <v>31303.332406402678</v>
      </c>
      <c r="CN173" s="9">
        <f t="shared" si="1229"/>
        <v>12691.668706464799</v>
      </c>
      <c r="CO173" s="9">
        <f t="shared" si="1229"/>
        <v>9128.8752017539755</v>
      </c>
      <c r="CP173" s="9">
        <f t="shared" si="1229"/>
        <v>1910.6489878178409</v>
      </c>
      <c r="CQ173" s="9">
        <f t="shared" si="1229"/>
        <v>-8092.0021740722177</v>
      </c>
      <c r="CR173" s="9">
        <f t="shared" si="1229"/>
        <v>-15171.740305985852</v>
      </c>
      <c r="CS173" s="9">
        <f t="shared" si="1229"/>
        <v>-24383.385309207391</v>
      </c>
      <c r="CT173" s="9">
        <f t="shared" si="1229"/>
        <v>-10078.86838667504</v>
      </c>
      <c r="CU173" s="312">
        <f t="shared" si="1229"/>
        <v>-4332.2751148485877</v>
      </c>
      <c r="CV173" s="9">
        <f t="shared" si="1229"/>
        <v>-17944.635060195014</v>
      </c>
      <c r="CW173" s="9">
        <f t="shared" si="1229"/>
        <v>-26177.939739310532</v>
      </c>
      <c r="CX173" s="9">
        <f t="shared" si="1229"/>
        <v>-44484.70570439376</v>
      </c>
      <c r="CY173" s="9">
        <f t="shared" si="1229"/>
        <v>-38395.907896645003</v>
      </c>
      <c r="CZ173" s="9">
        <f t="shared" si="1229"/>
        <v>-64611.488213535296</v>
      </c>
      <c r="DA173" s="9">
        <f t="shared" si="1229"/>
        <v>-68602.350797497755</v>
      </c>
      <c r="DB173" s="9">
        <f t="shared" si="1229"/>
        <v>-82690.409175573935</v>
      </c>
      <c r="DC173" s="9">
        <f t="shared" si="1229"/>
        <v>-95130.024100510069</v>
      </c>
      <c r="DD173" s="9">
        <f t="shared" si="1229"/>
        <v>-109886.34662532881</v>
      </c>
      <c r="DE173" s="9">
        <f t="shared" si="1229"/>
        <v>-123215.57220188173</v>
      </c>
      <c r="DF173" s="9">
        <f t="shared" si="1229"/>
        <v>-100799.72032190621</v>
      </c>
      <c r="DG173" s="9">
        <f t="shared" si="1229"/>
        <v>-97667.19293359443</v>
      </c>
    </row>
    <row r="174" spans="1:111" x14ac:dyDescent="0.3">
      <c r="B174" s="1" t="s">
        <v>47</v>
      </c>
      <c r="D174" s="9">
        <v>0</v>
      </c>
      <c r="E174" s="9">
        <f>E173+E171</f>
        <v>0</v>
      </c>
      <c r="F174" s="9">
        <f t="shared" ref="F174:BQ174" si="1230">F173+F171</f>
        <v>0</v>
      </c>
      <c r="G174" s="9">
        <f t="shared" si="1230"/>
        <v>0</v>
      </c>
      <c r="H174" s="9">
        <f t="shared" si="1230"/>
        <v>0</v>
      </c>
      <c r="I174" s="9">
        <f t="shared" si="1230"/>
        <v>0</v>
      </c>
      <c r="J174" s="9">
        <f t="shared" si="1230"/>
        <v>0</v>
      </c>
      <c r="K174" s="9">
        <f t="shared" si="1230"/>
        <v>255</v>
      </c>
      <c r="L174" s="9">
        <f t="shared" si="1230"/>
        <v>478</v>
      </c>
      <c r="M174" s="9">
        <f t="shared" si="1230"/>
        <v>1020.3600000000001</v>
      </c>
      <c r="N174" s="9">
        <f t="shared" si="1230"/>
        <v>862.40000000000009</v>
      </c>
      <c r="O174" s="9">
        <f t="shared" si="1230"/>
        <v>-55.899999999999864</v>
      </c>
      <c r="P174" s="9">
        <f>P173+P171</f>
        <v>169.96000000000117</v>
      </c>
      <c r="Q174" s="9">
        <f t="shared" si="1230"/>
        <v>212.95000000000118</v>
      </c>
      <c r="R174" s="9">
        <f t="shared" si="1230"/>
        <v>127.39000000000124</v>
      </c>
      <c r="S174" s="9">
        <f t="shared" si="1230"/>
        <v>395.42000000000144</v>
      </c>
      <c r="T174" s="9">
        <f t="shared" si="1230"/>
        <v>300.21000000000186</v>
      </c>
      <c r="U174" s="9">
        <f t="shared" si="1230"/>
        <v>433.57000000000198</v>
      </c>
      <c r="V174" s="9">
        <f t="shared" si="1230"/>
        <v>566.72999999999774</v>
      </c>
      <c r="W174" s="9">
        <f t="shared" si="1230"/>
        <v>503.449999999998</v>
      </c>
      <c r="X174" s="9">
        <f t="shared" si="1230"/>
        <v>741.17999999999756</v>
      </c>
      <c r="Y174" s="9">
        <f t="shared" si="1230"/>
        <v>653.29999999999927</v>
      </c>
      <c r="Z174" s="9">
        <f t="shared" si="1230"/>
        <v>727.48999999999887</v>
      </c>
      <c r="AA174" s="9">
        <f t="shared" ref="AA174:AB174" si="1231">AA173+AA171</f>
        <v>997.01999999999884</v>
      </c>
      <c r="AB174" s="9">
        <f t="shared" si="1231"/>
        <v>1291.7799999999991</v>
      </c>
      <c r="AC174" s="9">
        <f t="shared" ref="AC174" si="1232">AC173+AC171</f>
        <v>551.31999999999903</v>
      </c>
      <c r="AD174" s="9">
        <f t="shared" si="1230"/>
        <v>177.78999999999928</v>
      </c>
      <c r="AE174" s="9">
        <f t="shared" si="1230"/>
        <v>1342.9899999999991</v>
      </c>
      <c r="AF174" s="9">
        <f t="shared" si="1230"/>
        <v>1278.089999999999</v>
      </c>
      <c r="AG174" s="9">
        <f t="shared" ref="AG174:AH174" si="1233">AG173+AG171</f>
        <v>1615.6999999999991</v>
      </c>
      <c r="AH174" s="9">
        <f t="shared" si="1233"/>
        <v>3158.9800000000023</v>
      </c>
      <c r="AI174" s="9">
        <f t="shared" ref="AI174" si="1234">AI173+AI171</f>
        <v>3192.6000000000031</v>
      </c>
      <c r="AJ174" s="9">
        <f t="shared" ref="AJ174" si="1235">AJ173+AJ171</f>
        <v>4237.5200000000032</v>
      </c>
      <c r="AK174" s="9">
        <f t="shared" si="1230"/>
        <v>5429.6700000000046</v>
      </c>
      <c r="AL174" s="9">
        <f t="shared" si="1230"/>
        <v>3714.4000000000042</v>
      </c>
      <c r="AM174" s="574">
        <f t="shared" ref="AM174" si="1236">AM173+AM171</f>
        <v>292.83000000000084</v>
      </c>
      <c r="AN174" s="9">
        <f t="shared" ref="AN174:AO174" si="1237">AN173+AN171</f>
        <v>3823.5900000000011</v>
      </c>
      <c r="AO174" s="9">
        <f t="shared" si="1237"/>
        <v>494.25000000000091</v>
      </c>
      <c r="AP174" s="9">
        <f t="shared" ref="AP174:AQ174" si="1238">AP173+AP171</f>
        <v>985.19000000000108</v>
      </c>
      <c r="AQ174" s="9">
        <f t="shared" si="1238"/>
        <v>1331.5300000000013</v>
      </c>
      <c r="AR174" s="9">
        <f t="shared" ref="AR174" si="1239">AR173+AR171</f>
        <v>557.08000000001061</v>
      </c>
      <c r="AS174" s="9">
        <f t="shared" ref="AS174:AT174" si="1240">AS173+AS171</f>
        <v>1059.5000000000034</v>
      </c>
      <c r="AT174" s="9">
        <f t="shared" si="1240"/>
        <v>3158.8300000000054</v>
      </c>
      <c r="AU174" s="9">
        <f t="shared" ref="AU174:AV174" si="1241">AU173+AU171</f>
        <v>3999.4700000000043</v>
      </c>
      <c r="AV174" s="9">
        <f t="shared" si="1241"/>
        <v>6133.2000000000007</v>
      </c>
      <c r="AW174" s="312">
        <f t="shared" ref="AW174" si="1242">AW173+AW171</f>
        <v>10262.870000000006</v>
      </c>
      <c r="AX174" s="9">
        <f t="shared" ref="AX174" si="1243">AX173+AX171</f>
        <v>31672.692830222069</v>
      </c>
      <c r="AY174" s="312">
        <f t="shared" si="1230"/>
        <v>33443.47195465042</v>
      </c>
      <c r="AZ174" s="9">
        <f t="shared" si="1230"/>
        <v>34481.555928780064</v>
      </c>
      <c r="BA174" s="9">
        <f t="shared" si="1230"/>
        <v>33113.497952619</v>
      </c>
      <c r="BB174" s="9">
        <f t="shared" si="1230"/>
        <v>35905.299272422752</v>
      </c>
      <c r="BC174" s="9">
        <f t="shared" si="1230"/>
        <v>32138.613897397932</v>
      </c>
      <c r="BD174" s="9">
        <f t="shared" si="1230"/>
        <v>31827.965600358417</v>
      </c>
      <c r="BE174" s="9">
        <f t="shared" si="1230"/>
        <v>32486.464243393882</v>
      </c>
      <c r="BF174" s="9">
        <f t="shared" si="1230"/>
        <v>34013.013831535616</v>
      </c>
      <c r="BG174" s="9">
        <f t="shared" si="1230"/>
        <v>34081.717091194951</v>
      </c>
      <c r="BH174" s="9">
        <f t="shared" si="1230"/>
        <v>36859.227007487578</v>
      </c>
      <c r="BI174" s="9">
        <f t="shared" si="1230"/>
        <v>46693.424127902908</v>
      </c>
      <c r="BJ174" s="9">
        <f t="shared" si="1230"/>
        <v>49669.198727617804</v>
      </c>
      <c r="BK174" s="312">
        <f t="shared" si="1230"/>
        <v>51151.723136391331</v>
      </c>
      <c r="BL174" s="9">
        <f t="shared" si="1230"/>
        <v>52019.482560308781</v>
      </c>
      <c r="BM174" s="9">
        <f t="shared" si="1230"/>
        <v>48823.081007542904</v>
      </c>
      <c r="BN174" s="9">
        <f t="shared" si="1230"/>
        <v>54314.657728601684</v>
      </c>
      <c r="BO174" s="9">
        <f t="shared" si="1230"/>
        <v>49406.185685079268</v>
      </c>
      <c r="BP174" s="9">
        <f t="shared" si="1230"/>
        <v>48759.43664842633</v>
      </c>
      <c r="BQ174" s="9">
        <f t="shared" si="1230"/>
        <v>48990.229158567905</v>
      </c>
      <c r="BR174" s="9">
        <f t="shared" ref="BR174:DG174" si="1244">BR173+BR171</f>
        <v>48957.705402300518</v>
      </c>
      <c r="BS174" s="9">
        <f t="shared" si="1244"/>
        <v>47973.896545017145</v>
      </c>
      <c r="BT174" s="9">
        <f t="shared" si="1244"/>
        <v>51652.880436042513</v>
      </c>
      <c r="BU174" s="9">
        <f t="shared" si="1244"/>
        <v>62540.25874822156</v>
      </c>
      <c r="BV174" s="9">
        <f t="shared" si="1244"/>
        <v>66816.323137525222</v>
      </c>
      <c r="BW174" s="312">
        <f t="shared" si="1244"/>
        <v>67874.560078686001</v>
      </c>
      <c r="BX174" s="9">
        <f t="shared" si="1244"/>
        <v>63936.521184037359</v>
      </c>
      <c r="BY174" s="9">
        <f t="shared" si="1244"/>
        <v>54819.645177958308</v>
      </c>
      <c r="BZ174" s="9">
        <f t="shared" si="1244"/>
        <v>62603.877189518804</v>
      </c>
      <c r="CA174" s="9">
        <f t="shared" si="1244"/>
        <v>50357.36342999831</v>
      </c>
      <c r="CB174" s="9">
        <f t="shared" si="1244"/>
        <v>47808.079707237419</v>
      </c>
      <c r="CC174" s="9">
        <f t="shared" si="1244"/>
        <v>45645.464087502769</v>
      </c>
      <c r="CD174" s="9">
        <f t="shared" si="1244"/>
        <v>39925.643601914511</v>
      </c>
      <c r="CE174" s="9">
        <f t="shared" si="1244"/>
        <v>35184.195614547061</v>
      </c>
      <c r="CF174" s="9">
        <f t="shared" si="1244"/>
        <v>33328.992723728035</v>
      </c>
      <c r="CG174" s="9">
        <f t="shared" si="1244"/>
        <v>44866.223587570508</v>
      </c>
      <c r="CH174" s="9">
        <f t="shared" si="1244"/>
        <v>50403.704401035851</v>
      </c>
      <c r="CI174" s="312">
        <f t="shared" si="1244"/>
        <v>42900.465058660207</v>
      </c>
      <c r="CJ174" s="9">
        <f t="shared" si="1244"/>
        <v>37748.495670427073</v>
      </c>
      <c r="CK174" s="9">
        <f t="shared" si="1244"/>
        <v>23772.99665396144</v>
      </c>
      <c r="CL174" s="9">
        <f t="shared" si="1244"/>
        <v>31303.332406402678</v>
      </c>
      <c r="CM174" s="9">
        <f t="shared" si="1244"/>
        <v>12691.668706464799</v>
      </c>
      <c r="CN174" s="9">
        <f t="shared" si="1244"/>
        <v>9128.8752017539755</v>
      </c>
      <c r="CO174" s="9">
        <f t="shared" si="1244"/>
        <v>1910.6489878178409</v>
      </c>
      <c r="CP174" s="9">
        <f t="shared" si="1244"/>
        <v>-8092.0021740722177</v>
      </c>
      <c r="CQ174" s="9">
        <f t="shared" si="1244"/>
        <v>-15171.740305985852</v>
      </c>
      <c r="CR174" s="9">
        <f t="shared" si="1244"/>
        <v>-24383.385309207391</v>
      </c>
      <c r="CS174" s="9">
        <f t="shared" si="1244"/>
        <v>-10078.86838667504</v>
      </c>
      <c r="CT174" s="9">
        <f t="shared" si="1244"/>
        <v>-4332.2751148485877</v>
      </c>
      <c r="CU174" s="312">
        <f t="shared" si="1244"/>
        <v>-17944.635060195014</v>
      </c>
      <c r="CV174" s="9">
        <f t="shared" si="1244"/>
        <v>-26177.939739310532</v>
      </c>
      <c r="CW174" s="9">
        <f t="shared" si="1244"/>
        <v>-44484.70570439376</v>
      </c>
      <c r="CX174" s="9">
        <f t="shared" si="1244"/>
        <v>-38395.907896645003</v>
      </c>
      <c r="CY174" s="9">
        <f t="shared" si="1244"/>
        <v>-64611.488213535296</v>
      </c>
      <c r="CZ174" s="9">
        <f t="shared" si="1244"/>
        <v>-68602.350797497755</v>
      </c>
      <c r="DA174" s="9">
        <f t="shared" si="1244"/>
        <v>-82690.409175573935</v>
      </c>
      <c r="DB174" s="9">
        <f t="shared" si="1244"/>
        <v>-95130.024100510069</v>
      </c>
      <c r="DC174" s="9">
        <f t="shared" si="1244"/>
        <v>-109886.34662532881</v>
      </c>
      <c r="DD174" s="9">
        <f t="shared" si="1244"/>
        <v>-123215.57220188173</v>
      </c>
      <c r="DE174" s="9">
        <f t="shared" si="1244"/>
        <v>-100799.72032190621</v>
      </c>
      <c r="DF174" s="9">
        <f t="shared" si="1244"/>
        <v>-97667.19293359443</v>
      </c>
      <c r="DG174" s="9">
        <f t="shared" si="1244"/>
        <v>-50535.905146195888</v>
      </c>
    </row>
    <row r="175" spans="1:111" x14ac:dyDescent="0.3">
      <c r="C175" s="8" t="s">
        <v>48</v>
      </c>
      <c r="D175" s="9">
        <f t="shared" ref="D175:AI175" si="1245">D174-D122</f>
        <v>0</v>
      </c>
      <c r="E175" s="9">
        <f t="shared" si="1245"/>
        <v>0</v>
      </c>
      <c r="F175" s="9">
        <f t="shared" si="1245"/>
        <v>0</v>
      </c>
      <c r="G175" s="9">
        <f t="shared" si="1245"/>
        <v>0</v>
      </c>
      <c r="H175" s="9">
        <f t="shared" si="1245"/>
        <v>0</v>
      </c>
      <c r="I175" s="9">
        <f t="shared" si="1245"/>
        <v>0</v>
      </c>
      <c r="J175" s="9">
        <f t="shared" si="1245"/>
        <v>0</v>
      </c>
      <c r="K175" s="9">
        <f t="shared" si="1245"/>
        <v>0</v>
      </c>
      <c r="L175" s="9">
        <f t="shared" si="1245"/>
        <v>0</v>
      </c>
      <c r="M175" s="9">
        <f t="shared" si="1245"/>
        <v>0</v>
      </c>
      <c r="N175" s="134">
        <f t="shared" si="1245"/>
        <v>0</v>
      </c>
      <c r="O175" s="134">
        <f t="shared" si="1245"/>
        <v>1.3500311979441904E-13</v>
      </c>
      <c r="P175" s="134">
        <f t="shared" si="1245"/>
        <v>1.1937117960769683E-12</v>
      </c>
      <c r="Q175" s="9">
        <f t="shared" si="1245"/>
        <v>1.1937117960769683E-12</v>
      </c>
      <c r="R175" s="134">
        <f t="shared" si="1245"/>
        <v>1.2363443602225743E-12</v>
      </c>
      <c r="S175" s="9">
        <f t="shared" si="1245"/>
        <v>1.4210854715202004E-12</v>
      </c>
      <c r="T175" s="9">
        <f t="shared" si="1245"/>
        <v>1.8758328224066645E-12</v>
      </c>
      <c r="U175" s="9">
        <f t="shared" si="1245"/>
        <v>1.9895196601282805E-12</v>
      </c>
      <c r="V175" s="134">
        <f t="shared" si="1245"/>
        <v>-2.2737367544323206E-12</v>
      </c>
      <c r="W175" s="134">
        <f t="shared" si="1245"/>
        <v>-1.9895196601282805E-12</v>
      </c>
      <c r="X175" s="134">
        <f t="shared" si="1245"/>
        <v>-2.5011104298755527E-12</v>
      </c>
      <c r="Y175" s="134">
        <f t="shared" si="1245"/>
        <v>0</v>
      </c>
      <c r="Z175" s="134">
        <f t="shared" si="1245"/>
        <v>-1.1368683772161603E-12</v>
      </c>
      <c r="AA175" s="134">
        <f t="shared" si="1245"/>
        <v>-1.1368683772161603E-12</v>
      </c>
      <c r="AB175" s="134">
        <f t="shared" si="1245"/>
        <v>0</v>
      </c>
      <c r="AC175" s="9">
        <f t="shared" si="1245"/>
        <v>-1.0231815394945443E-12</v>
      </c>
      <c r="AD175" s="134">
        <f t="shared" si="1245"/>
        <v>-7.1054273576010019E-13</v>
      </c>
      <c r="AE175" s="134">
        <f t="shared" si="1245"/>
        <v>0</v>
      </c>
      <c r="AF175" s="134">
        <f t="shared" si="1245"/>
        <v>0</v>
      </c>
      <c r="AG175" s="134">
        <f t="shared" si="1245"/>
        <v>0</v>
      </c>
      <c r="AH175" s="134">
        <f t="shared" si="1245"/>
        <v>0</v>
      </c>
      <c r="AI175" s="134">
        <f t="shared" si="1245"/>
        <v>0</v>
      </c>
      <c r="AJ175" s="134">
        <f t="shared" ref="AJ175:AS175" si="1246">AJ174-AJ122</f>
        <v>0</v>
      </c>
      <c r="AK175" s="134">
        <f t="shared" si="1246"/>
        <v>0</v>
      </c>
      <c r="AL175" s="9">
        <f t="shared" si="1246"/>
        <v>4.5474735088646412E-12</v>
      </c>
      <c r="AM175" s="575">
        <f t="shared" si="1246"/>
        <v>8.5265128291212022E-13</v>
      </c>
      <c r="AN175" s="134">
        <f t="shared" si="1246"/>
        <v>0</v>
      </c>
      <c r="AO175" s="134">
        <f t="shared" si="1246"/>
        <v>9.0949470177292824E-13</v>
      </c>
      <c r="AP175" s="134">
        <f t="shared" si="1246"/>
        <v>1.0231815394945443E-12</v>
      </c>
      <c r="AQ175" s="134">
        <f t="shared" si="1246"/>
        <v>0</v>
      </c>
      <c r="AR175" s="134">
        <f t="shared" si="1246"/>
        <v>1.0686562745831907E-11</v>
      </c>
      <c r="AS175" s="134">
        <f t="shared" si="1246"/>
        <v>3.4106051316484809E-12</v>
      </c>
      <c r="AT175" s="134">
        <f t="shared" ref="AT175:AU175" si="1247">AT174-AT122</f>
        <v>5.0022208597511053E-12</v>
      </c>
      <c r="AU175" s="134">
        <f t="shared" si="1247"/>
        <v>4.0927261579781771E-12</v>
      </c>
      <c r="AV175" s="134">
        <f t="shared" ref="AV175:AW175" si="1248">AV174-AV122</f>
        <v>0</v>
      </c>
      <c r="AW175" s="313">
        <f t="shared" si="1248"/>
        <v>0</v>
      </c>
      <c r="AX175" s="9">
        <f t="shared" ref="AX175" si="1249">AX174-AX122</f>
        <v>0</v>
      </c>
      <c r="AY175" s="313">
        <f t="shared" ref="AY175:BO175" si="1250">AY174-AY122</f>
        <v>0</v>
      </c>
      <c r="AZ175" s="9">
        <f t="shared" si="1250"/>
        <v>0</v>
      </c>
      <c r="BA175" s="9">
        <f t="shared" si="1250"/>
        <v>0</v>
      </c>
      <c r="BB175" s="9">
        <f t="shared" si="1250"/>
        <v>0</v>
      </c>
      <c r="BC175" s="9">
        <f t="shared" si="1250"/>
        <v>0</v>
      </c>
      <c r="BD175" s="9">
        <f t="shared" si="1250"/>
        <v>0</v>
      </c>
      <c r="BE175" s="9">
        <f t="shared" si="1250"/>
        <v>0</v>
      </c>
      <c r="BF175" s="9">
        <f t="shared" si="1250"/>
        <v>0</v>
      </c>
      <c r="BG175" s="9">
        <f t="shared" si="1250"/>
        <v>0</v>
      </c>
      <c r="BH175" s="9">
        <f t="shared" si="1250"/>
        <v>0</v>
      </c>
      <c r="BI175" s="9">
        <f t="shared" si="1250"/>
        <v>0</v>
      </c>
      <c r="BJ175" s="9">
        <f t="shared" si="1250"/>
        <v>0</v>
      </c>
      <c r="BK175" s="313">
        <f t="shared" si="1250"/>
        <v>0</v>
      </c>
      <c r="BL175" s="9">
        <f t="shared" si="1250"/>
        <v>0</v>
      </c>
      <c r="BM175" s="9">
        <f t="shared" si="1250"/>
        <v>0</v>
      </c>
      <c r="BN175" s="9">
        <f t="shared" si="1250"/>
        <v>0</v>
      </c>
      <c r="BO175" s="9">
        <f t="shared" si="1250"/>
        <v>0</v>
      </c>
      <c r="BP175" s="9">
        <f t="shared" ref="BP175:CU175" si="1251">BP174-BP122</f>
        <v>0</v>
      </c>
      <c r="BQ175" s="9">
        <f t="shared" si="1251"/>
        <v>0</v>
      </c>
      <c r="BR175" s="9">
        <f t="shared" si="1251"/>
        <v>0</v>
      </c>
      <c r="BS175" s="9">
        <f t="shared" si="1251"/>
        <v>0</v>
      </c>
      <c r="BT175" s="9">
        <f t="shared" si="1251"/>
        <v>0</v>
      </c>
      <c r="BU175" s="9">
        <f t="shared" si="1251"/>
        <v>0</v>
      </c>
      <c r="BV175" s="9">
        <f t="shared" si="1251"/>
        <v>0</v>
      </c>
      <c r="BW175" s="313">
        <f t="shared" si="1251"/>
        <v>0</v>
      </c>
      <c r="BX175" s="9">
        <f t="shared" si="1251"/>
        <v>0</v>
      </c>
      <c r="BY175" s="9">
        <f t="shared" si="1251"/>
        <v>0</v>
      </c>
      <c r="BZ175" s="9">
        <f t="shared" si="1251"/>
        <v>0</v>
      </c>
      <c r="CA175" s="9">
        <f t="shared" si="1251"/>
        <v>0</v>
      </c>
      <c r="CB175" s="9">
        <f t="shared" si="1251"/>
        <v>0</v>
      </c>
      <c r="CC175" s="9">
        <f t="shared" si="1251"/>
        <v>0</v>
      </c>
      <c r="CD175" s="9">
        <f t="shared" si="1251"/>
        <v>0</v>
      </c>
      <c r="CE175" s="9">
        <f t="shared" si="1251"/>
        <v>0</v>
      </c>
      <c r="CF175" s="9">
        <f t="shared" si="1251"/>
        <v>0</v>
      </c>
      <c r="CG175" s="9">
        <f t="shared" si="1251"/>
        <v>0</v>
      </c>
      <c r="CH175" s="9">
        <f t="shared" si="1251"/>
        <v>0</v>
      </c>
      <c r="CI175" s="313">
        <f t="shared" si="1251"/>
        <v>0</v>
      </c>
      <c r="CJ175" s="9">
        <f t="shared" si="1251"/>
        <v>0</v>
      </c>
      <c r="CK175" s="9">
        <f t="shared" si="1251"/>
        <v>0</v>
      </c>
      <c r="CL175" s="9">
        <f t="shared" si="1251"/>
        <v>0</v>
      </c>
      <c r="CM175" s="9">
        <f t="shared" si="1251"/>
        <v>1.4551915228366852E-11</v>
      </c>
      <c r="CN175" s="9">
        <f t="shared" si="1251"/>
        <v>1.4551915228366852E-11</v>
      </c>
      <c r="CO175" s="9">
        <f t="shared" si="1251"/>
        <v>1.4551915228366852E-11</v>
      </c>
      <c r="CP175" s="9">
        <f t="shared" si="1251"/>
        <v>1.4551915228366852E-11</v>
      </c>
      <c r="CQ175" s="9">
        <f t="shared" si="1251"/>
        <v>1.4551915228366852E-11</v>
      </c>
      <c r="CR175" s="9">
        <f t="shared" si="1251"/>
        <v>0</v>
      </c>
      <c r="CS175" s="9">
        <f t="shared" si="1251"/>
        <v>1.4551915228366852E-11</v>
      </c>
      <c r="CT175" s="9">
        <f t="shared" si="1251"/>
        <v>1.4551915228366852E-11</v>
      </c>
      <c r="CU175" s="313">
        <f t="shared" si="1251"/>
        <v>0</v>
      </c>
      <c r="CV175" s="9">
        <f t="shared" ref="CV175:DG175" si="1252">CV174-CV122</f>
        <v>0</v>
      </c>
      <c r="CW175" s="9">
        <f t="shared" si="1252"/>
        <v>0</v>
      </c>
      <c r="CX175" s="9">
        <f t="shared" si="1252"/>
        <v>0</v>
      </c>
      <c r="CY175" s="9">
        <f t="shared" si="1252"/>
        <v>0</v>
      </c>
      <c r="CZ175" s="9">
        <f t="shared" si="1252"/>
        <v>0</v>
      </c>
      <c r="DA175" s="9">
        <f t="shared" si="1252"/>
        <v>0</v>
      </c>
      <c r="DB175" s="9">
        <f t="shared" si="1252"/>
        <v>0</v>
      </c>
      <c r="DC175" s="9">
        <f t="shared" si="1252"/>
        <v>0</v>
      </c>
      <c r="DD175" s="9">
        <f t="shared" si="1252"/>
        <v>0</v>
      </c>
      <c r="DE175" s="9">
        <f t="shared" si="1252"/>
        <v>0</v>
      </c>
      <c r="DF175" s="9">
        <f t="shared" si="1252"/>
        <v>0</v>
      </c>
      <c r="DG175" s="9">
        <f t="shared" si="1252"/>
        <v>0</v>
      </c>
    </row>
    <row r="176" spans="1:11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59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576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</row>
  </sheetData>
  <conditionalFormatting sqref="P174:DG174">
    <cfRule type="cellIs" dxfId="0" priority="1" operator="lessThan">
      <formula>0</formula>
    </cfRule>
  </conditionalFormatting>
  <pageMargins left="0.7" right="0.7" top="0.75" bottom="0.75" header="0.3" footer="0.3"/>
  <pageSetup scale="11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04F9-EB95-4406-8456-593F4CDE8E21}">
  <dimension ref="A1"/>
  <sheetViews>
    <sheetView showGridLines="0" zoomScaleNormal="100" workbookViewId="0">
      <selection activeCell="A2" sqref="A2"/>
    </sheetView>
  </sheetViews>
  <sheetFormatPr defaultColWidth="8.6640625" defaultRowHeight="14.4" x14ac:dyDescent="0.3"/>
  <sheetData/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1969-6692-436E-A9D4-61C76D6D34C8}"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defaultColWidth="9.109375" defaultRowHeight="14.4" x14ac:dyDescent="0.3"/>
  <cols>
    <col min="1" max="1" width="17.33203125" style="37" bestFit="1" customWidth="1"/>
    <col min="2" max="2" width="7.44140625" style="37" bestFit="1" customWidth="1"/>
    <col min="3" max="3" width="8.44140625" style="37" bestFit="1" customWidth="1"/>
    <col min="4" max="4" width="12.6640625" style="37" bestFit="1" customWidth="1"/>
    <col min="5" max="5" width="7.33203125" style="37" bestFit="1" customWidth="1"/>
    <col min="6" max="6" width="31.44140625" style="37" bestFit="1" customWidth="1"/>
    <col min="7" max="7" width="21" style="37" bestFit="1" customWidth="1"/>
    <col min="8" max="8" width="43.33203125" style="37" bestFit="1" customWidth="1"/>
    <col min="9" max="9" width="7" style="37" bestFit="1" customWidth="1"/>
    <col min="10" max="10" width="106.109375" style="37" bestFit="1" customWidth="1"/>
    <col min="11" max="11" width="8.44140625" style="37" bestFit="1" customWidth="1"/>
    <col min="12" max="13" width="9.109375" style="37"/>
    <col min="14" max="14" width="39.109375" style="37" bestFit="1" customWidth="1"/>
    <col min="15" max="15" width="17.33203125" style="37" bestFit="1" customWidth="1"/>
    <col min="16" max="16" width="12.6640625" style="37" bestFit="1" customWidth="1"/>
    <col min="17" max="17" width="11.44140625" style="37" bestFit="1" customWidth="1"/>
    <col min="18" max="16384" width="9.109375" style="37"/>
  </cols>
  <sheetData>
    <row r="1" spans="1:14" x14ac:dyDescent="0.3">
      <c r="A1" s="37" t="s">
        <v>68</v>
      </c>
      <c r="B1" s="37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75</v>
      </c>
      <c r="I1" s="37" t="s">
        <v>76</v>
      </c>
      <c r="J1" s="38" t="s">
        <v>77</v>
      </c>
      <c r="K1" s="37" t="s">
        <v>78</v>
      </c>
    </row>
    <row r="2" spans="1:14" x14ac:dyDescent="0.3">
      <c r="A2" s="39" t="s">
        <v>79</v>
      </c>
      <c r="B2" s="40">
        <v>44836</v>
      </c>
      <c r="C2" s="39">
        <v>1</v>
      </c>
      <c r="D2" s="39">
        <v>50</v>
      </c>
      <c r="E2" s="39">
        <v>50</v>
      </c>
      <c r="F2" s="39" t="s">
        <v>80</v>
      </c>
      <c r="G2" s="39" t="s">
        <v>80</v>
      </c>
      <c r="H2" s="39" t="s">
        <v>81</v>
      </c>
      <c r="I2" s="39" t="s">
        <v>82</v>
      </c>
      <c r="J2" s="41" t="s">
        <v>82</v>
      </c>
      <c r="K2" s="39">
        <v>50</v>
      </c>
      <c r="N2" s="37" t="s">
        <v>83</v>
      </c>
    </row>
    <row r="3" spans="1:14" x14ac:dyDescent="0.3">
      <c r="A3" s="39" t="s">
        <v>79</v>
      </c>
      <c r="B3" s="40">
        <v>44846</v>
      </c>
      <c r="C3" s="39">
        <v>2</v>
      </c>
      <c r="D3" s="39">
        <v>50</v>
      </c>
      <c r="E3" s="39">
        <v>100</v>
      </c>
      <c r="F3" s="39" t="s">
        <v>80</v>
      </c>
      <c r="G3" s="39" t="s">
        <v>80</v>
      </c>
      <c r="H3" s="39" t="s">
        <v>84</v>
      </c>
      <c r="I3" s="39" t="s">
        <v>82</v>
      </c>
      <c r="J3" s="39" t="s">
        <v>85</v>
      </c>
      <c r="K3" s="39">
        <v>100</v>
      </c>
    </row>
    <row r="4" spans="1:14" x14ac:dyDescent="0.3">
      <c r="A4" s="39" t="s">
        <v>79</v>
      </c>
      <c r="B4" s="40">
        <v>44858</v>
      </c>
      <c r="C4" s="39">
        <v>1</v>
      </c>
      <c r="D4" s="39">
        <v>50</v>
      </c>
      <c r="E4" s="39">
        <v>50</v>
      </c>
      <c r="F4" s="39" t="s">
        <v>80</v>
      </c>
      <c r="G4" s="39" t="s">
        <v>80</v>
      </c>
      <c r="H4" s="39" t="s">
        <v>86</v>
      </c>
      <c r="I4" s="39" t="s">
        <v>82</v>
      </c>
      <c r="J4" s="39" t="s">
        <v>85</v>
      </c>
      <c r="K4" s="39">
        <v>50</v>
      </c>
    </row>
    <row r="5" spans="1:14" x14ac:dyDescent="0.3">
      <c r="A5" s="39" t="s">
        <v>79</v>
      </c>
      <c r="B5" s="40">
        <v>44859</v>
      </c>
      <c r="C5" s="39">
        <v>0.75</v>
      </c>
      <c r="D5" s="39">
        <v>50</v>
      </c>
      <c r="E5" s="39">
        <v>37.5</v>
      </c>
      <c r="F5" s="39" t="s">
        <v>80</v>
      </c>
      <c r="G5" s="39" t="s">
        <v>80</v>
      </c>
      <c r="H5" s="39" t="s">
        <v>87</v>
      </c>
      <c r="I5" s="39" t="s">
        <v>82</v>
      </c>
      <c r="J5" s="39" t="s">
        <v>85</v>
      </c>
      <c r="K5" s="39">
        <v>37.5</v>
      </c>
    </row>
    <row r="6" spans="1:14" x14ac:dyDescent="0.3">
      <c r="A6" s="39" t="s">
        <v>79</v>
      </c>
      <c r="B6" s="40">
        <v>44861</v>
      </c>
      <c r="C6" s="39">
        <v>1</v>
      </c>
      <c r="D6" s="39">
        <v>50</v>
      </c>
      <c r="E6" s="39">
        <v>50</v>
      </c>
      <c r="F6" s="39" t="s">
        <v>80</v>
      </c>
      <c r="G6" s="39" t="s">
        <v>80</v>
      </c>
      <c r="H6" s="39" t="s">
        <v>88</v>
      </c>
      <c r="I6" s="39" t="s">
        <v>82</v>
      </c>
      <c r="J6" s="39" t="s">
        <v>85</v>
      </c>
      <c r="K6" s="39">
        <v>50</v>
      </c>
    </row>
    <row r="7" spans="1:14" x14ac:dyDescent="0.3">
      <c r="A7" s="39" t="s">
        <v>89</v>
      </c>
      <c r="B7" s="40">
        <v>44849</v>
      </c>
      <c r="C7" s="39">
        <v>1</v>
      </c>
      <c r="D7" s="39">
        <v>60</v>
      </c>
      <c r="E7" s="39">
        <v>60</v>
      </c>
      <c r="F7" s="39" t="s">
        <v>80</v>
      </c>
      <c r="G7" s="39" t="s">
        <v>80</v>
      </c>
      <c r="H7" s="39" t="s">
        <v>90</v>
      </c>
      <c r="I7" s="39" t="s">
        <v>82</v>
      </c>
      <c r="J7" s="39" t="s">
        <v>85</v>
      </c>
      <c r="K7" s="39">
        <v>60</v>
      </c>
    </row>
    <row r="8" spans="1:14" x14ac:dyDescent="0.3">
      <c r="A8" s="39" t="s">
        <v>91</v>
      </c>
      <c r="B8" s="40">
        <v>44852</v>
      </c>
      <c r="C8" s="39">
        <v>3.5</v>
      </c>
      <c r="D8" s="39">
        <v>50</v>
      </c>
      <c r="E8" s="39">
        <v>175</v>
      </c>
      <c r="F8" s="39" t="s">
        <v>80</v>
      </c>
      <c r="G8" s="39" t="s">
        <v>80</v>
      </c>
      <c r="H8" s="39" t="s">
        <v>92</v>
      </c>
      <c r="I8" s="39" t="s">
        <v>80</v>
      </c>
      <c r="J8" s="39" t="s">
        <v>93</v>
      </c>
      <c r="K8" s="39">
        <v>200</v>
      </c>
    </row>
    <row r="9" spans="1:14" x14ac:dyDescent="0.3">
      <c r="A9" s="39" t="s">
        <v>91</v>
      </c>
      <c r="B9" s="40">
        <v>44857</v>
      </c>
      <c r="C9" s="39">
        <v>1</v>
      </c>
      <c r="D9" s="39">
        <v>50</v>
      </c>
      <c r="E9" s="39">
        <v>50</v>
      </c>
      <c r="F9" s="39" t="s">
        <v>80</v>
      </c>
      <c r="G9" s="39" t="s">
        <v>80</v>
      </c>
      <c r="H9" s="39" t="s">
        <v>94</v>
      </c>
      <c r="I9" s="39" t="s">
        <v>82</v>
      </c>
      <c r="J9" s="39" t="s">
        <v>95</v>
      </c>
      <c r="K9" s="39">
        <v>50</v>
      </c>
    </row>
    <row r="10" spans="1:14" x14ac:dyDescent="0.3">
      <c r="A10" s="39" t="s">
        <v>96</v>
      </c>
      <c r="B10" s="40">
        <v>44837</v>
      </c>
      <c r="C10" s="39">
        <v>1</v>
      </c>
      <c r="D10" s="39">
        <v>50</v>
      </c>
      <c r="E10" s="39">
        <v>50</v>
      </c>
      <c r="F10" s="39" t="s">
        <v>80</v>
      </c>
      <c r="G10" s="39" t="s">
        <v>80</v>
      </c>
      <c r="H10" s="39" t="s">
        <v>97</v>
      </c>
      <c r="I10" s="39" t="s">
        <v>82</v>
      </c>
      <c r="J10" s="39" t="s">
        <v>85</v>
      </c>
      <c r="K10" s="39">
        <v>50</v>
      </c>
    </row>
    <row r="11" spans="1:14" x14ac:dyDescent="0.3">
      <c r="A11" s="39" t="s">
        <v>98</v>
      </c>
      <c r="B11" s="40">
        <v>44842</v>
      </c>
      <c r="C11" s="39">
        <v>1</v>
      </c>
      <c r="D11" s="39">
        <v>60</v>
      </c>
      <c r="E11" s="39">
        <v>60</v>
      </c>
      <c r="F11" s="39" t="s">
        <v>80</v>
      </c>
      <c r="G11" s="39" t="s">
        <v>80</v>
      </c>
      <c r="H11" s="39" t="s">
        <v>99</v>
      </c>
      <c r="I11" s="39" t="s">
        <v>82</v>
      </c>
      <c r="J11" s="39" t="s">
        <v>85</v>
      </c>
      <c r="K11" s="39">
        <v>60</v>
      </c>
    </row>
    <row r="12" spans="1:14" x14ac:dyDescent="0.3">
      <c r="A12" s="39" t="s">
        <v>98</v>
      </c>
      <c r="B12" s="40">
        <v>44846</v>
      </c>
      <c r="C12" s="39">
        <v>1</v>
      </c>
      <c r="D12" s="39">
        <v>60</v>
      </c>
      <c r="E12" s="39">
        <v>60</v>
      </c>
      <c r="F12" s="39" t="s">
        <v>80</v>
      </c>
      <c r="G12" s="39" t="s">
        <v>80</v>
      </c>
      <c r="H12" s="39" t="s">
        <v>99</v>
      </c>
      <c r="I12" s="39" t="s">
        <v>82</v>
      </c>
      <c r="J12" s="39" t="s">
        <v>85</v>
      </c>
      <c r="K12" s="39">
        <v>60</v>
      </c>
    </row>
    <row r="13" spans="1:14" x14ac:dyDescent="0.3">
      <c r="A13" s="39" t="s">
        <v>98</v>
      </c>
      <c r="B13" s="40">
        <v>44853</v>
      </c>
      <c r="C13" s="39">
        <v>1.25</v>
      </c>
      <c r="D13" s="39">
        <v>60</v>
      </c>
      <c r="E13" s="39">
        <v>75</v>
      </c>
      <c r="F13" s="39" t="s">
        <v>80</v>
      </c>
      <c r="G13" s="39" t="s">
        <v>80</v>
      </c>
      <c r="H13" s="39" t="s">
        <v>100</v>
      </c>
      <c r="I13" s="39" t="s">
        <v>82</v>
      </c>
      <c r="J13" s="39" t="s">
        <v>85</v>
      </c>
      <c r="K13" s="39">
        <v>75</v>
      </c>
    </row>
    <row r="14" spans="1:14" x14ac:dyDescent="0.3">
      <c r="A14" s="39" t="s">
        <v>101</v>
      </c>
      <c r="B14" s="40">
        <v>44856</v>
      </c>
      <c r="C14" s="39">
        <v>1</v>
      </c>
      <c r="D14" s="39">
        <v>60</v>
      </c>
      <c r="E14" s="39">
        <v>60</v>
      </c>
      <c r="F14" s="39" t="s">
        <v>80</v>
      </c>
      <c r="G14" s="39" t="s">
        <v>80</v>
      </c>
      <c r="H14" s="39" t="s">
        <v>99</v>
      </c>
      <c r="I14" s="39" t="s">
        <v>82</v>
      </c>
      <c r="J14" s="39" t="s">
        <v>85</v>
      </c>
      <c r="K14" s="39">
        <v>60</v>
      </c>
      <c r="N14" s="37" t="s">
        <v>102</v>
      </c>
    </row>
    <row r="15" spans="1:14" x14ac:dyDescent="0.3">
      <c r="A15" s="39" t="s">
        <v>103</v>
      </c>
      <c r="B15" s="40">
        <v>44845</v>
      </c>
      <c r="C15" s="39">
        <v>1</v>
      </c>
      <c r="D15" s="39">
        <v>50</v>
      </c>
      <c r="E15" s="39">
        <v>50</v>
      </c>
      <c r="F15" s="39" t="s">
        <v>80</v>
      </c>
      <c r="G15" s="39" t="s">
        <v>80</v>
      </c>
      <c r="H15" s="39" t="s">
        <v>104</v>
      </c>
      <c r="I15" s="39" t="s">
        <v>82</v>
      </c>
      <c r="J15" s="39" t="s">
        <v>85</v>
      </c>
      <c r="K15" s="39">
        <v>50</v>
      </c>
    </row>
    <row r="16" spans="1:14" x14ac:dyDescent="0.3">
      <c r="A16" s="39" t="s">
        <v>103</v>
      </c>
      <c r="B16" s="40">
        <v>44851</v>
      </c>
      <c r="C16" s="39">
        <v>1.5</v>
      </c>
      <c r="D16" s="39">
        <v>50</v>
      </c>
      <c r="E16" s="39">
        <v>75</v>
      </c>
      <c r="F16" s="39" t="s">
        <v>80</v>
      </c>
      <c r="G16" s="39" t="s">
        <v>80</v>
      </c>
      <c r="H16" s="39" t="s">
        <v>105</v>
      </c>
      <c r="I16" s="39" t="s">
        <v>82</v>
      </c>
      <c r="J16" s="39" t="s">
        <v>85</v>
      </c>
      <c r="K16" s="39">
        <v>75</v>
      </c>
    </row>
    <row r="17" spans="1:17" x14ac:dyDescent="0.3">
      <c r="A17" s="39" t="s">
        <v>106</v>
      </c>
      <c r="B17" s="40">
        <v>44851</v>
      </c>
      <c r="C17" s="39">
        <v>1.5</v>
      </c>
      <c r="D17" s="39">
        <v>50</v>
      </c>
      <c r="E17" s="39">
        <v>75</v>
      </c>
      <c r="F17" s="39" t="s">
        <v>80</v>
      </c>
      <c r="G17" s="39" t="s">
        <v>80</v>
      </c>
      <c r="H17" s="39" t="s">
        <v>107</v>
      </c>
      <c r="I17" s="39" t="s">
        <v>82</v>
      </c>
      <c r="J17" s="39" t="s">
        <v>85</v>
      </c>
      <c r="K17" s="39">
        <v>75</v>
      </c>
    </row>
    <row r="18" spans="1:17" x14ac:dyDescent="0.3">
      <c r="A18" s="39" t="s">
        <v>106</v>
      </c>
      <c r="B18" s="40">
        <v>44857</v>
      </c>
      <c r="C18" s="39">
        <v>1.5</v>
      </c>
      <c r="D18" s="39">
        <v>50</v>
      </c>
      <c r="E18" s="39">
        <v>75</v>
      </c>
      <c r="F18" s="39" t="s">
        <v>80</v>
      </c>
      <c r="G18" s="39" t="s">
        <v>80</v>
      </c>
      <c r="H18" s="39" t="s">
        <v>107</v>
      </c>
      <c r="I18" s="39" t="s">
        <v>82</v>
      </c>
      <c r="J18" s="39" t="s">
        <v>85</v>
      </c>
      <c r="K18" s="39">
        <v>75</v>
      </c>
      <c r="O18" s="47" t="s">
        <v>149</v>
      </c>
      <c r="P18" t="s">
        <v>151</v>
      </c>
      <c r="Q18" t="s">
        <v>152</v>
      </c>
    </row>
    <row r="19" spans="1:17" x14ac:dyDescent="0.3">
      <c r="A19" s="39" t="s">
        <v>108</v>
      </c>
      <c r="B19" s="40">
        <v>44836</v>
      </c>
      <c r="C19" s="39">
        <v>1.5</v>
      </c>
      <c r="D19" s="39">
        <v>50</v>
      </c>
      <c r="E19" s="39">
        <v>75</v>
      </c>
      <c r="F19" s="39" t="s">
        <v>80</v>
      </c>
      <c r="G19" s="39" t="s">
        <v>80</v>
      </c>
      <c r="H19" s="39" t="s">
        <v>109</v>
      </c>
      <c r="I19" s="39" t="s">
        <v>82</v>
      </c>
      <c r="J19" s="41" t="s">
        <v>82</v>
      </c>
      <c r="K19" s="39">
        <v>75</v>
      </c>
      <c r="O19" s="48" t="s">
        <v>79</v>
      </c>
      <c r="P19">
        <v>5.75</v>
      </c>
      <c r="Q19">
        <v>287.5</v>
      </c>
    </row>
    <row r="20" spans="1:17" x14ac:dyDescent="0.3">
      <c r="A20" s="39" t="s">
        <v>110</v>
      </c>
      <c r="B20" s="40">
        <v>44836</v>
      </c>
      <c r="C20" s="39">
        <v>2</v>
      </c>
      <c r="D20" s="39">
        <v>50</v>
      </c>
      <c r="E20" s="39">
        <v>100</v>
      </c>
      <c r="F20" s="39" t="s">
        <v>80</v>
      </c>
      <c r="G20" s="39" t="s">
        <v>80</v>
      </c>
      <c r="H20" s="39" t="s">
        <v>111</v>
      </c>
      <c r="I20" s="39" t="s">
        <v>82</v>
      </c>
      <c r="J20" s="41" t="s">
        <v>82</v>
      </c>
      <c r="K20" s="39">
        <v>100</v>
      </c>
      <c r="O20" s="48" t="s">
        <v>89</v>
      </c>
      <c r="P20">
        <v>1</v>
      </c>
      <c r="Q20">
        <v>60</v>
      </c>
    </row>
    <row r="21" spans="1:17" ht="14.25" customHeight="1" x14ac:dyDescent="0.3">
      <c r="A21" s="39" t="s">
        <v>110</v>
      </c>
      <c r="B21" s="40">
        <v>44854</v>
      </c>
      <c r="C21" s="39">
        <v>1.5</v>
      </c>
      <c r="D21" s="39">
        <v>50</v>
      </c>
      <c r="E21" s="39">
        <v>75</v>
      </c>
      <c r="F21" s="39" t="s">
        <v>80</v>
      </c>
      <c r="G21" s="39" t="s">
        <v>80</v>
      </c>
      <c r="H21" s="39" t="s">
        <v>111</v>
      </c>
      <c r="I21" s="39" t="s">
        <v>82</v>
      </c>
      <c r="J21" s="39" t="s">
        <v>112</v>
      </c>
      <c r="K21" s="39">
        <v>75</v>
      </c>
      <c r="O21" s="48" t="s">
        <v>91</v>
      </c>
      <c r="P21">
        <v>4.5</v>
      </c>
      <c r="Q21">
        <v>225</v>
      </c>
    </row>
    <row r="22" spans="1:17" x14ac:dyDescent="0.3">
      <c r="A22" s="39" t="s">
        <v>113</v>
      </c>
      <c r="B22" s="40">
        <v>44847</v>
      </c>
      <c r="C22" s="39">
        <v>2</v>
      </c>
      <c r="D22" s="39">
        <v>50</v>
      </c>
      <c r="E22" s="39">
        <v>100</v>
      </c>
      <c r="F22" s="39" t="s">
        <v>80</v>
      </c>
      <c r="G22" s="39" t="s">
        <v>80</v>
      </c>
      <c r="H22" s="39" t="s">
        <v>114</v>
      </c>
      <c r="I22" s="39" t="s">
        <v>82</v>
      </c>
      <c r="J22" s="39" t="s">
        <v>85</v>
      </c>
      <c r="K22" s="39">
        <v>100</v>
      </c>
      <c r="O22" s="48" t="s">
        <v>96</v>
      </c>
      <c r="P22">
        <v>1</v>
      </c>
      <c r="Q22">
        <v>50</v>
      </c>
    </row>
    <row r="23" spans="1:17" x14ac:dyDescent="0.3">
      <c r="A23" s="39" t="s">
        <v>115</v>
      </c>
      <c r="B23" s="40">
        <v>44856</v>
      </c>
      <c r="C23" s="39">
        <v>0.5</v>
      </c>
      <c r="D23" s="39">
        <v>60</v>
      </c>
      <c r="E23" s="39">
        <v>30</v>
      </c>
      <c r="F23" s="39" t="s">
        <v>80</v>
      </c>
      <c r="G23" s="39" t="s">
        <v>80</v>
      </c>
      <c r="H23" s="39" t="s">
        <v>116</v>
      </c>
      <c r="I23" s="39" t="s">
        <v>82</v>
      </c>
      <c r="J23" s="39" t="s">
        <v>85</v>
      </c>
      <c r="K23" s="39">
        <v>30</v>
      </c>
      <c r="O23" s="48" t="s">
        <v>98</v>
      </c>
      <c r="P23">
        <v>3.25</v>
      </c>
      <c r="Q23">
        <v>195</v>
      </c>
    </row>
    <row r="24" spans="1:17" x14ac:dyDescent="0.3">
      <c r="A24" s="39" t="s">
        <v>117</v>
      </c>
      <c r="B24" s="40">
        <v>44857</v>
      </c>
      <c r="C24" s="39">
        <v>2</v>
      </c>
      <c r="D24" s="39">
        <v>50</v>
      </c>
      <c r="E24" s="39">
        <v>100</v>
      </c>
      <c r="F24" s="39" t="s">
        <v>80</v>
      </c>
      <c r="G24" s="39" t="s">
        <v>80</v>
      </c>
      <c r="H24" s="39" t="s">
        <v>118</v>
      </c>
      <c r="I24" s="39" t="s">
        <v>82</v>
      </c>
      <c r="J24" s="39" t="s">
        <v>85</v>
      </c>
      <c r="K24" s="39">
        <v>100</v>
      </c>
      <c r="O24" s="48" t="s">
        <v>101</v>
      </c>
      <c r="P24">
        <v>1</v>
      </c>
      <c r="Q24">
        <v>60</v>
      </c>
    </row>
    <row r="25" spans="1:17" x14ac:dyDescent="0.3">
      <c r="A25" s="39" t="s">
        <v>117</v>
      </c>
      <c r="B25" s="40">
        <v>44863</v>
      </c>
      <c r="C25" s="39">
        <v>1</v>
      </c>
      <c r="D25" s="39">
        <v>50</v>
      </c>
      <c r="E25" s="39">
        <v>50</v>
      </c>
      <c r="F25" s="39" t="s">
        <v>80</v>
      </c>
      <c r="G25" s="39" t="s">
        <v>80</v>
      </c>
      <c r="H25" s="39" t="s">
        <v>119</v>
      </c>
      <c r="I25" s="39" t="s">
        <v>82</v>
      </c>
      <c r="J25" s="39" t="s">
        <v>85</v>
      </c>
      <c r="K25" s="39">
        <v>50</v>
      </c>
      <c r="O25" s="48" t="s">
        <v>103</v>
      </c>
      <c r="P25">
        <v>2.5</v>
      </c>
      <c r="Q25">
        <v>125</v>
      </c>
    </row>
    <row r="26" spans="1:17" x14ac:dyDescent="0.3">
      <c r="A26" s="39" t="s">
        <v>117</v>
      </c>
      <c r="B26" s="40">
        <v>44865</v>
      </c>
      <c r="C26" s="39">
        <v>1</v>
      </c>
      <c r="D26" s="39">
        <v>50</v>
      </c>
      <c r="E26" s="39">
        <v>50</v>
      </c>
      <c r="F26" s="39" t="s">
        <v>80</v>
      </c>
      <c r="G26" s="39" t="s">
        <v>80</v>
      </c>
      <c r="H26" s="39" t="s">
        <v>119</v>
      </c>
      <c r="I26" s="39" t="s">
        <v>82</v>
      </c>
      <c r="J26" s="39" t="s">
        <v>85</v>
      </c>
      <c r="K26" s="39">
        <v>50</v>
      </c>
      <c r="O26" s="48" t="s">
        <v>106</v>
      </c>
      <c r="P26">
        <v>3</v>
      </c>
      <c r="Q26">
        <v>150</v>
      </c>
    </row>
    <row r="27" spans="1:17" x14ac:dyDescent="0.3">
      <c r="A27" s="39" t="s">
        <v>120</v>
      </c>
      <c r="B27" s="40">
        <v>44838</v>
      </c>
      <c r="C27" s="39">
        <v>1</v>
      </c>
      <c r="D27" s="39">
        <v>50</v>
      </c>
      <c r="E27" s="39">
        <v>50</v>
      </c>
      <c r="F27" s="39" t="s">
        <v>80</v>
      </c>
      <c r="G27" s="39" t="s">
        <v>80</v>
      </c>
      <c r="H27" s="39" t="s">
        <v>121</v>
      </c>
      <c r="I27" s="39" t="s">
        <v>82</v>
      </c>
      <c r="J27" s="39" t="s">
        <v>85</v>
      </c>
      <c r="K27" s="39">
        <v>50</v>
      </c>
      <c r="O27" s="48" t="s">
        <v>108</v>
      </c>
      <c r="P27">
        <v>1.5</v>
      </c>
      <c r="Q27">
        <v>75</v>
      </c>
    </row>
    <row r="28" spans="1:17" x14ac:dyDescent="0.3">
      <c r="A28" s="39" t="s">
        <v>120</v>
      </c>
      <c r="B28" s="40">
        <v>44840</v>
      </c>
      <c r="C28" s="39">
        <v>2</v>
      </c>
      <c r="D28" s="39">
        <v>50</v>
      </c>
      <c r="E28" s="39">
        <v>100</v>
      </c>
      <c r="F28" s="39" t="s">
        <v>80</v>
      </c>
      <c r="G28" s="39" t="s">
        <v>80</v>
      </c>
      <c r="H28" s="39" t="s">
        <v>121</v>
      </c>
      <c r="I28" s="39" t="s">
        <v>82</v>
      </c>
      <c r="J28" s="39" t="s">
        <v>85</v>
      </c>
      <c r="K28" s="39">
        <v>100</v>
      </c>
      <c r="O28" s="48" t="s">
        <v>110</v>
      </c>
      <c r="P28">
        <v>3.5</v>
      </c>
      <c r="Q28">
        <v>175</v>
      </c>
    </row>
    <row r="29" spans="1:17" x14ac:dyDescent="0.3">
      <c r="A29" s="39" t="s">
        <v>120</v>
      </c>
      <c r="B29" s="40">
        <v>44851</v>
      </c>
      <c r="C29" s="39">
        <v>1.5</v>
      </c>
      <c r="D29" s="39">
        <v>50</v>
      </c>
      <c r="E29" s="39">
        <v>75</v>
      </c>
      <c r="F29" s="39" t="s">
        <v>80</v>
      </c>
      <c r="G29" s="39" t="s">
        <v>80</v>
      </c>
      <c r="H29" s="39" t="s">
        <v>122</v>
      </c>
      <c r="I29" s="39" t="s">
        <v>82</v>
      </c>
      <c r="J29" s="39" t="s">
        <v>85</v>
      </c>
      <c r="K29" s="39">
        <v>75</v>
      </c>
      <c r="O29" s="48" t="s">
        <v>113</v>
      </c>
      <c r="P29">
        <v>2</v>
      </c>
      <c r="Q29">
        <v>100</v>
      </c>
    </row>
    <row r="30" spans="1:17" x14ac:dyDescent="0.3">
      <c r="A30" s="39" t="s">
        <v>120</v>
      </c>
      <c r="B30" s="40">
        <v>44857</v>
      </c>
      <c r="C30" s="39">
        <v>1</v>
      </c>
      <c r="D30" s="39">
        <v>50</v>
      </c>
      <c r="E30" s="39">
        <v>75</v>
      </c>
      <c r="F30" s="39" t="s">
        <v>80</v>
      </c>
      <c r="G30" s="39" t="s">
        <v>80</v>
      </c>
      <c r="H30" s="39" t="s">
        <v>121</v>
      </c>
      <c r="I30" s="39" t="s">
        <v>82</v>
      </c>
      <c r="J30" s="39" t="s">
        <v>85</v>
      </c>
      <c r="K30" s="39">
        <v>75</v>
      </c>
      <c r="O30" s="48" t="s">
        <v>115</v>
      </c>
      <c r="P30">
        <v>0.5</v>
      </c>
      <c r="Q30">
        <v>30</v>
      </c>
    </row>
    <row r="31" spans="1:17" x14ac:dyDescent="0.3">
      <c r="A31" s="39" t="s">
        <v>120</v>
      </c>
      <c r="B31" s="40">
        <v>44858</v>
      </c>
      <c r="C31" s="39">
        <v>1</v>
      </c>
      <c r="D31" s="39">
        <v>50</v>
      </c>
      <c r="E31" s="39">
        <v>50</v>
      </c>
      <c r="F31" s="39" t="s">
        <v>80</v>
      </c>
      <c r="G31" s="39" t="s">
        <v>80</v>
      </c>
      <c r="H31" s="39" t="s">
        <v>121</v>
      </c>
      <c r="I31" s="39" t="s">
        <v>82</v>
      </c>
      <c r="J31" s="39" t="s">
        <v>85</v>
      </c>
      <c r="K31" s="39">
        <v>50</v>
      </c>
      <c r="O31" s="48" t="s">
        <v>117</v>
      </c>
      <c r="P31">
        <v>4</v>
      </c>
      <c r="Q31">
        <v>200</v>
      </c>
    </row>
    <row r="32" spans="1:17" x14ac:dyDescent="0.3">
      <c r="A32" s="39" t="s">
        <v>120</v>
      </c>
      <c r="B32" s="40">
        <v>44859</v>
      </c>
      <c r="C32" s="39">
        <v>1</v>
      </c>
      <c r="D32" s="39">
        <v>50</v>
      </c>
      <c r="E32" s="39">
        <v>50</v>
      </c>
      <c r="F32" s="39" t="s">
        <v>80</v>
      </c>
      <c r="G32" s="39" t="s">
        <v>80</v>
      </c>
      <c r="H32" s="39" t="s">
        <v>121</v>
      </c>
      <c r="I32" s="39" t="s">
        <v>82</v>
      </c>
      <c r="J32" s="39" t="s">
        <v>85</v>
      </c>
      <c r="K32" s="39">
        <v>50</v>
      </c>
      <c r="O32" s="48" t="s">
        <v>120</v>
      </c>
      <c r="P32">
        <v>8.75</v>
      </c>
      <c r="Q32">
        <v>462.5</v>
      </c>
    </row>
    <row r="33" spans="1:17" x14ac:dyDescent="0.3">
      <c r="A33" s="39" t="s">
        <v>120</v>
      </c>
      <c r="B33" s="40">
        <v>44860</v>
      </c>
      <c r="C33" s="39">
        <v>1.25</v>
      </c>
      <c r="D33" s="39">
        <v>50</v>
      </c>
      <c r="E33" s="39">
        <v>62.5</v>
      </c>
      <c r="F33" s="39" t="s">
        <v>80</v>
      </c>
      <c r="G33" s="39" t="s">
        <v>80</v>
      </c>
      <c r="H33" s="39" t="s">
        <v>121</v>
      </c>
      <c r="I33" s="39" t="s">
        <v>82</v>
      </c>
      <c r="J33" s="39" t="s">
        <v>85</v>
      </c>
      <c r="K33" s="39">
        <v>62.5</v>
      </c>
      <c r="O33" s="48" t="s">
        <v>123</v>
      </c>
      <c r="P33">
        <v>1.5</v>
      </c>
      <c r="Q33">
        <v>75</v>
      </c>
    </row>
    <row r="34" spans="1:17" x14ac:dyDescent="0.3">
      <c r="A34" s="39" t="s">
        <v>123</v>
      </c>
      <c r="B34" s="40">
        <v>44846</v>
      </c>
      <c r="C34" s="39">
        <v>1.5</v>
      </c>
      <c r="D34" s="39">
        <v>50</v>
      </c>
      <c r="E34" s="39">
        <v>75</v>
      </c>
      <c r="F34" s="39" t="s">
        <v>80</v>
      </c>
      <c r="G34" s="39" t="s">
        <v>80</v>
      </c>
      <c r="H34" s="39" t="s">
        <v>124</v>
      </c>
      <c r="I34" s="39" t="s">
        <v>82</v>
      </c>
      <c r="J34" s="39" t="s">
        <v>85</v>
      </c>
      <c r="K34" s="39">
        <v>75</v>
      </c>
      <c r="O34" s="48" t="s">
        <v>125</v>
      </c>
      <c r="P34">
        <v>2</v>
      </c>
      <c r="Q34">
        <v>120</v>
      </c>
    </row>
    <row r="35" spans="1:17" x14ac:dyDescent="0.3">
      <c r="A35" s="39" t="s">
        <v>125</v>
      </c>
      <c r="B35" s="40">
        <v>44860</v>
      </c>
      <c r="C35" s="39">
        <v>1</v>
      </c>
      <c r="D35" s="39">
        <v>60</v>
      </c>
      <c r="E35" s="39">
        <v>60</v>
      </c>
      <c r="F35" s="39" t="s">
        <v>126</v>
      </c>
      <c r="G35" s="39" t="s">
        <v>80</v>
      </c>
      <c r="H35" s="39" t="s">
        <v>127</v>
      </c>
      <c r="I35" s="39" t="s">
        <v>82</v>
      </c>
      <c r="J35" s="39" t="s">
        <v>85</v>
      </c>
      <c r="K35" s="39">
        <v>60</v>
      </c>
      <c r="O35" s="48" t="s">
        <v>128</v>
      </c>
      <c r="P35">
        <v>11.5</v>
      </c>
      <c r="Q35">
        <v>450</v>
      </c>
    </row>
    <row r="36" spans="1:17" x14ac:dyDescent="0.3">
      <c r="A36" s="39" t="s">
        <v>125</v>
      </c>
      <c r="B36" s="40">
        <v>44861</v>
      </c>
      <c r="C36" s="39">
        <v>1</v>
      </c>
      <c r="D36" s="39">
        <v>60</v>
      </c>
      <c r="E36" s="39">
        <v>60</v>
      </c>
      <c r="F36" s="39" t="s">
        <v>80</v>
      </c>
      <c r="G36" s="39" t="s">
        <v>80</v>
      </c>
      <c r="H36" s="39" t="s">
        <v>127</v>
      </c>
      <c r="I36" s="39" t="s">
        <v>82</v>
      </c>
      <c r="J36" s="39" t="s">
        <v>85</v>
      </c>
      <c r="K36" s="39">
        <v>60</v>
      </c>
      <c r="O36" s="48" t="s">
        <v>150</v>
      </c>
      <c r="P36">
        <v>57.25</v>
      </c>
      <c r="Q36">
        <v>2840</v>
      </c>
    </row>
    <row r="37" spans="1:17" x14ac:dyDescent="0.3">
      <c r="A37" s="39" t="s">
        <v>128</v>
      </c>
      <c r="B37" s="40">
        <v>44840</v>
      </c>
      <c r="C37" s="39">
        <v>1.5</v>
      </c>
      <c r="D37" s="39">
        <v>50</v>
      </c>
      <c r="E37" s="39">
        <v>75</v>
      </c>
      <c r="F37" s="39" t="s">
        <v>80</v>
      </c>
      <c r="G37" s="39" t="s">
        <v>80</v>
      </c>
      <c r="H37" s="39" t="s">
        <v>129</v>
      </c>
      <c r="I37" s="39" t="s">
        <v>82</v>
      </c>
      <c r="J37" s="39" t="s">
        <v>85</v>
      </c>
      <c r="K37" s="39">
        <v>75</v>
      </c>
    </row>
    <row r="38" spans="1:17" x14ac:dyDescent="0.3">
      <c r="A38" s="39" t="s">
        <v>128</v>
      </c>
      <c r="B38" s="40">
        <v>44855</v>
      </c>
      <c r="C38" s="39">
        <v>2</v>
      </c>
      <c r="D38" s="39">
        <v>50</v>
      </c>
      <c r="E38" s="39">
        <v>100</v>
      </c>
      <c r="F38" s="39" t="s">
        <v>80</v>
      </c>
      <c r="G38" s="39" t="s">
        <v>80</v>
      </c>
      <c r="H38" s="39" t="s">
        <v>114</v>
      </c>
      <c r="I38" s="39" t="s">
        <v>82</v>
      </c>
      <c r="J38" s="39" t="s">
        <v>85</v>
      </c>
      <c r="K38" s="39">
        <v>100</v>
      </c>
    </row>
    <row r="39" spans="1:17" x14ac:dyDescent="0.3">
      <c r="A39" s="39" t="s">
        <v>128</v>
      </c>
      <c r="B39" s="40">
        <v>44857</v>
      </c>
      <c r="C39" s="39">
        <v>0.5</v>
      </c>
      <c r="D39" s="39">
        <v>50</v>
      </c>
      <c r="E39" s="39">
        <v>25</v>
      </c>
      <c r="F39" s="39" t="s">
        <v>82</v>
      </c>
      <c r="G39" s="39" t="s">
        <v>80</v>
      </c>
      <c r="H39" s="39" t="s">
        <v>114</v>
      </c>
      <c r="I39" s="39" t="s">
        <v>82</v>
      </c>
      <c r="J39" s="39" t="s">
        <v>85</v>
      </c>
      <c r="K39" s="39">
        <v>25</v>
      </c>
    </row>
    <row r="40" spans="1:17" x14ac:dyDescent="0.3">
      <c r="A40" s="39" t="s">
        <v>128</v>
      </c>
      <c r="B40" s="40">
        <v>44863</v>
      </c>
      <c r="C40" s="39">
        <v>5</v>
      </c>
      <c r="D40" s="39">
        <v>50</v>
      </c>
      <c r="E40" s="39">
        <v>125</v>
      </c>
      <c r="F40" s="39" t="s">
        <v>80</v>
      </c>
      <c r="G40" s="39" t="s">
        <v>80</v>
      </c>
      <c r="H40" s="39" t="s">
        <v>114</v>
      </c>
      <c r="I40" s="39" t="s">
        <v>82</v>
      </c>
      <c r="J40" s="39" t="s">
        <v>85</v>
      </c>
      <c r="K40" s="39">
        <v>250</v>
      </c>
    </row>
    <row r="41" spans="1:17" x14ac:dyDescent="0.3">
      <c r="A41" s="39" t="s">
        <v>128</v>
      </c>
      <c r="B41" s="40">
        <v>44864</v>
      </c>
      <c r="C41" s="39">
        <v>2.5</v>
      </c>
      <c r="D41" s="39">
        <v>50</v>
      </c>
      <c r="E41" s="39">
        <v>125</v>
      </c>
      <c r="F41" s="39" t="s">
        <v>80</v>
      </c>
      <c r="G41" s="39" t="s">
        <v>80</v>
      </c>
      <c r="H41" s="39" t="s">
        <v>114</v>
      </c>
      <c r="I41" s="39" t="s">
        <v>82</v>
      </c>
      <c r="J41" s="39" t="s">
        <v>130</v>
      </c>
      <c r="K41" s="39">
        <v>125</v>
      </c>
    </row>
    <row r="42" spans="1:17" x14ac:dyDescent="0.3">
      <c r="B42" s="42"/>
    </row>
    <row r="43" spans="1:17" x14ac:dyDescent="0.3">
      <c r="B43" s="42"/>
      <c r="K43" s="37">
        <f>SUM(K2:K41)</f>
        <v>2990</v>
      </c>
    </row>
  </sheetData>
  <autoFilter ref="A1:K41" xr:uid="{D3EF0EA6-529F-4507-9157-BE315FC3F571}">
    <sortState xmlns:xlrd2="http://schemas.microsoft.com/office/spreadsheetml/2017/richdata2" ref="A2:K41">
      <sortCondition ref="A1:A41"/>
    </sortState>
  </autoFilter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0884-CA0A-40B5-9B91-41BC9D88A1A2}">
  <dimension ref="A1:Q27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09375" defaultRowHeight="14.4" x14ac:dyDescent="0.3"/>
  <cols>
    <col min="1" max="1" width="16.33203125" style="37" bestFit="1" customWidth="1"/>
    <col min="2" max="2" width="7" style="37" bestFit="1" customWidth="1"/>
    <col min="3" max="3" width="6.109375" style="37" bestFit="1" customWidth="1"/>
    <col min="4" max="4" width="10.44140625" style="37" bestFit="1" customWidth="1"/>
    <col min="5" max="5" width="5" style="37" bestFit="1" customWidth="1"/>
    <col min="6" max="6" width="7.109375" style="37" bestFit="1" customWidth="1"/>
    <col min="7" max="7" width="38.44140625" style="37" bestFit="1" customWidth="1"/>
    <col min="8" max="8" width="27.109375" style="37" bestFit="1" customWidth="1"/>
    <col min="9" max="9" width="4.6640625" style="37" bestFit="1" customWidth="1"/>
    <col min="10" max="10" width="6.33203125" style="37" bestFit="1" customWidth="1"/>
    <col min="11" max="14" width="9.109375" style="37"/>
    <col min="15" max="15" width="16.33203125" style="37" bestFit="1" customWidth="1"/>
    <col min="16" max="16" width="12.6640625" style="37" bestFit="1" customWidth="1"/>
    <col min="17" max="17" width="11.44140625" style="37" bestFit="1" customWidth="1"/>
    <col min="18" max="16384" width="9.109375" style="37"/>
  </cols>
  <sheetData>
    <row r="1" spans="1:17" x14ac:dyDescent="0.3">
      <c r="A1" s="37" t="s">
        <v>68</v>
      </c>
      <c r="B1" s="37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75</v>
      </c>
      <c r="I1" s="37" t="s">
        <v>76</v>
      </c>
      <c r="J1" s="37" t="s">
        <v>78</v>
      </c>
    </row>
    <row r="2" spans="1:17" x14ac:dyDescent="0.3">
      <c r="A2" s="43" t="s">
        <v>120</v>
      </c>
      <c r="B2" s="44">
        <v>44822</v>
      </c>
      <c r="C2" s="43">
        <v>1</v>
      </c>
      <c r="D2" s="43">
        <v>50</v>
      </c>
      <c r="E2" s="43">
        <v>50</v>
      </c>
      <c r="F2" s="43" t="s">
        <v>80</v>
      </c>
      <c r="G2" s="43" t="s">
        <v>80</v>
      </c>
      <c r="H2" s="43" t="s">
        <v>131</v>
      </c>
      <c r="I2" s="43" t="s">
        <v>82</v>
      </c>
      <c r="J2" s="43">
        <v>50</v>
      </c>
      <c r="M2" s="37" t="s">
        <v>83</v>
      </c>
    </row>
    <row r="3" spans="1:17" x14ac:dyDescent="0.3">
      <c r="A3" s="43" t="s">
        <v>110</v>
      </c>
      <c r="B3" s="44">
        <v>44822</v>
      </c>
      <c r="C3" s="43">
        <v>2</v>
      </c>
      <c r="D3" s="43">
        <v>50</v>
      </c>
      <c r="E3" s="43">
        <v>100</v>
      </c>
      <c r="F3" s="43" t="s">
        <v>80</v>
      </c>
      <c r="G3" s="43" t="s">
        <v>80</v>
      </c>
      <c r="H3" s="43" t="s">
        <v>114</v>
      </c>
      <c r="I3" s="43" t="s">
        <v>82</v>
      </c>
      <c r="J3" s="43">
        <v>100</v>
      </c>
    </row>
    <row r="4" spans="1:17" x14ac:dyDescent="0.3">
      <c r="A4" s="43" t="s">
        <v>91</v>
      </c>
      <c r="B4" s="44">
        <v>44822</v>
      </c>
      <c r="C4" s="43">
        <v>1.5</v>
      </c>
      <c r="D4" s="43">
        <v>50</v>
      </c>
      <c r="E4" s="43">
        <v>75</v>
      </c>
      <c r="F4" s="43" t="s">
        <v>80</v>
      </c>
      <c r="G4" s="43" t="s">
        <v>80</v>
      </c>
      <c r="H4" s="43" t="s">
        <v>132</v>
      </c>
      <c r="I4" s="43">
        <v>25</v>
      </c>
      <c r="J4" s="43">
        <v>100</v>
      </c>
    </row>
    <row r="5" spans="1:17" x14ac:dyDescent="0.3">
      <c r="A5" s="43" t="s">
        <v>106</v>
      </c>
      <c r="B5" s="44">
        <v>44822</v>
      </c>
      <c r="C5" s="43">
        <v>1.5</v>
      </c>
      <c r="D5" s="43">
        <v>50</v>
      </c>
      <c r="E5" s="43">
        <v>75</v>
      </c>
      <c r="F5" s="43" t="s">
        <v>80</v>
      </c>
      <c r="G5" s="43" t="s">
        <v>80</v>
      </c>
      <c r="H5" s="43" t="s">
        <v>133</v>
      </c>
      <c r="I5" s="43" t="s">
        <v>82</v>
      </c>
      <c r="J5" s="43">
        <v>75</v>
      </c>
    </row>
    <row r="6" spans="1:17" x14ac:dyDescent="0.3">
      <c r="A6" s="43" t="s">
        <v>108</v>
      </c>
      <c r="B6" s="44">
        <v>44822</v>
      </c>
      <c r="C6" s="43">
        <v>1.5</v>
      </c>
      <c r="D6" s="43">
        <v>50</v>
      </c>
      <c r="E6" s="43">
        <v>75</v>
      </c>
      <c r="F6" s="43" t="s">
        <v>80</v>
      </c>
      <c r="G6" s="43" t="s">
        <v>80</v>
      </c>
      <c r="H6" s="43" t="s">
        <v>114</v>
      </c>
      <c r="I6" s="43" t="s">
        <v>82</v>
      </c>
      <c r="J6" s="43">
        <v>75</v>
      </c>
    </row>
    <row r="7" spans="1:17" x14ac:dyDescent="0.3">
      <c r="A7" s="43" t="s">
        <v>79</v>
      </c>
      <c r="B7" s="44">
        <v>44823</v>
      </c>
      <c r="C7" s="43">
        <v>2</v>
      </c>
      <c r="D7" s="43">
        <v>50</v>
      </c>
      <c r="E7" s="43">
        <v>100</v>
      </c>
      <c r="F7" s="43" t="s">
        <v>80</v>
      </c>
      <c r="G7" s="43" t="s">
        <v>80</v>
      </c>
      <c r="H7" s="43" t="s">
        <v>134</v>
      </c>
      <c r="I7" s="43" t="s">
        <v>82</v>
      </c>
      <c r="J7" s="43">
        <v>100</v>
      </c>
    </row>
    <row r="8" spans="1:17" x14ac:dyDescent="0.3">
      <c r="A8" s="43" t="s">
        <v>106</v>
      </c>
      <c r="B8" s="44">
        <v>44823</v>
      </c>
      <c r="C8" s="43">
        <v>1</v>
      </c>
      <c r="D8" s="43">
        <v>50</v>
      </c>
      <c r="E8" s="43">
        <v>50</v>
      </c>
      <c r="F8" s="43" t="s">
        <v>80</v>
      </c>
      <c r="G8" s="43" t="s">
        <v>80</v>
      </c>
      <c r="H8" s="43" t="s">
        <v>133</v>
      </c>
      <c r="I8" s="43" t="s">
        <v>82</v>
      </c>
      <c r="J8" s="43">
        <v>50</v>
      </c>
    </row>
    <row r="9" spans="1:17" x14ac:dyDescent="0.3">
      <c r="A9" s="43" t="s">
        <v>110</v>
      </c>
      <c r="B9" s="44">
        <v>44826</v>
      </c>
      <c r="C9" s="43">
        <v>1</v>
      </c>
      <c r="D9" s="43">
        <v>50</v>
      </c>
      <c r="E9" s="43">
        <v>50</v>
      </c>
      <c r="F9" s="43" t="s">
        <v>80</v>
      </c>
      <c r="G9" s="43" t="s">
        <v>80</v>
      </c>
      <c r="H9" s="43" t="s">
        <v>135</v>
      </c>
      <c r="I9" s="43" t="s">
        <v>82</v>
      </c>
      <c r="J9" s="43">
        <v>50</v>
      </c>
    </row>
    <row r="10" spans="1:17" x14ac:dyDescent="0.3">
      <c r="A10" s="43" t="s">
        <v>136</v>
      </c>
      <c r="B10" s="44">
        <v>44827</v>
      </c>
      <c r="C10" s="43">
        <v>0.5</v>
      </c>
      <c r="D10" s="43">
        <v>50</v>
      </c>
      <c r="E10" s="43">
        <v>25</v>
      </c>
      <c r="F10" s="43" t="s">
        <v>82</v>
      </c>
      <c r="G10" s="43" t="s">
        <v>137</v>
      </c>
      <c r="H10" s="43" t="s">
        <v>138</v>
      </c>
      <c r="I10" s="43"/>
      <c r="J10" s="43"/>
      <c r="O10" s="47" t="s">
        <v>149</v>
      </c>
      <c r="P10" t="s">
        <v>151</v>
      </c>
      <c r="Q10" t="s">
        <v>152</v>
      </c>
    </row>
    <row r="11" spans="1:17" x14ac:dyDescent="0.3">
      <c r="A11" s="43" t="s">
        <v>110</v>
      </c>
      <c r="B11" s="44">
        <v>44827</v>
      </c>
      <c r="C11" s="43">
        <v>1</v>
      </c>
      <c r="D11" s="43">
        <v>50</v>
      </c>
      <c r="E11" s="43">
        <v>50</v>
      </c>
      <c r="F11" s="43" t="s">
        <v>80</v>
      </c>
      <c r="G11" s="43" t="s">
        <v>80</v>
      </c>
      <c r="H11" s="43" t="s">
        <v>139</v>
      </c>
      <c r="I11" s="43" t="s">
        <v>82</v>
      </c>
      <c r="J11" s="43">
        <v>50</v>
      </c>
      <c r="O11" s="48" t="s">
        <v>79</v>
      </c>
      <c r="P11">
        <v>2</v>
      </c>
      <c r="Q11">
        <v>100</v>
      </c>
    </row>
    <row r="12" spans="1:17" x14ac:dyDescent="0.3">
      <c r="A12" s="43" t="s">
        <v>96</v>
      </c>
      <c r="B12" s="44">
        <v>44829</v>
      </c>
      <c r="C12" s="43">
        <v>1</v>
      </c>
      <c r="D12" s="43">
        <v>50</v>
      </c>
      <c r="E12" s="43">
        <v>50</v>
      </c>
      <c r="F12" s="43" t="s">
        <v>80</v>
      </c>
      <c r="G12" s="43" t="s">
        <v>80</v>
      </c>
      <c r="H12" s="43" t="s">
        <v>140</v>
      </c>
      <c r="I12" s="43" t="s">
        <v>82</v>
      </c>
      <c r="J12" s="43">
        <v>50</v>
      </c>
      <c r="O12" s="48" t="s">
        <v>91</v>
      </c>
      <c r="P12">
        <v>1.5</v>
      </c>
      <c r="Q12">
        <v>75</v>
      </c>
    </row>
    <row r="13" spans="1:17" x14ac:dyDescent="0.3">
      <c r="A13" s="43" t="s">
        <v>110</v>
      </c>
      <c r="B13" s="44">
        <v>44829</v>
      </c>
      <c r="C13" s="43">
        <v>2</v>
      </c>
      <c r="D13" s="43">
        <v>100</v>
      </c>
      <c r="E13" s="43">
        <v>100</v>
      </c>
      <c r="F13" s="43" t="s">
        <v>80</v>
      </c>
      <c r="G13" s="43" t="s">
        <v>80</v>
      </c>
      <c r="H13" s="43" t="s">
        <v>129</v>
      </c>
      <c r="I13" s="43" t="s">
        <v>82</v>
      </c>
      <c r="J13" s="43">
        <v>100</v>
      </c>
      <c r="O13" s="48" t="s">
        <v>96</v>
      </c>
      <c r="P13">
        <v>2</v>
      </c>
      <c r="Q13">
        <v>100</v>
      </c>
    </row>
    <row r="14" spans="1:17" x14ac:dyDescent="0.3">
      <c r="A14" s="43" t="s">
        <v>141</v>
      </c>
      <c r="B14" s="44">
        <v>44829</v>
      </c>
      <c r="C14" s="43">
        <v>2</v>
      </c>
      <c r="D14" s="43">
        <v>100</v>
      </c>
      <c r="E14" s="43">
        <v>100</v>
      </c>
      <c r="F14" s="43" t="s">
        <v>80</v>
      </c>
      <c r="G14" s="43" t="s">
        <v>80</v>
      </c>
      <c r="H14" s="43" t="s">
        <v>129</v>
      </c>
      <c r="I14" s="43" t="s">
        <v>82</v>
      </c>
      <c r="J14" s="43">
        <v>100</v>
      </c>
      <c r="O14" s="48" t="s">
        <v>106</v>
      </c>
      <c r="P14">
        <v>2.5</v>
      </c>
      <c r="Q14">
        <v>125</v>
      </c>
    </row>
    <row r="15" spans="1:17" x14ac:dyDescent="0.3">
      <c r="A15" s="43" t="s">
        <v>96</v>
      </c>
      <c r="B15" s="44">
        <v>44830</v>
      </c>
      <c r="C15" s="43">
        <v>1</v>
      </c>
      <c r="D15" s="43">
        <v>50</v>
      </c>
      <c r="E15" s="43">
        <v>50</v>
      </c>
      <c r="F15" s="43" t="s">
        <v>80</v>
      </c>
      <c r="G15" s="43" t="s">
        <v>80</v>
      </c>
      <c r="H15" s="43" t="s">
        <v>140</v>
      </c>
      <c r="I15" s="43" t="s">
        <v>82</v>
      </c>
      <c r="J15" s="43">
        <v>50</v>
      </c>
      <c r="O15" s="48" t="s">
        <v>108</v>
      </c>
      <c r="P15">
        <v>1.5</v>
      </c>
      <c r="Q15">
        <v>75</v>
      </c>
    </row>
    <row r="16" spans="1:17" x14ac:dyDescent="0.3">
      <c r="A16" s="43" t="s">
        <v>110</v>
      </c>
      <c r="B16" s="44">
        <v>44832</v>
      </c>
      <c r="C16" s="43">
        <v>1.5</v>
      </c>
      <c r="D16" s="43">
        <v>50</v>
      </c>
      <c r="E16" s="43">
        <v>75</v>
      </c>
      <c r="F16" s="43" t="s">
        <v>80</v>
      </c>
      <c r="G16" s="43" t="s">
        <v>80</v>
      </c>
      <c r="H16" s="43" t="s">
        <v>129</v>
      </c>
      <c r="I16" s="43" t="s">
        <v>82</v>
      </c>
      <c r="J16" s="43">
        <v>75</v>
      </c>
      <c r="O16" s="48" t="s">
        <v>110</v>
      </c>
      <c r="P16">
        <v>7.5</v>
      </c>
      <c r="Q16">
        <v>375</v>
      </c>
    </row>
    <row r="17" spans="2:17" x14ac:dyDescent="0.3">
      <c r="B17" s="42"/>
      <c r="O17" s="48" t="s">
        <v>136</v>
      </c>
      <c r="P17">
        <v>0.5</v>
      </c>
      <c r="Q17">
        <v>25</v>
      </c>
    </row>
    <row r="18" spans="2:17" x14ac:dyDescent="0.3">
      <c r="J18" s="37">
        <f>SUM(J2:J16)</f>
        <v>1025</v>
      </c>
      <c r="O18" s="48" t="s">
        <v>120</v>
      </c>
      <c r="P18">
        <v>1</v>
      </c>
      <c r="Q18">
        <v>50</v>
      </c>
    </row>
    <row r="19" spans="2:17" x14ac:dyDescent="0.3">
      <c r="O19" s="48" t="s">
        <v>141</v>
      </c>
      <c r="P19">
        <v>2</v>
      </c>
      <c r="Q19">
        <v>100</v>
      </c>
    </row>
    <row r="20" spans="2:17" x14ac:dyDescent="0.3">
      <c r="O20" s="48" t="s">
        <v>150</v>
      </c>
      <c r="P20">
        <v>20.5</v>
      </c>
      <c r="Q20">
        <v>1025</v>
      </c>
    </row>
    <row r="21" spans="2:17" x14ac:dyDescent="0.3">
      <c r="O21"/>
      <c r="P21"/>
      <c r="Q21"/>
    </row>
    <row r="22" spans="2:17" x14ac:dyDescent="0.3">
      <c r="O22"/>
      <c r="P22"/>
      <c r="Q22"/>
    </row>
    <row r="23" spans="2:17" x14ac:dyDescent="0.3">
      <c r="O23"/>
      <c r="P23"/>
      <c r="Q23"/>
    </row>
    <row r="24" spans="2:17" x14ac:dyDescent="0.3">
      <c r="O24"/>
      <c r="P24"/>
      <c r="Q24"/>
    </row>
    <row r="25" spans="2:17" x14ac:dyDescent="0.3">
      <c r="O25"/>
      <c r="P25"/>
      <c r="Q25"/>
    </row>
    <row r="26" spans="2:17" x14ac:dyDescent="0.3">
      <c r="O26"/>
      <c r="P26"/>
      <c r="Q26"/>
    </row>
    <row r="27" spans="2:17" x14ac:dyDescent="0.3">
      <c r="O27"/>
      <c r="P27"/>
      <c r="Q27"/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50D3-5430-4040-A2C7-88AE9FBF77B5}">
  <dimension ref="A1:Q2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09375" defaultRowHeight="14.4" x14ac:dyDescent="0.3"/>
  <cols>
    <col min="1" max="1" width="15.109375" style="37" bestFit="1" customWidth="1"/>
    <col min="2" max="2" width="9.6640625" style="37" bestFit="1" customWidth="1"/>
    <col min="3" max="3" width="6.109375" style="37" bestFit="1" customWidth="1"/>
    <col min="4" max="6" width="9.109375" style="37"/>
    <col min="7" max="7" width="18.6640625" style="37" bestFit="1" customWidth="1"/>
    <col min="8" max="14" width="9.109375" style="37"/>
    <col min="15" max="15" width="16.33203125" style="37" bestFit="1" customWidth="1"/>
    <col min="16" max="16" width="12.6640625" style="37" bestFit="1" customWidth="1"/>
    <col min="17" max="17" width="11.44140625" style="37" bestFit="1" customWidth="1"/>
    <col min="18" max="16384" width="9.109375" style="37"/>
  </cols>
  <sheetData>
    <row r="1" spans="1:17" x14ac:dyDescent="0.3">
      <c r="A1" s="37" t="s">
        <v>68</v>
      </c>
      <c r="B1" s="37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75</v>
      </c>
      <c r="I1" s="37" t="s">
        <v>76</v>
      </c>
      <c r="J1" s="37" t="s">
        <v>78</v>
      </c>
    </row>
    <row r="2" spans="1:17" x14ac:dyDescent="0.3">
      <c r="A2" s="45" t="s">
        <v>91</v>
      </c>
      <c r="B2" s="46">
        <v>44793</v>
      </c>
      <c r="C2" s="45">
        <v>0.5</v>
      </c>
      <c r="D2" s="45">
        <v>50</v>
      </c>
      <c r="E2" s="45">
        <f t="shared" ref="E2:E7" si="0">C2*D2</f>
        <v>25</v>
      </c>
      <c r="F2" s="45" t="s">
        <v>80</v>
      </c>
      <c r="G2" s="45" t="s">
        <v>80</v>
      </c>
      <c r="H2" s="45" t="s">
        <v>142</v>
      </c>
      <c r="I2" s="45">
        <v>10</v>
      </c>
      <c r="J2" s="45">
        <f t="shared" ref="J2:J7" si="1">E2+I2</f>
        <v>35</v>
      </c>
    </row>
    <row r="3" spans="1:17" x14ac:dyDescent="0.3">
      <c r="A3" s="45" t="s">
        <v>117</v>
      </c>
      <c r="B3" s="46">
        <v>44794</v>
      </c>
      <c r="C3" s="45">
        <v>1.5</v>
      </c>
      <c r="D3" s="45">
        <v>50</v>
      </c>
      <c r="E3" s="45">
        <f t="shared" si="0"/>
        <v>75</v>
      </c>
      <c r="F3" s="45" t="s">
        <v>82</v>
      </c>
      <c r="G3" s="45" t="s">
        <v>80</v>
      </c>
      <c r="H3" s="45" t="s">
        <v>143</v>
      </c>
      <c r="I3" s="45">
        <v>0</v>
      </c>
      <c r="J3" s="45">
        <f t="shared" si="1"/>
        <v>75</v>
      </c>
    </row>
    <row r="4" spans="1:17" x14ac:dyDescent="0.3">
      <c r="A4" s="45" t="s">
        <v>110</v>
      </c>
      <c r="B4" s="46">
        <v>44794</v>
      </c>
      <c r="C4" s="45">
        <v>1</v>
      </c>
      <c r="D4" s="45">
        <v>50</v>
      </c>
      <c r="E4" s="45">
        <f t="shared" si="0"/>
        <v>50</v>
      </c>
      <c r="F4" s="45" t="s">
        <v>82</v>
      </c>
      <c r="G4" s="45" t="s">
        <v>82</v>
      </c>
      <c r="H4" s="45" t="s">
        <v>144</v>
      </c>
      <c r="I4" s="45"/>
      <c r="J4" s="45">
        <f t="shared" si="1"/>
        <v>50</v>
      </c>
    </row>
    <row r="5" spans="1:17" x14ac:dyDescent="0.3">
      <c r="A5" s="45" t="s">
        <v>128</v>
      </c>
      <c r="B5" s="46">
        <v>44796</v>
      </c>
      <c r="C5" s="45">
        <v>2</v>
      </c>
      <c r="D5" s="45">
        <v>50</v>
      </c>
      <c r="E5" s="45">
        <f t="shared" si="0"/>
        <v>100</v>
      </c>
      <c r="F5" s="45" t="s">
        <v>80</v>
      </c>
      <c r="G5" s="45" t="s">
        <v>80</v>
      </c>
      <c r="H5" s="45" t="s">
        <v>145</v>
      </c>
      <c r="I5" s="45"/>
      <c r="J5" s="45">
        <f t="shared" si="1"/>
        <v>100</v>
      </c>
      <c r="O5" s="47" t="s">
        <v>149</v>
      </c>
      <c r="P5" t="s">
        <v>151</v>
      </c>
      <c r="Q5" t="s">
        <v>152</v>
      </c>
    </row>
    <row r="6" spans="1:17" x14ac:dyDescent="0.3">
      <c r="A6" s="45" t="s">
        <v>110</v>
      </c>
      <c r="B6" s="46">
        <v>44796</v>
      </c>
      <c r="C6" s="45">
        <v>2</v>
      </c>
      <c r="D6" s="45">
        <v>50</v>
      </c>
      <c r="E6" s="45">
        <f t="shared" si="0"/>
        <v>100</v>
      </c>
      <c r="F6" s="45" t="s">
        <v>82</v>
      </c>
      <c r="G6" s="45" t="s">
        <v>82</v>
      </c>
      <c r="H6" s="45" t="s">
        <v>146</v>
      </c>
      <c r="I6" s="45"/>
      <c r="J6" s="45">
        <f t="shared" si="1"/>
        <v>100</v>
      </c>
      <c r="O6" s="48" t="s">
        <v>91</v>
      </c>
      <c r="P6">
        <v>0.5</v>
      </c>
      <c r="Q6">
        <v>25</v>
      </c>
    </row>
    <row r="7" spans="1:17" x14ac:dyDescent="0.3">
      <c r="A7" s="45" t="s">
        <v>147</v>
      </c>
      <c r="B7" s="46">
        <v>44796</v>
      </c>
      <c r="C7" s="45">
        <v>0.5</v>
      </c>
      <c r="D7" s="45">
        <v>50</v>
      </c>
      <c r="E7" s="45">
        <f t="shared" si="0"/>
        <v>25</v>
      </c>
      <c r="F7" s="45" t="s">
        <v>80</v>
      </c>
      <c r="G7" s="45" t="s">
        <v>80</v>
      </c>
      <c r="H7" s="45" t="s">
        <v>148</v>
      </c>
      <c r="I7" s="45"/>
      <c r="J7" s="45">
        <f t="shared" si="1"/>
        <v>25</v>
      </c>
      <c r="O7" s="48" t="s">
        <v>110</v>
      </c>
      <c r="P7">
        <v>3</v>
      </c>
      <c r="Q7">
        <v>150</v>
      </c>
    </row>
    <row r="8" spans="1:17" x14ac:dyDescent="0.3">
      <c r="O8" s="48" t="s">
        <v>147</v>
      </c>
      <c r="P8">
        <v>0.5</v>
      </c>
      <c r="Q8">
        <v>25</v>
      </c>
    </row>
    <row r="9" spans="1:17" x14ac:dyDescent="0.3">
      <c r="O9" s="48" t="s">
        <v>117</v>
      </c>
      <c r="P9">
        <v>1.5</v>
      </c>
      <c r="Q9">
        <v>75</v>
      </c>
    </row>
    <row r="10" spans="1:17" x14ac:dyDescent="0.3">
      <c r="J10" s="37">
        <f>SUM(J2:J7)</f>
        <v>385</v>
      </c>
      <c r="O10" s="48" t="s">
        <v>128</v>
      </c>
      <c r="P10">
        <v>2</v>
      </c>
      <c r="Q10">
        <v>100</v>
      </c>
    </row>
    <row r="11" spans="1:17" x14ac:dyDescent="0.3">
      <c r="O11" s="48" t="s">
        <v>150</v>
      </c>
      <c r="P11">
        <v>7.5</v>
      </c>
      <c r="Q11">
        <v>375</v>
      </c>
    </row>
    <row r="12" spans="1:17" x14ac:dyDescent="0.3">
      <c r="J12" s="37" t="s">
        <v>83</v>
      </c>
      <c r="O12"/>
      <c r="P12"/>
      <c r="Q12"/>
    </row>
    <row r="13" spans="1:17" x14ac:dyDescent="0.3">
      <c r="O13"/>
      <c r="P13"/>
      <c r="Q13"/>
    </row>
    <row r="14" spans="1:17" x14ac:dyDescent="0.3">
      <c r="O14"/>
      <c r="P14"/>
      <c r="Q14"/>
    </row>
    <row r="15" spans="1:17" x14ac:dyDescent="0.3">
      <c r="O15"/>
      <c r="P15"/>
      <c r="Q15"/>
    </row>
    <row r="16" spans="1:17" x14ac:dyDescent="0.3">
      <c r="O16"/>
      <c r="P16"/>
      <c r="Q16"/>
    </row>
    <row r="17" spans="15:17" x14ac:dyDescent="0.3">
      <c r="O17"/>
      <c r="P17"/>
      <c r="Q17"/>
    </row>
    <row r="18" spans="15:17" x14ac:dyDescent="0.3">
      <c r="O18"/>
      <c r="P18"/>
      <c r="Q18"/>
    </row>
    <row r="19" spans="15:17" x14ac:dyDescent="0.3">
      <c r="O19"/>
      <c r="P19"/>
      <c r="Q19"/>
    </row>
    <row r="20" spans="15:17" x14ac:dyDescent="0.3">
      <c r="O20"/>
      <c r="P20"/>
      <c r="Q20"/>
    </row>
    <row r="21" spans="15:17" x14ac:dyDescent="0.3">
      <c r="O21"/>
      <c r="P21"/>
      <c r="Q21"/>
    </row>
    <row r="22" spans="15:17" x14ac:dyDescent="0.3">
      <c r="O22"/>
      <c r="P22"/>
      <c r="Q22"/>
    </row>
  </sheetData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49F8-A9A6-4785-B089-A14F637AAFCD}">
  <sheetPr>
    <tabColor theme="0" tint="-0.249977111117893"/>
  </sheetPr>
  <dimension ref="B1:FB22"/>
  <sheetViews>
    <sheetView topLeftCell="R3" zoomScale="130" zoomScaleNormal="130" workbookViewId="0">
      <selection activeCell="Z18" sqref="Z18"/>
    </sheetView>
  </sheetViews>
  <sheetFormatPr defaultColWidth="8.6640625" defaultRowHeight="14.4" outlineLevelCol="1" x14ac:dyDescent="0.3"/>
  <cols>
    <col min="3" max="3" width="14.44140625" bestFit="1" customWidth="1"/>
    <col min="4" max="4" width="11.33203125" bestFit="1" customWidth="1"/>
    <col min="5" max="5" width="10.44140625" bestFit="1" customWidth="1"/>
    <col min="6" max="6" width="24.33203125" bestFit="1" customWidth="1"/>
    <col min="7" max="7" width="0.33203125" customWidth="1"/>
    <col min="8" max="11" width="9.44140625" hidden="1" customWidth="1" outlineLevel="1"/>
    <col min="12" max="12" width="11" hidden="1" customWidth="1" outlineLevel="1"/>
    <col min="13" max="13" width="11.33203125" hidden="1" customWidth="1" outlineLevel="1"/>
    <col min="14" max="14" width="10.44140625" hidden="1" customWidth="1" outlineLevel="1"/>
    <col min="15" max="17" width="9.44140625" hidden="1" customWidth="1" outlineLevel="1"/>
    <col min="18" max="18" width="9.44140625" bestFit="1" customWidth="1" collapsed="1"/>
    <col min="19" max="24" width="9.44140625" bestFit="1" customWidth="1"/>
    <col min="25" max="26" width="10.44140625" bestFit="1" customWidth="1"/>
    <col min="27" max="35" width="9.44140625" bestFit="1" customWidth="1"/>
    <col min="36" max="38" width="10.44140625" bestFit="1" customWidth="1"/>
    <col min="39" max="47" width="9.44140625" bestFit="1" customWidth="1"/>
    <col min="48" max="50" width="10.44140625" bestFit="1" customWidth="1"/>
    <col min="51" max="59" width="9.44140625" bestFit="1" customWidth="1"/>
    <col min="60" max="62" width="10.44140625" bestFit="1" customWidth="1"/>
    <col min="63" max="71" width="9.44140625" bestFit="1" customWidth="1"/>
    <col min="72" max="74" width="10.44140625" bestFit="1" customWidth="1"/>
    <col min="75" max="83" width="9.44140625" bestFit="1" customWidth="1"/>
    <col min="84" max="86" width="10.44140625" bestFit="1" customWidth="1"/>
    <col min="87" max="95" width="9.44140625" bestFit="1" customWidth="1"/>
    <col min="96" max="98" width="10.44140625" bestFit="1" customWidth="1"/>
    <col min="99" max="107" width="9.44140625" bestFit="1" customWidth="1"/>
    <col min="108" max="110" width="10.44140625" bestFit="1" customWidth="1"/>
    <col min="111" max="119" width="9.44140625" bestFit="1" customWidth="1"/>
    <col min="120" max="122" width="10.44140625" bestFit="1" customWidth="1"/>
    <col min="123" max="131" width="9.44140625" bestFit="1" customWidth="1"/>
    <col min="132" max="134" width="10.44140625" bestFit="1" customWidth="1"/>
    <col min="135" max="143" width="9.44140625" bestFit="1" customWidth="1"/>
    <col min="144" max="146" width="10.44140625" bestFit="1" customWidth="1"/>
    <col min="147" max="155" width="9.44140625" bestFit="1" customWidth="1"/>
    <col min="156" max="158" width="10.44140625" bestFit="1" customWidth="1"/>
  </cols>
  <sheetData>
    <row r="1" spans="2:158" ht="15" thickBot="1" x14ac:dyDescent="0.35"/>
    <row r="2" spans="2:158" ht="15" thickTop="1" x14ac:dyDescent="0.3">
      <c r="B2" s="439"/>
      <c r="C2" s="440"/>
      <c r="D2" s="440"/>
      <c r="E2" s="440"/>
      <c r="F2" s="440"/>
      <c r="G2" s="440"/>
      <c r="H2" s="441">
        <v>45473</v>
      </c>
      <c r="I2" s="445">
        <f>EOMONTH(H2,1)</f>
        <v>45504</v>
      </c>
      <c r="J2" s="445">
        <f t="shared" ref="J2:BU2" si="0">EOMONTH(I2,1)</f>
        <v>45535</v>
      </c>
      <c r="K2" s="445">
        <f t="shared" si="0"/>
        <v>45565</v>
      </c>
      <c r="L2" s="445">
        <f t="shared" si="0"/>
        <v>45596</v>
      </c>
      <c r="M2" s="445">
        <f t="shared" si="0"/>
        <v>45626</v>
      </c>
      <c r="N2" s="445">
        <f t="shared" si="0"/>
        <v>45657</v>
      </c>
      <c r="O2" s="445">
        <f t="shared" si="0"/>
        <v>45688</v>
      </c>
      <c r="P2" s="445">
        <f t="shared" si="0"/>
        <v>45716</v>
      </c>
      <c r="Q2" s="445">
        <f t="shared" ref="Q2:S2" si="1">EOMONTH(P2,1)</f>
        <v>45747</v>
      </c>
      <c r="R2" s="445">
        <f t="shared" si="1"/>
        <v>45777</v>
      </c>
      <c r="S2" s="445">
        <f t="shared" si="1"/>
        <v>45808</v>
      </c>
      <c r="T2" s="445">
        <f t="shared" si="0"/>
        <v>45838</v>
      </c>
      <c r="U2" s="445">
        <f t="shared" si="0"/>
        <v>45869</v>
      </c>
      <c r="V2" s="445">
        <f t="shared" si="0"/>
        <v>45900</v>
      </c>
      <c r="W2" s="445">
        <f t="shared" si="0"/>
        <v>45930</v>
      </c>
      <c r="X2" s="446">
        <f t="shared" si="0"/>
        <v>45961</v>
      </c>
      <c r="Y2" s="445">
        <f t="shared" si="0"/>
        <v>45991</v>
      </c>
      <c r="Z2" s="445">
        <f t="shared" si="0"/>
        <v>46022</v>
      </c>
      <c r="AA2" s="445">
        <f t="shared" si="0"/>
        <v>46053</v>
      </c>
      <c r="AB2" s="445">
        <f t="shared" si="0"/>
        <v>46081</v>
      </c>
      <c r="AC2" s="445">
        <f t="shared" si="0"/>
        <v>46112</v>
      </c>
      <c r="AD2" s="445">
        <f t="shared" si="0"/>
        <v>46142</v>
      </c>
      <c r="AE2" s="445">
        <f t="shared" si="0"/>
        <v>46173</v>
      </c>
      <c r="AF2" s="445">
        <f t="shared" si="0"/>
        <v>46203</v>
      </c>
      <c r="AG2" s="445">
        <f t="shared" si="0"/>
        <v>46234</v>
      </c>
      <c r="AH2" s="445">
        <f t="shared" si="0"/>
        <v>46265</v>
      </c>
      <c r="AI2" s="445">
        <f t="shared" si="0"/>
        <v>46295</v>
      </c>
      <c r="AJ2" s="445">
        <f t="shared" si="0"/>
        <v>46326</v>
      </c>
      <c r="AK2" s="445">
        <f t="shared" si="0"/>
        <v>46356</v>
      </c>
      <c r="AL2" s="445">
        <f t="shared" si="0"/>
        <v>46387</v>
      </c>
      <c r="AM2" s="445">
        <f t="shared" si="0"/>
        <v>46418</v>
      </c>
      <c r="AN2" s="445">
        <f t="shared" si="0"/>
        <v>46446</v>
      </c>
      <c r="AO2" s="445">
        <f t="shared" si="0"/>
        <v>46477</v>
      </c>
      <c r="AP2" s="445">
        <f t="shared" si="0"/>
        <v>46507</v>
      </c>
      <c r="AQ2" s="445">
        <f t="shared" si="0"/>
        <v>46538</v>
      </c>
      <c r="AR2" s="445">
        <f t="shared" si="0"/>
        <v>46568</v>
      </c>
      <c r="AS2" s="445">
        <f t="shared" si="0"/>
        <v>46599</v>
      </c>
      <c r="AT2" s="445">
        <f t="shared" si="0"/>
        <v>46630</v>
      </c>
      <c r="AU2" s="445">
        <f t="shared" si="0"/>
        <v>46660</v>
      </c>
      <c r="AV2" s="445">
        <f t="shared" si="0"/>
        <v>46691</v>
      </c>
      <c r="AW2" s="445">
        <f t="shared" si="0"/>
        <v>46721</v>
      </c>
      <c r="AX2" s="445">
        <f t="shared" si="0"/>
        <v>46752</v>
      </c>
      <c r="AY2" s="445">
        <f t="shared" si="0"/>
        <v>46783</v>
      </c>
      <c r="AZ2" s="445">
        <f t="shared" si="0"/>
        <v>46812</v>
      </c>
      <c r="BA2" s="445">
        <f t="shared" si="0"/>
        <v>46843</v>
      </c>
      <c r="BB2" s="445">
        <f t="shared" si="0"/>
        <v>46873</v>
      </c>
      <c r="BC2" s="445">
        <f t="shared" si="0"/>
        <v>46904</v>
      </c>
      <c r="BD2" s="445">
        <f t="shared" si="0"/>
        <v>46934</v>
      </c>
      <c r="BE2" s="445">
        <f t="shared" si="0"/>
        <v>46965</v>
      </c>
      <c r="BF2" s="445">
        <f t="shared" si="0"/>
        <v>46996</v>
      </c>
      <c r="BG2" s="445">
        <f t="shared" si="0"/>
        <v>47026</v>
      </c>
      <c r="BH2" s="445">
        <f t="shared" si="0"/>
        <v>47057</v>
      </c>
      <c r="BI2" s="445">
        <f t="shared" si="0"/>
        <v>47087</v>
      </c>
      <c r="BJ2" s="445">
        <f t="shared" si="0"/>
        <v>47118</v>
      </c>
      <c r="BK2" s="445">
        <f t="shared" si="0"/>
        <v>47149</v>
      </c>
      <c r="BL2" s="445">
        <f t="shared" si="0"/>
        <v>47177</v>
      </c>
      <c r="BM2" s="445">
        <f t="shared" si="0"/>
        <v>47208</v>
      </c>
      <c r="BN2" s="445">
        <f t="shared" si="0"/>
        <v>47238</v>
      </c>
      <c r="BO2" s="445">
        <f t="shared" si="0"/>
        <v>47269</v>
      </c>
      <c r="BP2" s="445">
        <f t="shared" si="0"/>
        <v>47299</v>
      </c>
      <c r="BQ2" s="445">
        <f t="shared" si="0"/>
        <v>47330</v>
      </c>
      <c r="BR2" s="445">
        <f t="shared" si="0"/>
        <v>47361</v>
      </c>
      <c r="BS2" s="445">
        <f t="shared" si="0"/>
        <v>47391</v>
      </c>
      <c r="BT2" s="445">
        <f t="shared" si="0"/>
        <v>47422</v>
      </c>
      <c r="BU2" s="445">
        <f t="shared" si="0"/>
        <v>47452</v>
      </c>
      <c r="BV2" s="445">
        <f t="shared" ref="BV2:EG2" si="2">EOMONTH(BU2,1)</f>
        <v>47483</v>
      </c>
      <c r="BW2" s="445">
        <f t="shared" si="2"/>
        <v>47514</v>
      </c>
      <c r="BX2" s="445">
        <f t="shared" si="2"/>
        <v>47542</v>
      </c>
      <c r="BY2" s="445">
        <f t="shared" si="2"/>
        <v>47573</v>
      </c>
      <c r="BZ2" s="445">
        <f t="shared" si="2"/>
        <v>47603</v>
      </c>
      <c r="CA2" s="445">
        <f t="shared" si="2"/>
        <v>47634</v>
      </c>
      <c r="CB2" s="445">
        <f t="shared" si="2"/>
        <v>47664</v>
      </c>
      <c r="CC2" s="445">
        <f t="shared" si="2"/>
        <v>47695</v>
      </c>
      <c r="CD2" s="445">
        <f t="shared" si="2"/>
        <v>47726</v>
      </c>
      <c r="CE2" s="445">
        <f t="shared" si="2"/>
        <v>47756</v>
      </c>
      <c r="CF2" s="445">
        <f t="shared" si="2"/>
        <v>47787</v>
      </c>
      <c r="CG2" s="445">
        <f t="shared" si="2"/>
        <v>47817</v>
      </c>
      <c r="CH2" s="445">
        <f t="shared" si="2"/>
        <v>47848</v>
      </c>
      <c r="CI2" s="445">
        <f t="shared" si="2"/>
        <v>47879</v>
      </c>
      <c r="CJ2" s="445">
        <f t="shared" si="2"/>
        <v>47907</v>
      </c>
      <c r="CK2" s="445">
        <f t="shared" si="2"/>
        <v>47938</v>
      </c>
      <c r="CL2" s="445">
        <f t="shared" si="2"/>
        <v>47968</v>
      </c>
      <c r="CM2" s="445">
        <f t="shared" si="2"/>
        <v>47999</v>
      </c>
      <c r="CN2" s="445">
        <f t="shared" si="2"/>
        <v>48029</v>
      </c>
      <c r="CO2" s="445">
        <f t="shared" si="2"/>
        <v>48060</v>
      </c>
      <c r="CP2" s="445">
        <f t="shared" si="2"/>
        <v>48091</v>
      </c>
      <c r="CQ2" s="445">
        <f t="shared" si="2"/>
        <v>48121</v>
      </c>
      <c r="CR2" s="445">
        <f t="shared" si="2"/>
        <v>48152</v>
      </c>
      <c r="CS2" s="445">
        <f t="shared" si="2"/>
        <v>48182</v>
      </c>
      <c r="CT2" s="445">
        <f t="shared" si="2"/>
        <v>48213</v>
      </c>
      <c r="CU2" s="445">
        <f t="shared" si="2"/>
        <v>48244</v>
      </c>
      <c r="CV2" s="445">
        <f t="shared" si="2"/>
        <v>48273</v>
      </c>
      <c r="CW2" s="445">
        <f t="shared" si="2"/>
        <v>48304</v>
      </c>
      <c r="CX2" s="445">
        <f t="shared" si="2"/>
        <v>48334</v>
      </c>
      <c r="CY2" s="445">
        <f t="shared" si="2"/>
        <v>48365</v>
      </c>
      <c r="CZ2" s="445">
        <f t="shared" si="2"/>
        <v>48395</v>
      </c>
      <c r="DA2" s="445">
        <f t="shared" si="2"/>
        <v>48426</v>
      </c>
      <c r="DB2" s="445">
        <f t="shared" si="2"/>
        <v>48457</v>
      </c>
      <c r="DC2" s="445">
        <f t="shared" si="2"/>
        <v>48487</v>
      </c>
      <c r="DD2" s="445">
        <f t="shared" si="2"/>
        <v>48518</v>
      </c>
      <c r="DE2" s="445">
        <f t="shared" si="2"/>
        <v>48548</v>
      </c>
      <c r="DF2" s="445">
        <f t="shared" si="2"/>
        <v>48579</v>
      </c>
      <c r="DG2" s="445">
        <f t="shared" si="2"/>
        <v>48610</v>
      </c>
      <c r="DH2" s="445">
        <f t="shared" si="2"/>
        <v>48638</v>
      </c>
      <c r="DI2" s="445">
        <f t="shared" si="2"/>
        <v>48669</v>
      </c>
      <c r="DJ2" s="445">
        <f t="shared" si="2"/>
        <v>48699</v>
      </c>
      <c r="DK2" s="445">
        <f t="shared" si="2"/>
        <v>48730</v>
      </c>
      <c r="DL2" s="445">
        <f t="shared" si="2"/>
        <v>48760</v>
      </c>
      <c r="DM2" s="445">
        <f t="shared" si="2"/>
        <v>48791</v>
      </c>
      <c r="DN2" s="445">
        <f t="shared" si="2"/>
        <v>48822</v>
      </c>
      <c r="DO2" s="445">
        <f t="shared" si="2"/>
        <v>48852</v>
      </c>
      <c r="DP2" s="445">
        <f t="shared" si="2"/>
        <v>48883</v>
      </c>
      <c r="DQ2" s="445">
        <f t="shared" si="2"/>
        <v>48913</v>
      </c>
      <c r="DR2" s="445">
        <f t="shared" si="2"/>
        <v>48944</v>
      </c>
      <c r="DS2" s="445">
        <f t="shared" si="2"/>
        <v>48975</v>
      </c>
      <c r="DT2" s="445">
        <f t="shared" si="2"/>
        <v>49003</v>
      </c>
      <c r="DU2" s="445">
        <f t="shared" si="2"/>
        <v>49034</v>
      </c>
      <c r="DV2" s="445">
        <f t="shared" si="2"/>
        <v>49064</v>
      </c>
      <c r="DW2" s="445">
        <f t="shared" si="2"/>
        <v>49095</v>
      </c>
      <c r="DX2" s="445">
        <f t="shared" si="2"/>
        <v>49125</v>
      </c>
      <c r="DY2" s="445">
        <f t="shared" si="2"/>
        <v>49156</v>
      </c>
      <c r="DZ2" s="445">
        <f t="shared" si="2"/>
        <v>49187</v>
      </c>
      <c r="EA2" s="445">
        <f t="shared" si="2"/>
        <v>49217</v>
      </c>
      <c r="EB2" s="445">
        <f t="shared" si="2"/>
        <v>49248</v>
      </c>
      <c r="EC2" s="445">
        <f t="shared" si="2"/>
        <v>49278</v>
      </c>
      <c r="ED2" s="445">
        <f t="shared" si="2"/>
        <v>49309</v>
      </c>
      <c r="EE2" s="445">
        <f t="shared" si="2"/>
        <v>49340</v>
      </c>
      <c r="EF2" s="445">
        <f t="shared" si="2"/>
        <v>49368</v>
      </c>
      <c r="EG2" s="445">
        <f t="shared" si="2"/>
        <v>49399</v>
      </c>
      <c r="EH2" s="445">
        <f t="shared" ref="EH2:FB2" si="3">EOMONTH(EG2,1)</f>
        <v>49429</v>
      </c>
      <c r="EI2" s="445">
        <f t="shared" si="3"/>
        <v>49460</v>
      </c>
      <c r="EJ2" s="445">
        <f t="shared" si="3"/>
        <v>49490</v>
      </c>
      <c r="EK2" s="445">
        <f t="shared" si="3"/>
        <v>49521</v>
      </c>
      <c r="EL2" s="445">
        <f t="shared" si="3"/>
        <v>49552</v>
      </c>
      <c r="EM2" s="445">
        <f t="shared" si="3"/>
        <v>49582</v>
      </c>
      <c r="EN2" s="445">
        <f t="shared" si="3"/>
        <v>49613</v>
      </c>
      <c r="EO2" s="445">
        <f t="shared" si="3"/>
        <v>49643</v>
      </c>
      <c r="EP2" s="445">
        <f t="shared" si="3"/>
        <v>49674</v>
      </c>
      <c r="EQ2" s="445">
        <f t="shared" si="3"/>
        <v>49705</v>
      </c>
      <c r="ER2" s="445">
        <f t="shared" si="3"/>
        <v>49734</v>
      </c>
      <c r="ES2" s="445">
        <f t="shared" si="3"/>
        <v>49765</v>
      </c>
      <c r="ET2" s="445">
        <f t="shared" si="3"/>
        <v>49795</v>
      </c>
      <c r="EU2" s="445">
        <f t="shared" si="3"/>
        <v>49826</v>
      </c>
      <c r="EV2" s="445">
        <f t="shared" si="3"/>
        <v>49856</v>
      </c>
      <c r="EW2" s="445">
        <f t="shared" si="3"/>
        <v>49887</v>
      </c>
      <c r="EX2" s="445">
        <f t="shared" si="3"/>
        <v>49918</v>
      </c>
      <c r="EY2" s="445">
        <f t="shared" si="3"/>
        <v>49948</v>
      </c>
      <c r="EZ2" s="445">
        <f t="shared" si="3"/>
        <v>49979</v>
      </c>
      <c r="FA2" s="445">
        <f t="shared" si="3"/>
        <v>50009</v>
      </c>
      <c r="FB2" s="446">
        <f t="shared" si="3"/>
        <v>50040</v>
      </c>
    </row>
    <row r="3" spans="2:158" x14ac:dyDescent="0.3">
      <c r="B3" s="442" t="s">
        <v>240</v>
      </c>
      <c r="C3" t="s">
        <v>241</v>
      </c>
      <c r="D3" t="s">
        <v>242</v>
      </c>
      <c r="E3" t="s">
        <v>307</v>
      </c>
      <c r="H3" s="430"/>
      <c r="X3" s="431"/>
      <c r="FB3" s="431"/>
    </row>
    <row r="4" spans="2:158" x14ac:dyDescent="0.3">
      <c r="B4" s="442" t="s">
        <v>304</v>
      </c>
      <c r="C4" t="s">
        <v>303</v>
      </c>
      <c r="D4" s="376">
        <v>12</v>
      </c>
      <c r="E4">
        <f>4.33*10</f>
        <v>43.3</v>
      </c>
      <c r="H4" s="432"/>
      <c r="I4" s="471">
        <v>0</v>
      </c>
      <c r="J4" s="471">
        <v>0</v>
      </c>
      <c r="K4" s="471">
        <v>0</v>
      </c>
      <c r="L4" s="471">
        <v>0</v>
      </c>
      <c r="M4" s="471">
        <v>0</v>
      </c>
      <c r="N4" s="471">
        <v>0</v>
      </c>
      <c r="O4" s="471">
        <v>0</v>
      </c>
      <c r="P4" s="471">
        <v>0</v>
      </c>
      <c r="Q4" s="471">
        <v>0</v>
      </c>
      <c r="R4" s="471">
        <v>0</v>
      </c>
      <c r="S4" s="471">
        <v>0</v>
      </c>
      <c r="T4" s="471"/>
      <c r="U4" s="471">
        <v>240</v>
      </c>
      <c r="V4" s="471"/>
      <c r="W4" s="471"/>
      <c r="X4" s="709"/>
      <c r="Y4" s="433"/>
      <c r="Z4" s="433"/>
      <c r="AA4" s="433"/>
      <c r="AB4" s="433"/>
      <c r="AC4" s="433"/>
      <c r="AD4" s="433"/>
      <c r="AE4" s="433"/>
      <c r="AF4" s="433"/>
      <c r="AG4" s="433"/>
      <c r="AH4" s="433"/>
      <c r="AI4" s="433"/>
      <c r="AJ4" s="433"/>
      <c r="AK4" s="433"/>
      <c r="AL4" s="433"/>
      <c r="AM4" s="433"/>
      <c r="AN4" s="433"/>
      <c r="AO4" s="433"/>
      <c r="AP4" s="433"/>
      <c r="AQ4" s="433"/>
      <c r="AR4" s="433"/>
      <c r="AS4" s="433"/>
      <c r="AT4" s="433"/>
      <c r="AU4" s="433"/>
      <c r="AV4" s="433"/>
      <c r="AW4" s="433"/>
      <c r="AX4" s="433"/>
      <c r="AY4" s="433"/>
      <c r="AZ4" s="433"/>
      <c r="BA4" s="433"/>
      <c r="BB4" s="433"/>
      <c r="BC4" s="433"/>
      <c r="BD4" s="433"/>
      <c r="BE4" s="433"/>
      <c r="BF4" s="433"/>
      <c r="BG4" s="433"/>
      <c r="BH4" s="433"/>
      <c r="BI4" s="433"/>
      <c r="BJ4" s="433"/>
      <c r="BK4" s="433"/>
      <c r="BL4" s="433"/>
      <c r="BM4" s="433"/>
      <c r="BN4" s="433"/>
      <c r="BO4" s="433"/>
      <c r="BP4" s="433"/>
      <c r="BQ4" s="433"/>
      <c r="BR4" s="433"/>
      <c r="BS4" s="433"/>
      <c r="BT4" s="433"/>
      <c r="BU4" s="433"/>
      <c r="BV4" s="433"/>
      <c r="BW4" s="433"/>
      <c r="BX4" s="433"/>
      <c r="BY4" s="433"/>
      <c r="BZ4" s="433"/>
      <c r="CA4" s="433"/>
      <c r="CB4" s="433"/>
      <c r="CC4" s="433"/>
      <c r="CD4" s="433"/>
      <c r="CE4" s="433"/>
      <c r="CF4" s="433"/>
      <c r="CG4" s="433"/>
      <c r="CH4" s="433"/>
      <c r="CI4" s="433"/>
      <c r="CJ4" s="433"/>
      <c r="CK4" s="433"/>
      <c r="CL4" s="433"/>
      <c r="CM4" s="433"/>
      <c r="CN4" s="433"/>
      <c r="CO4" s="433"/>
      <c r="CP4" s="433"/>
      <c r="CQ4" s="433"/>
      <c r="CR4" s="433"/>
      <c r="CS4" s="433"/>
      <c r="CT4" s="433"/>
      <c r="CU4" s="433"/>
      <c r="CV4" s="433"/>
      <c r="CW4" s="433"/>
      <c r="CX4" s="433"/>
      <c r="CY4" s="433"/>
      <c r="CZ4" s="433"/>
      <c r="DA4" s="433"/>
      <c r="DB4" s="433"/>
      <c r="DC4" s="433"/>
      <c r="DD4" s="433"/>
      <c r="DE4" s="433"/>
      <c r="DF4" s="433"/>
      <c r="DG4" s="433"/>
      <c r="DH4" s="433"/>
      <c r="DI4" s="433"/>
      <c r="DJ4" s="433"/>
      <c r="DK4" s="433"/>
      <c r="DL4" s="433"/>
      <c r="DM4" s="433"/>
      <c r="DN4" s="433"/>
      <c r="DO4" s="433"/>
      <c r="DP4" s="433"/>
      <c r="DQ4" s="433"/>
      <c r="DR4" s="433"/>
      <c r="DS4" s="433"/>
      <c r="DT4" s="433"/>
      <c r="DU4" s="433"/>
      <c r="DV4" s="433"/>
      <c r="DW4" s="433"/>
      <c r="DX4" s="433"/>
      <c r="DY4" s="433"/>
      <c r="DZ4" s="433"/>
      <c r="EA4" s="433"/>
      <c r="EB4" s="433"/>
      <c r="EC4" s="433"/>
      <c r="ED4" s="433"/>
      <c r="EE4" s="433"/>
      <c r="EF4" s="433"/>
      <c r="EG4" s="433"/>
      <c r="EH4" s="433"/>
      <c r="EI4" s="433"/>
      <c r="EJ4" s="433"/>
      <c r="EK4" s="433"/>
      <c r="EL4" s="433"/>
      <c r="EM4" s="433"/>
      <c r="EN4" s="433"/>
      <c r="EO4" s="433"/>
      <c r="EP4" s="433"/>
      <c r="EQ4" s="433"/>
      <c r="ER4" s="433"/>
      <c r="ES4" s="433"/>
      <c r="ET4" s="433"/>
      <c r="EU4" s="433"/>
      <c r="EV4" s="433"/>
      <c r="EW4" s="433"/>
      <c r="EX4" s="433"/>
      <c r="EY4" s="433"/>
      <c r="EZ4" s="433"/>
      <c r="FA4" s="433"/>
      <c r="FB4" s="434"/>
    </row>
    <row r="5" spans="2:158" x14ac:dyDescent="0.3">
      <c r="B5" s="442" t="s">
        <v>305</v>
      </c>
      <c r="C5" t="s">
        <v>303</v>
      </c>
      <c r="D5" s="376">
        <v>15</v>
      </c>
      <c r="E5">
        <f>4.33*10</f>
        <v>43.3</v>
      </c>
      <c r="H5" s="432"/>
      <c r="I5" s="471">
        <v>450</v>
      </c>
      <c r="J5" s="471">
        <v>150</v>
      </c>
      <c r="K5" s="471">
        <v>0</v>
      </c>
      <c r="L5" s="471">
        <v>0</v>
      </c>
      <c r="M5" s="471">
        <v>0</v>
      </c>
      <c r="N5" s="471"/>
      <c r="O5" s="471">
        <v>0</v>
      </c>
      <c r="P5" s="471">
        <v>0</v>
      </c>
      <c r="Q5" s="471">
        <v>0</v>
      </c>
      <c r="R5" s="471">
        <v>0</v>
      </c>
      <c r="S5" s="471">
        <v>0</v>
      </c>
      <c r="T5" s="471"/>
      <c r="U5" s="471"/>
      <c r="V5" s="471"/>
      <c r="W5" s="471"/>
      <c r="X5" s="709"/>
      <c r="Y5" s="433"/>
      <c r="Z5" s="433"/>
      <c r="AA5" s="433"/>
      <c r="AB5" s="433"/>
      <c r="AC5" s="433"/>
      <c r="AD5" s="433"/>
      <c r="AE5" s="433"/>
      <c r="AF5" s="433"/>
      <c r="AG5" s="433"/>
      <c r="AH5" s="433"/>
      <c r="AI5" s="433"/>
      <c r="AJ5" s="433"/>
      <c r="AK5" s="433"/>
      <c r="AL5" s="433"/>
      <c r="AM5" s="433"/>
      <c r="AN5" s="433"/>
      <c r="AO5" s="433"/>
      <c r="AP5" s="433"/>
      <c r="AQ5" s="433"/>
      <c r="AR5" s="433"/>
      <c r="AS5" s="433"/>
      <c r="AT5" s="433"/>
      <c r="AU5" s="433"/>
      <c r="AV5" s="433"/>
      <c r="AW5" s="433"/>
      <c r="AX5" s="433"/>
      <c r="AY5" s="433"/>
      <c r="AZ5" s="433"/>
      <c r="BA5" s="433"/>
      <c r="BB5" s="433"/>
      <c r="BC5" s="433"/>
      <c r="BD5" s="433"/>
      <c r="BE5" s="433"/>
      <c r="BF5" s="433"/>
      <c r="BG5" s="433"/>
      <c r="BH5" s="433"/>
      <c r="BI5" s="433"/>
      <c r="BJ5" s="433"/>
      <c r="BK5" s="433"/>
      <c r="BL5" s="433"/>
      <c r="BM5" s="433"/>
      <c r="BN5" s="433"/>
      <c r="BO5" s="433"/>
      <c r="BP5" s="433"/>
      <c r="BQ5" s="433"/>
      <c r="BR5" s="433"/>
      <c r="BS5" s="433"/>
      <c r="BT5" s="433"/>
      <c r="BU5" s="433"/>
      <c r="BV5" s="433"/>
      <c r="BW5" s="433"/>
      <c r="BX5" s="433"/>
      <c r="BY5" s="433"/>
      <c r="BZ5" s="433"/>
      <c r="CA5" s="433"/>
      <c r="CB5" s="433"/>
      <c r="CC5" s="433"/>
      <c r="CD5" s="433"/>
      <c r="CE5" s="433"/>
      <c r="CF5" s="433"/>
      <c r="CG5" s="433"/>
      <c r="CH5" s="433"/>
      <c r="CI5" s="433"/>
      <c r="CJ5" s="433"/>
      <c r="CK5" s="433"/>
      <c r="CL5" s="433"/>
      <c r="CM5" s="433"/>
      <c r="CN5" s="433"/>
      <c r="CO5" s="433"/>
      <c r="CP5" s="433"/>
      <c r="CQ5" s="433"/>
      <c r="CR5" s="433"/>
      <c r="CS5" s="433"/>
      <c r="CT5" s="433"/>
      <c r="CU5" s="433"/>
      <c r="CV5" s="433"/>
      <c r="CW5" s="433"/>
      <c r="CX5" s="433"/>
      <c r="CY5" s="433"/>
      <c r="CZ5" s="433"/>
      <c r="DA5" s="433"/>
      <c r="DB5" s="433"/>
      <c r="DC5" s="433"/>
      <c r="DD5" s="433"/>
      <c r="DE5" s="433"/>
      <c r="DF5" s="433"/>
      <c r="DG5" s="433"/>
      <c r="DH5" s="433"/>
      <c r="DI5" s="433"/>
      <c r="DJ5" s="433"/>
      <c r="DK5" s="433"/>
      <c r="DL5" s="433"/>
      <c r="DM5" s="433"/>
      <c r="DN5" s="433"/>
      <c r="DO5" s="433"/>
      <c r="DP5" s="433"/>
      <c r="DQ5" s="433"/>
      <c r="DR5" s="433"/>
      <c r="DS5" s="433"/>
      <c r="DT5" s="433"/>
      <c r="DU5" s="433"/>
      <c r="DV5" s="433"/>
      <c r="DW5" s="433"/>
      <c r="DX5" s="433"/>
      <c r="DY5" s="433"/>
      <c r="DZ5" s="433"/>
      <c r="EA5" s="433"/>
      <c r="EB5" s="433"/>
      <c r="EC5" s="433"/>
      <c r="ED5" s="433"/>
      <c r="EE5" s="433"/>
      <c r="EF5" s="433"/>
      <c r="EG5" s="433"/>
      <c r="EH5" s="433"/>
      <c r="EI5" s="433"/>
      <c r="EJ5" s="433"/>
      <c r="EK5" s="433"/>
      <c r="EL5" s="433"/>
      <c r="EM5" s="433"/>
      <c r="EN5" s="433"/>
      <c r="EO5" s="433"/>
      <c r="EP5" s="433"/>
      <c r="EQ5" s="433"/>
      <c r="ER5" s="433"/>
      <c r="ES5" s="433"/>
      <c r="ET5" s="433"/>
      <c r="EU5" s="433"/>
      <c r="EV5" s="433"/>
      <c r="EW5" s="433"/>
      <c r="EX5" s="433"/>
      <c r="EY5" s="433"/>
      <c r="EZ5" s="433"/>
      <c r="FA5" s="433"/>
      <c r="FB5" s="434"/>
    </row>
    <row r="6" spans="2:158" x14ac:dyDescent="0.3">
      <c r="B6" s="442" t="s">
        <v>388</v>
      </c>
      <c r="C6" t="s">
        <v>303</v>
      </c>
      <c r="D6" s="376">
        <v>15</v>
      </c>
      <c r="E6">
        <f>4.33*10</f>
        <v>43.3</v>
      </c>
      <c r="H6" s="432"/>
      <c r="I6" s="471"/>
      <c r="J6" s="471"/>
      <c r="K6" s="471"/>
      <c r="L6" s="471"/>
      <c r="M6" s="471"/>
      <c r="N6" s="471"/>
      <c r="O6" s="471"/>
      <c r="P6" s="471"/>
      <c r="Q6" s="471"/>
      <c r="R6" s="471">
        <v>0</v>
      </c>
      <c r="S6" s="471">
        <v>0</v>
      </c>
      <c r="T6" s="471"/>
      <c r="U6" s="471"/>
      <c r="V6" s="471"/>
      <c r="W6" s="471"/>
      <c r="X6" s="709"/>
      <c r="Y6" s="433"/>
      <c r="Z6" s="433"/>
      <c r="AA6" s="433"/>
      <c r="AB6" s="433"/>
      <c r="AC6" s="433"/>
      <c r="AD6" s="433"/>
      <c r="AE6" s="433"/>
      <c r="AF6" s="433"/>
      <c r="AG6" s="433"/>
      <c r="AH6" s="433"/>
      <c r="AI6" s="433"/>
      <c r="AJ6" s="433"/>
      <c r="AK6" s="433"/>
      <c r="AL6" s="433"/>
      <c r="AM6" s="433"/>
      <c r="AN6" s="433"/>
      <c r="AO6" s="433"/>
      <c r="AP6" s="433"/>
      <c r="AQ6" s="433"/>
      <c r="AR6" s="433"/>
      <c r="AS6" s="433"/>
      <c r="AT6" s="433"/>
      <c r="AU6" s="433"/>
      <c r="AV6" s="433"/>
      <c r="AW6" s="433"/>
      <c r="AX6" s="433"/>
      <c r="AY6" s="433"/>
      <c r="AZ6" s="433"/>
      <c r="BA6" s="433"/>
      <c r="BB6" s="433"/>
      <c r="BC6" s="433"/>
      <c r="BD6" s="433"/>
      <c r="BE6" s="433"/>
      <c r="BF6" s="433"/>
      <c r="BG6" s="433"/>
      <c r="BH6" s="433"/>
      <c r="BI6" s="433"/>
      <c r="BJ6" s="433"/>
      <c r="BK6" s="433"/>
      <c r="BL6" s="433"/>
      <c r="BM6" s="433"/>
      <c r="BN6" s="433"/>
      <c r="BO6" s="433"/>
      <c r="BP6" s="433"/>
      <c r="BQ6" s="433"/>
      <c r="BR6" s="433"/>
      <c r="BS6" s="433"/>
      <c r="BT6" s="433"/>
      <c r="BU6" s="433"/>
      <c r="BV6" s="433"/>
      <c r="BW6" s="433"/>
      <c r="BX6" s="433"/>
      <c r="BY6" s="433"/>
      <c r="BZ6" s="433"/>
      <c r="CA6" s="433"/>
      <c r="CB6" s="433"/>
      <c r="CC6" s="433"/>
      <c r="CD6" s="433"/>
      <c r="CE6" s="433"/>
      <c r="CF6" s="433"/>
      <c r="CG6" s="433"/>
      <c r="CH6" s="433"/>
      <c r="CI6" s="433"/>
      <c r="CJ6" s="433"/>
      <c r="CK6" s="433"/>
      <c r="CL6" s="433"/>
      <c r="CM6" s="433"/>
      <c r="CN6" s="433"/>
      <c r="CO6" s="433"/>
      <c r="CP6" s="433"/>
      <c r="CQ6" s="433"/>
      <c r="CR6" s="433"/>
      <c r="CS6" s="433"/>
      <c r="CT6" s="433"/>
      <c r="CU6" s="433"/>
      <c r="CV6" s="433"/>
      <c r="CW6" s="433"/>
      <c r="CX6" s="433"/>
      <c r="CY6" s="433"/>
      <c r="CZ6" s="433"/>
      <c r="DA6" s="433"/>
      <c r="DB6" s="433"/>
      <c r="DC6" s="433"/>
      <c r="DD6" s="433"/>
      <c r="DE6" s="433"/>
      <c r="DF6" s="433"/>
      <c r="DG6" s="433"/>
      <c r="DH6" s="433"/>
      <c r="DI6" s="433"/>
      <c r="DJ6" s="433"/>
      <c r="DK6" s="433"/>
      <c r="DL6" s="433"/>
      <c r="DM6" s="433"/>
      <c r="DN6" s="433"/>
      <c r="DO6" s="433"/>
      <c r="DP6" s="433"/>
      <c r="DQ6" s="433"/>
      <c r="DR6" s="433"/>
      <c r="DS6" s="433"/>
      <c r="DT6" s="433"/>
      <c r="DU6" s="433"/>
      <c r="DV6" s="433"/>
      <c r="DW6" s="433"/>
      <c r="DX6" s="433"/>
      <c r="DY6" s="433"/>
      <c r="DZ6" s="433"/>
      <c r="EA6" s="433"/>
      <c r="EB6" s="433"/>
      <c r="EC6" s="433"/>
      <c r="ED6" s="433"/>
      <c r="EE6" s="433"/>
      <c r="EF6" s="433"/>
      <c r="EG6" s="433"/>
      <c r="EH6" s="433"/>
      <c r="EI6" s="433"/>
      <c r="EJ6" s="433"/>
      <c r="EK6" s="433"/>
      <c r="EL6" s="433"/>
      <c r="EM6" s="433"/>
      <c r="EN6" s="433"/>
      <c r="EO6" s="433"/>
      <c r="EP6" s="433"/>
      <c r="EQ6" s="433"/>
      <c r="ER6" s="433"/>
      <c r="ES6" s="433"/>
      <c r="ET6" s="433"/>
      <c r="EU6" s="433"/>
      <c r="EV6" s="433"/>
      <c r="EW6" s="433"/>
      <c r="EX6" s="433"/>
      <c r="EY6" s="433"/>
      <c r="EZ6" s="433"/>
      <c r="FA6" s="433"/>
      <c r="FB6" s="434"/>
    </row>
    <row r="7" spans="2:158" x14ac:dyDescent="0.3">
      <c r="B7" s="442" t="s">
        <v>316</v>
      </c>
      <c r="C7" t="s">
        <v>303</v>
      </c>
      <c r="D7" s="376"/>
      <c r="H7" s="432"/>
      <c r="I7" s="471"/>
      <c r="J7" s="471"/>
      <c r="K7" s="471"/>
      <c r="L7" s="471"/>
      <c r="M7" s="471"/>
      <c r="N7" s="471"/>
      <c r="O7" s="471">
        <v>0</v>
      </c>
      <c r="P7" s="471">
        <v>0</v>
      </c>
      <c r="Q7" s="471">
        <v>0</v>
      </c>
      <c r="R7" s="471">
        <v>0</v>
      </c>
      <c r="S7" s="471">
        <v>0</v>
      </c>
      <c r="T7" s="471"/>
      <c r="U7" s="471">
        <v>300</v>
      </c>
      <c r="V7" s="471">
        <v>234</v>
      </c>
      <c r="W7" s="471">
        <f>86.8</f>
        <v>86.8</v>
      </c>
      <c r="X7" s="709">
        <v>120</v>
      </c>
      <c r="Y7" s="433"/>
      <c r="Z7" s="433"/>
      <c r="AA7" s="433"/>
      <c r="AB7" s="433"/>
      <c r="AC7" s="433"/>
      <c r="AD7" s="433"/>
      <c r="AE7" s="433"/>
      <c r="AF7" s="433"/>
      <c r="AG7" s="433"/>
      <c r="AH7" s="433"/>
      <c r="AI7" s="433"/>
      <c r="AJ7" s="433"/>
      <c r="AK7" s="433"/>
      <c r="AL7" s="433"/>
      <c r="AM7" s="433"/>
      <c r="AN7" s="433"/>
      <c r="AO7" s="433"/>
      <c r="AP7" s="433"/>
      <c r="AQ7" s="433"/>
      <c r="AR7" s="433"/>
      <c r="AS7" s="433"/>
      <c r="AT7" s="433"/>
      <c r="AU7" s="433"/>
      <c r="AV7" s="433"/>
      <c r="AW7" s="433"/>
      <c r="AX7" s="433"/>
      <c r="AY7" s="433"/>
      <c r="AZ7" s="433"/>
      <c r="BA7" s="433"/>
      <c r="BB7" s="433"/>
      <c r="BC7" s="433"/>
      <c r="BD7" s="433"/>
      <c r="BE7" s="433"/>
      <c r="BF7" s="433"/>
      <c r="BG7" s="433"/>
      <c r="BH7" s="433"/>
      <c r="BI7" s="433"/>
      <c r="BJ7" s="433"/>
      <c r="BK7" s="433"/>
      <c r="BL7" s="433"/>
      <c r="BM7" s="433"/>
      <c r="BN7" s="433"/>
      <c r="BO7" s="433"/>
      <c r="BP7" s="433"/>
      <c r="BQ7" s="433"/>
      <c r="BR7" s="433"/>
      <c r="BS7" s="433"/>
      <c r="BT7" s="433"/>
      <c r="BU7" s="433"/>
      <c r="BV7" s="433"/>
      <c r="BW7" s="433"/>
      <c r="BX7" s="433"/>
      <c r="BY7" s="433"/>
      <c r="BZ7" s="433"/>
      <c r="CA7" s="433"/>
      <c r="CB7" s="433"/>
      <c r="CC7" s="433"/>
      <c r="CD7" s="433"/>
      <c r="CE7" s="433"/>
      <c r="CF7" s="433"/>
      <c r="CG7" s="433"/>
      <c r="CH7" s="433"/>
      <c r="CI7" s="433"/>
      <c r="CJ7" s="433"/>
      <c r="CK7" s="433"/>
      <c r="CL7" s="433"/>
      <c r="CM7" s="433"/>
      <c r="CN7" s="433"/>
      <c r="CO7" s="433"/>
      <c r="CP7" s="433"/>
      <c r="CQ7" s="433"/>
      <c r="CR7" s="433"/>
      <c r="CS7" s="433"/>
      <c r="CT7" s="433"/>
      <c r="CU7" s="433"/>
      <c r="CV7" s="433"/>
      <c r="CW7" s="433"/>
      <c r="CX7" s="433"/>
      <c r="CY7" s="433"/>
      <c r="CZ7" s="433"/>
      <c r="DA7" s="433"/>
      <c r="DB7" s="433"/>
      <c r="DC7" s="433"/>
      <c r="DD7" s="433"/>
      <c r="DE7" s="433"/>
      <c r="DF7" s="433"/>
      <c r="DG7" s="433"/>
      <c r="DH7" s="433"/>
      <c r="DI7" s="433"/>
      <c r="DJ7" s="433"/>
      <c r="DK7" s="433"/>
      <c r="DL7" s="433"/>
      <c r="DM7" s="433"/>
      <c r="DN7" s="433"/>
      <c r="DO7" s="433"/>
      <c r="DP7" s="433"/>
      <c r="DQ7" s="433"/>
      <c r="DR7" s="433"/>
      <c r="DS7" s="433"/>
      <c r="DT7" s="433"/>
      <c r="DU7" s="433"/>
      <c r="DV7" s="433"/>
      <c r="DW7" s="433"/>
      <c r="DX7" s="433"/>
      <c r="DY7" s="433"/>
      <c r="DZ7" s="433"/>
      <c r="EA7" s="433"/>
      <c r="EB7" s="433"/>
      <c r="EC7" s="433"/>
      <c r="ED7" s="433"/>
      <c r="EE7" s="433"/>
      <c r="EF7" s="433"/>
      <c r="EG7" s="433"/>
      <c r="EH7" s="433"/>
      <c r="EI7" s="433"/>
      <c r="EJ7" s="433"/>
      <c r="EK7" s="433"/>
      <c r="EL7" s="433"/>
      <c r="EM7" s="433"/>
      <c r="EN7" s="433"/>
      <c r="EO7" s="433"/>
      <c r="EP7" s="433"/>
      <c r="EQ7" s="433"/>
      <c r="ER7" s="433"/>
      <c r="ES7" s="433"/>
      <c r="ET7" s="433"/>
      <c r="EU7" s="433"/>
      <c r="EV7" s="433"/>
      <c r="EW7" s="433"/>
      <c r="EX7" s="433"/>
      <c r="EY7" s="433"/>
      <c r="EZ7" s="433"/>
      <c r="FA7" s="433"/>
      <c r="FB7" s="434"/>
    </row>
    <row r="8" spans="2:158" x14ac:dyDescent="0.3">
      <c r="B8" s="442"/>
      <c r="D8" s="376"/>
      <c r="F8" s="7" t="s">
        <v>321</v>
      </c>
      <c r="H8" s="435">
        <f>SUM(H4:H7)</f>
        <v>0</v>
      </c>
      <c r="I8" s="433">
        <f t="shared" ref="I8:J8" si="4">SUM(I4:I7)</f>
        <v>450</v>
      </c>
      <c r="J8" s="433">
        <f t="shared" si="4"/>
        <v>150</v>
      </c>
      <c r="K8" s="433">
        <f t="shared" ref="K8:L8" si="5">SUM(K4:K7)</f>
        <v>0</v>
      </c>
      <c r="L8" s="433">
        <f t="shared" si="5"/>
        <v>0</v>
      </c>
      <c r="M8" s="433">
        <f t="shared" ref="M8" si="6">SUM(M4:M7)</f>
        <v>0</v>
      </c>
      <c r="N8" s="433">
        <f t="shared" ref="N8" si="7">SUM(N4:N7)</f>
        <v>0</v>
      </c>
      <c r="O8" s="433">
        <f t="shared" ref="O8:P8" si="8">SUM(O4:O7)</f>
        <v>0</v>
      </c>
      <c r="P8" s="433">
        <f t="shared" si="8"/>
        <v>0</v>
      </c>
      <c r="Q8" s="433">
        <f t="shared" ref="Q8:R8" si="9">SUM(Q4:Q7)</f>
        <v>0</v>
      </c>
      <c r="R8" s="433">
        <f t="shared" si="9"/>
        <v>0</v>
      </c>
      <c r="S8" s="433">
        <f t="shared" ref="S8" si="10">SUM(S4:S7)</f>
        <v>0</v>
      </c>
      <c r="T8" s="433">
        <f t="shared" ref="T8:V8" si="11">SUM(T4:T7)</f>
        <v>0</v>
      </c>
      <c r="U8" s="433">
        <f t="shared" si="11"/>
        <v>540</v>
      </c>
      <c r="V8" s="433">
        <f t="shared" si="11"/>
        <v>234</v>
      </c>
      <c r="W8" s="433">
        <f t="shared" ref="W8:X8" si="12">SUM(W4:W7)</f>
        <v>86.8</v>
      </c>
      <c r="X8" s="434">
        <f t="shared" si="12"/>
        <v>120</v>
      </c>
      <c r="Y8" s="433">
        <f t="shared" ref="Y8" si="13">SUM(Y4:Y7)</f>
        <v>0</v>
      </c>
      <c r="Z8" s="433">
        <f t="shared" ref="Z8" si="14">SUM(Z4:Z7)</f>
        <v>0</v>
      </c>
      <c r="AA8" s="433">
        <f t="shared" ref="AA8" si="15">SUM(AA4:AA7)</f>
        <v>0</v>
      </c>
      <c r="AB8" s="433">
        <f t="shared" ref="AB8" si="16">SUM(AB4:AB7)</f>
        <v>0</v>
      </c>
      <c r="AC8" s="433">
        <f t="shared" ref="AC8" si="17">SUM(AC4:AC7)</f>
        <v>0</v>
      </c>
      <c r="AD8" s="433">
        <f t="shared" ref="AD8" si="18">SUM(AD4:AD7)</f>
        <v>0</v>
      </c>
      <c r="AE8" s="433">
        <f t="shared" ref="AE8" si="19">SUM(AE4:AE7)</f>
        <v>0</v>
      </c>
      <c r="AF8" s="433">
        <f t="shared" ref="AF8" si="20">SUM(AF4:AF7)</f>
        <v>0</v>
      </c>
      <c r="AG8" s="433">
        <f t="shared" ref="AG8" si="21">SUM(AG4:AG7)</f>
        <v>0</v>
      </c>
      <c r="AH8" s="433">
        <f t="shared" ref="AH8" si="22">SUM(AH4:AH7)</f>
        <v>0</v>
      </c>
      <c r="AI8" s="433">
        <f t="shared" ref="AI8" si="23">SUM(AI4:AI7)</f>
        <v>0</v>
      </c>
      <c r="AJ8" s="433">
        <f t="shared" ref="AJ8" si="24">SUM(AJ4:AJ7)</f>
        <v>0</v>
      </c>
      <c r="AK8" s="433">
        <f t="shared" ref="AK8" si="25">SUM(AK4:AK7)</f>
        <v>0</v>
      </c>
      <c r="AL8" s="433">
        <f t="shared" ref="AL8" si="26">SUM(AL4:AL7)</f>
        <v>0</v>
      </c>
      <c r="AM8" s="433">
        <f t="shared" ref="AM8" si="27">SUM(AM4:AM7)</f>
        <v>0</v>
      </c>
      <c r="AN8" s="433">
        <f t="shared" ref="AN8" si="28">SUM(AN4:AN7)</f>
        <v>0</v>
      </c>
      <c r="AO8" s="433">
        <f t="shared" ref="AO8" si="29">SUM(AO4:AO7)</f>
        <v>0</v>
      </c>
      <c r="AP8" s="433">
        <f t="shared" ref="AP8" si="30">SUM(AP4:AP7)</f>
        <v>0</v>
      </c>
      <c r="AQ8" s="433">
        <f t="shared" ref="AQ8" si="31">SUM(AQ4:AQ7)</f>
        <v>0</v>
      </c>
      <c r="AR8" s="433">
        <f t="shared" ref="AR8" si="32">SUM(AR4:AR7)</f>
        <v>0</v>
      </c>
      <c r="AS8" s="433">
        <f t="shared" ref="AS8" si="33">SUM(AS4:AS7)</f>
        <v>0</v>
      </c>
      <c r="AT8" s="433">
        <f t="shared" ref="AT8" si="34">SUM(AT4:AT7)</f>
        <v>0</v>
      </c>
      <c r="AU8" s="433">
        <f t="shared" ref="AU8" si="35">SUM(AU4:AU7)</f>
        <v>0</v>
      </c>
      <c r="AV8" s="433">
        <f t="shared" ref="AV8" si="36">SUM(AV4:AV7)</f>
        <v>0</v>
      </c>
      <c r="AW8" s="433">
        <f t="shared" ref="AW8" si="37">SUM(AW4:AW7)</f>
        <v>0</v>
      </c>
      <c r="AX8" s="433">
        <f t="shared" ref="AX8" si="38">SUM(AX4:AX7)</f>
        <v>0</v>
      </c>
      <c r="AY8" s="433">
        <f t="shared" ref="AY8" si="39">SUM(AY4:AY7)</f>
        <v>0</v>
      </c>
      <c r="AZ8" s="433">
        <f t="shared" ref="AZ8" si="40">SUM(AZ4:AZ7)</f>
        <v>0</v>
      </c>
      <c r="BA8" s="433">
        <f t="shared" ref="BA8" si="41">SUM(BA4:BA7)</f>
        <v>0</v>
      </c>
      <c r="BB8" s="433">
        <f t="shared" ref="BB8" si="42">SUM(BB4:BB7)</f>
        <v>0</v>
      </c>
      <c r="BC8" s="433">
        <f t="shared" ref="BC8" si="43">SUM(BC4:BC7)</f>
        <v>0</v>
      </c>
      <c r="BD8" s="433">
        <f t="shared" ref="BD8" si="44">SUM(BD4:BD7)</f>
        <v>0</v>
      </c>
      <c r="BE8" s="433">
        <f t="shared" ref="BE8" si="45">SUM(BE4:BE7)</f>
        <v>0</v>
      </c>
      <c r="BF8" s="433">
        <f t="shared" ref="BF8" si="46">SUM(BF4:BF7)</f>
        <v>0</v>
      </c>
      <c r="BG8" s="433">
        <f t="shared" ref="BG8" si="47">SUM(BG4:BG7)</f>
        <v>0</v>
      </c>
      <c r="BH8" s="433">
        <f t="shared" ref="BH8" si="48">SUM(BH4:BH7)</f>
        <v>0</v>
      </c>
      <c r="BI8" s="433">
        <f t="shared" ref="BI8" si="49">SUM(BI4:BI7)</f>
        <v>0</v>
      </c>
      <c r="BJ8" s="433">
        <f t="shared" ref="BJ8" si="50">SUM(BJ4:BJ7)</f>
        <v>0</v>
      </c>
      <c r="BK8" s="433">
        <f t="shared" ref="BK8" si="51">SUM(BK4:BK7)</f>
        <v>0</v>
      </c>
      <c r="BL8" s="433">
        <f t="shared" ref="BL8" si="52">SUM(BL4:BL7)</f>
        <v>0</v>
      </c>
      <c r="BM8" s="433">
        <f t="shared" ref="BM8" si="53">SUM(BM4:BM7)</f>
        <v>0</v>
      </c>
      <c r="BN8" s="433">
        <f t="shared" ref="BN8" si="54">SUM(BN4:BN7)</f>
        <v>0</v>
      </c>
      <c r="BO8" s="433">
        <f t="shared" ref="BO8" si="55">SUM(BO4:BO7)</f>
        <v>0</v>
      </c>
      <c r="BP8" s="433">
        <f t="shared" ref="BP8" si="56">SUM(BP4:BP7)</f>
        <v>0</v>
      </c>
      <c r="BQ8" s="433">
        <f t="shared" ref="BQ8" si="57">SUM(BQ4:BQ7)</f>
        <v>0</v>
      </c>
      <c r="BR8" s="433">
        <f t="shared" ref="BR8" si="58">SUM(BR4:BR7)</f>
        <v>0</v>
      </c>
      <c r="BS8" s="433">
        <f t="shared" ref="BS8" si="59">SUM(BS4:BS7)</f>
        <v>0</v>
      </c>
      <c r="BT8" s="433">
        <f t="shared" ref="BT8" si="60">SUM(BT4:BT7)</f>
        <v>0</v>
      </c>
      <c r="BU8" s="433">
        <f t="shared" ref="BU8" si="61">SUM(BU4:BU7)</f>
        <v>0</v>
      </c>
      <c r="BV8" s="433">
        <f t="shared" ref="BV8" si="62">SUM(BV4:BV7)</f>
        <v>0</v>
      </c>
      <c r="BW8" s="433">
        <f t="shared" ref="BW8" si="63">SUM(BW4:BW7)</f>
        <v>0</v>
      </c>
      <c r="BX8" s="433">
        <f t="shared" ref="BX8" si="64">SUM(BX4:BX7)</f>
        <v>0</v>
      </c>
      <c r="BY8" s="433">
        <f t="shared" ref="BY8" si="65">SUM(BY4:BY7)</f>
        <v>0</v>
      </c>
      <c r="BZ8" s="433">
        <f t="shared" ref="BZ8" si="66">SUM(BZ4:BZ7)</f>
        <v>0</v>
      </c>
      <c r="CA8" s="433">
        <f t="shared" ref="CA8" si="67">SUM(CA4:CA7)</f>
        <v>0</v>
      </c>
      <c r="CB8" s="433">
        <f t="shared" ref="CB8" si="68">SUM(CB4:CB7)</f>
        <v>0</v>
      </c>
      <c r="CC8" s="433">
        <f t="shared" ref="CC8" si="69">SUM(CC4:CC7)</f>
        <v>0</v>
      </c>
      <c r="CD8" s="433">
        <f t="shared" ref="CD8" si="70">SUM(CD4:CD7)</f>
        <v>0</v>
      </c>
      <c r="CE8" s="433">
        <f t="shared" ref="CE8" si="71">SUM(CE4:CE7)</f>
        <v>0</v>
      </c>
      <c r="CF8" s="433">
        <f t="shared" ref="CF8" si="72">SUM(CF4:CF7)</f>
        <v>0</v>
      </c>
      <c r="CG8" s="433">
        <f t="shared" ref="CG8" si="73">SUM(CG4:CG7)</f>
        <v>0</v>
      </c>
      <c r="CH8" s="433">
        <f t="shared" ref="CH8" si="74">SUM(CH4:CH7)</f>
        <v>0</v>
      </c>
      <c r="CI8" s="433">
        <f t="shared" ref="CI8" si="75">SUM(CI4:CI7)</f>
        <v>0</v>
      </c>
      <c r="CJ8" s="433">
        <f t="shared" ref="CJ8" si="76">SUM(CJ4:CJ7)</f>
        <v>0</v>
      </c>
      <c r="CK8" s="433">
        <f t="shared" ref="CK8" si="77">SUM(CK4:CK7)</f>
        <v>0</v>
      </c>
      <c r="CL8" s="433">
        <f t="shared" ref="CL8" si="78">SUM(CL4:CL7)</f>
        <v>0</v>
      </c>
      <c r="CM8" s="433">
        <f t="shared" ref="CM8" si="79">SUM(CM4:CM7)</f>
        <v>0</v>
      </c>
      <c r="CN8" s="433">
        <f t="shared" ref="CN8" si="80">SUM(CN4:CN7)</f>
        <v>0</v>
      </c>
      <c r="CO8" s="433">
        <f t="shared" ref="CO8" si="81">SUM(CO4:CO7)</f>
        <v>0</v>
      </c>
      <c r="CP8" s="433">
        <f t="shared" ref="CP8" si="82">SUM(CP4:CP7)</f>
        <v>0</v>
      </c>
      <c r="CQ8" s="433">
        <f t="shared" ref="CQ8" si="83">SUM(CQ4:CQ7)</f>
        <v>0</v>
      </c>
      <c r="CR8" s="433">
        <f t="shared" ref="CR8" si="84">SUM(CR4:CR7)</f>
        <v>0</v>
      </c>
      <c r="CS8" s="433">
        <f t="shared" ref="CS8" si="85">SUM(CS4:CS7)</f>
        <v>0</v>
      </c>
      <c r="CT8" s="433">
        <f t="shared" ref="CT8" si="86">SUM(CT4:CT7)</f>
        <v>0</v>
      </c>
      <c r="CU8" s="433">
        <f t="shared" ref="CU8" si="87">SUM(CU4:CU7)</f>
        <v>0</v>
      </c>
      <c r="CV8" s="433">
        <f t="shared" ref="CV8" si="88">SUM(CV4:CV7)</f>
        <v>0</v>
      </c>
      <c r="CW8" s="433">
        <f t="shared" ref="CW8" si="89">SUM(CW4:CW7)</f>
        <v>0</v>
      </c>
      <c r="CX8" s="433">
        <f t="shared" ref="CX8" si="90">SUM(CX4:CX7)</f>
        <v>0</v>
      </c>
      <c r="CY8" s="433">
        <f t="shared" ref="CY8" si="91">SUM(CY4:CY7)</f>
        <v>0</v>
      </c>
      <c r="CZ8" s="433">
        <f t="shared" ref="CZ8" si="92">SUM(CZ4:CZ7)</f>
        <v>0</v>
      </c>
      <c r="DA8" s="433">
        <f t="shared" ref="DA8" si="93">SUM(DA4:DA7)</f>
        <v>0</v>
      </c>
      <c r="DB8" s="433">
        <f t="shared" ref="DB8" si="94">SUM(DB4:DB7)</f>
        <v>0</v>
      </c>
      <c r="DC8" s="433">
        <f t="shared" ref="DC8" si="95">SUM(DC4:DC7)</f>
        <v>0</v>
      </c>
      <c r="DD8" s="433">
        <f t="shared" ref="DD8" si="96">SUM(DD4:DD7)</f>
        <v>0</v>
      </c>
      <c r="DE8" s="433">
        <f t="shared" ref="DE8" si="97">SUM(DE4:DE7)</f>
        <v>0</v>
      </c>
      <c r="DF8" s="433">
        <f t="shared" ref="DF8" si="98">SUM(DF4:DF7)</f>
        <v>0</v>
      </c>
      <c r="DG8" s="433">
        <f t="shared" ref="DG8" si="99">SUM(DG4:DG7)</f>
        <v>0</v>
      </c>
      <c r="DH8" s="433">
        <f t="shared" ref="DH8" si="100">SUM(DH4:DH7)</f>
        <v>0</v>
      </c>
      <c r="DI8" s="433">
        <f t="shared" ref="DI8" si="101">SUM(DI4:DI7)</f>
        <v>0</v>
      </c>
      <c r="DJ8" s="433">
        <f t="shared" ref="DJ8" si="102">SUM(DJ4:DJ7)</f>
        <v>0</v>
      </c>
      <c r="DK8" s="433">
        <f t="shared" ref="DK8" si="103">SUM(DK4:DK7)</f>
        <v>0</v>
      </c>
      <c r="DL8" s="433">
        <f t="shared" ref="DL8" si="104">SUM(DL4:DL7)</f>
        <v>0</v>
      </c>
      <c r="DM8" s="433">
        <f t="shared" ref="DM8" si="105">SUM(DM4:DM7)</f>
        <v>0</v>
      </c>
      <c r="DN8" s="433">
        <f t="shared" ref="DN8" si="106">SUM(DN4:DN7)</f>
        <v>0</v>
      </c>
      <c r="DO8" s="433">
        <f t="shared" ref="DO8" si="107">SUM(DO4:DO7)</f>
        <v>0</v>
      </c>
      <c r="DP8" s="433">
        <f t="shared" ref="DP8" si="108">SUM(DP4:DP7)</f>
        <v>0</v>
      </c>
      <c r="DQ8" s="433">
        <f t="shared" ref="DQ8" si="109">SUM(DQ4:DQ7)</f>
        <v>0</v>
      </c>
      <c r="DR8" s="433">
        <f t="shared" ref="DR8" si="110">SUM(DR4:DR7)</f>
        <v>0</v>
      </c>
      <c r="DS8" s="433">
        <f t="shared" ref="DS8" si="111">SUM(DS4:DS7)</f>
        <v>0</v>
      </c>
      <c r="DT8" s="433">
        <f t="shared" ref="DT8" si="112">SUM(DT4:DT7)</f>
        <v>0</v>
      </c>
      <c r="DU8" s="433">
        <f t="shared" ref="DU8" si="113">SUM(DU4:DU7)</f>
        <v>0</v>
      </c>
      <c r="DV8" s="433">
        <f t="shared" ref="DV8" si="114">SUM(DV4:DV7)</f>
        <v>0</v>
      </c>
      <c r="DW8" s="433">
        <f t="shared" ref="DW8" si="115">SUM(DW4:DW7)</f>
        <v>0</v>
      </c>
      <c r="DX8" s="433">
        <f t="shared" ref="DX8" si="116">SUM(DX4:DX7)</f>
        <v>0</v>
      </c>
      <c r="DY8" s="433">
        <f t="shared" ref="DY8" si="117">SUM(DY4:DY7)</f>
        <v>0</v>
      </c>
      <c r="DZ8" s="433">
        <f t="shared" ref="DZ8" si="118">SUM(DZ4:DZ7)</f>
        <v>0</v>
      </c>
      <c r="EA8" s="433">
        <f t="shared" ref="EA8" si="119">SUM(EA4:EA7)</f>
        <v>0</v>
      </c>
      <c r="EB8" s="433">
        <f t="shared" ref="EB8" si="120">SUM(EB4:EB7)</f>
        <v>0</v>
      </c>
      <c r="EC8" s="433">
        <f t="shared" ref="EC8" si="121">SUM(EC4:EC7)</f>
        <v>0</v>
      </c>
      <c r="ED8" s="433">
        <f t="shared" ref="ED8" si="122">SUM(ED4:ED7)</f>
        <v>0</v>
      </c>
      <c r="EE8" s="433">
        <f t="shared" ref="EE8" si="123">SUM(EE4:EE7)</f>
        <v>0</v>
      </c>
      <c r="EF8" s="433">
        <f t="shared" ref="EF8" si="124">SUM(EF4:EF7)</f>
        <v>0</v>
      </c>
      <c r="EG8" s="433">
        <f t="shared" ref="EG8" si="125">SUM(EG4:EG7)</f>
        <v>0</v>
      </c>
      <c r="EH8" s="433">
        <f t="shared" ref="EH8" si="126">SUM(EH4:EH7)</f>
        <v>0</v>
      </c>
      <c r="EI8" s="433">
        <f t="shared" ref="EI8" si="127">SUM(EI4:EI7)</f>
        <v>0</v>
      </c>
      <c r="EJ8" s="433">
        <f t="shared" ref="EJ8" si="128">SUM(EJ4:EJ7)</f>
        <v>0</v>
      </c>
      <c r="EK8" s="433">
        <f t="shared" ref="EK8" si="129">SUM(EK4:EK7)</f>
        <v>0</v>
      </c>
      <c r="EL8" s="433">
        <f t="shared" ref="EL8" si="130">SUM(EL4:EL7)</f>
        <v>0</v>
      </c>
      <c r="EM8" s="433">
        <f t="shared" ref="EM8" si="131">SUM(EM4:EM7)</f>
        <v>0</v>
      </c>
      <c r="EN8" s="433">
        <f t="shared" ref="EN8" si="132">SUM(EN4:EN7)</f>
        <v>0</v>
      </c>
      <c r="EO8" s="433">
        <f t="shared" ref="EO8" si="133">SUM(EO4:EO7)</f>
        <v>0</v>
      </c>
      <c r="EP8" s="433">
        <f t="shared" ref="EP8" si="134">SUM(EP4:EP7)</f>
        <v>0</v>
      </c>
      <c r="EQ8" s="433">
        <f t="shared" ref="EQ8" si="135">SUM(EQ4:EQ7)</f>
        <v>0</v>
      </c>
      <c r="ER8" s="433">
        <f t="shared" ref="ER8" si="136">SUM(ER4:ER7)</f>
        <v>0</v>
      </c>
      <c r="ES8" s="433">
        <f t="shared" ref="ES8" si="137">SUM(ES4:ES7)</f>
        <v>0</v>
      </c>
      <c r="ET8" s="433">
        <f t="shared" ref="ET8" si="138">SUM(ET4:ET7)</f>
        <v>0</v>
      </c>
      <c r="EU8" s="433">
        <f t="shared" ref="EU8" si="139">SUM(EU4:EU7)</f>
        <v>0</v>
      </c>
      <c r="EV8" s="433">
        <f t="shared" ref="EV8" si="140">SUM(EV4:EV7)</f>
        <v>0</v>
      </c>
      <c r="EW8" s="433">
        <f t="shared" ref="EW8" si="141">SUM(EW4:EW7)</f>
        <v>0</v>
      </c>
      <c r="EX8" s="433">
        <f t="shared" ref="EX8" si="142">SUM(EX4:EX7)</f>
        <v>0</v>
      </c>
      <c r="EY8" s="433">
        <f t="shared" ref="EY8" si="143">SUM(EY4:EY7)</f>
        <v>0</v>
      </c>
      <c r="EZ8" s="433">
        <f t="shared" ref="EZ8" si="144">SUM(EZ4:EZ7)</f>
        <v>0</v>
      </c>
      <c r="FA8" s="433">
        <f t="shared" ref="FA8" si="145">SUM(FA4:FA7)</f>
        <v>0</v>
      </c>
      <c r="FB8" s="434">
        <f t="shared" ref="FB8" si="146">SUM(FB4:FB7)</f>
        <v>0</v>
      </c>
    </row>
    <row r="9" spans="2:158" x14ac:dyDescent="0.3">
      <c r="B9" s="442"/>
      <c r="D9" s="376"/>
      <c r="F9" s="7"/>
      <c r="H9" s="430"/>
      <c r="X9" s="736"/>
      <c r="FB9" s="431"/>
    </row>
    <row r="10" spans="2:158" x14ac:dyDescent="0.3">
      <c r="B10" s="442"/>
      <c r="D10" s="376"/>
      <c r="E10" t="s">
        <v>351</v>
      </c>
      <c r="F10" s="7"/>
      <c r="H10" s="430"/>
      <c r="X10" s="431"/>
      <c r="FB10" s="431"/>
    </row>
    <row r="11" spans="2:158" x14ac:dyDescent="0.3">
      <c r="B11" s="442" t="s">
        <v>315</v>
      </c>
      <c r="C11" t="s">
        <v>244</v>
      </c>
      <c r="D11" s="376">
        <v>50</v>
      </c>
      <c r="E11" s="510"/>
      <c r="F11" s="7"/>
      <c r="H11" s="432">
        <f>+IF(('Monthly Detail'!AG26-'Monthly Detail'!$B$24)&gt;0,('Monthly Detail'!AG26-'Monthly Detail'!$B$24)*'People Plan'!$D$11, 0)</f>
        <v>0</v>
      </c>
      <c r="I11" s="471">
        <v>0</v>
      </c>
      <c r="J11" s="471">
        <v>0</v>
      </c>
      <c r="K11" s="471">
        <v>0</v>
      </c>
      <c r="L11" s="471">
        <v>0</v>
      </c>
      <c r="M11" s="471">
        <f>+IF(('Monthly Detail'!AL26-'Monthly Detail'!$B$24)&gt;0,('Monthly Detail'!AL26-'Monthly Detail'!$B$24)*'People Plan'!$D$11, 0)</f>
        <v>0</v>
      </c>
      <c r="N11" s="471">
        <f>+IF(('Monthly Detail'!AM28-'Monthly Detail'!$B$24)&gt;0,('Monthly Detail'!AM28-'Monthly Detail'!$B$24)*'People Plan'!$D$11, 0)</f>
        <v>0</v>
      </c>
      <c r="O11" s="471">
        <v>0</v>
      </c>
      <c r="P11" s="471">
        <v>0</v>
      </c>
      <c r="Q11" s="471">
        <v>0</v>
      </c>
      <c r="R11" s="471">
        <v>0</v>
      </c>
      <c r="S11" s="471">
        <v>0</v>
      </c>
      <c r="T11" s="471">
        <f>+IF(('Monthly Detail'!AS28-'Monthly Detail'!$B$24)&gt;0,('Monthly Detail'!AS28-'Monthly Detail'!$B$24)*'People Plan'!$D$11, 0)</f>
        <v>0</v>
      </c>
      <c r="U11" s="471">
        <f>+IF(('Monthly Detail'!AT28-'Monthly Detail'!$B$24)&gt;0,('Monthly Detail'!AT28-'Monthly Detail'!$B$24)*'People Plan'!$D$11, 0)</f>
        <v>0</v>
      </c>
      <c r="V11" s="471">
        <f>+IF(('Monthly Detail'!AU28-'Monthly Detail'!$B$24)&gt;0,('Monthly Detail'!AU28-'Monthly Detail'!$B$24)*'People Plan'!$D$11, 0)</f>
        <v>0</v>
      </c>
      <c r="W11" s="471">
        <f>+IF(('Monthly Detail'!AV28-'Monthly Detail'!$B$24)&gt;0,('Monthly Detail'!AV28-'Monthly Detail'!$B$24)*'People Plan'!$D$11, 0)</f>
        <v>0</v>
      </c>
      <c r="X11" s="709">
        <f>+IF(('Monthly Detail'!AW28-'Monthly Detail'!$B$24)&gt;0,('Monthly Detail'!AW28-'Monthly Detail'!$B$24)*'People Plan'!$D$11, 0)</f>
        <v>0</v>
      </c>
      <c r="Y11" s="433">
        <f>+IF(('Monthly Detail'!AX28-'Monthly Detail'!$B$24)&gt;0,('Monthly Detail'!AX28-'Monthly Detail'!$B$24)*'People Plan'!$D$11, 0)</f>
        <v>0</v>
      </c>
      <c r="Z11" s="433">
        <f>+IF(('Monthly Detail'!AY28-'Monthly Detail'!$B$24)&gt;0,('Monthly Detail'!AY28-'Monthly Detail'!$B$24)*'People Plan'!$D$11, 0)</f>
        <v>0</v>
      </c>
      <c r="AA11" s="433">
        <f>+IF(('Monthly Detail'!AZ28-'Monthly Detail'!$B$24)&gt;0,('Monthly Detail'!AZ28-'Monthly Detail'!$B$24)*'People Plan'!$D$11, 0)</f>
        <v>0</v>
      </c>
      <c r="AB11" s="433">
        <f>+IF(('Monthly Detail'!BA28-'Monthly Detail'!$B$24)&gt;0,('Monthly Detail'!BA28-'Monthly Detail'!$B$24)*'People Plan'!$D$11, 0)</f>
        <v>0</v>
      </c>
      <c r="AC11" s="433">
        <f>+IF(('Monthly Detail'!BB28-'Monthly Detail'!$B$24)&gt;0,('Monthly Detail'!BB28-'Monthly Detail'!$B$24)*'People Plan'!$D$11, 0)</f>
        <v>0</v>
      </c>
      <c r="AD11" s="433">
        <f>+IF(('Monthly Detail'!BC28-'Monthly Detail'!$B$24)&gt;0,('Monthly Detail'!BC28-'Monthly Detail'!$B$24)*'People Plan'!$D$11, 0)</f>
        <v>0</v>
      </c>
      <c r="AE11" s="433">
        <f>+IF(('Monthly Detail'!BD28-'Monthly Detail'!$B$24)&gt;0,('Monthly Detail'!BD28-'Monthly Detail'!$B$24)*'People Plan'!$D$11, 0)</f>
        <v>0</v>
      </c>
      <c r="AF11" s="433">
        <f>+IF(('Monthly Detail'!BE28-'Monthly Detail'!$B$24)&gt;0,('Monthly Detail'!BE28-'Monthly Detail'!$B$24)*'People Plan'!$D$11, 0)</f>
        <v>0</v>
      </c>
      <c r="AG11" s="433">
        <f>+IF(('Monthly Detail'!BF28-'Monthly Detail'!$B$24)&gt;0,('Monthly Detail'!BF28-'Monthly Detail'!$B$24)*'People Plan'!$D$11, 0)</f>
        <v>0</v>
      </c>
      <c r="AH11" s="433">
        <f>+IF(('Monthly Detail'!BG28-'Monthly Detail'!$B$24)&gt;0,('Monthly Detail'!BG28-'Monthly Detail'!$B$24)*'People Plan'!$D$11, 0)</f>
        <v>0</v>
      </c>
      <c r="AI11" s="433">
        <f>+IF(('Monthly Detail'!BH28-'Monthly Detail'!$B$24)&gt;0,('Monthly Detail'!BH28-'Monthly Detail'!$B$24)*'People Plan'!$D$11, 0)</f>
        <v>0</v>
      </c>
      <c r="AJ11" s="433">
        <f>+IF(('Monthly Detail'!BI28-'Monthly Detail'!$B$24)&gt;0,('Monthly Detail'!BI28-'Monthly Detail'!$B$24)*'People Plan'!$D$11, 0)</f>
        <v>0</v>
      </c>
      <c r="AK11" s="433">
        <f>+IF(('Monthly Detail'!BJ28-'Monthly Detail'!$B$24)&gt;0,('Monthly Detail'!BJ28-'Monthly Detail'!$B$24)*'People Plan'!$D$11, 0)</f>
        <v>0</v>
      </c>
      <c r="AL11" s="433">
        <f>+IF(('Monthly Detail'!BK28-'Monthly Detail'!$B$24)&gt;0,('Monthly Detail'!BK28-'Monthly Detail'!$B$24)*'People Plan'!$D$11, 0)</f>
        <v>0</v>
      </c>
      <c r="AM11" s="433">
        <f>+IF(('Monthly Detail'!BL28-'Monthly Detail'!$B$24)&gt;0,('Monthly Detail'!BL28-'Monthly Detail'!$B$24)*'People Plan'!$D$11, 0)</f>
        <v>0</v>
      </c>
      <c r="AN11" s="433">
        <f>+IF(('Monthly Detail'!BM28-'Monthly Detail'!$B$24)&gt;0,('Monthly Detail'!BM28-'Monthly Detail'!$B$24)*'People Plan'!$D$11, 0)</f>
        <v>0</v>
      </c>
      <c r="AO11" s="433">
        <f>+IF(('Monthly Detail'!BN28-'Monthly Detail'!$B$24)&gt;0,('Monthly Detail'!BN28-'Monthly Detail'!$B$24)*'People Plan'!$D$11, 0)</f>
        <v>0</v>
      </c>
      <c r="AP11" s="433">
        <f>+IF(('Monthly Detail'!BO28-'Monthly Detail'!$B$24)&gt;0,('Monthly Detail'!BO28-'Monthly Detail'!$B$24)*'People Plan'!$D$11, 0)</f>
        <v>0</v>
      </c>
      <c r="AQ11" s="433">
        <f>+IF(('Monthly Detail'!BP28-'Monthly Detail'!$B$24)&gt;0,('Monthly Detail'!BP28-'Monthly Detail'!$B$24)*'People Plan'!$D$11, 0)</f>
        <v>0</v>
      </c>
      <c r="AR11" s="433">
        <f>+IF(('Monthly Detail'!BQ28-'Monthly Detail'!$B$24)&gt;0,('Monthly Detail'!BQ28-'Monthly Detail'!$B$24)*'People Plan'!$D$11, 0)</f>
        <v>0</v>
      </c>
      <c r="AS11" s="433">
        <f>+IF(('Monthly Detail'!BR28-'Monthly Detail'!$B$24)&gt;0,('Monthly Detail'!BR28-'Monthly Detail'!$B$24)*'People Plan'!$D$11, 0)</f>
        <v>0</v>
      </c>
      <c r="AT11" s="433">
        <f>+IF(('Monthly Detail'!BS28-'Monthly Detail'!$B$24)&gt;0,('Monthly Detail'!BS28-'Monthly Detail'!$B$24)*'People Plan'!$D$11, 0)</f>
        <v>0</v>
      </c>
      <c r="AU11" s="433">
        <f>+IF(('Monthly Detail'!BT28-'Monthly Detail'!$B$24)&gt;0,('Monthly Detail'!BT28-'Monthly Detail'!$B$24)*'People Plan'!$D$11, 0)</f>
        <v>0</v>
      </c>
      <c r="AV11" s="433">
        <f>+IF(('Monthly Detail'!BU28-'Monthly Detail'!$B$24)&gt;0,('Monthly Detail'!BU28-'Monthly Detail'!$B$24)*'People Plan'!$D$11, 0)</f>
        <v>0</v>
      </c>
      <c r="AW11" s="433">
        <f>+IF(('Monthly Detail'!BV28-'Monthly Detail'!$B$24)&gt;0,('Monthly Detail'!BV28-'Monthly Detail'!$B$24)*'People Plan'!$D$11, 0)</f>
        <v>0</v>
      </c>
      <c r="AX11" s="433">
        <f>+IF(('Monthly Detail'!BW28-'Monthly Detail'!$B$24)&gt;0,('Monthly Detail'!BW28-'Monthly Detail'!$B$24)*'People Plan'!$D$11, 0)</f>
        <v>0</v>
      </c>
      <c r="AY11" s="433">
        <f>+IF(('Monthly Detail'!BX28-'Monthly Detail'!$B$24)&gt;0,('Monthly Detail'!BX28-'Monthly Detail'!$B$24)*'People Plan'!$D$11, 0)</f>
        <v>0</v>
      </c>
      <c r="AZ11" s="433">
        <f>+IF(('Monthly Detail'!BY28-'Monthly Detail'!$B$24)&gt;0,('Monthly Detail'!BY28-'Monthly Detail'!$B$24)*'People Plan'!$D$11, 0)</f>
        <v>0</v>
      </c>
      <c r="BA11" s="433">
        <f>+IF(('Monthly Detail'!BZ28-'Monthly Detail'!$B$24)&gt;0,('Monthly Detail'!BZ28-'Monthly Detail'!$B$24)*'People Plan'!$D$11, 0)</f>
        <v>0</v>
      </c>
      <c r="BB11" s="433">
        <f>+IF(('Monthly Detail'!CA28-'Monthly Detail'!$B$24)&gt;0,('Monthly Detail'!CA28-'Monthly Detail'!$B$24)*'People Plan'!$D$11, 0)</f>
        <v>0</v>
      </c>
      <c r="BC11" s="433">
        <f>+IF(('Monthly Detail'!CB28-'Monthly Detail'!$B$24)&gt;0,('Monthly Detail'!CB28-'Monthly Detail'!$B$24)*'People Plan'!$D$11, 0)</f>
        <v>0</v>
      </c>
      <c r="BD11" s="433">
        <f>+IF(('Monthly Detail'!CC28-'Monthly Detail'!$B$24)&gt;0,('Monthly Detail'!CC28-'Monthly Detail'!$B$24)*'People Plan'!$D$11, 0)</f>
        <v>0</v>
      </c>
      <c r="BE11" s="433">
        <f>+IF(('Monthly Detail'!CD28-'Monthly Detail'!$B$24)&gt;0,('Monthly Detail'!CD28-'Monthly Detail'!$B$24)*'People Plan'!$D$11, 0)</f>
        <v>0</v>
      </c>
      <c r="BF11" s="433">
        <f>+IF(('Monthly Detail'!CE28-'Monthly Detail'!$B$24)&gt;0,('Monthly Detail'!CE28-'Monthly Detail'!$B$24)*'People Plan'!$D$11, 0)</f>
        <v>0</v>
      </c>
      <c r="BG11" s="433">
        <f>+IF(('Monthly Detail'!CF28-'Monthly Detail'!$B$24)&gt;0,('Monthly Detail'!CF28-'Monthly Detail'!$B$24)*'People Plan'!$D$11, 0)</f>
        <v>0</v>
      </c>
      <c r="BH11" s="433">
        <f>+IF(('Monthly Detail'!CG28-'Monthly Detail'!$B$24)&gt;0,('Monthly Detail'!CG28-'Monthly Detail'!$B$24)*'People Plan'!$D$11, 0)</f>
        <v>0</v>
      </c>
      <c r="BI11" s="433">
        <f>+IF(('Monthly Detail'!CH28-'Monthly Detail'!$B$24)&gt;0,('Monthly Detail'!CH28-'Monthly Detail'!$B$24)*'People Plan'!$D$11, 0)</f>
        <v>0</v>
      </c>
      <c r="BJ11" s="433">
        <f>+IF(('Monthly Detail'!CI28-'Monthly Detail'!$B$24)&gt;0,('Monthly Detail'!CI28-'Monthly Detail'!$B$24)*'People Plan'!$D$11, 0)</f>
        <v>0</v>
      </c>
      <c r="BK11" s="433">
        <f>+IF(('Monthly Detail'!CJ28-'Monthly Detail'!$B$24)&gt;0,('Monthly Detail'!CJ28-'Monthly Detail'!$B$24)*'People Plan'!$D$11, 0)</f>
        <v>0</v>
      </c>
      <c r="BL11" s="433">
        <f>+IF(('Monthly Detail'!CK28-'Monthly Detail'!$B$24)&gt;0,('Monthly Detail'!CK28-'Monthly Detail'!$B$24)*'People Plan'!$D$11, 0)</f>
        <v>0</v>
      </c>
      <c r="BM11" s="433">
        <f>+IF(('Monthly Detail'!CL28-'Monthly Detail'!$B$24)&gt;0,('Monthly Detail'!CL28-'Monthly Detail'!$B$24)*'People Plan'!$D$11, 0)</f>
        <v>839.13298412697804</v>
      </c>
      <c r="BN11" s="433">
        <f>+IF(('Monthly Detail'!CM28-'Monthly Detail'!$B$24)&gt;0,('Monthly Detail'!CM28-'Monthly Detail'!$B$24)*'People Plan'!$D$11, 0)</f>
        <v>0</v>
      </c>
      <c r="BO11" s="433">
        <f>+IF(('Monthly Detail'!CN28-'Monthly Detail'!$B$24)&gt;0,('Monthly Detail'!CN28-'Monthly Detail'!$B$24)*'People Plan'!$D$11, 0)</f>
        <v>0</v>
      </c>
      <c r="BP11" s="433">
        <f>+IF(('Monthly Detail'!CO28-'Monthly Detail'!$B$24)&gt;0,('Monthly Detail'!CO28-'Monthly Detail'!$B$24)*'People Plan'!$D$11, 0)</f>
        <v>0</v>
      </c>
      <c r="BQ11" s="433">
        <f>+IF(('Monthly Detail'!CP28-'Monthly Detail'!$B$24)&gt;0,('Monthly Detail'!CP28-'Monthly Detail'!$B$24)*'People Plan'!$D$11, 0)</f>
        <v>0</v>
      </c>
      <c r="BR11" s="433">
        <f>+IF(('Monthly Detail'!CQ28-'Monthly Detail'!$B$24)&gt;0,('Monthly Detail'!CQ28-'Monthly Detail'!$B$24)*'People Plan'!$D$11, 0)</f>
        <v>0</v>
      </c>
      <c r="BS11" s="433">
        <f>+IF(('Monthly Detail'!CR28-'Monthly Detail'!$B$24)&gt;0,('Monthly Detail'!CR28-'Monthly Detail'!$B$24)*'People Plan'!$D$11, 0)</f>
        <v>0</v>
      </c>
      <c r="BT11" s="433">
        <f>+IF(('Monthly Detail'!CS28-'Monthly Detail'!$B$24)&gt;0,('Monthly Detail'!CS28-'Monthly Detail'!$B$24)*'People Plan'!$D$11, 0)</f>
        <v>0</v>
      </c>
      <c r="BU11" s="433">
        <f>+IF(('Monthly Detail'!CT28-'Monthly Detail'!$B$24)&gt;0,('Monthly Detail'!CT28-'Monthly Detail'!$B$24)*'People Plan'!$D$11, 0)</f>
        <v>0</v>
      </c>
      <c r="BV11" s="433">
        <f>+IF(('Monthly Detail'!CU28-'Monthly Detail'!$B$24)&gt;0,('Monthly Detail'!CU28-'Monthly Detail'!$B$24)*'People Plan'!$D$11, 0)</f>
        <v>0</v>
      </c>
      <c r="BW11" s="433">
        <f>+IF(('Monthly Detail'!CV28-'Monthly Detail'!$B$24)&gt;0,('Monthly Detail'!CV28-'Monthly Detail'!$B$24)*'People Plan'!$D$11, 0)</f>
        <v>0</v>
      </c>
      <c r="BX11" s="433">
        <f>+IF(('Monthly Detail'!CW28-'Monthly Detail'!$B$24)&gt;0,('Monthly Detail'!CW28-'Monthly Detail'!$B$24)*'People Plan'!$D$11, 0)</f>
        <v>0</v>
      </c>
      <c r="BY11" s="433">
        <f>+IF(('Monthly Detail'!CX28-'Monthly Detail'!$B$24)&gt;0,('Monthly Detail'!CX28-'Monthly Detail'!$B$24)*'People Plan'!$D$11, 0)</f>
        <v>3249.2845333333221</v>
      </c>
      <c r="BZ11" s="433">
        <f>+IF(('Monthly Detail'!CY28-'Monthly Detail'!$B$24)&gt;0,('Monthly Detail'!CY28-'Monthly Detail'!$B$24)*'People Plan'!$D$11, 0)</f>
        <v>0</v>
      </c>
      <c r="CA11" s="433">
        <f>+IF(('Monthly Detail'!CZ28-'Monthly Detail'!$B$24)&gt;0,('Monthly Detail'!CZ28-'Monthly Detail'!$B$24)*'People Plan'!$D$11, 0)</f>
        <v>0</v>
      </c>
      <c r="CB11" s="433">
        <f>+IF(('Monthly Detail'!DA28-'Monthly Detail'!$B$24)&gt;0,('Monthly Detail'!DA28-'Monthly Detail'!$B$24)*'People Plan'!$D$11, 0)</f>
        <v>0</v>
      </c>
      <c r="CC11" s="433">
        <f>+IF(('Monthly Detail'!DB28-'Monthly Detail'!$B$24)&gt;0,('Monthly Detail'!DB28-'Monthly Detail'!$B$24)*'People Plan'!$D$11, 0)</f>
        <v>0</v>
      </c>
      <c r="CD11" s="433">
        <f>+IF(('Monthly Detail'!DC28-'Monthly Detail'!$B$24)&gt;0,('Monthly Detail'!DC28-'Monthly Detail'!$B$24)*'People Plan'!$D$11, 0)</f>
        <v>0</v>
      </c>
      <c r="CE11" s="433">
        <f>+IF(('Monthly Detail'!DD28-'Monthly Detail'!$B$24)&gt;0,('Monthly Detail'!DD28-'Monthly Detail'!$B$24)*'People Plan'!$D$11, 0)</f>
        <v>0</v>
      </c>
      <c r="CF11" s="433">
        <f>+IF(('Monthly Detail'!DE28-'Monthly Detail'!$B$24)&gt;0,('Monthly Detail'!DE28-'Monthly Detail'!$B$24)*'People Plan'!$D$11, 0)</f>
        <v>0</v>
      </c>
      <c r="CG11" s="433">
        <f>+IF(('Monthly Detail'!DF28-'Monthly Detail'!$B$24)&gt;0,('Monthly Detail'!DF28-'Monthly Detail'!$B$24)*'People Plan'!$D$11, 0)</f>
        <v>0</v>
      </c>
      <c r="CH11" s="433">
        <f>+IF(('Monthly Detail'!DG28-'Monthly Detail'!$B$24)&gt;0,('Monthly Detail'!DG28-'Monthly Detail'!$B$24)*'People Plan'!$D$11, 0)</f>
        <v>0</v>
      </c>
      <c r="CI11" s="433">
        <f>+IF(('Monthly Detail'!DH28-'Monthly Detail'!$B$24)&gt;0,('Monthly Detail'!DH28-'Monthly Detail'!$B$24)*'People Plan'!$D$11, 0)</f>
        <v>0</v>
      </c>
      <c r="CJ11" s="433">
        <f>+IF(('Monthly Detail'!DI28-'Monthly Detail'!$B$24)&gt;0,('Monthly Detail'!DI28-'Monthly Detail'!$B$24)*'People Plan'!$D$11, 0)</f>
        <v>0</v>
      </c>
      <c r="CK11" s="433">
        <f>+IF(('Monthly Detail'!DJ28-'Monthly Detail'!$B$24)&gt;0,('Monthly Detail'!DJ28-'Monthly Detail'!$B$24)*'People Plan'!$D$11, 0)</f>
        <v>0</v>
      </c>
      <c r="CL11" s="433">
        <f>+IF(('Monthly Detail'!DK28-'Monthly Detail'!$B$24)&gt;0,('Monthly Detail'!DK28-'Monthly Detail'!$B$24)*'People Plan'!$D$11, 0)</f>
        <v>0</v>
      </c>
      <c r="CM11" s="433">
        <f>+IF(('Monthly Detail'!DL28-'Monthly Detail'!$B$24)&gt;0,('Monthly Detail'!DL28-'Monthly Detail'!$B$24)*'People Plan'!$D$11, 0)</f>
        <v>0</v>
      </c>
      <c r="CN11" s="433">
        <f>+IF(('Monthly Detail'!DM28-'Monthly Detail'!$B$24)&gt;0,('Monthly Detail'!DM28-'Monthly Detail'!$B$24)*'People Plan'!$D$11, 0)</f>
        <v>0</v>
      </c>
      <c r="CO11" s="433">
        <f>+IF(('Monthly Detail'!DN28-'Monthly Detail'!$B$24)&gt;0,('Monthly Detail'!DN28-'Monthly Detail'!$B$24)*'People Plan'!$D$11, 0)</f>
        <v>0</v>
      </c>
      <c r="CP11" s="433">
        <f>+IF(('Monthly Detail'!DO28-'Monthly Detail'!$B$24)&gt;0,('Monthly Detail'!DO28-'Monthly Detail'!$B$24)*'People Plan'!$D$11, 0)</f>
        <v>0</v>
      </c>
      <c r="CQ11" s="433">
        <f>+IF(('Monthly Detail'!DP28-'Monthly Detail'!$B$24)&gt;0,('Monthly Detail'!DP28-'Monthly Detail'!$B$24)*'People Plan'!$D$11, 0)</f>
        <v>0</v>
      </c>
      <c r="CR11" s="433">
        <f>+IF(('Monthly Detail'!DQ28-'Monthly Detail'!$B$24)&gt;0,('Monthly Detail'!DQ28-'Monthly Detail'!$B$24)*'People Plan'!$D$11, 0)</f>
        <v>0</v>
      </c>
      <c r="CS11" s="433">
        <f>+IF(('Monthly Detail'!DR28-'Monthly Detail'!$B$24)&gt;0,('Monthly Detail'!DR28-'Monthly Detail'!$B$24)*'People Plan'!$D$11, 0)</f>
        <v>0</v>
      </c>
      <c r="CT11" s="433">
        <f>+IF(('Monthly Detail'!DS28-'Monthly Detail'!$B$24)&gt;0,('Monthly Detail'!DS28-'Monthly Detail'!$B$24)*'People Plan'!$D$11, 0)</f>
        <v>0</v>
      </c>
      <c r="CU11" s="433">
        <f>+IF(('Monthly Detail'!DT28-'Monthly Detail'!$B$24)&gt;0,('Monthly Detail'!DT28-'Monthly Detail'!$B$24)*'People Plan'!$D$11, 0)</f>
        <v>0</v>
      </c>
      <c r="CV11" s="433">
        <f>+IF(('Monthly Detail'!DU28-'Monthly Detail'!$B$24)&gt;0,('Monthly Detail'!DU28-'Monthly Detail'!$B$24)*'People Plan'!$D$11, 0)</f>
        <v>0</v>
      </c>
      <c r="CW11" s="433">
        <f>+IF(('Monthly Detail'!DV28-'Monthly Detail'!$B$24)&gt;0,('Monthly Detail'!DV28-'Monthly Detail'!$B$24)*'People Plan'!$D$11, 0)</f>
        <v>0</v>
      </c>
      <c r="CX11" s="433">
        <f>+IF(('Monthly Detail'!DW28-'Monthly Detail'!$B$24)&gt;0,('Monthly Detail'!DW28-'Monthly Detail'!$B$24)*'People Plan'!$D$11, 0)</f>
        <v>0</v>
      </c>
      <c r="CY11" s="433">
        <f>+IF(('Monthly Detail'!DX28-'Monthly Detail'!$B$24)&gt;0,('Monthly Detail'!DX28-'Monthly Detail'!$B$24)*'People Plan'!$D$11, 0)</f>
        <v>0</v>
      </c>
      <c r="CZ11" s="433">
        <f>+IF(('Monthly Detail'!DY28-'Monthly Detail'!$B$24)&gt;0,('Monthly Detail'!DY28-'Monthly Detail'!$B$24)*'People Plan'!$D$11, 0)</f>
        <v>0</v>
      </c>
      <c r="DA11" s="433">
        <f>+IF(('Monthly Detail'!DZ28-'Monthly Detail'!$B$24)&gt;0,('Monthly Detail'!DZ28-'Monthly Detail'!$B$24)*'People Plan'!$D$11, 0)</f>
        <v>0</v>
      </c>
      <c r="DB11" s="433">
        <f>+IF(('Monthly Detail'!EA28-'Monthly Detail'!$B$24)&gt;0,('Monthly Detail'!EA28-'Monthly Detail'!$B$24)*'People Plan'!$D$11, 0)</f>
        <v>0</v>
      </c>
      <c r="DC11" s="433">
        <f>+IF(('Monthly Detail'!EB28-'Monthly Detail'!$B$24)&gt;0,('Monthly Detail'!EB28-'Monthly Detail'!$B$24)*'People Plan'!$D$11, 0)</f>
        <v>0</v>
      </c>
      <c r="DD11" s="433">
        <f>+IF(('Monthly Detail'!EC28-'Monthly Detail'!$B$24)&gt;0,('Monthly Detail'!EC28-'Monthly Detail'!$B$24)*'People Plan'!$D$11, 0)</f>
        <v>0</v>
      </c>
      <c r="DE11" s="433">
        <f>+IF(('Monthly Detail'!ED28-'Monthly Detail'!$B$24)&gt;0,('Monthly Detail'!ED28-'Monthly Detail'!$B$24)*'People Plan'!$D$11, 0)</f>
        <v>0</v>
      </c>
      <c r="DF11" s="433">
        <f>+IF(('Monthly Detail'!EE28-'Monthly Detail'!$B$24)&gt;0,('Monthly Detail'!EE28-'Monthly Detail'!$B$24)*'People Plan'!$D$11, 0)</f>
        <v>0</v>
      </c>
      <c r="DG11" s="433">
        <f>+IF(('Monthly Detail'!EF28-'Monthly Detail'!$B$24)&gt;0,('Monthly Detail'!EF28-'Monthly Detail'!$B$24)*'People Plan'!$D$11, 0)</f>
        <v>0</v>
      </c>
      <c r="DH11" s="433">
        <f>+IF(('Monthly Detail'!EG28-'Monthly Detail'!$B$24)&gt;0,('Monthly Detail'!EG28-'Monthly Detail'!$B$24)*'People Plan'!$D$11, 0)</f>
        <v>0</v>
      </c>
      <c r="DI11" s="433">
        <f>+IF(('Monthly Detail'!EH28-'Monthly Detail'!$B$24)&gt;0,('Monthly Detail'!EH28-'Monthly Detail'!$B$24)*'People Plan'!$D$11, 0)</f>
        <v>0</v>
      </c>
      <c r="DJ11" s="433">
        <f>+IF(('Monthly Detail'!EI28-'Monthly Detail'!$B$24)&gt;0,('Monthly Detail'!EI28-'Monthly Detail'!$B$24)*'People Plan'!$D$11, 0)</f>
        <v>0</v>
      </c>
      <c r="DK11" s="433">
        <f>+IF(('Monthly Detail'!EJ28-'Monthly Detail'!$B$24)&gt;0,('Monthly Detail'!EJ28-'Monthly Detail'!$B$24)*'People Plan'!$D$11, 0)</f>
        <v>0</v>
      </c>
      <c r="DL11" s="433">
        <f>+IF(('Monthly Detail'!EK28-'Monthly Detail'!$B$24)&gt;0,('Monthly Detail'!EK28-'Monthly Detail'!$B$24)*'People Plan'!$D$11, 0)</f>
        <v>0</v>
      </c>
      <c r="DM11" s="433">
        <f>+IF(('Monthly Detail'!EL28-'Monthly Detail'!$B$24)&gt;0,('Monthly Detail'!EL28-'Monthly Detail'!$B$24)*'People Plan'!$D$11, 0)</f>
        <v>0</v>
      </c>
      <c r="DN11" s="433">
        <f>+IF(('Monthly Detail'!EM28-'Monthly Detail'!$B$24)&gt;0,('Monthly Detail'!EM28-'Monthly Detail'!$B$24)*'People Plan'!$D$11, 0)</f>
        <v>0</v>
      </c>
      <c r="DO11" s="433">
        <f>+IF(('Monthly Detail'!EN28-'Monthly Detail'!$B$24)&gt;0,('Monthly Detail'!EN28-'Monthly Detail'!$B$24)*'People Plan'!$D$11, 0)</f>
        <v>0</v>
      </c>
      <c r="DP11" s="433">
        <f>+IF(('Monthly Detail'!EO28-'Monthly Detail'!$B$24)&gt;0,('Monthly Detail'!EO28-'Monthly Detail'!$B$24)*'People Plan'!$D$11, 0)</f>
        <v>0</v>
      </c>
      <c r="DQ11" s="433">
        <f>+IF(('Monthly Detail'!EP28-'Monthly Detail'!$B$24)&gt;0,('Monthly Detail'!EP28-'Monthly Detail'!$B$24)*'People Plan'!$D$11, 0)</f>
        <v>0</v>
      </c>
      <c r="DR11" s="433">
        <f>+IF(('Monthly Detail'!EQ28-'Monthly Detail'!$B$24)&gt;0,('Monthly Detail'!EQ28-'Monthly Detail'!$B$24)*'People Plan'!$D$11, 0)</f>
        <v>0</v>
      </c>
      <c r="DS11" s="433">
        <f>+IF(('Monthly Detail'!ER28-'Monthly Detail'!$B$24)&gt;0,('Monthly Detail'!ER28-'Monthly Detail'!$B$24)*'People Plan'!$D$11, 0)</f>
        <v>0</v>
      </c>
      <c r="DT11" s="433">
        <f>+IF(('Monthly Detail'!ES28-'Monthly Detail'!$B$24)&gt;0,('Monthly Detail'!ES28-'Monthly Detail'!$B$24)*'People Plan'!$D$11, 0)</f>
        <v>0</v>
      </c>
      <c r="DU11" s="433">
        <f>+IF(('Monthly Detail'!ET28-'Monthly Detail'!$B$24)&gt;0,('Monthly Detail'!ET28-'Monthly Detail'!$B$24)*'People Plan'!$D$11, 0)</f>
        <v>0</v>
      </c>
      <c r="DV11" s="433">
        <f>+IF(('Monthly Detail'!EU28-'Monthly Detail'!$B$24)&gt;0,('Monthly Detail'!EU28-'Monthly Detail'!$B$24)*'People Plan'!$D$11, 0)</f>
        <v>0</v>
      </c>
      <c r="DW11" s="433">
        <f>+IF(('Monthly Detail'!EV28-'Monthly Detail'!$B$24)&gt;0,('Monthly Detail'!EV28-'Monthly Detail'!$B$24)*'People Plan'!$D$11, 0)</f>
        <v>0</v>
      </c>
      <c r="DX11" s="433">
        <f>+IF(('Monthly Detail'!EW28-'Monthly Detail'!$B$24)&gt;0,('Monthly Detail'!EW28-'Monthly Detail'!$B$24)*'People Plan'!$D$11, 0)</f>
        <v>0</v>
      </c>
      <c r="DY11" s="433">
        <f>+IF(('Monthly Detail'!EX28-'Monthly Detail'!$B$24)&gt;0,('Monthly Detail'!EX28-'Monthly Detail'!$B$24)*'People Plan'!$D$11, 0)</f>
        <v>0</v>
      </c>
      <c r="DZ11" s="433">
        <f>+IF(('Monthly Detail'!EY28-'Monthly Detail'!$B$24)&gt;0,('Monthly Detail'!EY28-'Monthly Detail'!$B$24)*'People Plan'!$D$11, 0)</f>
        <v>0</v>
      </c>
      <c r="EA11" s="433">
        <f>+IF(('Monthly Detail'!EZ28-'Monthly Detail'!$B$24)&gt;0,('Monthly Detail'!EZ28-'Monthly Detail'!$B$24)*'People Plan'!$D$11, 0)</f>
        <v>0</v>
      </c>
      <c r="EB11" s="433">
        <f>+IF(('Monthly Detail'!FA28-'Monthly Detail'!$B$24)&gt;0,('Monthly Detail'!FA28-'Monthly Detail'!$B$24)*'People Plan'!$D$11, 0)</f>
        <v>0</v>
      </c>
      <c r="EC11" s="433">
        <f>+IF(('Monthly Detail'!FB28-'Monthly Detail'!$B$24)&gt;0,('Monthly Detail'!FB28-'Monthly Detail'!$B$24)*'People Plan'!$D$11, 0)</f>
        <v>0</v>
      </c>
      <c r="ED11" s="433">
        <f>+IF(('Monthly Detail'!FC28-'Monthly Detail'!$B$24)&gt;0,('Monthly Detail'!FC28-'Monthly Detail'!$B$24)*'People Plan'!$D$11, 0)</f>
        <v>0</v>
      </c>
      <c r="EE11" s="433">
        <f>+IF(('Monthly Detail'!FD28-'Monthly Detail'!$B$24)&gt;0,('Monthly Detail'!FD28-'Monthly Detail'!$B$24)*'People Plan'!$D$11, 0)</f>
        <v>0</v>
      </c>
      <c r="EF11" s="433">
        <f>+IF(('Monthly Detail'!FE28-'Monthly Detail'!$B$24)&gt;0,('Monthly Detail'!FE28-'Monthly Detail'!$B$24)*'People Plan'!$D$11, 0)</f>
        <v>0</v>
      </c>
      <c r="EG11" s="433">
        <f>+IF(('Monthly Detail'!FF28-'Monthly Detail'!$B$24)&gt;0,('Monthly Detail'!FF28-'Monthly Detail'!$B$24)*'People Plan'!$D$11, 0)</f>
        <v>0</v>
      </c>
      <c r="EH11" s="433">
        <f>+IF(('Monthly Detail'!FG28-'Monthly Detail'!$B$24)&gt;0,('Monthly Detail'!FG28-'Monthly Detail'!$B$24)*'People Plan'!$D$11, 0)</f>
        <v>0</v>
      </c>
      <c r="EI11" s="433">
        <f>+IF(('Monthly Detail'!FH28-'Monthly Detail'!$B$24)&gt;0,('Monthly Detail'!FH28-'Monthly Detail'!$B$24)*'People Plan'!$D$11, 0)</f>
        <v>0</v>
      </c>
      <c r="EJ11" s="433">
        <f>+IF(('Monthly Detail'!FI28-'Monthly Detail'!$B$24)&gt;0,('Monthly Detail'!FI28-'Monthly Detail'!$B$24)*'People Plan'!$D$11, 0)</f>
        <v>0</v>
      </c>
      <c r="EK11" s="433">
        <f>+IF(('Monthly Detail'!FJ28-'Monthly Detail'!$B$24)&gt;0,('Monthly Detail'!FJ28-'Monthly Detail'!$B$24)*'People Plan'!$D$11, 0)</f>
        <v>0</v>
      </c>
      <c r="EL11" s="433">
        <f>+IF(('Monthly Detail'!FK28-'Monthly Detail'!$B$24)&gt;0,('Monthly Detail'!FK28-'Monthly Detail'!$B$24)*'People Plan'!$D$11, 0)</f>
        <v>0</v>
      </c>
      <c r="EM11" s="433">
        <f>+IF(('Monthly Detail'!FL28-'Monthly Detail'!$B$24)&gt;0,('Monthly Detail'!FL28-'Monthly Detail'!$B$24)*'People Plan'!$D$11, 0)</f>
        <v>0</v>
      </c>
      <c r="EN11" s="433">
        <f>+IF(('Monthly Detail'!FM28-'Monthly Detail'!$B$24)&gt;0,('Monthly Detail'!FM28-'Monthly Detail'!$B$24)*'People Plan'!$D$11, 0)</f>
        <v>0</v>
      </c>
      <c r="EO11" s="433">
        <f>+IF(('Monthly Detail'!FN28-'Monthly Detail'!$B$24)&gt;0,('Monthly Detail'!FN28-'Monthly Detail'!$B$24)*'People Plan'!$D$11, 0)</f>
        <v>0</v>
      </c>
      <c r="EP11" s="433">
        <f>+IF(('Monthly Detail'!FO28-'Monthly Detail'!$B$24)&gt;0,('Monthly Detail'!FO28-'Monthly Detail'!$B$24)*'People Plan'!$D$11, 0)</f>
        <v>0</v>
      </c>
      <c r="EQ11" s="433">
        <f>+IF(('Monthly Detail'!FP28-'Monthly Detail'!$B$24)&gt;0,('Monthly Detail'!FP28-'Monthly Detail'!$B$24)*'People Plan'!$D$11, 0)</f>
        <v>0</v>
      </c>
      <c r="ER11" s="433">
        <f>+IF(('Monthly Detail'!FQ28-'Monthly Detail'!$B$24)&gt;0,('Monthly Detail'!FQ28-'Monthly Detail'!$B$24)*'People Plan'!$D$11, 0)</f>
        <v>0</v>
      </c>
      <c r="ES11" s="433">
        <f>+IF(('Monthly Detail'!FR28-'Monthly Detail'!$B$24)&gt;0,('Monthly Detail'!FR28-'Monthly Detail'!$B$24)*'People Plan'!$D$11, 0)</f>
        <v>0</v>
      </c>
      <c r="ET11" s="433">
        <f>+IF(('Monthly Detail'!FS28-'Monthly Detail'!$B$24)&gt;0,('Monthly Detail'!FS28-'Monthly Detail'!$B$24)*'People Plan'!$D$11, 0)</f>
        <v>0</v>
      </c>
      <c r="EU11" s="433">
        <f>+IF(('Monthly Detail'!FT28-'Monthly Detail'!$B$24)&gt;0,('Monthly Detail'!FT28-'Monthly Detail'!$B$24)*'People Plan'!$D$11, 0)</f>
        <v>0</v>
      </c>
      <c r="EV11" s="433">
        <f>+IF(('Monthly Detail'!FU28-'Monthly Detail'!$B$24)&gt;0,('Monthly Detail'!FU28-'Monthly Detail'!$B$24)*'People Plan'!$D$11, 0)</f>
        <v>0</v>
      </c>
      <c r="EW11" s="433">
        <f>+IF(('Monthly Detail'!FV28-'Monthly Detail'!$B$24)&gt;0,('Monthly Detail'!FV28-'Monthly Detail'!$B$24)*'People Plan'!$D$11, 0)</f>
        <v>0</v>
      </c>
      <c r="EX11" s="433">
        <f>+IF(('Monthly Detail'!FW28-'Monthly Detail'!$B$24)&gt;0,('Monthly Detail'!FW28-'Monthly Detail'!$B$24)*'People Plan'!$D$11, 0)</f>
        <v>0</v>
      </c>
      <c r="EY11" s="433">
        <f>+IF(('Monthly Detail'!FX28-'Monthly Detail'!$B$24)&gt;0,('Monthly Detail'!FX28-'Monthly Detail'!$B$24)*'People Plan'!$D$11, 0)</f>
        <v>0</v>
      </c>
      <c r="EZ11" s="433">
        <f>+IF(('Monthly Detail'!FY28-'Monthly Detail'!$B$24)&gt;0,('Monthly Detail'!FY28-'Monthly Detail'!$B$24)*'People Plan'!$D$11, 0)</f>
        <v>0</v>
      </c>
      <c r="FA11" s="433">
        <f>+IF(('Monthly Detail'!FZ28-'Monthly Detail'!$B$24)&gt;0,('Monthly Detail'!FZ28-'Monthly Detail'!$B$24)*'People Plan'!$D$11, 0)</f>
        <v>0</v>
      </c>
      <c r="FB11" s="434">
        <f>+IF(('Monthly Detail'!GA28-'Monthly Detail'!$B$24)&gt;0,('Monthly Detail'!GA28-'Monthly Detail'!$B$24)*'People Plan'!$D$11, 0)</f>
        <v>0</v>
      </c>
    </row>
    <row r="12" spans="2:158" x14ac:dyDescent="0.3">
      <c r="B12" s="442" t="s">
        <v>302</v>
      </c>
      <c r="C12" t="s">
        <v>349</v>
      </c>
      <c r="D12" s="376">
        <v>50</v>
      </c>
      <c r="E12" s="510">
        <v>3</v>
      </c>
      <c r="F12" s="7"/>
      <c r="H12" s="432">
        <f>+IF(('Monthly Detail'!AG24-'Monthly Detail'!$B$24)&gt;0,('Monthly Detail'!AG24-'Monthly Detail'!$B$24)*'People Plan'!$D$11, 0)</f>
        <v>0</v>
      </c>
      <c r="I12" s="471">
        <v>150</v>
      </c>
      <c r="J12" s="471">
        <v>740</v>
      </c>
      <c r="K12" s="471">
        <v>817.5</v>
      </c>
      <c r="L12" s="471">
        <v>937.5</v>
      </c>
      <c r="M12" s="471">
        <v>170</v>
      </c>
      <c r="N12" s="471">
        <f>+IF(('Monthly Detail'!AM30-$E$12)&gt;0,('Monthly Detail'!AM30-$E$12)*'People Plan'!$D$12, 0)</f>
        <v>0</v>
      </c>
      <c r="O12" s="471">
        <v>0</v>
      </c>
      <c r="P12" s="471">
        <v>802.5</v>
      </c>
      <c r="Q12" s="471">
        <v>375</v>
      </c>
      <c r="R12" s="471">
        <v>0</v>
      </c>
      <c r="S12" s="471">
        <v>270</v>
      </c>
      <c r="T12" s="471">
        <v>0</v>
      </c>
      <c r="U12" s="471">
        <v>720</v>
      </c>
      <c r="V12" s="471">
        <v>240</v>
      </c>
      <c r="W12" s="471">
        <v>1419.96</v>
      </c>
      <c r="X12" s="709">
        <v>1020</v>
      </c>
      <c r="Y12" s="433">
        <f>+IF(('Monthly Detail'!AX30-$E$12)&gt;0,('Monthly Detail'!AX30-$E$12)*'People Plan'!$D$12, 0)</f>
        <v>0</v>
      </c>
      <c r="Z12" s="433">
        <f>+IF(('Monthly Detail'!AY30-$E$12)&gt;0,('Monthly Detail'!AY30-$E$12)*'People Plan'!$D$12, 0)</f>
        <v>0</v>
      </c>
      <c r="AA12" s="433">
        <f>+IF(('Monthly Detail'!AZ30-$E$12)&gt;0,('Monthly Detail'!AZ30-$E$12)*'People Plan'!$D$12, 0)</f>
        <v>0</v>
      </c>
      <c r="AB12" s="433">
        <f>+IF(('Monthly Detail'!BA30-$E$12)&gt;0,('Monthly Detail'!BA30-$E$12)*'People Plan'!$D$12, 0)</f>
        <v>179.19642857142853</v>
      </c>
      <c r="AC12" s="433">
        <f>+IF(('Monthly Detail'!BB30-$E$12)&gt;0,('Monthly Detail'!BB30-$E$12)*'People Plan'!$D$12, 0)</f>
        <v>0</v>
      </c>
      <c r="AD12" s="433">
        <f>+IF(('Monthly Detail'!BC30-$E$12)&gt;0,('Monthly Detail'!BC30-$E$12)*'People Plan'!$D$12, 0)</f>
        <v>0</v>
      </c>
      <c r="AE12" s="433">
        <f>+IF(('Monthly Detail'!BD30-$E$12)&gt;0,('Monthly Detail'!BD30-$E$12)*'People Plan'!$D$12, 0)</f>
        <v>126.41249999999995</v>
      </c>
      <c r="AF12" s="433">
        <f>+IF(('Monthly Detail'!BE30-$E$12)&gt;0,('Monthly Detail'!BE30-$E$12)*'People Plan'!$D$12, 0)</f>
        <v>371.33714285714268</v>
      </c>
      <c r="AG12" s="433">
        <f>+IF(('Monthly Detail'!BF30-$E$12)&gt;0,('Monthly Detail'!BF30-$E$12)*'People Plan'!$D$12, 0)</f>
        <v>438.59090909090907</v>
      </c>
      <c r="AH12" s="433">
        <f>+IF(('Monthly Detail'!BG30-$E$12)&gt;0,('Monthly Detail'!BG30-$E$12)*'People Plan'!$D$12, 0)</f>
        <v>511.49999999999994</v>
      </c>
      <c r="AI12" s="433">
        <f>+IF(('Monthly Detail'!BH30-$E$12)&gt;0,('Monthly Detail'!BH30-$E$12)*'People Plan'!$D$12, 0)</f>
        <v>755.67543859649118</v>
      </c>
      <c r="AJ12" s="433">
        <f>+IF(('Monthly Detail'!BI30-$E$12)&gt;0,('Monthly Detail'!BI30-$E$12)*'People Plan'!$D$12, 0)</f>
        <v>715.00973393900051</v>
      </c>
      <c r="AK12" s="433">
        <f>+IF(('Monthly Detail'!BJ30-$E$12)&gt;0,('Monthly Detail'!BJ30-$E$12)*'People Plan'!$D$12, 0)</f>
        <v>0</v>
      </c>
      <c r="AL12" s="433">
        <f>+IF(('Monthly Detail'!BK30-$E$12)&gt;0,('Monthly Detail'!BK30-$E$12)*'People Plan'!$D$12, 0)</f>
        <v>0</v>
      </c>
      <c r="AM12" s="433">
        <f>+IF(('Monthly Detail'!BL30-$E$12)&gt;0,('Monthly Detail'!BL30-$E$12)*'People Plan'!$D$12, 0)</f>
        <v>0</v>
      </c>
      <c r="AN12" s="433">
        <f>+IF(('Monthly Detail'!BM30-$E$12)&gt;0,('Monthly Detail'!BM30-$E$12)*'People Plan'!$D$12, 0)</f>
        <v>391.23214285714261</v>
      </c>
      <c r="AO12" s="433">
        <f>+IF(('Monthly Detail'!BN30-$E$12)&gt;0,('Monthly Detail'!BN30-$E$12)*'People Plan'!$D$12, 0)</f>
        <v>0</v>
      </c>
      <c r="AP12" s="433">
        <f>+IF(('Monthly Detail'!BO30-$E$12)&gt;0,('Monthly Detail'!BO30-$E$12)*'People Plan'!$D$12, 0)</f>
        <v>0</v>
      </c>
      <c r="AQ12" s="433">
        <f>+IF(('Monthly Detail'!BP30-$E$12)&gt;0,('Monthly Detail'!BP30-$E$12)*'People Plan'!$D$12, 0)</f>
        <v>259.52863636363617</v>
      </c>
      <c r="AR12" s="433">
        <f>+IF(('Monthly Detail'!BQ30-$E$12)&gt;0,('Monthly Detail'!BQ30-$E$12)*'People Plan'!$D$12, 0)</f>
        <v>607.52914285714223</v>
      </c>
      <c r="AS12" s="433">
        <f>+IF(('Monthly Detail'!BR30-$E$12)&gt;0,('Monthly Detail'!BR30-$E$12)*'People Plan'!$D$12, 0)</f>
        <v>653.19999999999959</v>
      </c>
      <c r="AT12" s="433">
        <f>+IF(('Monthly Detail'!BS30-$E$12)&gt;0,('Monthly Detail'!BS30-$E$12)*'People Plan'!$D$12, 0)</f>
        <v>836.24166666666611</v>
      </c>
      <c r="AU12" s="433">
        <f>+IF(('Monthly Detail'!BT30-$E$12)&gt;0,('Monthly Detail'!BT30-$E$12)*'People Plan'!$D$12, 0)</f>
        <v>1132.6385964912272</v>
      </c>
      <c r="AV12" s="433">
        <f>+IF(('Monthly Detail'!BU30-$E$12)&gt;0,('Monthly Detail'!BU30-$E$12)*'People Plan'!$D$12, 0)</f>
        <v>1015.9156391953271</v>
      </c>
      <c r="AW12" s="433">
        <f>+IF(('Monthly Detail'!BV30-$E$12)&gt;0,('Monthly Detail'!BV30-$E$12)*'People Plan'!$D$12, 0)</f>
        <v>71.439473684210412</v>
      </c>
      <c r="AX12" s="433">
        <f>+IF(('Monthly Detail'!BW30-$E$12)&gt;0,('Monthly Detail'!BW30-$E$12)*'People Plan'!$D$12, 0)</f>
        <v>0</v>
      </c>
      <c r="AY12" s="433">
        <f>+IF(('Monthly Detail'!BX30-$E$12)&gt;0,('Monthly Detail'!BX30-$E$12)*'People Plan'!$D$12, 0)</f>
        <v>0</v>
      </c>
      <c r="AZ12" s="433">
        <f>+IF(('Monthly Detail'!BY30-$E$12)&gt;0,('Monthly Detail'!BY30-$E$12)*'People Plan'!$D$12, 0)</f>
        <v>655.45499999999936</v>
      </c>
      <c r="BA12" s="433">
        <f>+IF(('Monthly Detail'!BZ30-$E$12)&gt;0,('Monthly Detail'!BZ30-$E$12)*'People Plan'!$D$12, 0)</f>
        <v>0</v>
      </c>
      <c r="BB12" s="433">
        <f>+IF(('Monthly Detail'!CA30-$E$12)&gt;0,('Monthly Detail'!CA30-$E$12)*'People Plan'!$D$12, 0)</f>
        <v>0</v>
      </c>
      <c r="BC12" s="433">
        <f>+IF(('Monthly Detail'!CB30-$E$12)&gt;0,('Monthly Detail'!CB30-$E$12)*'People Plan'!$D$12, 0)</f>
        <v>488.52913636363587</v>
      </c>
      <c r="BD12" s="433">
        <f>+IF(('Monthly Detail'!CC30-$E$12)&gt;0,('Monthly Detail'!CC30-$E$12)*'People Plan'!$D$12, 0)</f>
        <v>928.97889523809431</v>
      </c>
      <c r="BE12" s="433">
        <f>+IF(('Monthly Detail'!CD30-$E$12)&gt;0,('Monthly Detail'!CD30-$E$12)*'People Plan'!$D$12, 0)</f>
        <v>942.45818181818083</v>
      </c>
      <c r="BF12" s="433">
        <f>+IF(('Monthly Detail'!CE30-$E$12)&gt;0,('Monthly Detail'!CE30-$E$12)*'People Plan'!$D$12, 0)</f>
        <v>1324.2456944444432</v>
      </c>
      <c r="BG12" s="433">
        <f>+IF(('Monthly Detail'!CF30-$E$12)&gt;0,('Monthly Detail'!CF30-$E$12)*'People Plan'!$D$12, 0)</f>
        <v>1594.9268421052623</v>
      </c>
      <c r="BH12" s="433">
        <f>+IF(('Monthly Detail'!CG30-$E$12)&gt;0,('Monthly Detail'!CG30-$E$12)*'People Plan'!$D$12, 0)</f>
        <v>1588.6695652173905</v>
      </c>
      <c r="BI12" s="433">
        <f>+IF(('Monthly Detail'!CH30-$E$12)&gt;0,('Monthly Detail'!CH30-$E$12)*'People Plan'!$D$12, 0)</f>
        <v>164.62052631578931</v>
      </c>
      <c r="BJ12" s="433">
        <f>+IF(('Monthly Detail'!CI30-$E$12)&gt;0,('Monthly Detail'!CI30-$E$12)*'People Plan'!$D$12, 0)</f>
        <v>0</v>
      </c>
      <c r="BK12" s="433">
        <f>+IF(('Monthly Detail'!CJ30-$E$12)&gt;0,('Monthly Detail'!CJ30-$E$12)*'People Plan'!$D$12, 0)</f>
        <v>0</v>
      </c>
      <c r="BL12" s="433">
        <f>+IF(('Monthly Detail'!CK30-$E$12)&gt;0,('Monthly Detail'!CK30-$E$12)*'People Plan'!$D$12, 0)</f>
        <v>929.29714285714215</v>
      </c>
      <c r="BM12" s="433">
        <f>+IF(('Monthly Detail'!CL30-$E$12)&gt;0,('Monthly Detail'!CL30-$E$12)*'People Plan'!$D$12, 0)</f>
        <v>0</v>
      </c>
      <c r="BN12" s="433">
        <f>+IF(('Monthly Detail'!CM30-$E$12)&gt;0,('Monthly Detail'!CM30-$E$12)*'People Plan'!$D$12, 0)</f>
        <v>0</v>
      </c>
      <c r="BO12" s="433">
        <f>+IF(('Monthly Detail'!CN30-$E$12)&gt;0,('Monthly Detail'!CN30-$E$12)*'People Plan'!$D$12, 0)</f>
        <v>748.64533636363558</v>
      </c>
      <c r="BP12" s="433">
        <f>+IF(('Monthly Detail'!CO30-$E$12)&gt;0,('Monthly Detail'!CO30-$E$12)*'People Plan'!$D$12, 0)</f>
        <v>1291.9081599999979</v>
      </c>
      <c r="BQ12" s="433">
        <f>+IF(('Monthly Detail'!CP30-$E$12)&gt;0,('Monthly Detail'!CP30-$E$12)*'People Plan'!$D$12, 0)</f>
        <v>1452.2719999999979</v>
      </c>
      <c r="BR12" s="433">
        <f>+IF(('Monthly Detail'!CQ30-$E$12)&gt;0,('Monthly Detail'!CQ30-$E$12)*'People Plan'!$D$12, 0)</f>
        <v>1908.3536944444418</v>
      </c>
      <c r="BS12" s="433">
        <f>+IF(('Monthly Detail'!CR30-$E$12)&gt;0,('Monthly Detail'!CR30-$E$12)*'People Plan'!$D$12, 0)</f>
        <v>2165.8833173843677</v>
      </c>
      <c r="BT12" s="433">
        <f>+IF(('Monthly Detail'!CS30-$E$12)&gt;0,('Monthly Detail'!CS30-$E$12)*'People Plan'!$D$12, 0)</f>
        <v>2392.0561194029824</v>
      </c>
      <c r="BU12" s="433">
        <f>+IF(('Monthly Detail'!CT30-$E$12)&gt;0,('Monthly Detail'!CT30-$E$12)*'People Plan'!$D$12, 0)</f>
        <v>290.00821052631539</v>
      </c>
      <c r="BV12" s="433">
        <f>+IF(('Monthly Detail'!CU30-$E$12)&gt;0,('Monthly Detail'!CU30-$E$12)*'People Plan'!$D$12, 0)</f>
        <v>0</v>
      </c>
      <c r="BW12" s="433">
        <f>+IF(('Monthly Detail'!CV30-$E$12)&gt;0,('Monthly Detail'!CV30-$E$12)*'People Plan'!$D$12, 0)</f>
        <v>0</v>
      </c>
      <c r="BX12" s="433">
        <f>+IF(('Monthly Detail'!CW30-$E$12)&gt;0,('Monthly Detail'!CW30-$E$12)*'People Plan'!$D$12, 0)</f>
        <v>1365.0338571428558</v>
      </c>
      <c r="BY12" s="433">
        <f>+IF(('Monthly Detail'!CX30-$E$12)&gt;0,('Monthly Detail'!CX30-$E$12)*'People Plan'!$D$12, 0)</f>
        <v>0</v>
      </c>
      <c r="BZ12" s="433">
        <f>+IF(('Monthly Detail'!CY30-$E$12)&gt;0,('Monthly Detail'!CY30-$E$12)*'People Plan'!$D$12, 0)</f>
        <v>0</v>
      </c>
      <c r="CA12" s="433">
        <f>+IF(('Monthly Detail'!CZ30-$E$12)&gt;0,('Monthly Detail'!CZ30-$E$12)*'People Plan'!$D$12, 0)</f>
        <v>1115.1602890909078</v>
      </c>
      <c r="CB12" s="433">
        <f>+IF(('Monthly Detail'!DA30-$E$12)&gt;0,('Monthly Detail'!DA30-$E$12)*'People Plan'!$D$12, 0)</f>
        <v>1791.4013561904735</v>
      </c>
      <c r="CC12" s="433">
        <f>+IF(('Monthly Detail'!DB30-$E$12)&gt;0,('Monthly Detail'!DB30-$E$12)*'People Plan'!$D$12, 0)</f>
        <v>2213.4390181818153</v>
      </c>
      <c r="CD12" s="433">
        <f>+IF(('Monthly Detail'!DC30-$E$12)&gt;0,('Monthly Detail'!DC30-$E$12)*'People Plan'!$D$12, 0)</f>
        <v>2622.445744444442</v>
      </c>
      <c r="CE12" s="433">
        <f>+IF(('Monthly Detail'!DD30-$E$12)&gt;0,('Monthly Detail'!DD30-$E$12)*'People Plan'!$D$12, 0)</f>
        <v>3271.1786200956908</v>
      </c>
      <c r="CF12" s="433">
        <f>+IF(('Monthly Detail'!DE30-$E$12)&gt;0,('Monthly Detail'!DE30-$E$12)*'People Plan'!$D$12, 0)</f>
        <v>3433.3934925373114</v>
      </c>
      <c r="CG12" s="433">
        <f>+IF(('Monthly Detail'!DF30-$E$12)&gt;0,('Monthly Detail'!DF30-$E$12)*'People Plan'!$D$12, 0)</f>
        <v>441.08812535885124</v>
      </c>
      <c r="CH12" s="433">
        <f>+IF(('Monthly Detail'!DG30-$E$12)&gt;0,('Monthly Detail'!DG30-$E$12)*'People Plan'!$D$12, 0)</f>
        <v>0</v>
      </c>
      <c r="CI12" s="433">
        <f>+IF(('Monthly Detail'!DH30-$E$12)&gt;0,('Monthly Detail'!DH30-$E$12)*'People Plan'!$D$12, 0)</f>
        <v>0</v>
      </c>
      <c r="CJ12" s="433">
        <f>+IF(('Monthly Detail'!DI30-$E$12)&gt;0,('Monthly Detail'!DI30-$E$12)*'People Plan'!$D$12, 0)</f>
        <v>0</v>
      </c>
      <c r="CK12" s="433">
        <f>+IF(('Monthly Detail'!DJ30-$E$12)&gt;0,('Monthly Detail'!DJ30-$E$12)*'People Plan'!$D$12, 0)</f>
        <v>0</v>
      </c>
      <c r="CL12" s="433">
        <f>+IF(('Monthly Detail'!DK30-$E$12)&gt;0,('Monthly Detail'!DK30-$E$12)*'People Plan'!$D$12, 0)</f>
        <v>0</v>
      </c>
      <c r="CM12" s="433">
        <f>+IF(('Monthly Detail'!DL30-$E$12)&gt;0,('Monthly Detail'!DL30-$E$12)*'People Plan'!$D$12, 0)</f>
        <v>0</v>
      </c>
      <c r="CN12" s="433">
        <f>+IF(('Monthly Detail'!DM30-$E$12)&gt;0,('Monthly Detail'!DM30-$E$12)*'People Plan'!$D$12, 0)</f>
        <v>0</v>
      </c>
      <c r="CO12" s="433">
        <f>+IF(('Monthly Detail'!DN30-$E$12)&gt;0,('Monthly Detail'!DN30-$E$12)*'People Plan'!$D$12, 0)</f>
        <v>0</v>
      </c>
      <c r="CP12" s="433">
        <f>+IF(('Monthly Detail'!DO30-$E$12)&gt;0,('Monthly Detail'!DO30-$E$12)*'People Plan'!$D$12, 0)</f>
        <v>0</v>
      </c>
      <c r="CQ12" s="433">
        <f>+IF(('Monthly Detail'!DP30-$E$12)&gt;0,('Monthly Detail'!DP30-$E$12)*'People Plan'!$D$12, 0)</f>
        <v>0</v>
      </c>
      <c r="CR12" s="433">
        <f>+IF(('Monthly Detail'!DQ30-$E$12)&gt;0,('Monthly Detail'!DQ30-$E$12)*'People Plan'!$D$12, 0)</f>
        <v>0</v>
      </c>
      <c r="CS12" s="433">
        <f>+IF(('Monthly Detail'!DR30-$E$12)&gt;0,('Monthly Detail'!DR30-$E$12)*'People Plan'!$D$12, 0)</f>
        <v>0</v>
      </c>
      <c r="CT12" s="433">
        <f>+IF(('Monthly Detail'!DS30-$E$12)&gt;0,('Monthly Detail'!DS30-$E$12)*'People Plan'!$D$12, 0)</f>
        <v>0</v>
      </c>
      <c r="CU12" s="433">
        <f>+IF(('Monthly Detail'!DT30-$E$12)&gt;0,('Monthly Detail'!DT30-$E$12)*'People Plan'!$D$12, 0)</f>
        <v>0</v>
      </c>
      <c r="CV12" s="433">
        <f>+IF(('Monthly Detail'!DU30-$E$12)&gt;0,('Monthly Detail'!DU30-$E$12)*'People Plan'!$D$12, 0)</f>
        <v>0</v>
      </c>
      <c r="CW12" s="433">
        <f>+IF(('Monthly Detail'!DV30-$E$12)&gt;0,('Monthly Detail'!DV30-$E$12)*'People Plan'!$D$12, 0)</f>
        <v>0</v>
      </c>
      <c r="CX12" s="433">
        <f>+IF(('Monthly Detail'!DW30-$E$12)&gt;0,('Monthly Detail'!DW30-$E$12)*'People Plan'!$D$12, 0)</f>
        <v>0</v>
      </c>
      <c r="CY12" s="433">
        <f>+IF(('Monthly Detail'!DX30-$E$12)&gt;0,('Monthly Detail'!DX30-$E$12)*'People Plan'!$D$12, 0)</f>
        <v>0</v>
      </c>
      <c r="CZ12" s="433">
        <f>+IF(('Monthly Detail'!DY30-$E$12)&gt;0,('Monthly Detail'!DY30-$E$12)*'People Plan'!$D$12, 0)</f>
        <v>0</v>
      </c>
      <c r="DA12" s="433">
        <f>+IF(('Monthly Detail'!DZ30-$E$12)&gt;0,('Monthly Detail'!DZ30-$E$12)*'People Plan'!$D$12, 0)</f>
        <v>0</v>
      </c>
      <c r="DB12" s="433">
        <f>+IF(('Monthly Detail'!EA30-$E$12)&gt;0,('Monthly Detail'!EA30-$E$12)*'People Plan'!$D$12, 0)</f>
        <v>0</v>
      </c>
      <c r="DC12" s="433">
        <f>+IF(('Monthly Detail'!EB30-$E$12)&gt;0,('Monthly Detail'!EB30-$E$12)*'People Plan'!$D$12, 0)</f>
        <v>0</v>
      </c>
      <c r="DD12" s="433">
        <f>+IF(('Monthly Detail'!EC30-$E$12)&gt;0,('Monthly Detail'!EC30-$E$12)*'People Plan'!$D$12, 0)</f>
        <v>0</v>
      </c>
      <c r="DE12" s="433">
        <f>+IF(('Monthly Detail'!ED30-$E$12)&gt;0,('Monthly Detail'!ED30-$E$12)*'People Plan'!$D$12, 0)</f>
        <v>0</v>
      </c>
      <c r="DF12" s="433">
        <f>+IF(('Monthly Detail'!EE30-$E$12)&gt;0,('Monthly Detail'!EE30-$E$12)*'People Plan'!$D$12, 0)</f>
        <v>0</v>
      </c>
      <c r="DG12" s="433">
        <f>+IF(('Monthly Detail'!EF30-$E$12)&gt;0,('Monthly Detail'!EF30-$E$12)*'People Plan'!$D$12, 0)</f>
        <v>0</v>
      </c>
      <c r="DH12" s="433">
        <f>+IF(('Monthly Detail'!EG30-$E$12)&gt;0,('Monthly Detail'!EG30-$E$12)*'People Plan'!$D$12, 0)</f>
        <v>0</v>
      </c>
      <c r="DI12" s="433">
        <f>+IF(('Monthly Detail'!EH30-$E$12)&gt;0,('Monthly Detail'!EH30-$E$12)*'People Plan'!$D$12, 0)</f>
        <v>0</v>
      </c>
      <c r="DJ12" s="433">
        <f>+IF(('Monthly Detail'!EI30-$E$12)&gt;0,('Monthly Detail'!EI30-$E$12)*'People Plan'!$D$12, 0)</f>
        <v>0</v>
      </c>
      <c r="DK12" s="433">
        <f>+IF(('Monthly Detail'!EJ30-$E$12)&gt;0,('Monthly Detail'!EJ30-$E$12)*'People Plan'!$D$12, 0)</f>
        <v>0</v>
      </c>
      <c r="DL12" s="433">
        <f>+IF(('Monthly Detail'!EK30-$E$12)&gt;0,('Monthly Detail'!EK30-$E$12)*'People Plan'!$D$12, 0)</f>
        <v>0</v>
      </c>
      <c r="DM12" s="433">
        <f>+IF(('Monthly Detail'!EL30-$E$12)&gt;0,('Monthly Detail'!EL30-$E$12)*'People Plan'!$D$12, 0)</f>
        <v>0</v>
      </c>
      <c r="DN12" s="433">
        <f>+IF(('Monthly Detail'!EM30-$E$12)&gt;0,('Monthly Detail'!EM30-$E$12)*'People Plan'!$D$12, 0)</f>
        <v>0</v>
      </c>
      <c r="DO12" s="433">
        <f>+IF(('Monthly Detail'!EN30-$E$12)&gt;0,('Monthly Detail'!EN30-$E$12)*'People Plan'!$D$12, 0)</f>
        <v>0</v>
      </c>
      <c r="DP12" s="433">
        <f>+IF(('Monthly Detail'!EO30-$E$12)&gt;0,('Monthly Detail'!EO30-$E$12)*'People Plan'!$D$12, 0)</f>
        <v>0</v>
      </c>
      <c r="DQ12" s="433">
        <f>+IF(('Monthly Detail'!EP30-$E$12)&gt;0,('Monthly Detail'!EP30-$E$12)*'People Plan'!$D$12, 0)</f>
        <v>0</v>
      </c>
      <c r="DR12" s="433">
        <f>+IF(('Monthly Detail'!EQ30-$E$12)&gt;0,('Monthly Detail'!EQ30-$E$12)*'People Plan'!$D$12, 0)</f>
        <v>0</v>
      </c>
      <c r="DS12" s="433">
        <f>+IF(('Monthly Detail'!ER30-$E$12)&gt;0,('Monthly Detail'!ER30-$E$12)*'People Plan'!$D$12, 0)</f>
        <v>0</v>
      </c>
      <c r="DT12" s="433">
        <f>+IF(('Monthly Detail'!ES30-$E$12)&gt;0,('Monthly Detail'!ES30-$E$12)*'People Plan'!$D$12, 0)</f>
        <v>0</v>
      </c>
      <c r="DU12" s="433">
        <f>+IF(('Monthly Detail'!ET30-$E$12)&gt;0,('Monthly Detail'!ET30-$E$12)*'People Plan'!$D$12, 0)</f>
        <v>0</v>
      </c>
      <c r="DV12" s="433">
        <f>+IF(('Monthly Detail'!EU30-$E$12)&gt;0,('Monthly Detail'!EU30-$E$12)*'People Plan'!$D$12, 0)</f>
        <v>0</v>
      </c>
      <c r="DW12" s="433">
        <f>+IF(('Monthly Detail'!EV30-$E$12)&gt;0,('Monthly Detail'!EV30-$E$12)*'People Plan'!$D$12, 0)</f>
        <v>0</v>
      </c>
      <c r="DX12" s="433">
        <f>+IF(('Monthly Detail'!EW30-$E$12)&gt;0,('Monthly Detail'!EW30-$E$12)*'People Plan'!$D$12, 0)</f>
        <v>0</v>
      </c>
      <c r="DY12" s="433">
        <f>+IF(('Monthly Detail'!EX30-$E$12)&gt;0,('Monthly Detail'!EX30-$E$12)*'People Plan'!$D$12, 0)</f>
        <v>0</v>
      </c>
      <c r="DZ12" s="433">
        <f>+IF(('Monthly Detail'!EY30-$E$12)&gt;0,('Monthly Detail'!EY30-$E$12)*'People Plan'!$D$12, 0)</f>
        <v>0</v>
      </c>
      <c r="EA12" s="433">
        <f>+IF(('Monthly Detail'!EZ30-$E$12)&gt;0,('Monthly Detail'!EZ30-$E$12)*'People Plan'!$D$12, 0)</f>
        <v>0</v>
      </c>
      <c r="EB12" s="433">
        <f>+IF(('Monthly Detail'!FA30-$E$12)&gt;0,('Monthly Detail'!FA30-$E$12)*'People Plan'!$D$12, 0)</f>
        <v>0</v>
      </c>
      <c r="EC12" s="433">
        <f>+IF(('Monthly Detail'!FB30-$E$12)&gt;0,('Monthly Detail'!FB30-$E$12)*'People Plan'!$D$12, 0)</f>
        <v>0</v>
      </c>
      <c r="ED12" s="433">
        <f>+IF(('Monthly Detail'!FC30-$E$12)&gt;0,('Monthly Detail'!FC30-$E$12)*'People Plan'!$D$12, 0)</f>
        <v>0</v>
      </c>
      <c r="EE12" s="433">
        <f>+IF(('Monthly Detail'!FD30-$E$12)&gt;0,('Monthly Detail'!FD30-$E$12)*'People Plan'!$D$12, 0)</f>
        <v>0</v>
      </c>
      <c r="EF12" s="433">
        <f>+IF(('Monthly Detail'!FE30-$E$12)&gt;0,('Monthly Detail'!FE30-$E$12)*'People Plan'!$D$12, 0)</f>
        <v>0</v>
      </c>
      <c r="EG12" s="433">
        <f>+IF(('Monthly Detail'!FF30-$E$12)&gt;0,('Monthly Detail'!FF30-$E$12)*'People Plan'!$D$12, 0)</f>
        <v>0</v>
      </c>
      <c r="EH12" s="433">
        <f>+IF(('Monthly Detail'!FG30-$E$12)&gt;0,('Monthly Detail'!FG30-$E$12)*'People Plan'!$D$12, 0)</f>
        <v>0</v>
      </c>
      <c r="EI12" s="433">
        <f>+IF(('Monthly Detail'!FH30-$E$12)&gt;0,('Monthly Detail'!FH30-$E$12)*'People Plan'!$D$12, 0)</f>
        <v>0</v>
      </c>
      <c r="EJ12" s="433">
        <f>+IF(('Monthly Detail'!FI30-$E$12)&gt;0,('Monthly Detail'!FI30-$E$12)*'People Plan'!$D$12, 0)</f>
        <v>0</v>
      </c>
      <c r="EK12" s="433">
        <f>+IF(('Monthly Detail'!FJ30-$E$12)&gt;0,('Monthly Detail'!FJ30-$E$12)*'People Plan'!$D$12, 0)</f>
        <v>0</v>
      </c>
      <c r="EL12" s="433">
        <f>+IF(('Monthly Detail'!FK30-$E$12)&gt;0,('Monthly Detail'!FK30-$E$12)*'People Plan'!$D$12, 0)</f>
        <v>0</v>
      </c>
      <c r="EM12" s="433">
        <f>+IF(('Monthly Detail'!FL30-$E$12)&gt;0,('Monthly Detail'!FL30-$E$12)*'People Plan'!$D$12, 0)</f>
        <v>0</v>
      </c>
      <c r="EN12" s="433">
        <f>+IF(('Monthly Detail'!FM30-$E$12)&gt;0,('Monthly Detail'!FM30-$E$12)*'People Plan'!$D$12, 0)</f>
        <v>0</v>
      </c>
      <c r="EO12" s="433">
        <f>+IF(('Monthly Detail'!FN30-$E$12)&gt;0,('Monthly Detail'!FN30-$E$12)*'People Plan'!$D$12, 0)</f>
        <v>0</v>
      </c>
      <c r="EP12" s="433">
        <f>+IF(('Monthly Detail'!FO30-$E$12)&gt;0,('Monthly Detail'!FO30-$E$12)*'People Plan'!$D$12, 0)</f>
        <v>0</v>
      </c>
      <c r="EQ12" s="433">
        <f>+IF(('Monthly Detail'!FP30-$E$12)&gt;0,('Monthly Detail'!FP30-$E$12)*'People Plan'!$D$12, 0)</f>
        <v>0</v>
      </c>
      <c r="ER12" s="433">
        <f>+IF(('Monthly Detail'!FQ30-$E$12)&gt;0,('Monthly Detail'!FQ30-$E$12)*'People Plan'!$D$12, 0)</f>
        <v>0</v>
      </c>
      <c r="ES12" s="433">
        <f>+IF(('Monthly Detail'!FR30-$E$12)&gt;0,('Monthly Detail'!FR30-$E$12)*'People Plan'!$D$12, 0)</f>
        <v>0</v>
      </c>
      <c r="ET12" s="433">
        <f>+IF(('Monthly Detail'!FS30-$E$12)&gt;0,('Monthly Detail'!FS30-$E$12)*'People Plan'!$D$12, 0)</f>
        <v>0</v>
      </c>
      <c r="EU12" s="433">
        <f>+IF(('Monthly Detail'!FT30-$E$12)&gt;0,('Monthly Detail'!FT30-$E$12)*'People Plan'!$D$12, 0)</f>
        <v>0</v>
      </c>
      <c r="EV12" s="433">
        <f>+IF(('Monthly Detail'!FU30-$E$12)&gt;0,('Monthly Detail'!FU30-$E$12)*'People Plan'!$D$12, 0)</f>
        <v>0</v>
      </c>
      <c r="EW12" s="433">
        <f>+IF(('Monthly Detail'!FV30-$E$12)&gt;0,('Monthly Detail'!FV30-$E$12)*'People Plan'!$D$12, 0)</f>
        <v>0</v>
      </c>
      <c r="EX12" s="433">
        <f>+IF(('Monthly Detail'!FW30-$E$12)&gt;0,('Monthly Detail'!FW30-$E$12)*'People Plan'!$D$12, 0)</f>
        <v>0</v>
      </c>
      <c r="EY12" s="433">
        <f>+IF(('Monthly Detail'!FX30-$E$12)&gt;0,('Monthly Detail'!FX30-$E$12)*'People Plan'!$D$12, 0)</f>
        <v>0</v>
      </c>
      <c r="EZ12" s="433">
        <f>+IF(('Monthly Detail'!FY30-$E$12)&gt;0,('Monthly Detail'!FY30-$E$12)*'People Plan'!$D$12, 0)</f>
        <v>0</v>
      </c>
      <c r="FA12" s="433">
        <f>+IF(('Monthly Detail'!FZ30-$E$12)&gt;0,('Monthly Detail'!FZ30-$E$12)*'People Plan'!$D$12, 0)</f>
        <v>0</v>
      </c>
      <c r="FB12" s="434">
        <f>+IF(('Monthly Detail'!GA30-$E$12)&gt;0,('Monthly Detail'!GA30-$E$12)*'People Plan'!$D$12, 0)</f>
        <v>0</v>
      </c>
    </row>
    <row r="13" spans="2:158" x14ac:dyDescent="0.3">
      <c r="B13" s="442" t="s">
        <v>348</v>
      </c>
      <c r="C13" t="s">
        <v>350</v>
      </c>
      <c r="D13" s="376">
        <v>50</v>
      </c>
      <c r="E13" s="510">
        <v>50</v>
      </c>
      <c r="F13" s="7"/>
      <c r="H13" s="432"/>
      <c r="I13" s="471"/>
      <c r="J13" s="471"/>
      <c r="K13" s="471"/>
      <c r="L13" s="471"/>
      <c r="M13" s="471"/>
      <c r="N13" s="471"/>
      <c r="O13" s="471">
        <v>0</v>
      </c>
      <c r="P13" s="471">
        <v>0</v>
      </c>
      <c r="Q13" s="471">
        <v>0</v>
      </c>
      <c r="R13" s="471">
        <v>0</v>
      </c>
      <c r="S13" s="471">
        <v>0</v>
      </c>
      <c r="T13" s="471">
        <v>0</v>
      </c>
      <c r="U13" s="471">
        <v>120</v>
      </c>
      <c r="V13" s="471">
        <v>210</v>
      </c>
      <c r="W13" s="471">
        <v>270</v>
      </c>
      <c r="X13" s="709">
        <v>390</v>
      </c>
      <c r="Y13" s="433">
        <f>+IF(('Monthly Detail'!AX29-$E$13)&gt;0,('Monthly Detail'!AX29-$E$13)*'People Plan'!$D$13, 0)</f>
        <v>0</v>
      </c>
      <c r="Z13" s="433">
        <f>+IF(('Monthly Detail'!AY29-$E$13)&gt;0,('Monthly Detail'!AY29-$E$13)*'People Plan'!$D$13, 0)</f>
        <v>0</v>
      </c>
      <c r="AA13" s="433">
        <f>+IF(('Monthly Detail'!AZ29-$E$13)&gt;0,('Monthly Detail'!AZ29-$E$13)*'People Plan'!$D$13, 0)</f>
        <v>1259.9873188405795</v>
      </c>
      <c r="AB13" s="433">
        <f>+IF(('Monthly Detail'!BA29-$E$13)&gt;0,('Monthly Detail'!BA29-$E$13)*'People Plan'!$D$13, 0)</f>
        <v>3030.4999999999991</v>
      </c>
      <c r="AC13" s="433">
        <f>+IF(('Monthly Detail'!BB29-$E$13)&gt;0,('Monthly Detail'!BB29-$E$13)*'People Plan'!$D$13, 0)</f>
        <v>5589.7142857142835</v>
      </c>
      <c r="AD13" s="433">
        <f>+IF(('Monthly Detail'!BC29-$E$13)&gt;0,('Monthly Detail'!BC29-$E$13)*'People Plan'!$D$13, 0)</f>
        <v>1415.5652173913033</v>
      </c>
      <c r="AE13" s="433">
        <f>+IF(('Monthly Detail'!BD29-$E$13)&gt;0,('Monthly Detail'!BD29-$E$13)*'People Plan'!$D$13, 0)</f>
        <v>5700.2374999999984</v>
      </c>
      <c r="AF13" s="433">
        <f>+IF(('Monthly Detail'!BE29-$E$13)&gt;0,('Monthly Detail'!BE29-$E$13)*'People Plan'!$D$13, 0)</f>
        <v>106.68571428571383</v>
      </c>
      <c r="AG13" s="433">
        <f>+IF(('Monthly Detail'!BF29-$E$13)&gt;0,('Monthly Detail'!BF29-$E$13)*'People Plan'!$D$13, 0)</f>
        <v>2057.3753246753249</v>
      </c>
      <c r="AH13" s="433">
        <f>+IF(('Monthly Detail'!BG29-$E$13)&gt;0,('Monthly Detail'!BG29-$E$13)*'People Plan'!$D$13, 0)</f>
        <v>1725.4999999999995</v>
      </c>
      <c r="AI13" s="433">
        <f>+IF(('Monthly Detail'!BH29-$E$13)&gt;0,('Monthly Detail'!BH29-$E$13)*'People Plan'!$D$13, 0)</f>
        <v>3231.4385964912267</v>
      </c>
      <c r="AJ13" s="433">
        <f>+IF(('Monthly Detail'!BI29-$E$13)&gt;0,('Monthly Detail'!BI29-$E$13)*'People Plan'!$D$13, 0)</f>
        <v>237.22258273848098</v>
      </c>
      <c r="AK13" s="433">
        <f>+IF(('Monthly Detail'!BJ29-$E$13)&gt;0,('Monthly Detail'!BJ29-$E$13)*'People Plan'!$D$13, 0)</f>
        <v>0</v>
      </c>
      <c r="AL13" s="433">
        <f>+IF(('Monthly Detail'!BK29-$E$13)&gt;0,('Monthly Detail'!BK29-$E$13)*'People Plan'!$D$13, 0)</f>
        <v>1963.1578947368412</v>
      </c>
      <c r="AM13" s="433">
        <f>+IF(('Monthly Detail'!BL29-$E$13)&gt;0,('Monthly Detail'!BL29-$E$13)*'People Plan'!$D$13, 0)</f>
        <v>3840.8244565217374</v>
      </c>
      <c r="AN13" s="433">
        <f>+IF(('Monthly Detail'!BM29-$E$13)&gt;0,('Monthly Detail'!BM29-$E$13)*'People Plan'!$D$13, 0)</f>
        <v>6592.6999999999953</v>
      </c>
      <c r="AO13" s="433">
        <f>+IF(('Monthly Detail'!BN29-$E$13)&gt;0,('Monthly Detail'!BN29-$E$13)*'People Plan'!$D$13, 0)</f>
        <v>10932.944642857137</v>
      </c>
      <c r="AP13" s="433">
        <f>+IF(('Monthly Detail'!BO29-$E$13)&gt;0,('Monthly Detail'!BO29-$E$13)*'People Plan'!$D$13, 0)</f>
        <v>3512.6608695652139</v>
      </c>
      <c r="AQ13" s="433">
        <f>+IF(('Monthly Detail'!BP29-$E$13)&gt;0,('Monthly Detail'!BP29-$E$13)*'People Plan'!$D$13, 0)</f>
        <v>9649.3495454545409</v>
      </c>
      <c r="AR13" s="433">
        <f>+IF(('Monthly Detail'!BQ29-$E$13)&gt;0,('Monthly Detail'!BQ29-$E$13)*'People Plan'!$D$13, 0)</f>
        <v>1287.6457142857121</v>
      </c>
      <c r="AS13" s="433">
        <f>+IF(('Monthly Detail'!BR29-$E$13)&gt;0,('Monthly Detail'!BR29-$E$13)*'People Plan'!$D$13, 0)</f>
        <v>3719.0628571428547</v>
      </c>
      <c r="AT13" s="433">
        <f>+IF(('Monthly Detail'!BS29-$E$13)&gt;0,('Monthly Detail'!BS29-$E$13)*'People Plan'!$D$13, 0)</f>
        <v>3799.8702380952336</v>
      </c>
      <c r="AU13" s="433">
        <f>+IF(('Monthly Detail'!BT29-$E$13)&gt;0,('Monthly Detail'!BT29-$E$13)*'People Plan'!$D$13, 0)</f>
        <v>5616.9964912280648</v>
      </c>
      <c r="AV13" s="433">
        <f>+IF(('Monthly Detail'!BU29-$E$13)&gt;0,('Monthly Detail'!BU29-$E$13)*'People Plan'!$D$13, 0)</f>
        <v>1189.4042829331581</v>
      </c>
      <c r="AW13" s="433">
        <f>+IF(('Monthly Detail'!BV29-$E$13)&gt;0,('Monthly Detail'!BV29-$E$13)*'People Plan'!$D$13, 0)</f>
        <v>0</v>
      </c>
      <c r="AX13" s="433">
        <f>+IF(('Monthly Detail'!BW29-$E$13)&gt;0,('Monthly Detail'!BW29-$E$13)*'People Plan'!$D$13, 0)</f>
        <v>3787.8947368421018</v>
      </c>
      <c r="AY13" s="433">
        <f>+IF(('Monthly Detail'!BX29-$E$13)&gt;0,('Monthly Detail'!BX29-$E$13)*'People Plan'!$D$13, 0)</f>
        <v>6448.2955434782552</v>
      </c>
      <c r="AZ13" s="433">
        <f>+IF(('Monthly Detail'!BY29-$E$13)&gt;0,('Monthly Detail'!BY29-$E$13)*'People Plan'!$D$13, 0)</f>
        <v>11031.643999999991</v>
      </c>
      <c r="BA13" s="433">
        <f>+IF(('Monthly Detail'!BZ29-$E$13)&gt;0,('Monthly Detail'!BZ29-$E$13)*'People Plan'!$D$13, 0)</f>
        <v>16577.193928571418</v>
      </c>
      <c r="BB13" s="433">
        <f>+IF(('Monthly Detail'!CA29-$E$13)&gt;0,('Monthly Detail'!CA29-$E$13)*'People Plan'!$D$13, 0)</f>
        <v>5298.722529644263</v>
      </c>
      <c r="BC13" s="433">
        <f>+IF(('Monthly Detail'!CB29-$E$13)&gt;0,('Monthly Detail'!CB29-$E$13)*'People Plan'!$D$13, 0)</f>
        <v>16443.031045454532</v>
      </c>
      <c r="BD13" s="433">
        <f>+IF(('Monthly Detail'!CC29-$E$13)&gt;0,('Monthly Detail'!CC29-$E$13)*'People Plan'!$D$13, 0)</f>
        <v>2894.8944761904727</v>
      </c>
      <c r="BE13" s="433">
        <f>+IF(('Monthly Detail'!CD29-$E$13)&gt;0,('Monthly Detail'!CD29-$E$13)*'People Plan'!$D$13, 0)</f>
        <v>5958.7476363636297</v>
      </c>
      <c r="BF13" s="433">
        <f>+IF(('Monthly Detail'!CE29-$E$13)&gt;0,('Monthly Detail'!CE29-$E$13)*'People Plan'!$D$13, 0)</f>
        <v>6917.1204563491983</v>
      </c>
      <c r="BG13" s="433">
        <f>+IF(('Monthly Detail'!CF29-$E$13)&gt;0,('Monthly Detail'!CF29-$E$13)*'People Plan'!$D$13, 0)</f>
        <v>8542.5221052631496</v>
      </c>
      <c r="BH13" s="433">
        <f>+IF(('Monthly Detail'!CG29-$E$13)&gt;0,('Monthly Detail'!CG29-$E$13)*'People Plan'!$D$13, 0)</f>
        <v>3001.8173913043443</v>
      </c>
      <c r="BI13" s="433">
        <f>+IF(('Monthly Detail'!CH29-$E$13)&gt;0,('Monthly Detail'!CH29-$E$13)*'People Plan'!$D$13, 0)</f>
        <v>16.964210526314361</v>
      </c>
      <c r="BJ13" s="433">
        <f>+IF(('Monthly Detail'!CI29-$E$13)&gt;0,('Monthly Detail'!CI29-$E$13)*'People Plan'!$D$13, 0)</f>
        <v>5657.7070938215056</v>
      </c>
      <c r="BK13" s="433">
        <f>+IF(('Monthly Detail'!CJ29-$E$13)&gt;0,('Monthly Detail'!CJ29-$E$13)*'People Plan'!$D$13, 0)</f>
        <v>11337.594833333324</v>
      </c>
      <c r="BL13" s="433">
        <f>+IF(('Monthly Detail'!CK29-$E$13)&gt;0,('Monthly Detail'!CK29-$E$13)*'People Plan'!$D$13, 0)</f>
        <v>15632.19199999999</v>
      </c>
      <c r="BM13" s="433">
        <f>+IF(('Monthly Detail'!CL29-$E$13)&gt;0,('Monthly Detail'!CL29-$E$13)*'People Plan'!$D$13, 0)</f>
        <v>23176.493857142839</v>
      </c>
      <c r="BN13" s="433">
        <f>+IF(('Monthly Detail'!CM29-$E$13)&gt;0,('Monthly Detail'!CM29-$E$13)*'People Plan'!$D$13, 0)</f>
        <v>8994.8335810276567</v>
      </c>
      <c r="BO13" s="433">
        <f>+IF(('Monthly Detail'!CN29-$E$13)&gt;0,('Monthly Detail'!CN29-$E$13)*'People Plan'!$D$13, 0)</f>
        <v>24159.811645454523</v>
      </c>
      <c r="BP13" s="433">
        <f>+IF(('Monthly Detail'!CO29-$E$13)&gt;0,('Monthly Detail'!CO29-$E$13)*'People Plan'!$D$13, 0)</f>
        <v>4709.5407999999907</v>
      </c>
      <c r="BQ13" s="433">
        <f>+IF(('Monthly Detail'!CP29-$E$13)&gt;0,('Monthly Detail'!CP29-$E$13)*'People Plan'!$D$13, 0)</f>
        <v>9906.1631999999845</v>
      </c>
      <c r="BR13" s="433">
        <f>+IF(('Monthly Detail'!CQ29-$E$13)&gt;0,('Monthly Detail'!CQ29-$E$13)*'People Plan'!$D$13, 0)</f>
        <v>10648.259313492048</v>
      </c>
      <c r="BS13" s="433">
        <f>+IF(('Monthly Detail'!CR29-$E$13)&gt;0,('Monthly Detail'!CR29-$E$13)*'People Plan'!$D$13, 0)</f>
        <v>12155.739202551817</v>
      </c>
      <c r="BT13" s="433">
        <f>+IF(('Monthly Detail'!CS29-$E$13)&gt;0,('Monthly Detail'!CS29-$E$13)*'People Plan'!$D$13, 0)</f>
        <v>5544.0405970149159</v>
      </c>
      <c r="BU13" s="433">
        <f>+IF(('Monthly Detail'!CT29-$E$13)&gt;0,('Monthly Detail'!CT29-$E$13)*'People Plan'!$D$13, 0)</f>
        <v>1020.0656842105232</v>
      </c>
      <c r="BV13" s="433">
        <f>+IF(('Monthly Detail'!CU29-$E$13)&gt;0,('Monthly Detail'!CU29-$E$13)*'People Plan'!$D$13, 0)</f>
        <v>8944.8173913043374</v>
      </c>
      <c r="BW13" s="433">
        <f>+IF(('Monthly Detail'!CV29-$E$13)&gt;0,('Monthly Detail'!CV29-$E$13)*'People Plan'!$D$13, 0)</f>
        <v>16950.549433333315</v>
      </c>
      <c r="BX13" s="433">
        <f>+IF(('Monthly Detail'!CW29-$E$13)&gt;0,('Monthly Detail'!CW29-$E$13)*'People Plan'!$D$13, 0)</f>
        <v>22952.568799999979</v>
      </c>
      <c r="BY13" s="433">
        <f>+IF(('Monthly Detail'!CX29-$E$13)&gt;0,('Monthly Detail'!CX29-$E$13)*'People Plan'!$D$13, 0)</f>
        <v>31905.945199999969</v>
      </c>
      <c r="BZ13" s="433">
        <f>+IF(('Monthly Detail'!CY29-$E$13)&gt;0,('Monthly Detail'!CY29-$E$13)*'People Plan'!$D$13, 0)</f>
        <v>14439.524034782591</v>
      </c>
      <c r="CA13" s="433">
        <f>+IF(('Monthly Detail'!CZ29-$E$13)&gt;0,('Monthly Detail'!CZ29-$E$13)*'People Plan'!$D$13, 0)</f>
        <v>35033.088576363603</v>
      </c>
      <c r="CB13" s="433">
        <f>+IF(('Monthly Detail'!DA29-$E$13)&gt;0,('Monthly Detail'!DA29-$E$13)*'People Plan'!$D$13, 0)</f>
        <v>7207.006780952368</v>
      </c>
      <c r="CC13" s="433">
        <f>+IF(('Monthly Detail'!DB29-$E$13)&gt;0,('Monthly Detail'!DB29-$E$13)*'People Plan'!$D$13, 0)</f>
        <v>15799.770683636341</v>
      </c>
      <c r="CD13" s="433">
        <f>+IF(('Monthly Detail'!DC29-$E$13)&gt;0,('Monthly Detail'!DC29-$E$13)*'People Plan'!$D$13, 0)</f>
        <v>15209.704449206332</v>
      </c>
      <c r="CE13" s="433">
        <f>+IF(('Monthly Detail'!DD29-$E$13)&gt;0,('Monthly Detail'!DD29-$E$13)*'People Plan'!$D$13, 0)</f>
        <v>19150.443804784667</v>
      </c>
      <c r="CF13" s="433">
        <f>+IF(('Monthly Detail'!DE29-$E$13)&gt;0,('Monthly Detail'!DE29-$E$13)*'People Plan'!$D$13, 0)</f>
        <v>8839.2314626865591</v>
      </c>
      <c r="CG13" s="433">
        <f>+IF(('Monthly Detail'!DF29-$E$13)&gt;0,('Monthly Detail'!DF29-$E$13)*'People Plan'!$D$13, 0)</f>
        <v>2228.7050028708099</v>
      </c>
      <c r="CH13" s="433">
        <f>+IF(('Monthly Detail'!DG29-$E$13)&gt;0,('Monthly Detail'!DG29-$E$13)*'People Plan'!$D$13, 0)</f>
        <v>14411.59029748282</v>
      </c>
      <c r="CI13" s="433">
        <f>+IF(('Monthly Detail'!DH29-$E$13)&gt;0,('Monthly Detail'!DH29-$E$13)*'People Plan'!$D$13, 0)</f>
        <v>0</v>
      </c>
      <c r="CJ13" s="433">
        <f>+IF(('Monthly Detail'!DI29-$E$13)&gt;0,('Monthly Detail'!DI29-$E$13)*'People Plan'!$D$13, 0)</f>
        <v>0</v>
      </c>
      <c r="CK13" s="433">
        <f>+IF(('Monthly Detail'!DJ29-$E$13)&gt;0,('Monthly Detail'!DJ29-$E$13)*'People Plan'!$D$13, 0)</f>
        <v>0</v>
      </c>
      <c r="CL13" s="433">
        <f>+IF(('Monthly Detail'!DK29-$E$13)&gt;0,('Monthly Detail'!DK29-$E$13)*'People Plan'!$D$13, 0)</f>
        <v>0</v>
      </c>
      <c r="CM13" s="433">
        <f>+IF(('Monthly Detail'!DL29-$E$13)&gt;0,('Monthly Detail'!DL29-$E$13)*'People Plan'!$D$13, 0)</f>
        <v>0</v>
      </c>
      <c r="CN13" s="433">
        <f>+IF(('Monthly Detail'!DM29-$E$13)&gt;0,('Monthly Detail'!DM29-$E$13)*'People Plan'!$D$13, 0)</f>
        <v>0</v>
      </c>
      <c r="CO13" s="433">
        <f>+IF(('Monthly Detail'!DN29-$E$13)&gt;0,('Monthly Detail'!DN29-$E$13)*'People Plan'!$D$13, 0)</f>
        <v>0</v>
      </c>
      <c r="CP13" s="433">
        <f>+IF(('Monthly Detail'!DO29-$E$13)&gt;0,('Monthly Detail'!DO29-$E$13)*'People Plan'!$D$13, 0)</f>
        <v>0</v>
      </c>
      <c r="CQ13" s="433">
        <f>+IF(('Monthly Detail'!DP29-$E$13)&gt;0,('Monthly Detail'!DP29-$E$13)*'People Plan'!$D$13, 0)</f>
        <v>0</v>
      </c>
      <c r="CR13" s="433">
        <f>+IF(('Monthly Detail'!DQ29-$E$13)&gt;0,('Monthly Detail'!DQ29-$E$13)*'People Plan'!$D$13, 0)</f>
        <v>0</v>
      </c>
      <c r="CS13" s="433">
        <f>+IF(('Monthly Detail'!DR29-$E$13)&gt;0,('Monthly Detail'!DR29-$E$13)*'People Plan'!$D$13, 0)</f>
        <v>0</v>
      </c>
      <c r="CT13" s="433">
        <f>+IF(('Monthly Detail'!DS29-$E$13)&gt;0,('Monthly Detail'!DS29-$E$13)*'People Plan'!$D$13, 0)</f>
        <v>0</v>
      </c>
      <c r="CU13" s="433">
        <f>+IF(('Monthly Detail'!DT29-$E$13)&gt;0,('Monthly Detail'!DT29-$E$13)*'People Plan'!$D$13, 0)</f>
        <v>0</v>
      </c>
      <c r="CV13" s="433">
        <f>+IF(('Monthly Detail'!DU29-$E$13)&gt;0,('Monthly Detail'!DU29-$E$13)*'People Plan'!$D$13, 0)</f>
        <v>0</v>
      </c>
      <c r="CW13" s="433">
        <f>+IF(('Monthly Detail'!DV29-$E$13)&gt;0,('Monthly Detail'!DV29-$E$13)*'People Plan'!$D$13, 0)</f>
        <v>0</v>
      </c>
      <c r="CX13" s="433">
        <f>+IF(('Monthly Detail'!DW29-$E$13)&gt;0,('Monthly Detail'!DW29-$E$13)*'People Plan'!$D$13, 0)</f>
        <v>0</v>
      </c>
      <c r="CY13" s="433">
        <f>+IF(('Monthly Detail'!DX29-$E$13)&gt;0,('Monthly Detail'!DX29-$E$13)*'People Plan'!$D$13, 0)</f>
        <v>0</v>
      </c>
      <c r="CZ13" s="433">
        <f>+IF(('Monthly Detail'!DY29-$E$13)&gt;0,('Monthly Detail'!DY29-$E$13)*'People Plan'!$D$13, 0)</f>
        <v>0</v>
      </c>
      <c r="DA13" s="433">
        <f>+IF(('Monthly Detail'!DZ29-$E$13)&gt;0,('Monthly Detail'!DZ29-$E$13)*'People Plan'!$D$13, 0)</f>
        <v>0</v>
      </c>
      <c r="DB13" s="433">
        <f>+IF(('Monthly Detail'!EA29-$E$13)&gt;0,('Monthly Detail'!EA29-$E$13)*'People Plan'!$D$13, 0)</f>
        <v>0</v>
      </c>
      <c r="DC13" s="433">
        <f>+IF(('Monthly Detail'!EB29-$E$13)&gt;0,('Monthly Detail'!EB29-$E$13)*'People Plan'!$D$13, 0)</f>
        <v>0</v>
      </c>
      <c r="DD13" s="433">
        <f>+IF(('Monthly Detail'!EC29-$E$13)&gt;0,('Monthly Detail'!EC29-$E$13)*'People Plan'!$D$13, 0)</f>
        <v>0</v>
      </c>
      <c r="DE13" s="433">
        <f>+IF(('Monthly Detail'!ED29-$E$13)&gt;0,('Monthly Detail'!ED29-$E$13)*'People Plan'!$D$13, 0)</f>
        <v>0</v>
      </c>
      <c r="DF13" s="433">
        <f>+IF(('Monthly Detail'!EE29-$E$13)&gt;0,('Monthly Detail'!EE29-$E$13)*'People Plan'!$D$13, 0)</f>
        <v>0</v>
      </c>
      <c r="DG13" s="433">
        <f>+IF(('Monthly Detail'!EF29-$E$13)&gt;0,('Monthly Detail'!EF29-$E$13)*'People Plan'!$D$13, 0)</f>
        <v>0</v>
      </c>
      <c r="DH13" s="433">
        <f>+IF(('Monthly Detail'!EG29-$E$13)&gt;0,('Monthly Detail'!EG29-$E$13)*'People Plan'!$D$13, 0)</f>
        <v>0</v>
      </c>
      <c r="DI13" s="433">
        <f>+IF(('Monthly Detail'!EH29-$E$13)&gt;0,('Monthly Detail'!EH29-$E$13)*'People Plan'!$D$13, 0)</f>
        <v>0</v>
      </c>
      <c r="DJ13" s="433">
        <f>+IF(('Monthly Detail'!EI29-$E$13)&gt;0,('Monthly Detail'!EI29-$E$13)*'People Plan'!$D$13, 0)</f>
        <v>0</v>
      </c>
      <c r="DK13" s="433">
        <f>+IF(('Monthly Detail'!EJ29-$E$13)&gt;0,('Monthly Detail'!EJ29-$E$13)*'People Plan'!$D$13, 0)</f>
        <v>0</v>
      </c>
      <c r="DL13" s="433">
        <f>+IF(('Monthly Detail'!EK29-$E$13)&gt;0,('Monthly Detail'!EK29-$E$13)*'People Plan'!$D$13, 0)</f>
        <v>0</v>
      </c>
      <c r="DM13" s="433">
        <f>+IF(('Monthly Detail'!EL29-$E$13)&gt;0,('Monthly Detail'!EL29-$E$13)*'People Plan'!$D$13, 0)</f>
        <v>0</v>
      </c>
      <c r="DN13" s="433">
        <f>+IF(('Monthly Detail'!EM29-$E$13)&gt;0,('Monthly Detail'!EM29-$E$13)*'People Plan'!$D$13, 0)</f>
        <v>0</v>
      </c>
      <c r="DO13" s="433">
        <f>+IF(('Monthly Detail'!EN29-$E$13)&gt;0,('Monthly Detail'!EN29-$E$13)*'People Plan'!$D$13, 0)</f>
        <v>0</v>
      </c>
      <c r="DP13" s="433">
        <f>+IF(('Monthly Detail'!EO29-$E$13)&gt;0,('Monthly Detail'!EO29-$E$13)*'People Plan'!$D$13, 0)</f>
        <v>0</v>
      </c>
      <c r="DQ13" s="433">
        <f>+IF(('Monthly Detail'!EP29-$E$13)&gt;0,('Monthly Detail'!EP29-$E$13)*'People Plan'!$D$13, 0)</f>
        <v>0</v>
      </c>
      <c r="DR13" s="433">
        <f>+IF(('Monthly Detail'!EQ29-$E$13)&gt;0,('Monthly Detail'!EQ29-$E$13)*'People Plan'!$D$13, 0)</f>
        <v>0</v>
      </c>
      <c r="DS13" s="433">
        <f>+IF(('Monthly Detail'!ER29-$E$13)&gt;0,('Monthly Detail'!ER29-$E$13)*'People Plan'!$D$13, 0)</f>
        <v>0</v>
      </c>
      <c r="DT13" s="433">
        <f>+IF(('Monthly Detail'!ES29-$E$13)&gt;0,('Monthly Detail'!ES29-$E$13)*'People Plan'!$D$13, 0)</f>
        <v>0</v>
      </c>
      <c r="DU13" s="433">
        <f>+IF(('Monthly Detail'!ET29-$E$13)&gt;0,('Monthly Detail'!ET29-$E$13)*'People Plan'!$D$13, 0)</f>
        <v>0</v>
      </c>
      <c r="DV13" s="433">
        <f>+IF(('Monthly Detail'!EU29-$E$13)&gt;0,('Monthly Detail'!EU29-$E$13)*'People Plan'!$D$13, 0)</f>
        <v>0</v>
      </c>
      <c r="DW13" s="433">
        <f>+IF(('Monthly Detail'!EV29-$E$13)&gt;0,('Monthly Detail'!EV29-$E$13)*'People Plan'!$D$13, 0)</f>
        <v>0</v>
      </c>
      <c r="DX13" s="433">
        <f>+IF(('Monthly Detail'!EW29-$E$13)&gt;0,('Monthly Detail'!EW29-$E$13)*'People Plan'!$D$13, 0)</f>
        <v>0</v>
      </c>
      <c r="DY13" s="433">
        <f>+IF(('Monthly Detail'!EX29-$E$13)&gt;0,('Monthly Detail'!EX29-$E$13)*'People Plan'!$D$13, 0)</f>
        <v>0</v>
      </c>
      <c r="DZ13" s="433">
        <f>+IF(('Monthly Detail'!EY29-$E$13)&gt;0,('Monthly Detail'!EY29-$E$13)*'People Plan'!$D$13, 0)</f>
        <v>0</v>
      </c>
      <c r="EA13" s="433">
        <f>+IF(('Monthly Detail'!EZ29-$E$13)&gt;0,('Monthly Detail'!EZ29-$E$13)*'People Plan'!$D$13, 0)</f>
        <v>0</v>
      </c>
      <c r="EB13" s="433">
        <f>+IF(('Monthly Detail'!FA29-$E$13)&gt;0,('Monthly Detail'!FA29-$E$13)*'People Plan'!$D$13, 0)</f>
        <v>0</v>
      </c>
      <c r="EC13" s="433">
        <f>+IF(('Monthly Detail'!FB29-$E$13)&gt;0,('Monthly Detail'!FB29-$E$13)*'People Plan'!$D$13, 0)</f>
        <v>0</v>
      </c>
      <c r="ED13" s="433">
        <f>+IF(('Monthly Detail'!FC29-$E$13)&gt;0,('Monthly Detail'!FC29-$E$13)*'People Plan'!$D$13, 0)</f>
        <v>0</v>
      </c>
      <c r="EE13" s="433">
        <f>+IF(('Monthly Detail'!FD29-$E$13)&gt;0,('Monthly Detail'!FD29-$E$13)*'People Plan'!$D$13, 0)</f>
        <v>0</v>
      </c>
      <c r="EF13" s="433">
        <f>+IF(('Monthly Detail'!FE29-$E$13)&gt;0,('Monthly Detail'!FE29-$E$13)*'People Plan'!$D$13, 0)</f>
        <v>0</v>
      </c>
      <c r="EG13" s="433">
        <f>+IF(('Monthly Detail'!FF29-$E$13)&gt;0,('Monthly Detail'!FF29-$E$13)*'People Plan'!$D$13, 0)</f>
        <v>0</v>
      </c>
      <c r="EH13" s="433">
        <f>+IF(('Monthly Detail'!FG29-$E$13)&gt;0,('Monthly Detail'!FG29-$E$13)*'People Plan'!$D$13, 0)</f>
        <v>0</v>
      </c>
      <c r="EI13" s="433">
        <f>+IF(('Monthly Detail'!FH29-$E$13)&gt;0,('Monthly Detail'!FH29-$E$13)*'People Plan'!$D$13, 0)</f>
        <v>0</v>
      </c>
      <c r="EJ13" s="433">
        <f>+IF(('Monthly Detail'!FI29-$E$13)&gt;0,('Monthly Detail'!FI29-$E$13)*'People Plan'!$D$13, 0)</f>
        <v>0</v>
      </c>
      <c r="EK13" s="433">
        <f>+IF(('Monthly Detail'!FJ29-$E$13)&gt;0,('Monthly Detail'!FJ29-$E$13)*'People Plan'!$D$13, 0)</f>
        <v>0</v>
      </c>
      <c r="EL13" s="433">
        <f>+IF(('Monthly Detail'!FK29-$E$13)&gt;0,('Monthly Detail'!FK29-$E$13)*'People Plan'!$D$13, 0)</f>
        <v>0</v>
      </c>
      <c r="EM13" s="433">
        <f>+IF(('Monthly Detail'!FL29-$E$13)&gt;0,('Monthly Detail'!FL29-$E$13)*'People Plan'!$D$13, 0)</f>
        <v>0</v>
      </c>
      <c r="EN13" s="433">
        <f>+IF(('Monthly Detail'!FM29-$E$13)&gt;0,('Monthly Detail'!FM29-$E$13)*'People Plan'!$D$13, 0)</f>
        <v>0</v>
      </c>
      <c r="EO13" s="433">
        <f>+IF(('Monthly Detail'!FN29-$E$13)&gt;0,('Monthly Detail'!FN29-$E$13)*'People Plan'!$D$13, 0)</f>
        <v>0</v>
      </c>
      <c r="EP13" s="433">
        <f>+IF(('Monthly Detail'!FO29-$E$13)&gt;0,('Monthly Detail'!FO29-$E$13)*'People Plan'!$D$13, 0)</f>
        <v>0</v>
      </c>
      <c r="EQ13" s="433">
        <f>+IF(('Monthly Detail'!FP29-$E$13)&gt;0,('Monthly Detail'!FP29-$E$13)*'People Plan'!$D$13, 0)</f>
        <v>0</v>
      </c>
      <c r="ER13" s="433">
        <f>+IF(('Monthly Detail'!FQ29-$E$13)&gt;0,('Monthly Detail'!FQ29-$E$13)*'People Plan'!$D$13, 0)</f>
        <v>0</v>
      </c>
      <c r="ES13" s="433">
        <f>+IF(('Monthly Detail'!FR29-$E$13)&gt;0,('Monthly Detail'!FR29-$E$13)*'People Plan'!$D$13, 0)</f>
        <v>0</v>
      </c>
      <c r="ET13" s="433">
        <f>+IF(('Monthly Detail'!FS29-$E$13)&gt;0,('Monthly Detail'!FS29-$E$13)*'People Plan'!$D$13, 0)</f>
        <v>0</v>
      </c>
      <c r="EU13" s="433">
        <f>+IF(('Monthly Detail'!FT29-$E$13)&gt;0,('Monthly Detail'!FT29-$E$13)*'People Plan'!$D$13, 0)</f>
        <v>0</v>
      </c>
      <c r="EV13" s="433">
        <f>+IF(('Monthly Detail'!FU29-$E$13)&gt;0,('Monthly Detail'!FU29-$E$13)*'People Plan'!$D$13, 0)</f>
        <v>0</v>
      </c>
      <c r="EW13" s="433">
        <f>+IF(('Monthly Detail'!FV29-$E$13)&gt;0,('Monthly Detail'!FV29-$E$13)*'People Plan'!$D$13, 0)</f>
        <v>0</v>
      </c>
      <c r="EX13" s="433">
        <f>+IF(('Monthly Detail'!FW29-$E$13)&gt;0,('Monthly Detail'!FW29-$E$13)*'People Plan'!$D$13, 0)</f>
        <v>0</v>
      </c>
      <c r="EY13" s="433">
        <f>+IF(('Monthly Detail'!FX29-$E$13)&gt;0,('Monthly Detail'!FX29-$E$13)*'People Plan'!$D$13, 0)</f>
        <v>0</v>
      </c>
      <c r="EZ13" s="433">
        <f>+IF(('Monthly Detail'!FY29-$E$13)&gt;0,('Monthly Detail'!FY29-$E$13)*'People Plan'!$D$13, 0)</f>
        <v>0</v>
      </c>
      <c r="FA13" s="433">
        <f>+IF(('Monthly Detail'!FZ29-$E$13)&gt;0,('Monthly Detail'!FZ29-$E$13)*'People Plan'!$D$13, 0)</f>
        <v>0</v>
      </c>
      <c r="FB13" s="434">
        <f>+IF(('Monthly Detail'!GA29-$E$13)&gt;0,('Monthly Detail'!GA29-$E$13)*'People Plan'!$D$13, 0)</f>
        <v>0</v>
      </c>
    </row>
    <row r="14" spans="2:158" x14ac:dyDescent="0.3">
      <c r="B14" s="442"/>
      <c r="C14" t="s">
        <v>389</v>
      </c>
      <c r="D14" s="376">
        <v>75</v>
      </c>
      <c r="E14" s="510">
        <v>6</v>
      </c>
      <c r="F14" s="7"/>
      <c r="H14" s="432"/>
      <c r="I14" s="471"/>
      <c r="J14" s="471"/>
      <c r="K14" s="471"/>
      <c r="L14" s="471"/>
      <c r="M14" s="471"/>
      <c r="N14" s="471"/>
      <c r="O14" s="471"/>
      <c r="P14" s="471"/>
      <c r="Q14" s="471"/>
      <c r="R14" s="471"/>
      <c r="S14" s="471"/>
      <c r="T14" s="471"/>
      <c r="U14" s="471"/>
      <c r="V14" s="471"/>
      <c r="W14" s="471"/>
      <c r="X14" s="709"/>
      <c r="Y14" s="433"/>
      <c r="Z14" s="433">
        <f>+IF(('Monthly Detail'!AY30-$E$14)&gt;0,('Monthly Detail'!AY30-$E$14)*$D$14, 0)</f>
        <v>0</v>
      </c>
      <c r="AA14" s="433">
        <f>+IF(('Monthly Detail'!AZ30-$E$14)&gt;0,('Monthly Detail'!AZ30-$E$14)*$D$14, 0)</f>
        <v>0</v>
      </c>
      <c r="AB14" s="433">
        <f>+IF(('Monthly Detail'!BA30-$E$14)&gt;0,('Monthly Detail'!BA30-$E$14)*$D$14, 0)</f>
        <v>43.794642857142783</v>
      </c>
      <c r="AC14" s="433">
        <f>+IF(('Monthly Detail'!BB30-$E$14)&gt;0,('Monthly Detail'!BB30-$E$14)*$D$14, 0)</f>
        <v>0</v>
      </c>
      <c r="AD14" s="433">
        <f>+IF(('Monthly Detail'!BC30-$E$14)&gt;0,('Monthly Detail'!BC30-$E$14)*$D$14, 0)</f>
        <v>0</v>
      </c>
      <c r="AE14" s="433">
        <f>+IF(('Monthly Detail'!BD30-$E$14)&gt;0,('Monthly Detail'!BD30-$E$14)*$D$14, 0)</f>
        <v>0</v>
      </c>
      <c r="AF14" s="433">
        <f>+IF(('Monthly Detail'!BE30-$E$14)&gt;0,('Monthly Detail'!BE30-$E$14)*$D$14, 0)</f>
        <v>332.00571428571402</v>
      </c>
      <c r="AG14" s="433">
        <f>+IF(('Monthly Detail'!BF30-$E$14)&gt;0,('Monthly Detail'!BF30-$E$14)*$D$14, 0)</f>
        <v>432.88636363636363</v>
      </c>
      <c r="AH14" s="433">
        <f>+IF(('Monthly Detail'!BG30-$E$14)&gt;0,('Monthly Detail'!BG30-$E$14)*$D$14, 0)</f>
        <v>542.24999999999989</v>
      </c>
      <c r="AI14" s="433">
        <f>+IF(('Monthly Detail'!BH30-$E$14)&gt;0,('Monthly Detail'!BH30-$E$14)*$D$14, 0)</f>
        <v>908.51315789473665</v>
      </c>
      <c r="AJ14" s="433">
        <f>+IF(('Monthly Detail'!BI30-$E$14)&gt;0,('Monthly Detail'!BI30-$E$14)*$D$14, 0)</f>
        <v>847.51460090850071</v>
      </c>
      <c r="AK14" s="433">
        <f>+IF(('Monthly Detail'!BJ30-$E$14)&gt;0,('Monthly Detail'!BJ30-$E$14)*$D$14, 0)</f>
        <v>0</v>
      </c>
      <c r="AL14" s="433">
        <f>+IF(('Monthly Detail'!BK30-$E$14)&gt;0,('Monthly Detail'!BK30-$E$14)*$D$14, 0)</f>
        <v>0</v>
      </c>
      <c r="AM14" s="433">
        <f>+IF(('Monthly Detail'!BL30-$E$14)&gt;0,('Monthly Detail'!BL30-$E$14)*$D$14, 0)</f>
        <v>0</v>
      </c>
      <c r="AN14" s="433">
        <f>+IF(('Monthly Detail'!BM30-$E$14)&gt;0,('Monthly Detail'!BM30-$E$14)*$D$14, 0)</f>
        <v>361.84821428571388</v>
      </c>
      <c r="AO14" s="433">
        <f>+IF(('Monthly Detail'!BN30-$E$14)&gt;0,('Monthly Detail'!BN30-$E$14)*$D$14, 0)</f>
        <v>0</v>
      </c>
      <c r="AP14" s="433">
        <f>+IF(('Monthly Detail'!BO30-$E$14)&gt;0,('Monthly Detail'!BO30-$E$14)*$D$14, 0)</f>
        <v>0</v>
      </c>
      <c r="AQ14" s="433">
        <f>+IF(('Monthly Detail'!BP30-$E$14)&gt;0,('Monthly Detail'!BP30-$E$14)*$D$14, 0)</f>
        <v>164.29295454545425</v>
      </c>
      <c r="AR14" s="433">
        <f>+IF(('Monthly Detail'!BQ30-$E$14)&gt;0,('Monthly Detail'!BQ30-$E$14)*$D$14, 0)</f>
        <v>686.29371428571346</v>
      </c>
      <c r="AS14" s="433">
        <f>+IF(('Monthly Detail'!BR30-$E$14)&gt;0,('Monthly Detail'!BR30-$E$14)*$D$14, 0)</f>
        <v>754.7999999999995</v>
      </c>
      <c r="AT14" s="433">
        <f>+IF(('Monthly Detail'!BS30-$E$14)&gt;0,('Monthly Detail'!BS30-$E$14)*$D$14, 0)</f>
        <v>1029.3624999999993</v>
      </c>
      <c r="AU14" s="433">
        <f>+IF(('Monthly Detail'!BT30-$E$14)&gt;0,('Monthly Detail'!BT30-$E$14)*$D$14, 0)</f>
        <v>1473.9578947368409</v>
      </c>
      <c r="AV14" s="433">
        <f>+IF(('Monthly Detail'!BU30-$E$14)&gt;0,('Monthly Detail'!BU30-$E$14)*$D$14, 0)</f>
        <v>1298.8734587929907</v>
      </c>
      <c r="AW14" s="433">
        <f>+IF(('Monthly Detail'!BV30-$E$14)&gt;0,('Monthly Detail'!BV30-$E$14)*$D$14, 0)</f>
        <v>0</v>
      </c>
      <c r="AX14" s="433">
        <f>+IF(('Monthly Detail'!BW30-$E$14)&gt;0,('Monthly Detail'!BW30-$E$14)*$D$14, 0)</f>
        <v>0</v>
      </c>
      <c r="AY14" s="433">
        <f>+IF(('Monthly Detail'!BX30-$E$14)&gt;0,('Monthly Detail'!BX30-$E$14)*$D$14, 0)</f>
        <v>0</v>
      </c>
      <c r="AZ14" s="433">
        <f>+IF(('Monthly Detail'!BY30-$E$14)&gt;0,('Monthly Detail'!BY30-$E$14)*$D$14, 0)</f>
        <v>758.1824999999991</v>
      </c>
      <c r="BA14" s="433">
        <f>+IF(('Monthly Detail'!BZ30-$E$14)&gt;0,('Monthly Detail'!BZ30-$E$14)*$D$14, 0)</f>
        <v>0</v>
      </c>
      <c r="BB14" s="433">
        <f>+IF(('Monthly Detail'!CA30-$E$14)&gt;0,('Monthly Detail'!CA30-$E$14)*$D$14, 0)</f>
        <v>0</v>
      </c>
      <c r="BC14" s="433">
        <f>+IF(('Monthly Detail'!CB30-$E$14)&gt;0,('Monthly Detail'!CB30-$E$14)*$D$14, 0)</f>
        <v>507.79370454545381</v>
      </c>
      <c r="BD14" s="433">
        <f>+IF(('Monthly Detail'!CC30-$E$14)&gt;0,('Monthly Detail'!CC30-$E$14)*$D$14, 0)</f>
        <v>1168.4683428571416</v>
      </c>
      <c r="BE14" s="433">
        <f>+IF(('Monthly Detail'!CD30-$E$14)&gt;0,('Monthly Detail'!CD30-$E$14)*$D$14, 0)</f>
        <v>1188.6872727272712</v>
      </c>
      <c r="BF14" s="433">
        <f>+IF(('Monthly Detail'!CE30-$E$14)&gt;0,('Monthly Detail'!CE30-$E$14)*$D$14, 0)</f>
        <v>1761.3685416666649</v>
      </c>
      <c r="BG14" s="433">
        <f>+IF(('Monthly Detail'!CF30-$E$14)&gt;0,('Monthly Detail'!CF30-$E$14)*$D$14, 0)</f>
        <v>2167.3902631578935</v>
      </c>
      <c r="BH14" s="433">
        <f>+IF(('Monthly Detail'!CG30-$E$14)&gt;0,('Monthly Detail'!CG30-$E$14)*$D$14, 0)</f>
        <v>2158.0043478260859</v>
      </c>
      <c r="BI14" s="433">
        <f>+IF(('Monthly Detail'!CH30-$E$14)&gt;0,('Monthly Detail'!CH30-$E$14)*$D$14, 0)</f>
        <v>21.930789473683944</v>
      </c>
      <c r="BJ14" s="433">
        <f>+IF(('Monthly Detail'!CI30-$E$14)&gt;0,('Monthly Detail'!CI30-$E$14)*$D$14, 0)</f>
        <v>0</v>
      </c>
      <c r="BK14" s="433">
        <f>+IF(('Monthly Detail'!CJ30-$E$14)&gt;0,('Monthly Detail'!CJ30-$E$14)*$D$14, 0)</f>
        <v>0</v>
      </c>
      <c r="BL14" s="433">
        <f>+IF(('Monthly Detail'!CK30-$E$14)&gt;0,('Monthly Detail'!CK30-$E$14)*$D$14, 0)</f>
        <v>1168.9457142857132</v>
      </c>
      <c r="BM14" s="433">
        <f>+IF(('Monthly Detail'!CL30-$E$14)&gt;0,('Monthly Detail'!CL30-$E$14)*$D$14, 0)</f>
        <v>0</v>
      </c>
      <c r="BN14" s="433">
        <f>+IF(('Monthly Detail'!CM30-$E$14)&gt;0,('Monthly Detail'!CM30-$E$14)*$D$14, 0)</f>
        <v>0</v>
      </c>
      <c r="BO14" s="433">
        <f>+IF(('Monthly Detail'!CN30-$E$14)&gt;0,('Monthly Detail'!CN30-$E$14)*$D$14, 0)</f>
        <v>897.96800454545337</v>
      </c>
      <c r="BP14" s="433">
        <f>+IF(('Monthly Detail'!CO30-$E$14)&gt;0,('Monthly Detail'!CO30-$E$14)*$D$14, 0)</f>
        <v>1712.8622399999967</v>
      </c>
      <c r="BQ14" s="433">
        <f>+IF(('Monthly Detail'!CP30-$E$14)&gt;0,('Monthly Detail'!CP30-$E$14)*$D$14, 0)</f>
        <v>1953.4079999999967</v>
      </c>
      <c r="BR14" s="433">
        <f>+IF(('Monthly Detail'!CQ30-$E$14)&gt;0,('Monthly Detail'!CQ30-$E$14)*$D$14, 0)</f>
        <v>2637.5305416666629</v>
      </c>
      <c r="BS14" s="433">
        <f>+IF(('Monthly Detail'!CR30-$E$14)&gt;0,('Monthly Detail'!CR30-$E$14)*$D$14, 0)</f>
        <v>3023.8249760765516</v>
      </c>
      <c r="BT14" s="433">
        <f>+IF(('Monthly Detail'!CS30-$E$14)&gt;0,('Monthly Detail'!CS30-$E$14)*$D$14, 0)</f>
        <v>3363.0841791044741</v>
      </c>
      <c r="BU14" s="433">
        <f>+IF(('Monthly Detail'!CT30-$E$14)&gt;0,('Monthly Detail'!CT30-$E$14)*$D$14, 0)</f>
        <v>210.01231578947309</v>
      </c>
      <c r="BV14" s="433">
        <f>+IF(('Monthly Detail'!CU30-$E$14)&gt;0,('Monthly Detail'!CU30-$E$14)*$D$14, 0)</f>
        <v>0</v>
      </c>
      <c r="BW14" s="433">
        <f>+IF(('Monthly Detail'!CV30-$E$14)&gt;0,('Monthly Detail'!CV30-$E$14)*$D$14, 0)</f>
        <v>0</v>
      </c>
      <c r="BX14" s="433">
        <f>+IF(('Monthly Detail'!CW30-$E$14)&gt;0,('Monthly Detail'!CW30-$E$14)*$D$14, 0)</f>
        <v>1822.5507857142836</v>
      </c>
      <c r="BY14" s="433">
        <f>+IF(('Monthly Detail'!CX30-$E$14)&gt;0,('Monthly Detail'!CX30-$E$14)*$D$14, 0)</f>
        <v>0</v>
      </c>
      <c r="BZ14" s="433">
        <f>+IF(('Monthly Detail'!CY30-$E$14)&gt;0,('Monthly Detail'!CY30-$E$14)*$D$14, 0)</f>
        <v>0</v>
      </c>
      <c r="CA14" s="433">
        <f>+IF(('Monthly Detail'!CZ30-$E$14)&gt;0,('Monthly Detail'!CZ30-$E$14)*$D$14, 0)</f>
        <v>1447.7404336363618</v>
      </c>
      <c r="CB14" s="433">
        <f>+IF(('Monthly Detail'!DA30-$E$14)&gt;0,('Monthly Detail'!DA30-$E$14)*$D$14, 0)</f>
        <v>2462.10203428571</v>
      </c>
      <c r="CC14" s="433">
        <f>+IF(('Monthly Detail'!DB30-$E$14)&gt;0,('Monthly Detail'!DB30-$E$14)*$D$14, 0)</f>
        <v>3095.1585272727225</v>
      </c>
      <c r="CD14" s="433">
        <f>+IF(('Monthly Detail'!DC30-$E$14)&gt;0,('Monthly Detail'!DC30-$E$14)*$D$14, 0)</f>
        <v>3708.6686166666627</v>
      </c>
      <c r="CE14" s="433">
        <f>+IF(('Monthly Detail'!DD30-$E$14)&gt;0,('Monthly Detail'!DD30-$E$14)*$D$14, 0)</f>
        <v>4681.7679301435364</v>
      </c>
      <c r="CF14" s="433">
        <f>+IF(('Monthly Detail'!DE30-$E$14)&gt;0,('Monthly Detail'!DE30-$E$14)*$D$14, 0)</f>
        <v>4925.0902388059676</v>
      </c>
      <c r="CG14" s="433">
        <f>+IF(('Monthly Detail'!DF30-$E$14)&gt;0,('Monthly Detail'!DF30-$E$14)*$D$14, 0)</f>
        <v>436.63218803827692</v>
      </c>
      <c r="CH14" s="433">
        <f>+IF(('Monthly Detail'!DG30-$E$14)&gt;0,('Monthly Detail'!DG30-$E$14)*$D$14, 0)</f>
        <v>0</v>
      </c>
      <c r="CI14" s="433">
        <f>+IF(('Monthly Detail'!DH30-$E$14)&gt;0,('Monthly Detail'!DH30-$E$14)*$D$14, 0)</f>
        <v>0</v>
      </c>
      <c r="CJ14" s="433">
        <f>+IF(('Monthly Detail'!DI30-$E$14)&gt;0,('Monthly Detail'!DI30-$E$14)*$D$14, 0)</f>
        <v>0</v>
      </c>
      <c r="CK14" s="433">
        <f>+IF(('Monthly Detail'!DJ30-$E$14)&gt;0,('Monthly Detail'!DJ30-$E$14)*$D$14, 0)</f>
        <v>0</v>
      </c>
      <c r="CL14" s="433">
        <f>+IF(('Monthly Detail'!DK30-$E$14)&gt;0,('Monthly Detail'!DK30-$E$14)*$D$14, 0)</f>
        <v>0</v>
      </c>
      <c r="CM14" s="433">
        <f>+IF(('Monthly Detail'!DL30-$E$14)&gt;0,('Monthly Detail'!DL30-$E$14)*$D$14, 0)</f>
        <v>0</v>
      </c>
      <c r="CN14" s="433">
        <f>+IF(('Monthly Detail'!DM30-$E$14)&gt;0,('Monthly Detail'!DM30-$E$14)*$D$14, 0)</f>
        <v>0</v>
      </c>
      <c r="CO14" s="433">
        <f>+IF(('Monthly Detail'!DN30-$E$14)&gt;0,('Monthly Detail'!DN30-$E$14)*$D$14, 0)</f>
        <v>0</v>
      </c>
      <c r="CP14" s="433">
        <f>+IF(('Monthly Detail'!DO30-$E$14)&gt;0,('Monthly Detail'!DO30-$E$14)*$D$14, 0)</f>
        <v>0</v>
      </c>
      <c r="CQ14" s="433">
        <f>+IF(('Monthly Detail'!DP30-$E$14)&gt;0,('Monthly Detail'!DP30-$E$14)*$D$14, 0)</f>
        <v>0</v>
      </c>
      <c r="CR14" s="433">
        <f>+IF(('Monthly Detail'!DQ30-$E$14)&gt;0,('Monthly Detail'!DQ30-$E$14)*$D$14, 0)</f>
        <v>0</v>
      </c>
      <c r="CS14" s="433">
        <f>+IF(('Monthly Detail'!DR30-$E$14)&gt;0,('Monthly Detail'!DR30-$E$14)*$D$14, 0)</f>
        <v>0</v>
      </c>
      <c r="CT14" s="433">
        <f>+IF(('Monthly Detail'!DS30-$E$14)&gt;0,('Monthly Detail'!DS30-$E$14)*$D$14, 0)</f>
        <v>0</v>
      </c>
      <c r="CU14" s="433">
        <f>+IF(('Monthly Detail'!DT30-$E$14)&gt;0,('Monthly Detail'!DT30-$E$14)*$D$14, 0)</f>
        <v>0</v>
      </c>
      <c r="CV14" s="433">
        <f>+IF(('Monthly Detail'!DU30-$E$14)&gt;0,('Monthly Detail'!DU30-$E$14)*$D$14, 0)</f>
        <v>0</v>
      </c>
      <c r="CW14" s="433">
        <f>+IF(('Monthly Detail'!DV30-$E$14)&gt;0,('Monthly Detail'!DV30-$E$14)*$D$14, 0)</f>
        <v>0</v>
      </c>
      <c r="CX14" s="433">
        <f>+IF(('Monthly Detail'!DW30-$E$14)&gt;0,('Monthly Detail'!DW30-$E$14)*$D$14, 0)</f>
        <v>0</v>
      </c>
      <c r="CY14" s="433">
        <f>+IF(('Monthly Detail'!DX30-$E$14)&gt;0,('Monthly Detail'!DX30-$E$14)*$D$14, 0)</f>
        <v>0</v>
      </c>
      <c r="CZ14" s="433">
        <f>+IF(('Monthly Detail'!DY30-$E$14)&gt;0,('Monthly Detail'!DY30-$E$14)*$D$14, 0)</f>
        <v>0</v>
      </c>
      <c r="DA14" s="433">
        <f>+IF(('Monthly Detail'!DZ30-$E$14)&gt;0,('Monthly Detail'!DZ30-$E$14)*$D$14, 0)</f>
        <v>0</v>
      </c>
      <c r="DB14" s="433">
        <f>+IF(('Monthly Detail'!EA30-$E$14)&gt;0,('Monthly Detail'!EA30-$E$14)*$D$14, 0)</f>
        <v>0</v>
      </c>
      <c r="DC14" s="433">
        <f>+IF(('Monthly Detail'!EB30-$E$14)&gt;0,('Monthly Detail'!EB30-$E$14)*$D$14, 0)</f>
        <v>0</v>
      </c>
      <c r="DD14" s="433">
        <f>+IF(('Monthly Detail'!EC30-$E$14)&gt;0,('Monthly Detail'!EC30-$E$14)*$D$14, 0)</f>
        <v>0</v>
      </c>
      <c r="DE14" s="433">
        <f>+IF(('Monthly Detail'!ED30-$E$14)&gt;0,('Monthly Detail'!ED30-$E$14)*$D$14, 0)</f>
        <v>0</v>
      </c>
      <c r="DF14" s="433">
        <f>+IF(('Monthly Detail'!EE30-$E$14)&gt;0,('Monthly Detail'!EE30-$E$14)*$D$14, 0)</f>
        <v>0</v>
      </c>
      <c r="DG14" s="433">
        <f>+IF(('Monthly Detail'!EF30-$E$14)&gt;0,('Monthly Detail'!EF30-$E$14)*$D$14, 0)</f>
        <v>0</v>
      </c>
      <c r="DH14" s="433">
        <f>+IF(('Monthly Detail'!EG30-$E$14)&gt;0,('Monthly Detail'!EG30-$E$14)*$D$14, 0)</f>
        <v>0</v>
      </c>
      <c r="DI14" s="433">
        <f>+IF(('Monthly Detail'!EH30-$E$14)&gt;0,('Monthly Detail'!EH30-$E$14)*$D$14, 0)</f>
        <v>0</v>
      </c>
      <c r="DJ14" s="433">
        <f>+IF(('Monthly Detail'!EI30-$E$14)&gt;0,('Monthly Detail'!EI30-$E$14)*$D$14, 0)</f>
        <v>0</v>
      </c>
      <c r="DK14" s="433">
        <f>+IF(('Monthly Detail'!EJ30-$E$14)&gt;0,('Monthly Detail'!EJ30-$E$14)*$D$14, 0)</f>
        <v>0</v>
      </c>
      <c r="DL14" s="433">
        <f>+IF(('Monthly Detail'!EK30-$E$14)&gt;0,('Monthly Detail'!EK30-$E$14)*$D$14, 0)</f>
        <v>0</v>
      </c>
      <c r="DM14" s="433">
        <f>+IF(('Monthly Detail'!EL30-$E$14)&gt;0,('Monthly Detail'!EL30-$E$14)*$D$14, 0)</f>
        <v>0</v>
      </c>
      <c r="DN14" s="433">
        <f>+IF(('Monthly Detail'!EM30-$E$14)&gt;0,('Monthly Detail'!EM30-$E$14)*$D$14, 0)</f>
        <v>0</v>
      </c>
      <c r="DO14" s="433">
        <f>+IF(('Monthly Detail'!EN30-$E$14)&gt;0,('Monthly Detail'!EN30-$E$14)*$D$14, 0)</f>
        <v>0</v>
      </c>
      <c r="DP14" s="433">
        <f>+IF(('Monthly Detail'!EO30-$E$14)&gt;0,('Monthly Detail'!EO30-$E$14)*$D$14, 0)</f>
        <v>0</v>
      </c>
      <c r="DQ14" s="433">
        <f>+IF(('Monthly Detail'!EP30-$E$14)&gt;0,('Monthly Detail'!EP30-$E$14)*$D$14, 0)</f>
        <v>0</v>
      </c>
      <c r="DR14" s="433">
        <f>+IF(('Monthly Detail'!EQ30-$E$14)&gt;0,('Monthly Detail'!EQ30-$E$14)*$D$14, 0)</f>
        <v>0</v>
      </c>
      <c r="DS14" s="433">
        <f>+IF(('Monthly Detail'!ER30-$E$14)&gt;0,('Monthly Detail'!ER30-$E$14)*$D$14, 0)</f>
        <v>0</v>
      </c>
      <c r="DT14" s="433">
        <f>+IF(('Monthly Detail'!ES30-$E$14)&gt;0,('Monthly Detail'!ES30-$E$14)*$D$14, 0)</f>
        <v>0</v>
      </c>
      <c r="DU14" s="433">
        <f>+IF(('Monthly Detail'!ET30-$E$14)&gt;0,('Monthly Detail'!ET30-$E$14)*$D$14, 0)</f>
        <v>0</v>
      </c>
      <c r="DV14" s="433">
        <f>+IF(('Monthly Detail'!EU30-$E$14)&gt;0,('Monthly Detail'!EU30-$E$14)*$D$14, 0)</f>
        <v>0</v>
      </c>
      <c r="DW14" s="433">
        <f>+IF(('Monthly Detail'!EV30-$E$14)&gt;0,('Monthly Detail'!EV30-$E$14)*$D$14, 0)</f>
        <v>0</v>
      </c>
      <c r="DX14" s="433">
        <f>+IF(('Monthly Detail'!EW30-$E$14)&gt;0,('Monthly Detail'!EW30-$E$14)*$D$14, 0)</f>
        <v>0</v>
      </c>
      <c r="DY14" s="433">
        <f>+IF(('Monthly Detail'!EX30-$E$14)&gt;0,('Monthly Detail'!EX30-$E$14)*$D$14, 0)</f>
        <v>0</v>
      </c>
      <c r="DZ14" s="433">
        <f>+IF(('Monthly Detail'!EY30-$E$14)&gt;0,('Monthly Detail'!EY30-$E$14)*$D$14, 0)</f>
        <v>0</v>
      </c>
      <c r="EA14" s="433">
        <f>+IF(('Monthly Detail'!EZ30-$E$14)&gt;0,('Monthly Detail'!EZ30-$E$14)*$D$14, 0)</f>
        <v>0</v>
      </c>
      <c r="EB14" s="433">
        <f>+IF(('Monthly Detail'!FA30-$E$14)&gt;0,('Monthly Detail'!FA30-$E$14)*$D$14, 0)</f>
        <v>0</v>
      </c>
      <c r="EC14" s="433">
        <f>+IF(('Monthly Detail'!FB30-$E$14)&gt;0,('Monthly Detail'!FB30-$E$14)*$D$14, 0)</f>
        <v>0</v>
      </c>
      <c r="ED14" s="433">
        <f>+IF(('Monthly Detail'!FC30-$E$14)&gt;0,('Monthly Detail'!FC30-$E$14)*$D$14, 0)</f>
        <v>0</v>
      </c>
      <c r="EE14" s="433">
        <f>+IF(('Monthly Detail'!FD30-$E$14)&gt;0,('Monthly Detail'!FD30-$E$14)*$D$14, 0)</f>
        <v>0</v>
      </c>
      <c r="EF14" s="433">
        <f>+IF(('Monthly Detail'!FE30-$E$14)&gt;0,('Monthly Detail'!FE30-$E$14)*$D$14, 0)</f>
        <v>0</v>
      </c>
      <c r="EG14" s="433">
        <f>+IF(('Monthly Detail'!FF30-$E$14)&gt;0,('Monthly Detail'!FF30-$E$14)*$D$14, 0)</f>
        <v>0</v>
      </c>
      <c r="EH14" s="433">
        <f>+IF(('Monthly Detail'!FG30-$E$14)&gt;0,('Monthly Detail'!FG30-$E$14)*$D$14, 0)</f>
        <v>0</v>
      </c>
      <c r="EI14" s="433">
        <f>+IF(('Monthly Detail'!FH30-$E$14)&gt;0,('Monthly Detail'!FH30-$E$14)*$D$14, 0)</f>
        <v>0</v>
      </c>
      <c r="EJ14" s="433">
        <f>+IF(('Monthly Detail'!FI30-$E$14)&gt;0,('Monthly Detail'!FI30-$E$14)*$D$14, 0)</f>
        <v>0</v>
      </c>
      <c r="EK14" s="433">
        <f>+IF(('Monthly Detail'!FJ30-$E$14)&gt;0,('Monthly Detail'!FJ30-$E$14)*$D$14, 0)</f>
        <v>0</v>
      </c>
      <c r="EL14" s="433">
        <f>+IF(('Monthly Detail'!FK30-$E$14)&gt;0,('Monthly Detail'!FK30-$E$14)*$D$14, 0)</f>
        <v>0</v>
      </c>
      <c r="EM14" s="433">
        <f>+IF(('Monthly Detail'!FL30-$E$14)&gt;0,('Monthly Detail'!FL30-$E$14)*$D$14, 0)</f>
        <v>0</v>
      </c>
      <c r="EN14" s="433">
        <f>+IF(('Monthly Detail'!FM30-$E$14)&gt;0,('Monthly Detail'!FM30-$E$14)*$D$14, 0)</f>
        <v>0</v>
      </c>
      <c r="EO14" s="433">
        <f>+IF(('Monthly Detail'!FN30-$E$14)&gt;0,('Monthly Detail'!FN30-$E$14)*$D$14, 0)</f>
        <v>0</v>
      </c>
      <c r="EP14" s="433">
        <f>+IF(('Monthly Detail'!FO30-$E$14)&gt;0,('Monthly Detail'!FO30-$E$14)*$D$14, 0)</f>
        <v>0</v>
      </c>
      <c r="EQ14" s="433">
        <f>+IF(('Monthly Detail'!FP30-$E$14)&gt;0,('Monthly Detail'!FP30-$E$14)*$D$14, 0)</f>
        <v>0</v>
      </c>
      <c r="ER14" s="433">
        <f>+IF(('Monthly Detail'!FQ30-$E$14)&gt;0,('Monthly Detail'!FQ30-$E$14)*$D$14, 0)</f>
        <v>0</v>
      </c>
      <c r="ES14" s="433">
        <f>+IF(('Monthly Detail'!FR30-$E$14)&gt;0,('Monthly Detail'!FR30-$E$14)*$D$14, 0)</f>
        <v>0</v>
      </c>
      <c r="ET14" s="433">
        <f>+IF(('Monthly Detail'!FS30-$E$14)&gt;0,('Monthly Detail'!FS30-$E$14)*$D$14, 0)</f>
        <v>0</v>
      </c>
      <c r="EU14" s="433">
        <f>+IF(('Monthly Detail'!FT30-$E$14)&gt;0,('Monthly Detail'!FT30-$E$14)*$D$14, 0)</f>
        <v>0</v>
      </c>
      <c r="EV14" s="433">
        <f>+IF(('Monthly Detail'!FU30-$E$14)&gt;0,('Monthly Detail'!FU30-$E$14)*$D$14, 0)</f>
        <v>0</v>
      </c>
      <c r="EW14" s="433">
        <f>+IF(('Monthly Detail'!FV30-$E$14)&gt;0,('Monthly Detail'!FV30-$E$14)*$D$14, 0)</f>
        <v>0</v>
      </c>
      <c r="EX14" s="433">
        <f>+IF(('Monthly Detail'!FW30-$E$14)&gt;0,('Monthly Detail'!FW30-$E$14)*$D$14, 0)</f>
        <v>0</v>
      </c>
      <c r="EY14" s="433">
        <f>+IF(('Monthly Detail'!FX30-$E$14)&gt;0,('Monthly Detail'!FX30-$E$14)*$D$14, 0)</f>
        <v>0</v>
      </c>
      <c r="EZ14" s="433">
        <f>+IF(('Monthly Detail'!FY30-$E$14)&gt;0,('Monthly Detail'!FY30-$E$14)*$D$14, 0)</f>
        <v>0</v>
      </c>
      <c r="FA14" s="433">
        <f>+IF(('Monthly Detail'!FZ30-$E$14)&gt;0,('Monthly Detail'!FZ30-$E$14)*$D$14, 0)</f>
        <v>0</v>
      </c>
      <c r="FB14" s="434">
        <f>+IF(('Monthly Detail'!GA30-$E$14)&gt;0,('Monthly Detail'!GA30-$E$14)*$D$14, 0)</f>
        <v>0</v>
      </c>
    </row>
    <row r="15" spans="2:158" x14ac:dyDescent="0.3">
      <c r="B15" s="442" t="s">
        <v>387</v>
      </c>
      <c r="C15" t="s">
        <v>350</v>
      </c>
      <c r="D15" s="376"/>
      <c r="E15" s="510"/>
      <c r="F15" s="7"/>
      <c r="H15" s="432"/>
      <c r="I15" s="471"/>
      <c r="J15" s="471"/>
      <c r="K15" s="471"/>
      <c r="L15" s="471"/>
      <c r="M15" s="471"/>
      <c r="N15" s="471"/>
      <c r="O15" s="471"/>
      <c r="P15" s="471"/>
      <c r="Q15" s="471"/>
      <c r="R15" s="471"/>
      <c r="S15" s="471"/>
      <c r="T15" s="471"/>
      <c r="U15" s="471">
        <v>202.5</v>
      </c>
      <c r="V15" s="471">
        <v>0</v>
      </c>
      <c r="W15" s="471">
        <v>2299.98</v>
      </c>
      <c r="X15" s="709">
        <v>4725</v>
      </c>
      <c r="Y15" s="433">
        <f>+IF(('Monthly Detail'!AX31-$E$13)&gt;0,('Monthly Detail'!AX31-$E$13)*'People Plan'!$D$13, 0)</f>
        <v>1207.416267942584</v>
      </c>
      <c r="Z15" s="433">
        <f>+IF(('Monthly Detail'!AY31-$E$13)&gt;0,('Monthly Detail'!AY31-$E$13)*'People Plan'!$D$13, 0)</f>
        <v>187.71167048054986</v>
      </c>
      <c r="AA15" s="433">
        <f>+IF(('Monthly Detail'!AZ31-$E$13)&gt;0,('Monthly Detail'!AZ31-$E$13)*'People Plan'!$D$13, 0)</f>
        <v>676.88768115942037</v>
      </c>
      <c r="AB15" s="433">
        <f>+IF(('Monthly Detail'!BA31-$E$13)&gt;0,('Monthly Detail'!BA31-$E$13)*'People Plan'!$D$13, 0)</f>
        <v>0</v>
      </c>
      <c r="AC15" s="433">
        <f>+IF(('Monthly Detail'!BB31-$E$13)&gt;0,('Monthly Detail'!BB31-$E$13)*'People Plan'!$D$13, 0)</f>
        <v>0</v>
      </c>
      <c r="AD15" s="433">
        <f>+IF(('Monthly Detail'!BC31-$E$13)&gt;0,('Monthly Detail'!BC31-$E$13)*'People Plan'!$D$13, 0)</f>
        <v>0</v>
      </c>
      <c r="AE15" s="433">
        <f>+IF(('Monthly Detail'!BD31-$E$13)&gt;0,('Monthly Detail'!BD31-$E$13)*'People Plan'!$D$13, 0)</f>
        <v>0</v>
      </c>
      <c r="AF15" s="433">
        <f>+IF(('Monthly Detail'!BE31-$E$13)&gt;0,('Monthly Detail'!BE31-$E$13)*'People Plan'!$D$13, 0)</f>
        <v>343.65714285714193</v>
      </c>
      <c r="AG15" s="433">
        <f>+IF(('Monthly Detail'!BF31-$E$13)&gt;0,('Monthly Detail'!BF31-$E$13)*'People Plan'!$D$13, 0)</f>
        <v>1603.3194805194803</v>
      </c>
      <c r="AH15" s="433">
        <f>+IF(('Monthly Detail'!BG31-$E$13)&gt;0,('Monthly Detail'!BG31-$E$13)*'People Plan'!$D$13, 0)</f>
        <v>1968.4999999999995</v>
      </c>
      <c r="AI15" s="433">
        <f>+IF(('Monthly Detail'!BH31-$E$13)&gt;0,('Monthly Detail'!BH31-$E$13)*'People Plan'!$D$13, 0)</f>
        <v>3839.7280701754371</v>
      </c>
      <c r="AJ15" s="433">
        <f>+IF(('Monthly Detail'!BI31-$E$13)&gt;0,('Monthly Detail'!BI31-$E$13)*'People Plan'!$D$13, 0)</f>
        <v>7335.0421804023345</v>
      </c>
      <c r="AK15" s="433">
        <f>+IF(('Monthly Detail'!BJ31-$E$13)&gt;0,('Monthly Detail'!BJ31-$E$13)*'People Plan'!$D$13, 0)</f>
        <v>2252.2698204455414</v>
      </c>
      <c r="AL15" s="433">
        <f>+IF(('Monthly Detail'!BK31-$E$13)&gt;0,('Monthly Detail'!BK31-$E$13)*'People Plan'!$D$13, 0)</f>
        <v>2811.1578947368416</v>
      </c>
      <c r="AM15" s="433">
        <f>+IF(('Monthly Detail'!BL31-$E$13)&gt;0,('Monthly Detail'!BL31-$E$13)*'People Plan'!$D$13, 0)</f>
        <v>2857.4880434782599</v>
      </c>
      <c r="AN15" s="433">
        <f>+IF(('Monthly Detail'!BM31-$E$13)&gt;0,('Monthly Detail'!BM31-$E$13)*'People Plan'!$D$13, 0)</f>
        <v>278.32499999999845</v>
      </c>
      <c r="AO15" s="433">
        <f>+IF(('Monthly Detail'!BN31-$E$13)&gt;0,('Monthly Detail'!BN31-$E$13)*'People Plan'!$D$13, 0)</f>
        <v>0</v>
      </c>
      <c r="AP15" s="433">
        <f>+IF(('Monthly Detail'!BO31-$E$13)&gt;0,('Monthly Detail'!BO31-$E$13)*'People Plan'!$D$13, 0)</f>
        <v>0</v>
      </c>
      <c r="AQ15" s="433">
        <f>+IF(('Monthly Detail'!BP31-$E$13)&gt;0,('Monthly Detail'!BP31-$E$13)*'People Plan'!$D$13, 0)</f>
        <v>0</v>
      </c>
      <c r="AR15" s="433">
        <f>+IF(('Monthly Detail'!BQ31-$E$13)&gt;0,('Monthly Detail'!BQ31-$E$13)*'People Plan'!$D$13, 0)</f>
        <v>1631.9771428571401</v>
      </c>
      <c r="AS15" s="433">
        <f>+IF(('Monthly Detail'!BR31-$E$13)&gt;0,('Monthly Detail'!BR31-$E$13)*'People Plan'!$D$13, 0)</f>
        <v>3099.4514285714258</v>
      </c>
      <c r="AT15" s="433">
        <f>+IF(('Monthly Detail'!BS31-$E$13)&gt;0,('Monthly Detail'!BS31-$E$13)*'People Plan'!$D$13, 0)</f>
        <v>4162.163095238091</v>
      </c>
      <c r="AU15" s="433">
        <f>+IF(('Monthly Detail'!BT31-$E$13)&gt;0,('Monthly Detail'!BT31-$E$13)*'People Plan'!$D$13, 0)</f>
        <v>6478.4701754385906</v>
      </c>
      <c r="AV15" s="433">
        <f>+IF(('Monthly Detail'!BU31-$E$13)&gt;0,('Monthly Detail'!BU31-$E$13)*'People Plan'!$D$13, 0)</f>
        <v>10756.301103179745</v>
      </c>
      <c r="AW15" s="433">
        <f>+IF(('Monthly Detail'!BV31-$E$13)&gt;0,('Monthly Detail'!BV31-$E$13)*'People Plan'!$D$13, 0)</f>
        <v>4528.4639501980737</v>
      </c>
      <c r="AX15" s="433">
        <f>+IF(('Monthly Detail'!BW31-$E$13)&gt;0,('Monthly Detail'!BW31-$E$13)*'People Plan'!$D$13, 0)</f>
        <v>4982.5947368421012</v>
      </c>
      <c r="AY15" s="433">
        <f>+IF(('Monthly Detail'!BX31-$E$13)&gt;0,('Monthly Detail'!BX31-$E$13)*'People Plan'!$D$13, 0)</f>
        <v>5060.5919565217346</v>
      </c>
      <c r="AZ15" s="433">
        <f>+IF(('Monthly Detail'!BY31-$E$13)&gt;0,('Monthly Detail'!BY31-$E$13)*'People Plan'!$D$13, 0)</f>
        <v>1634.6689999999967</v>
      </c>
      <c r="BA15" s="433">
        <f>+IF(('Monthly Detail'!BZ31-$E$13)&gt;0,('Monthly Detail'!BZ31-$E$13)*'People Plan'!$D$13, 0)</f>
        <v>0</v>
      </c>
      <c r="BB15" s="433">
        <f>+IF(('Monthly Detail'!CA31-$E$13)&gt;0,('Monthly Detail'!CA31-$E$13)*'People Plan'!$D$13, 0)</f>
        <v>0</v>
      </c>
      <c r="BC15" s="433">
        <f>+IF(('Monthly Detail'!CB31-$E$13)&gt;0,('Monthly Detail'!CB31-$E$13)*'People Plan'!$D$13, 0)</f>
        <v>0</v>
      </c>
      <c r="BD15" s="433">
        <f>+IF(('Monthly Detail'!CC31-$E$13)&gt;0,('Monthly Detail'!CC31-$E$13)*'People Plan'!$D$13, 0)</f>
        <v>3385.3394285714244</v>
      </c>
      <c r="BE15" s="433">
        <f>+IF(('Monthly Detail'!CD31-$E$13)&gt;0,('Monthly Detail'!CD31-$E$13)*'People Plan'!$D$13, 0)</f>
        <v>5115.9941818181751</v>
      </c>
      <c r="BF15" s="433">
        <f>+IF(('Monthly Detail'!CE31-$E$13)&gt;0,('Monthly Detail'!CE31-$E$13)*'People Plan'!$D$13, 0)</f>
        <v>7458.6800992063418</v>
      </c>
      <c r="BG15" s="433">
        <f>+IF(('Monthly Detail'!CF31-$E$13)&gt;0,('Monthly Detail'!CF31-$E$13)*'People Plan'!$D$13, 0)</f>
        <v>9714.4878947368343</v>
      </c>
      <c r="BH15" s="433">
        <f>+IF(('Monthly Detail'!CG31-$E$13)&gt;0,('Monthly Detail'!CG31-$E$13)*'People Plan'!$D$13, 0)</f>
        <v>17268.434782608685</v>
      </c>
      <c r="BI15" s="433">
        <f>+IF(('Monthly Detail'!CH31-$E$13)&gt;0,('Monthly Detail'!CH31-$E$13)*'People Plan'!$D$13, 0)</f>
        <v>7486.0200641388392</v>
      </c>
      <c r="BJ15" s="433">
        <f>+IF(('Monthly Detail'!CI31-$E$13)&gt;0,('Monthly Detail'!CI31-$E$13)*'People Plan'!$D$13, 0)</f>
        <v>7207.6714416475925</v>
      </c>
      <c r="BK15" s="433">
        <f>+IF(('Monthly Detail'!CJ31-$E$13)&gt;0,('Monthly Detail'!CJ31-$E$13)*'People Plan'!$D$13, 0)</f>
        <v>9191.6576666666606</v>
      </c>
      <c r="BL15" s="433">
        <f>+IF(('Monthly Detail'!CK31-$E$13)&gt;0,('Monthly Detail'!CK31-$E$13)*'People Plan'!$D$13, 0)</f>
        <v>3040.3919999999957</v>
      </c>
      <c r="BM15" s="433">
        <f>+IF(('Monthly Detail'!CL31-$E$13)&gt;0,('Monthly Detail'!CL31-$E$13)*'People Plan'!$D$13, 0)</f>
        <v>0</v>
      </c>
      <c r="BN15" s="433">
        <f>+IF(('Monthly Detail'!CM31-$E$13)&gt;0,('Monthly Detail'!CM31-$E$13)*'People Plan'!$D$13, 0)</f>
        <v>0</v>
      </c>
      <c r="BO15" s="433">
        <f>+IF(('Monthly Detail'!CN31-$E$13)&gt;0,('Monthly Detail'!CN31-$E$13)*'People Plan'!$D$13, 0)</f>
        <v>0</v>
      </c>
      <c r="BP15" s="433">
        <f>+IF(('Monthly Detail'!CO31-$E$13)&gt;0,('Monthly Detail'!CO31-$E$13)*'People Plan'!$D$13, 0)</f>
        <v>5364.9535999999898</v>
      </c>
      <c r="BQ15" s="433">
        <f>+IF(('Monthly Detail'!CP31-$E$13)&gt;0,('Monthly Detail'!CP31-$E$13)*'People Plan'!$D$13, 0)</f>
        <v>8670.1247999999832</v>
      </c>
      <c r="BR15" s="433">
        <f>+IF(('Monthly Detail'!CQ31-$E$13)&gt;0,('Monthly Detail'!CQ31-$E$13)*'People Plan'!$D$13, 0)</f>
        <v>11404.389242063477</v>
      </c>
      <c r="BS15" s="433">
        <f>+IF(('Monthly Detail'!CR31-$E$13)&gt;0,('Monthly Detail'!CR31-$E$13)*'People Plan'!$D$13, 0)</f>
        <v>13711.183221690573</v>
      </c>
      <c r="BT15" s="433">
        <f>+IF(('Monthly Detail'!CS31-$E$13)&gt;0,('Monthly Detail'!CS31-$E$13)*'People Plan'!$D$13, 0)</f>
        <v>26402.829850746235</v>
      </c>
      <c r="BU15" s="433">
        <f>+IF(('Monthly Detail'!CT31-$E$13)&gt;0,('Monthly Detail'!CT31-$E$13)*'People Plan'!$D$13, 0)</f>
        <v>11465.811036408215</v>
      </c>
      <c r="BV15" s="433">
        <f>+IF(('Monthly Detail'!CU31-$E$13)&gt;0,('Monthly Detail'!CU31-$E$13)*'People Plan'!$D$13, 0)</f>
        <v>11119.332695652161</v>
      </c>
      <c r="BW15" s="433">
        <f>+IF(('Monthly Detail'!CV31-$E$13)&gt;0,('Monthly Detail'!CV31-$E$13)*'People Plan'!$D$13, 0)</f>
        <v>13934.154066666653</v>
      </c>
      <c r="BX15" s="433">
        <f>+IF(('Monthly Detail'!CW31-$E$13)&gt;0,('Monthly Detail'!CW31-$E$13)*'People Plan'!$D$13, 0)</f>
        <v>5277.1737999999932</v>
      </c>
      <c r="BY15" s="433">
        <f>+IF(('Monthly Detail'!CX31-$E$13)&gt;0,('Monthly Detail'!CX31-$E$13)*'People Plan'!$D$13, 0)</f>
        <v>164.43346666666406</v>
      </c>
      <c r="BZ15" s="433">
        <f>+IF(('Monthly Detail'!CY31-$E$13)&gt;0,('Monthly Detail'!CY31-$E$13)*'People Plan'!$D$13, 0)</f>
        <v>0</v>
      </c>
      <c r="CA15" s="433">
        <f>+IF(('Monthly Detail'!CZ31-$E$13)&gt;0,('Monthly Detail'!CZ31-$E$13)*'People Plan'!$D$13, 0)</f>
        <v>0</v>
      </c>
      <c r="CB15" s="433">
        <f>+IF(('Monthly Detail'!DA31-$E$13)&gt;0,('Monthly Detail'!DA31-$E$13)*'People Plan'!$D$13, 0)</f>
        <v>8089.4619428571286</v>
      </c>
      <c r="CC15" s="433">
        <f>+IF(('Monthly Detail'!DB31-$E$13)&gt;0,('Monthly Detail'!DB31-$E$13)*'People Plan'!$D$13, 0)</f>
        <v>13976.546298181796</v>
      </c>
      <c r="CD15" s="433">
        <f>+IF(('Monthly Detail'!DC31-$E$13)&gt;0,('Monthly Detail'!DC31-$E$13)*'People Plan'!$D$13, 0)</f>
        <v>16228.153906349189</v>
      </c>
      <c r="CE15" s="433">
        <f>+IF(('Monthly Detail'!DD31-$E$13)&gt;0,('Monthly Detail'!DD31-$E$13)*'People Plan'!$D$13, 0)</f>
        <v>21448.250340669834</v>
      </c>
      <c r="CF15" s="433">
        <f>+IF(('Monthly Detail'!DE31-$E$13)&gt;0,('Monthly Detail'!DE31-$E$13)*'People Plan'!$D$13, 0)</f>
        <v>38242.693134328329</v>
      </c>
      <c r="CG15" s="433">
        <f>+IF(('Monthly Detail'!DF31-$E$13)&gt;0,('Monthly Detail'!DF31-$E$13)*'People Plan'!$D$13, 0)</f>
        <v>16261.070514462099</v>
      </c>
      <c r="CH15" s="433">
        <f>+IF(('Monthly Detail'!DG31-$E$13)&gt;0,('Monthly Detail'!DG31-$E$13)*'People Plan'!$D$13, 0)</f>
        <v>17624.792454004557</v>
      </c>
      <c r="CI15" s="433">
        <f>+IF(('Monthly Detail'!DH31-$E$13)&gt;0,('Monthly Detail'!DH31-$E$13)*'People Plan'!$D$13, 0)</f>
        <v>0</v>
      </c>
      <c r="CJ15" s="433">
        <f>+IF(('Monthly Detail'!DI31-$E$13)&gt;0,('Monthly Detail'!DI31-$E$13)*'People Plan'!$D$13, 0)</f>
        <v>0</v>
      </c>
      <c r="CK15" s="433">
        <f>+IF(('Monthly Detail'!DJ31-$E$13)&gt;0,('Monthly Detail'!DJ31-$E$13)*'People Plan'!$D$13, 0)</f>
        <v>0</v>
      </c>
      <c r="CL15" s="433">
        <f>+IF(('Monthly Detail'!DK31-$E$13)&gt;0,('Monthly Detail'!DK31-$E$13)*'People Plan'!$D$13, 0)</f>
        <v>0</v>
      </c>
      <c r="CM15" s="433">
        <f>+IF(('Monthly Detail'!DL31-$E$13)&gt;0,('Monthly Detail'!DL31-$E$13)*'People Plan'!$D$13, 0)</f>
        <v>0</v>
      </c>
      <c r="CN15" s="433">
        <f>+IF(('Monthly Detail'!DM31-$E$13)&gt;0,('Monthly Detail'!DM31-$E$13)*'People Plan'!$D$13, 0)</f>
        <v>0</v>
      </c>
      <c r="CO15" s="433">
        <f>+IF(('Monthly Detail'!DN31-$E$13)&gt;0,('Monthly Detail'!DN31-$E$13)*'People Plan'!$D$13, 0)</f>
        <v>0</v>
      </c>
      <c r="CP15" s="433">
        <f>+IF(('Monthly Detail'!DO31-$E$13)&gt;0,('Monthly Detail'!DO31-$E$13)*'People Plan'!$D$13, 0)</f>
        <v>0</v>
      </c>
      <c r="CQ15" s="433">
        <f>+IF(('Monthly Detail'!DP31-$E$13)&gt;0,('Monthly Detail'!DP31-$E$13)*'People Plan'!$D$13, 0)</f>
        <v>0</v>
      </c>
      <c r="CR15" s="433">
        <f>+IF(('Monthly Detail'!DQ31-$E$13)&gt;0,('Monthly Detail'!DQ31-$E$13)*'People Plan'!$D$13, 0)</f>
        <v>0</v>
      </c>
      <c r="CS15" s="433">
        <f>+IF(('Monthly Detail'!DR31-$E$13)&gt;0,('Monthly Detail'!DR31-$E$13)*'People Plan'!$D$13, 0)</f>
        <v>0</v>
      </c>
      <c r="CT15" s="433">
        <f>+IF(('Monthly Detail'!DS31-$E$13)&gt;0,('Monthly Detail'!DS31-$E$13)*'People Plan'!$D$13, 0)</f>
        <v>0</v>
      </c>
      <c r="CU15" s="433">
        <f>+IF(('Monthly Detail'!DT31-$E$13)&gt;0,('Monthly Detail'!DT31-$E$13)*'People Plan'!$D$13, 0)</f>
        <v>0</v>
      </c>
      <c r="CV15" s="433">
        <f>+IF(('Monthly Detail'!DU31-$E$13)&gt;0,('Monthly Detail'!DU31-$E$13)*'People Plan'!$D$13, 0)</f>
        <v>0</v>
      </c>
      <c r="CW15" s="433">
        <f>+IF(('Monthly Detail'!DV31-$E$13)&gt;0,('Monthly Detail'!DV31-$E$13)*'People Plan'!$D$13, 0)</f>
        <v>0</v>
      </c>
      <c r="CX15" s="433">
        <f>+IF(('Monthly Detail'!DW31-$E$13)&gt;0,('Monthly Detail'!DW31-$E$13)*'People Plan'!$D$13, 0)</f>
        <v>0</v>
      </c>
      <c r="CY15" s="433">
        <f>+IF(('Monthly Detail'!DX31-$E$13)&gt;0,('Monthly Detail'!DX31-$E$13)*'People Plan'!$D$13, 0)</f>
        <v>0</v>
      </c>
      <c r="CZ15" s="433">
        <f>+IF(('Monthly Detail'!DY31-$E$13)&gt;0,('Monthly Detail'!DY31-$E$13)*'People Plan'!$D$13, 0)</f>
        <v>0</v>
      </c>
      <c r="DA15" s="433">
        <f>+IF(('Monthly Detail'!DZ31-$E$13)&gt;0,('Monthly Detail'!DZ31-$E$13)*'People Plan'!$D$13, 0)</f>
        <v>0</v>
      </c>
      <c r="DB15" s="433">
        <f>+IF(('Monthly Detail'!EA31-$E$13)&gt;0,('Monthly Detail'!EA31-$E$13)*'People Plan'!$D$13, 0)</f>
        <v>0</v>
      </c>
      <c r="DC15" s="433">
        <f>+IF(('Monthly Detail'!EB31-$E$13)&gt;0,('Monthly Detail'!EB31-$E$13)*'People Plan'!$D$13, 0)</f>
        <v>0</v>
      </c>
      <c r="DD15" s="433">
        <f>+IF(('Monthly Detail'!EC31-$E$13)&gt;0,('Monthly Detail'!EC31-$E$13)*'People Plan'!$D$13, 0)</f>
        <v>0</v>
      </c>
      <c r="DE15" s="433">
        <f>+IF(('Monthly Detail'!ED31-$E$13)&gt;0,('Monthly Detail'!ED31-$E$13)*'People Plan'!$D$13, 0)</f>
        <v>0</v>
      </c>
      <c r="DF15" s="433">
        <f>+IF(('Monthly Detail'!EE31-$E$13)&gt;0,('Monthly Detail'!EE31-$E$13)*'People Plan'!$D$13, 0)</f>
        <v>0</v>
      </c>
      <c r="DG15" s="433">
        <f>+IF(('Monthly Detail'!EF31-$E$13)&gt;0,('Monthly Detail'!EF31-$E$13)*'People Plan'!$D$13, 0)</f>
        <v>0</v>
      </c>
      <c r="DH15" s="433">
        <f>+IF(('Monthly Detail'!EG31-$E$13)&gt;0,('Monthly Detail'!EG31-$E$13)*'People Plan'!$D$13, 0)</f>
        <v>0</v>
      </c>
      <c r="DI15" s="433">
        <f>+IF(('Monthly Detail'!EH31-$E$13)&gt;0,('Monthly Detail'!EH31-$E$13)*'People Plan'!$D$13, 0)</f>
        <v>0</v>
      </c>
      <c r="DJ15" s="433">
        <f>+IF(('Monthly Detail'!EI31-$E$13)&gt;0,('Monthly Detail'!EI31-$E$13)*'People Plan'!$D$13, 0)</f>
        <v>0</v>
      </c>
      <c r="DK15" s="433">
        <f>+IF(('Monthly Detail'!EJ31-$E$13)&gt;0,('Monthly Detail'!EJ31-$E$13)*'People Plan'!$D$13, 0)</f>
        <v>0</v>
      </c>
      <c r="DL15" s="433">
        <f>+IF(('Monthly Detail'!EK31-$E$13)&gt;0,('Monthly Detail'!EK31-$E$13)*'People Plan'!$D$13, 0)</f>
        <v>0</v>
      </c>
      <c r="DM15" s="433">
        <f>+IF(('Monthly Detail'!EL31-$E$13)&gt;0,('Monthly Detail'!EL31-$E$13)*'People Plan'!$D$13, 0)</f>
        <v>0</v>
      </c>
      <c r="DN15" s="433">
        <f>+IF(('Monthly Detail'!EM31-$E$13)&gt;0,('Monthly Detail'!EM31-$E$13)*'People Plan'!$D$13, 0)</f>
        <v>0</v>
      </c>
      <c r="DO15" s="433">
        <f>+IF(('Monthly Detail'!EN31-$E$13)&gt;0,('Monthly Detail'!EN31-$E$13)*'People Plan'!$D$13, 0)</f>
        <v>0</v>
      </c>
      <c r="DP15" s="433">
        <f>+IF(('Monthly Detail'!EO31-$E$13)&gt;0,('Monthly Detail'!EO31-$E$13)*'People Plan'!$D$13, 0)</f>
        <v>0</v>
      </c>
      <c r="DQ15" s="433">
        <f>+IF(('Monthly Detail'!EP31-$E$13)&gt;0,('Monthly Detail'!EP31-$E$13)*'People Plan'!$D$13, 0)</f>
        <v>0</v>
      </c>
      <c r="DR15" s="433">
        <f>+IF(('Monthly Detail'!EQ31-$E$13)&gt;0,('Monthly Detail'!EQ31-$E$13)*'People Plan'!$D$13, 0)</f>
        <v>0</v>
      </c>
      <c r="DS15" s="433">
        <f>+IF(('Monthly Detail'!ER31-$E$13)&gt;0,('Monthly Detail'!ER31-$E$13)*'People Plan'!$D$13, 0)</f>
        <v>0</v>
      </c>
      <c r="DT15" s="433">
        <f>+IF(('Monthly Detail'!ES31-$E$13)&gt;0,('Monthly Detail'!ES31-$E$13)*'People Plan'!$D$13, 0)</f>
        <v>0</v>
      </c>
      <c r="DU15" s="433">
        <f>+IF(('Monthly Detail'!ET31-$E$13)&gt;0,('Monthly Detail'!ET31-$E$13)*'People Plan'!$D$13, 0)</f>
        <v>0</v>
      </c>
      <c r="DV15" s="433">
        <f>+IF(('Monthly Detail'!EU31-$E$13)&gt;0,('Monthly Detail'!EU31-$E$13)*'People Plan'!$D$13, 0)</f>
        <v>0</v>
      </c>
      <c r="DW15" s="433">
        <f>+IF(('Monthly Detail'!EV31-$E$13)&gt;0,('Monthly Detail'!EV31-$E$13)*'People Plan'!$D$13, 0)</f>
        <v>0</v>
      </c>
      <c r="DX15" s="433">
        <f>+IF(('Monthly Detail'!EW31-$E$13)&gt;0,('Monthly Detail'!EW31-$E$13)*'People Plan'!$D$13, 0)</f>
        <v>0</v>
      </c>
      <c r="DY15" s="433">
        <f>+IF(('Monthly Detail'!EX31-$E$13)&gt;0,('Monthly Detail'!EX31-$E$13)*'People Plan'!$D$13, 0)</f>
        <v>0</v>
      </c>
      <c r="DZ15" s="433">
        <f>+IF(('Monthly Detail'!EY31-$E$13)&gt;0,('Monthly Detail'!EY31-$E$13)*'People Plan'!$D$13, 0)</f>
        <v>0</v>
      </c>
      <c r="EA15" s="433">
        <f>+IF(('Monthly Detail'!EZ31-$E$13)&gt;0,('Monthly Detail'!EZ31-$E$13)*'People Plan'!$D$13, 0)</f>
        <v>0</v>
      </c>
      <c r="EB15" s="433">
        <f>+IF(('Monthly Detail'!FA31-$E$13)&gt;0,('Monthly Detail'!FA31-$E$13)*'People Plan'!$D$13, 0)</f>
        <v>0</v>
      </c>
      <c r="EC15" s="433">
        <f>+IF(('Monthly Detail'!FB31-$E$13)&gt;0,('Monthly Detail'!FB31-$E$13)*'People Plan'!$D$13, 0)</f>
        <v>0</v>
      </c>
      <c r="ED15" s="433">
        <f>+IF(('Monthly Detail'!FC31-$E$13)&gt;0,('Monthly Detail'!FC31-$E$13)*'People Plan'!$D$13, 0)</f>
        <v>0</v>
      </c>
      <c r="EE15" s="433">
        <f>+IF(('Monthly Detail'!FD31-$E$13)&gt;0,('Monthly Detail'!FD31-$E$13)*'People Plan'!$D$13, 0)</f>
        <v>0</v>
      </c>
      <c r="EF15" s="433">
        <f>+IF(('Monthly Detail'!FE31-$E$13)&gt;0,('Monthly Detail'!FE31-$E$13)*'People Plan'!$D$13, 0)</f>
        <v>0</v>
      </c>
      <c r="EG15" s="433">
        <f>+IF(('Monthly Detail'!FF31-$E$13)&gt;0,('Monthly Detail'!FF31-$E$13)*'People Plan'!$D$13, 0)</f>
        <v>0</v>
      </c>
      <c r="EH15" s="433">
        <f>+IF(('Monthly Detail'!FG31-$E$13)&gt;0,('Monthly Detail'!FG31-$E$13)*'People Plan'!$D$13, 0)</f>
        <v>0</v>
      </c>
      <c r="EI15" s="433">
        <f>+IF(('Monthly Detail'!FH31-$E$13)&gt;0,('Monthly Detail'!FH31-$E$13)*'People Plan'!$D$13, 0)</f>
        <v>0</v>
      </c>
      <c r="EJ15" s="433">
        <f>+IF(('Monthly Detail'!FI31-$E$13)&gt;0,('Monthly Detail'!FI31-$E$13)*'People Plan'!$D$13, 0)</f>
        <v>0</v>
      </c>
      <c r="EK15" s="433">
        <f>+IF(('Monthly Detail'!FJ31-$E$13)&gt;0,('Monthly Detail'!FJ31-$E$13)*'People Plan'!$D$13, 0)</f>
        <v>0</v>
      </c>
      <c r="EL15" s="433">
        <f>+IF(('Monthly Detail'!FK31-$E$13)&gt;0,('Monthly Detail'!FK31-$E$13)*'People Plan'!$D$13, 0)</f>
        <v>0</v>
      </c>
      <c r="EM15" s="433">
        <f>+IF(('Monthly Detail'!FL31-$E$13)&gt;0,('Monthly Detail'!FL31-$E$13)*'People Plan'!$D$13, 0)</f>
        <v>0</v>
      </c>
      <c r="EN15" s="433">
        <f>+IF(('Monthly Detail'!FM31-$E$13)&gt;0,('Monthly Detail'!FM31-$E$13)*'People Plan'!$D$13, 0)</f>
        <v>0</v>
      </c>
      <c r="EO15" s="433">
        <f>+IF(('Monthly Detail'!FN31-$E$13)&gt;0,('Monthly Detail'!FN31-$E$13)*'People Plan'!$D$13, 0)</f>
        <v>0</v>
      </c>
      <c r="EP15" s="433">
        <f>+IF(('Monthly Detail'!FO31-$E$13)&gt;0,('Monthly Detail'!FO31-$E$13)*'People Plan'!$D$13, 0)</f>
        <v>0</v>
      </c>
      <c r="EQ15" s="433">
        <f>+IF(('Monthly Detail'!FP31-$E$13)&gt;0,('Monthly Detail'!FP31-$E$13)*'People Plan'!$D$13, 0)</f>
        <v>0</v>
      </c>
      <c r="ER15" s="433">
        <f>+IF(('Monthly Detail'!FQ31-$E$13)&gt;0,('Monthly Detail'!FQ31-$E$13)*'People Plan'!$D$13, 0)</f>
        <v>0</v>
      </c>
      <c r="ES15" s="433">
        <f>+IF(('Monthly Detail'!FR31-$E$13)&gt;0,('Monthly Detail'!FR31-$E$13)*'People Plan'!$D$13, 0)</f>
        <v>0</v>
      </c>
      <c r="ET15" s="433">
        <f>+IF(('Monthly Detail'!FS31-$E$13)&gt;0,('Monthly Detail'!FS31-$E$13)*'People Plan'!$D$13, 0)</f>
        <v>0</v>
      </c>
      <c r="EU15" s="433">
        <f>+IF(('Monthly Detail'!FT31-$E$13)&gt;0,('Monthly Detail'!FT31-$E$13)*'People Plan'!$D$13, 0)</f>
        <v>0</v>
      </c>
      <c r="EV15" s="433">
        <f>+IF(('Monthly Detail'!FU31-$E$13)&gt;0,('Monthly Detail'!FU31-$E$13)*'People Plan'!$D$13, 0)</f>
        <v>0</v>
      </c>
      <c r="EW15" s="433">
        <f>+IF(('Monthly Detail'!FV31-$E$13)&gt;0,('Monthly Detail'!FV31-$E$13)*'People Plan'!$D$13, 0)</f>
        <v>0</v>
      </c>
      <c r="EX15" s="433">
        <f>+IF(('Monthly Detail'!FW31-$E$13)&gt;0,('Monthly Detail'!FW31-$E$13)*'People Plan'!$D$13, 0)</f>
        <v>0</v>
      </c>
      <c r="EY15" s="433">
        <f>+IF(('Monthly Detail'!FX31-$E$13)&gt;0,('Monthly Detail'!FX31-$E$13)*'People Plan'!$D$13, 0)</f>
        <v>0</v>
      </c>
      <c r="EZ15" s="433">
        <f>+IF(('Monthly Detail'!FY31-$E$13)&gt;0,('Monthly Detail'!FY31-$E$13)*'People Plan'!$D$13, 0)</f>
        <v>0</v>
      </c>
      <c r="FA15" s="433">
        <f>+IF(('Monthly Detail'!FZ31-$E$13)&gt;0,('Monthly Detail'!FZ31-$E$13)*'People Plan'!$D$13, 0)</f>
        <v>0</v>
      </c>
      <c r="FB15" s="434">
        <f>+IF(('Monthly Detail'!GA31-$E$13)&gt;0,('Monthly Detail'!GA31-$E$13)*'People Plan'!$D$13, 0)</f>
        <v>0</v>
      </c>
    </row>
    <row r="16" spans="2:158" x14ac:dyDescent="0.3">
      <c r="B16" s="442"/>
      <c r="F16" s="7"/>
      <c r="H16" s="430"/>
      <c r="X16" s="431"/>
      <c r="FB16" s="431"/>
    </row>
    <row r="17" spans="2:158" x14ac:dyDescent="0.3">
      <c r="B17" s="442"/>
      <c r="F17" s="7"/>
      <c r="H17" s="430"/>
      <c r="X17" s="431"/>
      <c r="FB17" s="431"/>
    </row>
    <row r="18" spans="2:158" x14ac:dyDescent="0.3">
      <c r="B18" s="442" t="s">
        <v>363</v>
      </c>
      <c r="C18" t="s">
        <v>364</v>
      </c>
      <c r="D18" s="376">
        <v>70</v>
      </c>
      <c r="E18">
        <v>170</v>
      </c>
      <c r="F18" s="7"/>
      <c r="H18" s="430"/>
      <c r="O18" s="471">
        <v>1275</v>
      </c>
      <c r="P18" s="471">
        <v>4005</v>
      </c>
      <c r="Q18" s="471">
        <v>4410</v>
      </c>
      <c r="R18" s="471">
        <v>2450</v>
      </c>
      <c r="S18" s="471">
        <v>1960</v>
      </c>
      <c r="T18" s="471">
        <v>2450</v>
      </c>
      <c r="U18" s="471">
        <v>7280</v>
      </c>
      <c r="V18" s="471">
        <v>14252.7</v>
      </c>
      <c r="W18" s="471">
        <v>9800</v>
      </c>
      <c r="X18" s="710">
        <v>14350</v>
      </c>
      <c r="Y18" s="433">
        <f>+$D$18*'Monthly Detail'!AX34</f>
        <v>8455.3748006379574</v>
      </c>
      <c r="Z18" s="433">
        <f>+$D$18*'Monthly Detail'!AY34</f>
        <v>5291.1029748283763</v>
      </c>
      <c r="AA18" s="433">
        <f>+$D$18*'Monthly Detail'!AZ34</f>
        <v>7131.2415458937194</v>
      </c>
      <c r="AB18" s="433">
        <f>+$D$18*'Monthly Detail'!BA34</f>
        <v>8049.949999999998</v>
      </c>
      <c r="AC18" s="433">
        <f>+$D$18*'Monthly Detail'!BB34</f>
        <v>10219.733333333332</v>
      </c>
      <c r="AD18" s="433">
        <f>+$D$18*'Monthly Detail'!BC34</f>
        <v>4765.7014492753615</v>
      </c>
      <c r="AE18" s="433">
        <f>+$D$18*'Monthly Detail'!BD34</f>
        <v>8427.5099999999984</v>
      </c>
      <c r="AF18" s="433">
        <f>+$D$18*'Monthly Detail'!BE34</f>
        <v>5086.9866666666649</v>
      </c>
      <c r="AG18" s="433">
        <f>+$D$18*'Monthly Detail'!BF34</f>
        <v>8224.576969696971</v>
      </c>
      <c r="AH18" s="433">
        <f>+$D$18*'Monthly Detail'!BG34</f>
        <v>8681.4</v>
      </c>
      <c r="AI18" s="433">
        <f>+$D$18*'Monthly Detail'!BH34</f>
        <v>12237.883040935671</v>
      </c>
      <c r="AJ18" s="433">
        <f>+$D$18*'Monthly Detail'!BI34</f>
        <v>12817.943326844039</v>
      </c>
      <c r="AK18" s="433">
        <f>+$D$18*'Monthly Detail'!BJ34</f>
        <v>10838.335806280116</v>
      </c>
      <c r="AL18" s="433">
        <f>+$D$18*'Monthly Detail'!BK34</f>
        <v>10455.691228070173</v>
      </c>
      <c r="AM18" s="433">
        <f>+$D$18*'Monthly Detail'!BL34</f>
        <v>12026.091304347823</v>
      </c>
      <c r="AN18" s="433">
        <f>+$D$18*'Monthly Detail'!BM34</f>
        <v>13234.929999999993</v>
      </c>
      <c r="AO18" s="433">
        <f>+$D$18*'Monthly Detail'!BN34</f>
        <v>16969.834444444434</v>
      </c>
      <c r="AP18" s="433">
        <f>+$D$18*'Monthly Detail'!BO34</f>
        <v>7318.1124637681123</v>
      </c>
      <c r="AQ18" s="433">
        <f>+$D$18*'Monthly Detail'!BP34</f>
        <v>12486.073090909085</v>
      </c>
      <c r="AR18" s="433">
        <f>+$D$18*'Monthly Detail'!BQ34</f>
        <v>7391.6479999999947</v>
      </c>
      <c r="AS18" s="433">
        <f>+$D$18*'Monthly Detail'!BR34</f>
        <v>11223.381333333329</v>
      </c>
      <c r="AT18" s="433">
        <f>+$D$18*'Monthly Detail'!BS34</f>
        <v>12943.247777777771</v>
      </c>
      <c r="AU18" s="433">
        <f>+$D$18*'Monthly Detail'!BT34</f>
        <v>17331.574269005836</v>
      </c>
      <c r="AV18" s="433">
        <f>+$D$18*'Monthly Detail'!BU34</f>
        <v>17276.846722907194</v>
      </c>
      <c r="AW18" s="433">
        <f>+$D$18*'Monthly Detail'!BV34</f>
        <v>16029.572261837382</v>
      </c>
      <c r="AX18" s="433">
        <f>+$D$18*'Monthly Detail'!BW34</f>
        <v>14730.441403508765</v>
      </c>
      <c r="AY18" s="433">
        <f>+$D$18*'Monthly Detail'!BX34</f>
        <v>16971.455362318829</v>
      </c>
      <c r="AZ18" s="433">
        <f>+$D$18*'Monthly Detail'!BY34</f>
        <v>19696.059599999986</v>
      </c>
      <c r="BA18" s="433">
        <f>+$D$18*'Monthly Detail'!BZ34</f>
        <v>24100.212666666648</v>
      </c>
      <c r="BB18" s="433">
        <f>+$D$18*'Monthly Detail'!CA34</f>
        <v>9491.9586824769376</v>
      </c>
      <c r="BC18" s="433">
        <f>+$D$18*'Monthly Detail'!CB34</f>
        <v>19468.043890909077</v>
      </c>
      <c r="BD18" s="433">
        <f>+$D$18*'Monthly Detail'!CC34</f>
        <v>10528.218311111103</v>
      </c>
      <c r="BE18" s="433">
        <f>+$D$18*'Monthly Detail'!CD34</f>
        <v>15265.282327272716</v>
      </c>
      <c r="BF18" s="433">
        <f>+$D$18*'Monthly Detail'!CE34</f>
        <v>19347.71968518517</v>
      </c>
      <c r="BG18" s="433">
        <f>+$D$18*'Monthly Detail'!CF34</f>
        <v>23578.215438596475</v>
      </c>
      <c r="BH18" s="433">
        <f>+$D$18*'Monthly Detail'!CG34</f>
        <v>25764.066086956511</v>
      </c>
      <c r="BI18" s="433">
        <f>+$D$18*'Monthly Detail'!CH34</f>
        <v>22774.767198138703</v>
      </c>
      <c r="BJ18" s="433">
        <f>+$D$18*'Monthly Detail'!CI34</f>
        <v>19110.788485125846</v>
      </c>
      <c r="BK18" s="433">
        <f>+$D$18*'Monthly Detail'!CJ34</f>
        <v>26244.564888888872</v>
      </c>
      <c r="BL18" s="433">
        <f>+$D$18*'Monthly Detail'!CK34</f>
        <v>26392.41279999998</v>
      </c>
      <c r="BM18" s="433">
        <f>+$D$18*'Monthly Detail'!CL34</f>
        <v>32437.106044444416</v>
      </c>
      <c r="BN18" s="433">
        <f>+$D$18*'Monthly Detail'!CM34</f>
        <v>13990.55870988141</v>
      </c>
      <c r="BO18" s="433">
        <f>+$D$18*'Monthly Detail'!CN34</f>
        <v>27398.697810909067</v>
      </c>
      <c r="BP18" s="433">
        <f>+$D$18*'Monthly Detail'!CO34</f>
        <v>14069.528106666647</v>
      </c>
      <c r="BQ18" s="433">
        <f>+$D$18*'Monthly Detail'!CP34</f>
        <v>22389.080746666637</v>
      </c>
      <c r="BR18" s="433">
        <f>+$D$18*'Monthly Detail'!CQ34</f>
        <v>27013.441818518484</v>
      </c>
      <c r="BS18" s="433">
        <f>+$D$18*'Monthly Detail'!CR34</f>
        <v>31293.2293035619</v>
      </c>
      <c r="BT18" s="433">
        <f>+$D$18*'Monthly Detail'!CS34</f>
        <v>37668.860815920358</v>
      </c>
      <c r="BU18" s="433">
        <f>+$D$18*'Monthly Detail'!CT34</f>
        <v>31851.337474237534</v>
      </c>
      <c r="BV18" s="433">
        <f>+$D$18*'Monthly Detail'!CU34</f>
        <v>26811.39220869563</v>
      </c>
      <c r="BW18" s="433">
        <f>+$D$18*'Monthly Detail'!CV34</f>
        <v>36890.168622222191</v>
      </c>
      <c r="BX18" s="433">
        <f>+$D$18*'Monthly Detail'!CW34</f>
        <v>37047.62791999997</v>
      </c>
      <c r="BY18" s="433">
        <f>+$D$18*'Monthly Detail'!CX34</f>
        <v>43465.018986666619</v>
      </c>
      <c r="BZ18" s="433">
        <f>+$D$18*'Monthly Detail'!CY34</f>
        <v>20617.384658550702</v>
      </c>
      <c r="CA18" s="433">
        <f>+$D$18*'Monthly Detail'!CZ34</f>
        <v>38573.33148072724</v>
      </c>
      <c r="CB18" s="433">
        <f>+$D$18*'Monthly Detail'!DA34</f>
        <v>18943.370808888863</v>
      </c>
      <c r="CC18" s="433">
        <f>+$D$18*'Monthly Detail'!DB34</f>
        <v>33025.121214060564</v>
      </c>
      <c r="CD18" s="433">
        <f>+$D$18*'Monthly Detail'!DC34</f>
        <v>36385.049865185152</v>
      </c>
      <c r="CE18" s="433">
        <f>+$D$18*'Monthly Detail'!DD34</f>
        <v>46228.463344178585</v>
      </c>
      <c r="CF18" s="433">
        <f>+$D$18*'Monthly Detail'!DE34</f>
        <v>53099.673799004944</v>
      </c>
      <c r="CG18" s="433">
        <f>+$D$18*'Monthly Detail'!DF34</f>
        <v>42787.718291209516</v>
      </c>
      <c r="CH18" s="433">
        <f>+$D$18*'Monthly Detail'!DG34</f>
        <v>39618.218870236422</v>
      </c>
      <c r="CI18" s="433">
        <f>+$D$18*'Monthly Detail'!DH34</f>
        <v>0</v>
      </c>
      <c r="CJ18" s="433">
        <f>+$D$18*'Monthly Detail'!DI34</f>
        <v>0</v>
      </c>
      <c r="CK18" s="433">
        <f>+$D$18*'Monthly Detail'!DJ34</f>
        <v>0</v>
      </c>
      <c r="CL18" s="433">
        <f>+$D$18*'Monthly Detail'!DK34</f>
        <v>0</v>
      </c>
      <c r="CM18" s="433">
        <f>+$D$18*'Monthly Detail'!DL34</f>
        <v>0</v>
      </c>
      <c r="CN18" s="433">
        <f>+$D$18*'Monthly Detail'!DM34</f>
        <v>0</v>
      </c>
      <c r="CO18" s="433">
        <f>+$D$18*'Monthly Detail'!DN34</f>
        <v>0</v>
      </c>
      <c r="CP18" s="433">
        <f>+$D$18*'Monthly Detail'!DO34</f>
        <v>0</v>
      </c>
      <c r="CQ18" s="433">
        <f>+$D$18*'Monthly Detail'!DP34</f>
        <v>0</v>
      </c>
      <c r="CR18" s="433">
        <f>+$D$18*'Monthly Detail'!DQ34</f>
        <v>0</v>
      </c>
      <c r="CS18" s="433">
        <f>+$D$18*'Monthly Detail'!DR34</f>
        <v>0</v>
      </c>
      <c r="CT18" s="433">
        <f>+$D$18*'Monthly Detail'!DS34</f>
        <v>0</v>
      </c>
      <c r="CU18" s="433">
        <f>+$D$18*'Monthly Detail'!DT34</f>
        <v>0</v>
      </c>
      <c r="CV18" s="433">
        <f>+$D$18*'Monthly Detail'!DU34</f>
        <v>0</v>
      </c>
      <c r="CW18" s="433">
        <f>+$D$18*'Monthly Detail'!DV34</f>
        <v>0</v>
      </c>
      <c r="CX18" s="433">
        <f>+$D$18*'Monthly Detail'!DW34</f>
        <v>0</v>
      </c>
      <c r="CY18" s="433">
        <f>+$D$18*'Monthly Detail'!DX34</f>
        <v>0</v>
      </c>
      <c r="CZ18" s="433">
        <f>+$D$18*'Monthly Detail'!DY34</f>
        <v>0</v>
      </c>
      <c r="DA18" s="433">
        <f>+$D$18*'Monthly Detail'!DZ34</f>
        <v>0</v>
      </c>
      <c r="DB18" s="433">
        <f>+$D$18*'Monthly Detail'!EA34</f>
        <v>0</v>
      </c>
      <c r="DC18" s="433">
        <f>+$D$18*'Monthly Detail'!EB34</f>
        <v>0</v>
      </c>
      <c r="DD18" s="433">
        <f>+$D$18*'Monthly Detail'!EC34</f>
        <v>0</v>
      </c>
      <c r="DE18" s="433">
        <f>+$D$18*'Monthly Detail'!ED34</f>
        <v>0</v>
      </c>
      <c r="DF18" s="433">
        <f>+$D$18*'Monthly Detail'!EE34</f>
        <v>0</v>
      </c>
      <c r="DG18" s="433">
        <f>+$D$18*'Monthly Detail'!EF34</f>
        <v>0</v>
      </c>
      <c r="DH18" s="433">
        <f>+$D$18*'Monthly Detail'!EG34</f>
        <v>0</v>
      </c>
      <c r="DI18" s="433">
        <f>+$D$18*'Monthly Detail'!EH34</f>
        <v>0</v>
      </c>
      <c r="DJ18" s="433">
        <f>+$D$18*'Monthly Detail'!EI34</f>
        <v>0</v>
      </c>
      <c r="DK18" s="433">
        <f>+$D$18*'Monthly Detail'!EJ34</f>
        <v>0</v>
      </c>
      <c r="DL18" s="433">
        <f>+$D$18*'Monthly Detail'!EK34</f>
        <v>0</v>
      </c>
      <c r="DM18" s="433">
        <f>+$D$18*'Monthly Detail'!EL34</f>
        <v>0</v>
      </c>
      <c r="DN18" s="433">
        <f>+$D$18*'Monthly Detail'!EM34</f>
        <v>0</v>
      </c>
      <c r="DO18" s="433">
        <f>+$D$18*'Monthly Detail'!EN34</f>
        <v>0</v>
      </c>
      <c r="DP18" s="433">
        <f>+$D$18*'Monthly Detail'!EO34</f>
        <v>0</v>
      </c>
      <c r="DQ18" s="433">
        <f>+$D$18*'Monthly Detail'!EP34</f>
        <v>0</v>
      </c>
      <c r="DR18" s="433">
        <f>+$D$18*'Monthly Detail'!EQ34</f>
        <v>0</v>
      </c>
      <c r="DS18" s="433">
        <f>+$D$18*'Monthly Detail'!ER34</f>
        <v>0</v>
      </c>
      <c r="DT18" s="433">
        <f>+$D$18*'Monthly Detail'!ES34</f>
        <v>0</v>
      </c>
      <c r="DU18" s="433">
        <f>+$D$18*'Monthly Detail'!ET34</f>
        <v>0</v>
      </c>
      <c r="DV18" s="433">
        <f>+$D$18*'Monthly Detail'!EU34</f>
        <v>0</v>
      </c>
      <c r="DW18" s="433">
        <f>+$D$18*'Monthly Detail'!EV34</f>
        <v>0</v>
      </c>
      <c r="DX18" s="433">
        <f>+$D$18*'Monthly Detail'!EW34</f>
        <v>0</v>
      </c>
      <c r="DY18" s="433">
        <f>+$D$18*'Monthly Detail'!EX34</f>
        <v>0</v>
      </c>
      <c r="DZ18" s="433">
        <f>+$D$18*'Monthly Detail'!EY34</f>
        <v>0</v>
      </c>
      <c r="EA18" s="433">
        <f>+$D$18*'Monthly Detail'!EZ34</f>
        <v>0</v>
      </c>
      <c r="EB18" s="433">
        <f>+$D$18*'Monthly Detail'!FA34</f>
        <v>0</v>
      </c>
      <c r="EC18" s="433">
        <f>+$D$18*'Monthly Detail'!FB34</f>
        <v>0</v>
      </c>
      <c r="ED18" s="433">
        <f>+$D$18*'Monthly Detail'!FC34</f>
        <v>0</v>
      </c>
      <c r="EE18" s="433">
        <f>+$D$18*'Monthly Detail'!FD34</f>
        <v>0</v>
      </c>
      <c r="EF18" s="433">
        <f>+$D$18*'Monthly Detail'!FE34</f>
        <v>0</v>
      </c>
      <c r="EG18" s="433">
        <f>+$D$18*'Monthly Detail'!FF34</f>
        <v>0</v>
      </c>
      <c r="EH18" s="433">
        <f>+$D$18*'Monthly Detail'!FG34</f>
        <v>0</v>
      </c>
      <c r="EI18" s="433">
        <f>+$D$18*'Monthly Detail'!FH34</f>
        <v>0</v>
      </c>
      <c r="EJ18" s="433">
        <f>+$D$18*'Monthly Detail'!FI34</f>
        <v>0</v>
      </c>
      <c r="EK18" s="433">
        <f>+$D$18*'Monthly Detail'!FJ34</f>
        <v>0</v>
      </c>
      <c r="EL18" s="433">
        <f>+$D$18*'Monthly Detail'!FK34</f>
        <v>0</v>
      </c>
      <c r="EM18" s="433">
        <f>+$D$18*'Monthly Detail'!FL34</f>
        <v>0</v>
      </c>
      <c r="EN18" s="433">
        <f>+$D$18*'Monthly Detail'!FM34</f>
        <v>0</v>
      </c>
      <c r="EO18" s="433">
        <f>+$D$18*'Monthly Detail'!FN34</f>
        <v>0</v>
      </c>
      <c r="EP18" s="433">
        <f>+$D$18*'Monthly Detail'!FO34</f>
        <v>0</v>
      </c>
      <c r="EQ18" s="433">
        <f>+$D$18*'Monthly Detail'!FP34</f>
        <v>0</v>
      </c>
      <c r="ER18" s="433">
        <f>+$D$18*'Monthly Detail'!FQ34</f>
        <v>0</v>
      </c>
      <c r="ES18" s="433">
        <f>+$D$18*'Monthly Detail'!FR34</f>
        <v>0</v>
      </c>
      <c r="ET18" s="433">
        <f>+$D$18*'Monthly Detail'!FS34</f>
        <v>0</v>
      </c>
      <c r="EU18" s="433">
        <f>+$D$18*'Monthly Detail'!FT34</f>
        <v>0</v>
      </c>
      <c r="EV18" s="433">
        <f>+$D$18*'Monthly Detail'!FU34</f>
        <v>0</v>
      </c>
      <c r="EW18" s="433">
        <f>+$D$18*'Monthly Detail'!FV34</f>
        <v>0</v>
      </c>
      <c r="EX18" s="433">
        <f>+$D$18*'Monthly Detail'!FW34</f>
        <v>0</v>
      </c>
      <c r="EY18" s="433">
        <f>+$D$18*'Monthly Detail'!FX34</f>
        <v>0</v>
      </c>
      <c r="EZ18" s="433">
        <f>+$D$18*'Monthly Detail'!FY34</f>
        <v>0</v>
      </c>
      <c r="FA18" s="433">
        <f>+$D$18*'Monthly Detail'!FZ34</f>
        <v>0</v>
      </c>
      <c r="FB18" s="434">
        <f>+$D$18*'Monthly Detail'!GA34</f>
        <v>0</v>
      </c>
    </row>
    <row r="19" spans="2:158" x14ac:dyDescent="0.3">
      <c r="B19" s="442"/>
      <c r="F19" s="7" t="s">
        <v>365</v>
      </c>
      <c r="H19" s="430"/>
      <c r="O19" s="471">
        <f t="shared" ref="O19:R19" si="147">SUM(O18)</f>
        <v>1275</v>
      </c>
      <c r="P19" s="471">
        <f t="shared" si="147"/>
        <v>4005</v>
      </c>
      <c r="Q19" s="471">
        <f t="shared" si="147"/>
        <v>4410</v>
      </c>
      <c r="R19" s="471">
        <f t="shared" si="147"/>
        <v>2450</v>
      </c>
      <c r="S19" s="471">
        <f t="shared" ref="S19:U19" si="148">SUM(S18)</f>
        <v>1960</v>
      </c>
      <c r="T19" s="471">
        <f t="shared" si="148"/>
        <v>2450</v>
      </c>
      <c r="U19" s="471">
        <f t="shared" si="148"/>
        <v>7280</v>
      </c>
      <c r="V19" s="471">
        <f t="shared" ref="V19" si="149">SUM(V18)</f>
        <v>14252.7</v>
      </c>
      <c r="W19" s="471">
        <f t="shared" ref="W19:CC19" si="150">SUM(W18)</f>
        <v>9800</v>
      </c>
      <c r="X19" s="710">
        <f t="shared" si="150"/>
        <v>14350</v>
      </c>
      <c r="Y19" s="433">
        <f t="shared" si="150"/>
        <v>8455.3748006379574</v>
      </c>
      <c r="Z19" s="433">
        <f t="shared" si="150"/>
        <v>5291.1029748283763</v>
      </c>
      <c r="AA19" s="433">
        <f t="shared" si="150"/>
        <v>7131.2415458937194</v>
      </c>
      <c r="AB19" s="433">
        <f t="shared" si="150"/>
        <v>8049.949999999998</v>
      </c>
      <c r="AC19" s="433">
        <f t="shared" si="150"/>
        <v>10219.733333333332</v>
      </c>
      <c r="AD19" s="433">
        <f t="shared" si="150"/>
        <v>4765.7014492753615</v>
      </c>
      <c r="AE19" s="433">
        <f t="shared" si="150"/>
        <v>8427.5099999999984</v>
      </c>
      <c r="AF19" s="433">
        <f t="shared" si="150"/>
        <v>5086.9866666666649</v>
      </c>
      <c r="AG19" s="433">
        <f t="shared" si="150"/>
        <v>8224.576969696971</v>
      </c>
      <c r="AH19" s="433">
        <f t="shared" si="150"/>
        <v>8681.4</v>
      </c>
      <c r="AI19" s="433">
        <f t="shared" si="150"/>
        <v>12237.883040935671</v>
      </c>
      <c r="AJ19" s="433">
        <f t="shared" si="150"/>
        <v>12817.943326844039</v>
      </c>
      <c r="AK19" s="433">
        <f t="shared" si="150"/>
        <v>10838.335806280116</v>
      </c>
      <c r="AL19" s="433">
        <f t="shared" si="150"/>
        <v>10455.691228070173</v>
      </c>
      <c r="AM19" s="433">
        <f t="shared" si="150"/>
        <v>12026.091304347823</v>
      </c>
      <c r="AN19" s="433">
        <f t="shared" si="150"/>
        <v>13234.929999999993</v>
      </c>
      <c r="AO19" s="433">
        <f t="shared" si="150"/>
        <v>16969.834444444434</v>
      </c>
      <c r="AP19" s="433">
        <f t="shared" si="150"/>
        <v>7318.1124637681123</v>
      </c>
      <c r="AQ19" s="433">
        <f t="shared" si="150"/>
        <v>12486.073090909085</v>
      </c>
      <c r="AR19" s="433">
        <f t="shared" si="150"/>
        <v>7391.6479999999947</v>
      </c>
      <c r="AS19" s="433">
        <f t="shared" si="150"/>
        <v>11223.381333333329</v>
      </c>
      <c r="AT19" s="433">
        <f t="shared" si="150"/>
        <v>12943.247777777771</v>
      </c>
      <c r="AU19" s="433">
        <f t="shared" si="150"/>
        <v>17331.574269005836</v>
      </c>
      <c r="AV19" s="433">
        <f t="shared" si="150"/>
        <v>17276.846722907194</v>
      </c>
      <c r="AW19" s="433">
        <f t="shared" si="150"/>
        <v>16029.572261837382</v>
      </c>
      <c r="AX19" s="433">
        <f t="shared" si="150"/>
        <v>14730.441403508765</v>
      </c>
      <c r="AY19" s="433">
        <f t="shared" si="150"/>
        <v>16971.455362318829</v>
      </c>
      <c r="AZ19" s="433">
        <f t="shared" si="150"/>
        <v>19696.059599999986</v>
      </c>
      <c r="BA19" s="433">
        <f t="shared" si="150"/>
        <v>24100.212666666648</v>
      </c>
      <c r="BB19" s="433">
        <f t="shared" si="150"/>
        <v>9491.9586824769376</v>
      </c>
      <c r="BC19" s="433">
        <f t="shared" si="150"/>
        <v>19468.043890909077</v>
      </c>
      <c r="BD19" s="433">
        <f t="shared" si="150"/>
        <v>10528.218311111103</v>
      </c>
      <c r="BE19" s="433">
        <f t="shared" si="150"/>
        <v>15265.282327272716</v>
      </c>
      <c r="BF19" s="433">
        <f t="shared" si="150"/>
        <v>19347.71968518517</v>
      </c>
      <c r="BG19" s="433">
        <f t="shared" si="150"/>
        <v>23578.215438596475</v>
      </c>
      <c r="BH19" s="433">
        <f t="shared" si="150"/>
        <v>25764.066086956511</v>
      </c>
      <c r="BI19" s="433">
        <f t="shared" si="150"/>
        <v>22774.767198138703</v>
      </c>
      <c r="BJ19" s="433">
        <f t="shared" si="150"/>
        <v>19110.788485125846</v>
      </c>
      <c r="BK19" s="433">
        <f t="shared" si="150"/>
        <v>26244.564888888872</v>
      </c>
      <c r="BL19" s="433">
        <f t="shared" si="150"/>
        <v>26392.41279999998</v>
      </c>
      <c r="BM19" s="433">
        <f t="shared" si="150"/>
        <v>32437.106044444416</v>
      </c>
      <c r="BN19" s="433">
        <f t="shared" si="150"/>
        <v>13990.55870988141</v>
      </c>
      <c r="BO19" s="433">
        <f t="shared" si="150"/>
        <v>27398.697810909067</v>
      </c>
      <c r="BP19" s="433">
        <f t="shared" si="150"/>
        <v>14069.528106666647</v>
      </c>
      <c r="BQ19" s="433">
        <f t="shared" si="150"/>
        <v>22389.080746666637</v>
      </c>
      <c r="BR19" s="433">
        <f t="shared" si="150"/>
        <v>27013.441818518484</v>
      </c>
      <c r="BS19" s="433">
        <f t="shared" si="150"/>
        <v>31293.2293035619</v>
      </c>
      <c r="BT19" s="433">
        <f t="shared" si="150"/>
        <v>37668.860815920358</v>
      </c>
      <c r="BU19" s="433">
        <f t="shared" si="150"/>
        <v>31851.337474237534</v>
      </c>
      <c r="BV19" s="433">
        <f t="shared" si="150"/>
        <v>26811.39220869563</v>
      </c>
      <c r="BW19" s="433">
        <f t="shared" si="150"/>
        <v>36890.168622222191</v>
      </c>
      <c r="BX19" s="433">
        <f t="shared" si="150"/>
        <v>37047.62791999997</v>
      </c>
      <c r="BY19" s="433">
        <f t="shared" si="150"/>
        <v>43465.018986666619</v>
      </c>
      <c r="BZ19" s="433">
        <f t="shared" si="150"/>
        <v>20617.384658550702</v>
      </c>
      <c r="CA19" s="433">
        <f t="shared" si="150"/>
        <v>38573.33148072724</v>
      </c>
      <c r="CB19" s="433">
        <f t="shared" si="150"/>
        <v>18943.370808888863</v>
      </c>
      <c r="CC19" s="433">
        <f t="shared" si="150"/>
        <v>33025.121214060564</v>
      </c>
      <c r="CD19" s="433">
        <f t="shared" ref="CD19:EO19" si="151">SUM(CD18)</f>
        <v>36385.049865185152</v>
      </c>
      <c r="CE19" s="433">
        <f t="shared" si="151"/>
        <v>46228.463344178585</v>
      </c>
      <c r="CF19" s="433">
        <f t="shared" si="151"/>
        <v>53099.673799004944</v>
      </c>
      <c r="CG19" s="433">
        <f t="shared" si="151"/>
        <v>42787.718291209516</v>
      </c>
      <c r="CH19" s="433">
        <f t="shared" si="151"/>
        <v>39618.218870236422</v>
      </c>
      <c r="CI19" s="433">
        <f t="shared" si="151"/>
        <v>0</v>
      </c>
      <c r="CJ19" s="433">
        <f t="shared" si="151"/>
        <v>0</v>
      </c>
      <c r="CK19" s="433">
        <f t="shared" si="151"/>
        <v>0</v>
      </c>
      <c r="CL19" s="433">
        <f t="shared" si="151"/>
        <v>0</v>
      </c>
      <c r="CM19" s="433">
        <f t="shared" si="151"/>
        <v>0</v>
      </c>
      <c r="CN19" s="433">
        <f t="shared" si="151"/>
        <v>0</v>
      </c>
      <c r="CO19" s="433">
        <f t="shared" si="151"/>
        <v>0</v>
      </c>
      <c r="CP19" s="433">
        <f t="shared" si="151"/>
        <v>0</v>
      </c>
      <c r="CQ19" s="433">
        <f t="shared" si="151"/>
        <v>0</v>
      </c>
      <c r="CR19" s="433">
        <f t="shared" si="151"/>
        <v>0</v>
      </c>
      <c r="CS19" s="433">
        <f t="shared" si="151"/>
        <v>0</v>
      </c>
      <c r="CT19" s="433">
        <f t="shared" si="151"/>
        <v>0</v>
      </c>
      <c r="CU19" s="433">
        <f t="shared" si="151"/>
        <v>0</v>
      </c>
      <c r="CV19" s="433">
        <f t="shared" si="151"/>
        <v>0</v>
      </c>
      <c r="CW19" s="433">
        <f t="shared" si="151"/>
        <v>0</v>
      </c>
      <c r="CX19" s="433">
        <f t="shared" si="151"/>
        <v>0</v>
      </c>
      <c r="CY19" s="433">
        <f t="shared" si="151"/>
        <v>0</v>
      </c>
      <c r="CZ19" s="433">
        <f t="shared" si="151"/>
        <v>0</v>
      </c>
      <c r="DA19" s="433">
        <f t="shared" si="151"/>
        <v>0</v>
      </c>
      <c r="DB19" s="433">
        <f t="shared" si="151"/>
        <v>0</v>
      </c>
      <c r="DC19" s="433">
        <f t="shared" si="151"/>
        <v>0</v>
      </c>
      <c r="DD19" s="433">
        <f t="shared" si="151"/>
        <v>0</v>
      </c>
      <c r="DE19" s="433">
        <f t="shared" si="151"/>
        <v>0</v>
      </c>
      <c r="DF19" s="433">
        <f t="shared" si="151"/>
        <v>0</v>
      </c>
      <c r="DG19" s="433">
        <f t="shared" si="151"/>
        <v>0</v>
      </c>
      <c r="DH19" s="433">
        <f t="shared" si="151"/>
        <v>0</v>
      </c>
      <c r="DI19" s="433">
        <f t="shared" si="151"/>
        <v>0</v>
      </c>
      <c r="DJ19" s="433">
        <f t="shared" si="151"/>
        <v>0</v>
      </c>
      <c r="DK19" s="433">
        <f t="shared" si="151"/>
        <v>0</v>
      </c>
      <c r="DL19" s="433">
        <f t="shared" si="151"/>
        <v>0</v>
      </c>
      <c r="DM19" s="433">
        <f t="shared" si="151"/>
        <v>0</v>
      </c>
      <c r="DN19" s="433">
        <f t="shared" si="151"/>
        <v>0</v>
      </c>
      <c r="DO19" s="433">
        <f t="shared" si="151"/>
        <v>0</v>
      </c>
      <c r="DP19" s="433">
        <f t="shared" si="151"/>
        <v>0</v>
      </c>
      <c r="DQ19" s="433">
        <f t="shared" si="151"/>
        <v>0</v>
      </c>
      <c r="DR19" s="433">
        <f t="shared" si="151"/>
        <v>0</v>
      </c>
      <c r="DS19" s="433">
        <f t="shared" si="151"/>
        <v>0</v>
      </c>
      <c r="DT19" s="433">
        <f t="shared" si="151"/>
        <v>0</v>
      </c>
      <c r="DU19" s="433">
        <f t="shared" si="151"/>
        <v>0</v>
      </c>
      <c r="DV19" s="433">
        <f t="shared" si="151"/>
        <v>0</v>
      </c>
      <c r="DW19" s="433">
        <f t="shared" si="151"/>
        <v>0</v>
      </c>
      <c r="DX19" s="433">
        <f t="shared" si="151"/>
        <v>0</v>
      </c>
      <c r="DY19" s="433">
        <f t="shared" si="151"/>
        <v>0</v>
      </c>
      <c r="DZ19" s="433">
        <f t="shared" si="151"/>
        <v>0</v>
      </c>
      <c r="EA19" s="433">
        <f t="shared" si="151"/>
        <v>0</v>
      </c>
      <c r="EB19" s="433">
        <f t="shared" si="151"/>
        <v>0</v>
      </c>
      <c r="EC19" s="433">
        <f t="shared" si="151"/>
        <v>0</v>
      </c>
      <c r="ED19" s="433">
        <f t="shared" si="151"/>
        <v>0</v>
      </c>
      <c r="EE19" s="433">
        <f t="shared" si="151"/>
        <v>0</v>
      </c>
      <c r="EF19" s="433">
        <f t="shared" si="151"/>
        <v>0</v>
      </c>
      <c r="EG19" s="433">
        <f t="shared" si="151"/>
        <v>0</v>
      </c>
      <c r="EH19" s="433">
        <f t="shared" si="151"/>
        <v>0</v>
      </c>
      <c r="EI19" s="433">
        <f t="shared" si="151"/>
        <v>0</v>
      </c>
      <c r="EJ19" s="433">
        <f t="shared" si="151"/>
        <v>0</v>
      </c>
      <c r="EK19" s="433">
        <f t="shared" si="151"/>
        <v>0</v>
      </c>
      <c r="EL19" s="433">
        <f t="shared" si="151"/>
        <v>0</v>
      </c>
      <c r="EM19" s="433">
        <f t="shared" si="151"/>
        <v>0</v>
      </c>
      <c r="EN19" s="433">
        <f t="shared" si="151"/>
        <v>0</v>
      </c>
      <c r="EO19" s="433">
        <f t="shared" si="151"/>
        <v>0</v>
      </c>
      <c r="EP19" s="433">
        <f t="shared" ref="EP19:FB19" si="152">SUM(EP18)</f>
        <v>0</v>
      </c>
      <c r="EQ19" s="433">
        <f t="shared" si="152"/>
        <v>0</v>
      </c>
      <c r="ER19" s="433">
        <f t="shared" si="152"/>
        <v>0</v>
      </c>
      <c r="ES19" s="433">
        <f t="shared" si="152"/>
        <v>0</v>
      </c>
      <c r="ET19" s="433">
        <f t="shared" si="152"/>
        <v>0</v>
      </c>
      <c r="EU19" s="433">
        <f t="shared" si="152"/>
        <v>0</v>
      </c>
      <c r="EV19" s="433">
        <f t="shared" si="152"/>
        <v>0</v>
      </c>
      <c r="EW19" s="433">
        <f t="shared" si="152"/>
        <v>0</v>
      </c>
      <c r="EX19" s="433">
        <f t="shared" si="152"/>
        <v>0</v>
      </c>
      <c r="EY19" s="433">
        <f t="shared" si="152"/>
        <v>0</v>
      </c>
      <c r="EZ19" s="433">
        <f t="shared" si="152"/>
        <v>0</v>
      </c>
      <c r="FA19" s="433">
        <f t="shared" si="152"/>
        <v>0</v>
      </c>
      <c r="FB19" s="434">
        <f t="shared" si="152"/>
        <v>0</v>
      </c>
    </row>
    <row r="20" spans="2:158" x14ac:dyDescent="0.3">
      <c r="B20" s="442"/>
      <c r="F20" s="7" t="s">
        <v>322</v>
      </c>
      <c r="H20" s="435">
        <f>SUM(H11:H16)</f>
        <v>0</v>
      </c>
      <c r="I20" s="433">
        <f t="shared" ref="I20:BT20" si="153">SUM(I11:I16)</f>
        <v>150</v>
      </c>
      <c r="J20" s="433">
        <f t="shared" si="153"/>
        <v>740</v>
      </c>
      <c r="K20" s="433">
        <f t="shared" si="153"/>
        <v>817.5</v>
      </c>
      <c r="L20" s="433">
        <f t="shared" si="153"/>
        <v>937.5</v>
      </c>
      <c r="M20" s="433">
        <f t="shared" si="153"/>
        <v>170</v>
      </c>
      <c r="N20" s="433">
        <f t="shared" si="153"/>
        <v>0</v>
      </c>
      <c r="O20" s="433">
        <f t="shared" si="153"/>
        <v>0</v>
      </c>
      <c r="P20" s="433">
        <f t="shared" ref="P20" si="154">SUM(P11:P16)</f>
        <v>802.5</v>
      </c>
      <c r="Q20" s="433">
        <f t="shared" si="153"/>
        <v>375</v>
      </c>
      <c r="R20" s="433">
        <f t="shared" si="153"/>
        <v>0</v>
      </c>
      <c r="S20" s="433">
        <f t="shared" ref="S20" si="155">SUM(S11:S16)</f>
        <v>270</v>
      </c>
      <c r="T20" s="433">
        <f t="shared" ref="T20:V20" si="156">SUM(T11:T16)</f>
        <v>0</v>
      </c>
      <c r="U20" s="433">
        <f t="shared" si="156"/>
        <v>1042.5</v>
      </c>
      <c r="V20" s="433">
        <f t="shared" si="156"/>
        <v>450</v>
      </c>
      <c r="W20" s="433">
        <f t="shared" si="153"/>
        <v>3989.94</v>
      </c>
      <c r="X20" s="434">
        <f>SUM(X11:X16)</f>
        <v>6135</v>
      </c>
      <c r="Y20" s="433">
        <f t="shared" si="153"/>
        <v>1207.416267942584</v>
      </c>
      <c r="Z20" s="433">
        <f t="shared" si="153"/>
        <v>187.71167048054986</v>
      </c>
      <c r="AA20" s="433">
        <f t="shared" si="153"/>
        <v>1936.875</v>
      </c>
      <c r="AB20" s="433">
        <f t="shared" si="153"/>
        <v>3253.4910714285702</v>
      </c>
      <c r="AC20" s="433">
        <f t="shared" si="153"/>
        <v>5589.7142857142835</v>
      </c>
      <c r="AD20" s="433">
        <f t="shared" si="153"/>
        <v>1415.5652173913033</v>
      </c>
      <c r="AE20" s="433">
        <f t="shared" si="153"/>
        <v>5826.6499999999987</v>
      </c>
      <c r="AF20" s="433">
        <f t="shared" si="153"/>
        <v>1153.6857142857125</v>
      </c>
      <c r="AG20" s="433">
        <f t="shared" si="153"/>
        <v>4532.1720779220777</v>
      </c>
      <c r="AH20" s="433">
        <f t="shared" si="153"/>
        <v>4747.7499999999991</v>
      </c>
      <c r="AI20" s="433">
        <f t="shared" si="153"/>
        <v>8735.3552631578914</v>
      </c>
      <c r="AJ20" s="433">
        <f t="shared" si="153"/>
        <v>9134.7890979883159</v>
      </c>
      <c r="AK20" s="433">
        <f t="shared" si="153"/>
        <v>2252.2698204455414</v>
      </c>
      <c r="AL20" s="433">
        <f t="shared" si="153"/>
        <v>4774.3157894736833</v>
      </c>
      <c r="AM20" s="433">
        <f t="shared" si="153"/>
        <v>6698.3124999999973</v>
      </c>
      <c r="AN20" s="433">
        <f t="shared" si="153"/>
        <v>7624.1053571428492</v>
      </c>
      <c r="AO20" s="433">
        <f t="shared" si="153"/>
        <v>10932.944642857137</v>
      </c>
      <c r="AP20" s="433">
        <f t="shared" si="153"/>
        <v>3512.6608695652139</v>
      </c>
      <c r="AQ20" s="433">
        <f t="shared" si="153"/>
        <v>10073.171136363631</v>
      </c>
      <c r="AR20" s="433">
        <f t="shared" si="153"/>
        <v>4213.4457142857082</v>
      </c>
      <c r="AS20" s="433">
        <f t="shared" si="153"/>
        <v>8226.5142857142782</v>
      </c>
      <c r="AT20" s="433">
        <f t="shared" si="153"/>
        <v>9827.6374999999898</v>
      </c>
      <c r="AU20" s="433">
        <f t="shared" si="153"/>
        <v>14702.063157894721</v>
      </c>
      <c r="AV20" s="433">
        <f t="shared" si="153"/>
        <v>14260.494484101222</v>
      </c>
      <c r="AW20" s="433">
        <f t="shared" si="153"/>
        <v>4599.9034238822842</v>
      </c>
      <c r="AX20" s="433">
        <f t="shared" si="153"/>
        <v>8770.4894736842034</v>
      </c>
      <c r="AY20" s="433">
        <f t="shared" si="153"/>
        <v>11508.88749999999</v>
      </c>
      <c r="AZ20" s="433">
        <f t="shared" si="153"/>
        <v>14079.950499999986</v>
      </c>
      <c r="BA20" s="433">
        <f t="shared" si="153"/>
        <v>16577.193928571418</v>
      </c>
      <c r="BB20" s="433">
        <f t="shared" si="153"/>
        <v>5298.722529644263</v>
      </c>
      <c r="BC20" s="433">
        <f t="shared" si="153"/>
        <v>17439.35388636362</v>
      </c>
      <c r="BD20" s="433">
        <f t="shared" si="153"/>
        <v>8377.6811428571327</v>
      </c>
      <c r="BE20" s="433">
        <f t="shared" si="153"/>
        <v>13205.887272727257</v>
      </c>
      <c r="BF20" s="433">
        <f t="shared" si="153"/>
        <v>17461.414791666648</v>
      </c>
      <c r="BG20" s="433">
        <f t="shared" si="153"/>
        <v>22019.327105263139</v>
      </c>
      <c r="BH20" s="433">
        <f t="shared" si="153"/>
        <v>24016.926086956504</v>
      </c>
      <c r="BI20" s="433">
        <f t="shared" si="153"/>
        <v>7689.5355904546268</v>
      </c>
      <c r="BJ20" s="433">
        <f t="shared" si="153"/>
        <v>12865.378535469099</v>
      </c>
      <c r="BK20" s="433">
        <f t="shared" si="153"/>
        <v>20529.252499999984</v>
      </c>
      <c r="BL20" s="433">
        <f t="shared" si="153"/>
        <v>20770.826857142842</v>
      </c>
      <c r="BM20" s="433">
        <f t="shared" si="153"/>
        <v>24015.626841269819</v>
      </c>
      <c r="BN20" s="433">
        <f t="shared" si="153"/>
        <v>8994.8335810276567</v>
      </c>
      <c r="BO20" s="433">
        <f t="shared" si="153"/>
        <v>25806.424986363614</v>
      </c>
      <c r="BP20" s="433">
        <f t="shared" si="153"/>
        <v>13079.264799999975</v>
      </c>
      <c r="BQ20" s="433">
        <f t="shared" si="153"/>
        <v>21981.967999999961</v>
      </c>
      <c r="BR20" s="433">
        <f t="shared" si="153"/>
        <v>26598.532791666628</v>
      </c>
      <c r="BS20" s="433">
        <f t="shared" si="153"/>
        <v>31056.630717703309</v>
      </c>
      <c r="BT20" s="433">
        <f t="shared" si="153"/>
        <v>37702.010746268606</v>
      </c>
      <c r="BU20" s="433">
        <f t="shared" ref="BU20:EF20" si="157">SUM(BU11:BU16)</f>
        <v>12985.897246934526</v>
      </c>
      <c r="BV20" s="433">
        <f t="shared" si="157"/>
        <v>20064.150086956499</v>
      </c>
      <c r="BW20" s="433">
        <f t="shared" si="157"/>
        <v>30884.703499999967</v>
      </c>
      <c r="BX20" s="433">
        <f t="shared" si="157"/>
        <v>31417.327242857111</v>
      </c>
      <c r="BY20" s="433">
        <f t="shared" si="157"/>
        <v>35319.663199999952</v>
      </c>
      <c r="BZ20" s="433">
        <f t="shared" si="157"/>
        <v>14439.524034782591</v>
      </c>
      <c r="CA20" s="433">
        <f t="shared" si="157"/>
        <v>37595.98929909087</v>
      </c>
      <c r="CB20" s="433">
        <f t="shared" si="157"/>
        <v>19549.97211428568</v>
      </c>
      <c r="CC20" s="433">
        <f t="shared" si="157"/>
        <v>35084.914527272675</v>
      </c>
      <c r="CD20" s="433">
        <f t="shared" si="157"/>
        <v>37768.972716666627</v>
      </c>
      <c r="CE20" s="433">
        <f t="shared" si="157"/>
        <v>48551.640695693728</v>
      </c>
      <c r="CF20" s="433">
        <f t="shared" si="157"/>
        <v>55440.408328358164</v>
      </c>
      <c r="CG20" s="433">
        <f t="shared" si="157"/>
        <v>19367.495830730037</v>
      </c>
      <c r="CH20" s="433">
        <f t="shared" si="157"/>
        <v>32036.382751487377</v>
      </c>
      <c r="CI20" s="433">
        <f t="shared" si="157"/>
        <v>0</v>
      </c>
      <c r="CJ20" s="433">
        <f t="shared" si="157"/>
        <v>0</v>
      </c>
      <c r="CK20" s="433">
        <f t="shared" si="157"/>
        <v>0</v>
      </c>
      <c r="CL20" s="433">
        <f t="shared" si="157"/>
        <v>0</v>
      </c>
      <c r="CM20" s="433">
        <f t="shared" si="157"/>
        <v>0</v>
      </c>
      <c r="CN20" s="433">
        <f t="shared" si="157"/>
        <v>0</v>
      </c>
      <c r="CO20" s="433">
        <f t="shared" si="157"/>
        <v>0</v>
      </c>
      <c r="CP20" s="433">
        <f t="shared" si="157"/>
        <v>0</v>
      </c>
      <c r="CQ20" s="433">
        <f t="shared" si="157"/>
        <v>0</v>
      </c>
      <c r="CR20" s="433">
        <f t="shared" si="157"/>
        <v>0</v>
      </c>
      <c r="CS20" s="433">
        <f t="shared" si="157"/>
        <v>0</v>
      </c>
      <c r="CT20" s="433">
        <f t="shared" si="157"/>
        <v>0</v>
      </c>
      <c r="CU20" s="433">
        <f t="shared" si="157"/>
        <v>0</v>
      </c>
      <c r="CV20" s="433">
        <f t="shared" si="157"/>
        <v>0</v>
      </c>
      <c r="CW20" s="433">
        <f t="shared" si="157"/>
        <v>0</v>
      </c>
      <c r="CX20" s="433">
        <f t="shared" si="157"/>
        <v>0</v>
      </c>
      <c r="CY20" s="433">
        <f t="shared" si="157"/>
        <v>0</v>
      </c>
      <c r="CZ20" s="433">
        <f t="shared" si="157"/>
        <v>0</v>
      </c>
      <c r="DA20" s="433">
        <f t="shared" si="157"/>
        <v>0</v>
      </c>
      <c r="DB20" s="433">
        <f t="shared" si="157"/>
        <v>0</v>
      </c>
      <c r="DC20" s="433">
        <f t="shared" si="157"/>
        <v>0</v>
      </c>
      <c r="DD20" s="433">
        <f t="shared" si="157"/>
        <v>0</v>
      </c>
      <c r="DE20" s="433">
        <f t="shared" si="157"/>
        <v>0</v>
      </c>
      <c r="DF20" s="433">
        <f t="shared" si="157"/>
        <v>0</v>
      </c>
      <c r="DG20" s="433">
        <f t="shared" si="157"/>
        <v>0</v>
      </c>
      <c r="DH20" s="433">
        <f t="shared" si="157"/>
        <v>0</v>
      </c>
      <c r="DI20" s="433">
        <f t="shared" si="157"/>
        <v>0</v>
      </c>
      <c r="DJ20" s="433">
        <f t="shared" si="157"/>
        <v>0</v>
      </c>
      <c r="DK20" s="433">
        <f t="shared" si="157"/>
        <v>0</v>
      </c>
      <c r="DL20" s="433">
        <f t="shared" si="157"/>
        <v>0</v>
      </c>
      <c r="DM20" s="433">
        <f t="shared" si="157"/>
        <v>0</v>
      </c>
      <c r="DN20" s="433">
        <f t="shared" si="157"/>
        <v>0</v>
      </c>
      <c r="DO20" s="433">
        <f t="shared" si="157"/>
        <v>0</v>
      </c>
      <c r="DP20" s="433">
        <f t="shared" si="157"/>
        <v>0</v>
      </c>
      <c r="DQ20" s="433">
        <f t="shared" si="157"/>
        <v>0</v>
      </c>
      <c r="DR20" s="433">
        <f t="shared" si="157"/>
        <v>0</v>
      </c>
      <c r="DS20" s="433">
        <f t="shared" si="157"/>
        <v>0</v>
      </c>
      <c r="DT20" s="433">
        <f t="shared" si="157"/>
        <v>0</v>
      </c>
      <c r="DU20" s="433">
        <f t="shared" si="157"/>
        <v>0</v>
      </c>
      <c r="DV20" s="433">
        <f t="shared" si="157"/>
        <v>0</v>
      </c>
      <c r="DW20" s="433">
        <f t="shared" si="157"/>
        <v>0</v>
      </c>
      <c r="DX20" s="433">
        <f t="shared" si="157"/>
        <v>0</v>
      </c>
      <c r="DY20" s="433">
        <f t="shared" si="157"/>
        <v>0</v>
      </c>
      <c r="DZ20" s="433">
        <f t="shared" si="157"/>
        <v>0</v>
      </c>
      <c r="EA20" s="433">
        <f t="shared" si="157"/>
        <v>0</v>
      </c>
      <c r="EB20" s="433">
        <f t="shared" si="157"/>
        <v>0</v>
      </c>
      <c r="EC20" s="433">
        <f t="shared" si="157"/>
        <v>0</v>
      </c>
      <c r="ED20" s="433">
        <f t="shared" si="157"/>
        <v>0</v>
      </c>
      <c r="EE20" s="433">
        <f t="shared" si="157"/>
        <v>0</v>
      </c>
      <c r="EF20" s="433">
        <f t="shared" si="157"/>
        <v>0</v>
      </c>
      <c r="EG20" s="433">
        <f t="shared" ref="EG20:FB20" si="158">SUM(EG11:EG16)</f>
        <v>0</v>
      </c>
      <c r="EH20" s="433">
        <f t="shared" si="158"/>
        <v>0</v>
      </c>
      <c r="EI20" s="433">
        <f t="shared" si="158"/>
        <v>0</v>
      </c>
      <c r="EJ20" s="433">
        <f t="shared" si="158"/>
        <v>0</v>
      </c>
      <c r="EK20" s="433">
        <f t="shared" si="158"/>
        <v>0</v>
      </c>
      <c r="EL20" s="433">
        <f t="shared" si="158"/>
        <v>0</v>
      </c>
      <c r="EM20" s="433">
        <f t="shared" si="158"/>
        <v>0</v>
      </c>
      <c r="EN20" s="433">
        <f t="shared" si="158"/>
        <v>0</v>
      </c>
      <c r="EO20" s="433">
        <f t="shared" si="158"/>
        <v>0</v>
      </c>
      <c r="EP20" s="433">
        <f t="shared" si="158"/>
        <v>0</v>
      </c>
      <c r="EQ20" s="433">
        <f t="shared" si="158"/>
        <v>0</v>
      </c>
      <c r="ER20" s="433">
        <f t="shared" si="158"/>
        <v>0</v>
      </c>
      <c r="ES20" s="433">
        <f t="shared" si="158"/>
        <v>0</v>
      </c>
      <c r="ET20" s="433">
        <f t="shared" si="158"/>
        <v>0</v>
      </c>
      <c r="EU20" s="433">
        <f t="shared" si="158"/>
        <v>0</v>
      </c>
      <c r="EV20" s="433">
        <f t="shared" si="158"/>
        <v>0</v>
      </c>
      <c r="EW20" s="433">
        <f t="shared" si="158"/>
        <v>0</v>
      </c>
      <c r="EX20" s="433">
        <f t="shared" si="158"/>
        <v>0</v>
      </c>
      <c r="EY20" s="433">
        <f t="shared" si="158"/>
        <v>0</v>
      </c>
      <c r="EZ20" s="433">
        <f t="shared" si="158"/>
        <v>0</v>
      </c>
      <c r="FA20" s="433">
        <f t="shared" si="158"/>
        <v>0</v>
      </c>
      <c r="FB20" s="434">
        <f t="shared" si="158"/>
        <v>0</v>
      </c>
    </row>
    <row r="21" spans="2:158" ht="15" thickBot="1" x14ac:dyDescent="0.35">
      <c r="B21" s="443"/>
      <c r="C21" s="166"/>
      <c r="D21" s="166"/>
      <c r="E21" s="166"/>
      <c r="F21" s="444" t="s">
        <v>306</v>
      </c>
      <c r="G21" s="166"/>
      <c r="H21" s="436">
        <f>+H8+H20</f>
        <v>0</v>
      </c>
      <c r="I21" s="437">
        <f>+I8+I20</f>
        <v>600</v>
      </c>
      <c r="J21" s="437">
        <f t="shared" ref="J21:BU21" si="159">+J8+J20</f>
        <v>890</v>
      </c>
      <c r="K21" s="437">
        <f t="shared" si="159"/>
        <v>817.5</v>
      </c>
      <c r="L21" s="437">
        <f t="shared" si="159"/>
        <v>937.5</v>
      </c>
      <c r="M21" s="437">
        <f t="shared" si="159"/>
        <v>170</v>
      </c>
      <c r="N21" s="437">
        <f t="shared" si="159"/>
        <v>0</v>
      </c>
      <c r="O21" s="437">
        <f t="shared" si="159"/>
        <v>0</v>
      </c>
      <c r="P21" s="437">
        <f t="shared" ref="P21" si="160">+P8+P20</f>
        <v>802.5</v>
      </c>
      <c r="Q21" s="437">
        <f t="shared" si="159"/>
        <v>375</v>
      </c>
      <c r="R21" s="437">
        <f t="shared" si="159"/>
        <v>0</v>
      </c>
      <c r="S21" s="437">
        <f t="shared" ref="S21" si="161">+S8+S20</f>
        <v>270</v>
      </c>
      <c r="T21" s="437">
        <f t="shared" ref="T21:V21" si="162">+T8+T20</f>
        <v>0</v>
      </c>
      <c r="U21" s="437">
        <f t="shared" si="162"/>
        <v>1582.5</v>
      </c>
      <c r="V21" s="437">
        <f t="shared" si="162"/>
        <v>684</v>
      </c>
      <c r="W21" s="437">
        <f t="shared" si="159"/>
        <v>4076.7400000000002</v>
      </c>
      <c r="X21" s="438">
        <f>+X8+X20</f>
        <v>6255</v>
      </c>
      <c r="Y21" s="437">
        <f t="shared" si="159"/>
        <v>1207.416267942584</v>
      </c>
      <c r="Z21" s="437">
        <f t="shared" si="159"/>
        <v>187.71167048054986</v>
      </c>
      <c r="AA21" s="437">
        <f t="shared" si="159"/>
        <v>1936.875</v>
      </c>
      <c r="AB21" s="437">
        <f t="shared" si="159"/>
        <v>3253.4910714285702</v>
      </c>
      <c r="AC21" s="437">
        <f t="shared" si="159"/>
        <v>5589.7142857142835</v>
      </c>
      <c r="AD21" s="437">
        <f t="shared" si="159"/>
        <v>1415.5652173913033</v>
      </c>
      <c r="AE21" s="437">
        <f t="shared" si="159"/>
        <v>5826.6499999999987</v>
      </c>
      <c r="AF21" s="437">
        <f t="shared" si="159"/>
        <v>1153.6857142857125</v>
      </c>
      <c r="AG21" s="437">
        <f t="shared" si="159"/>
        <v>4532.1720779220777</v>
      </c>
      <c r="AH21" s="437">
        <f t="shared" si="159"/>
        <v>4747.7499999999991</v>
      </c>
      <c r="AI21" s="437">
        <f t="shared" si="159"/>
        <v>8735.3552631578914</v>
      </c>
      <c r="AJ21" s="437">
        <f t="shared" si="159"/>
        <v>9134.7890979883159</v>
      </c>
      <c r="AK21" s="437">
        <f t="shared" si="159"/>
        <v>2252.2698204455414</v>
      </c>
      <c r="AL21" s="437">
        <f t="shared" si="159"/>
        <v>4774.3157894736833</v>
      </c>
      <c r="AM21" s="437">
        <f t="shared" si="159"/>
        <v>6698.3124999999973</v>
      </c>
      <c r="AN21" s="437">
        <f t="shared" si="159"/>
        <v>7624.1053571428492</v>
      </c>
      <c r="AO21" s="437">
        <f t="shared" si="159"/>
        <v>10932.944642857137</v>
      </c>
      <c r="AP21" s="437">
        <f t="shared" si="159"/>
        <v>3512.6608695652139</v>
      </c>
      <c r="AQ21" s="437">
        <f t="shared" si="159"/>
        <v>10073.171136363631</v>
      </c>
      <c r="AR21" s="437">
        <f t="shared" si="159"/>
        <v>4213.4457142857082</v>
      </c>
      <c r="AS21" s="437">
        <f t="shared" si="159"/>
        <v>8226.5142857142782</v>
      </c>
      <c r="AT21" s="437">
        <f t="shared" si="159"/>
        <v>9827.6374999999898</v>
      </c>
      <c r="AU21" s="437">
        <f t="shared" si="159"/>
        <v>14702.063157894721</v>
      </c>
      <c r="AV21" s="437">
        <f t="shared" si="159"/>
        <v>14260.494484101222</v>
      </c>
      <c r="AW21" s="437">
        <f t="shared" si="159"/>
        <v>4599.9034238822842</v>
      </c>
      <c r="AX21" s="437">
        <f t="shared" si="159"/>
        <v>8770.4894736842034</v>
      </c>
      <c r="AY21" s="437">
        <f t="shared" si="159"/>
        <v>11508.88749999999</v>
      </c>
      <c r="AZ21" s="437">
        <f t="shared" si="159"/>
        <v>14079.950499999986</v>
      </c>
      <c r="BA21" s="437">
        <f t="shared" si="159"/>
        <v>16577.193928571418</v>
      </c>
      <c r="BB21" s="437">
        <f t="shared" si="159"/>
        <v>5298.722529644263</v>
      </c>
      <c r="BC21" s="437">
        <f t="shared" si="159"/>
        <v>17439.35388636362</v>
      </c>
      <c r="BD21" s="437">
        <f t="shared" si="159"/>
        <v>8377.6811428571327</v>
      </c>
      <c r="BE21" s="437">
        <f t="shared" si="159"/>
        <v>13205.887272727257</v>
      </c>
      <c r="BF21" s="437">
        <f t="shared" si="159"/>
        <v>17461.414791666648</v>
      </c>
      <c r="BG21" s="437">
        <f t="shared" si="159"/>
        <v>22019.327105263139</v>
      </c>
      <c r="BH21" s="437">
        <f t="shared" si="159"/>
        <v>24016.926086956504</v>
      </c>
      <c r="BI21" s="437">
        <f t="shared" si="159"/>
        <v>7689.5355904546268</v>
      </c>
      <c r="BJ21" s="437">
        <f t="shared" si="159"/>
        <v>12865.378535469099</v>
      </c>
      <c r="BK21" s="437">
        <f t="shared" si="159"/>
        <v>20529.252499999984</v>
      </c>
      <c r="BL21" s="437">
        <f t="shared" si="159"/>
        <v>20770.826857142842</v>
      </c>
      <c r="BM21" s="437">
        <f t="shared" si="159"/>
        <v>24015.626841269819</v>
      </c>
      <c r="BN21" s="437">
        <f t="shared" si="159"/>
        <v>8994.8335810276567</v>
      </c>
      <c r="BO21" s="437">
        <f t="shared" si="159"/>
        <v>25806.424986363614</v>
      </c>
      <c r="BP21" s="437">
        <f t="shared" si="159"/>
        <v>13079.264799999975</v>
      </c>
      <c r="BQ21" s="437">
        <f t="shared" si="159"/>
        <v>21981.967999999961</v>
      </c>
      <c r="BR21" s="437">
        <f t="shared" si="159"/>
        <v>26598.532791666628</v>
      </c>
      <c r="BS21" s="437">
        <f t="shared" si="159"/>
        <v>31056.630717703309</v>
      </c>
      <c r="BT21" s="437">
        <f t="shared" si="159"/>
        <v>37702.010746268606</v>
      </c>
      <c r="BU21" s="437">
        <f t="shared" si="159"/>
        <v>12985.897246934526</v>
      </c>
      <c r="BV21" s="437">
        <f t="shared" ref="BV21:EG21" si="163">+BV8+BV20</f>
        <v>20064.150086956499</v>
      </c>
      <c r="BW21" s="437">
        <f t="shared" si="163"/>
        <v>30884.703499999967</v>
      </c>
      <c r="BX21" s="437">
        <f t="shared" si="163"/>
        <v>31417.327242857111</v>
      </c>
      <c r="BY21" s="437">
        <f t="shared" si="163"/>
        <v>35319.663199999952</v>
      </c>
      <c r="BZ21" s="437">
        <f t="shared" si="163"/>
        <v>14439.524034782591</v>
      </c>
      <c r="CA21" s="437">
        <f t="shared" si="163"/>
        <v>37595.98929909087</v>
      </c>
      <c r="CB21" s="437">
        <f t="shared" si="163"/>
        <v>19549.97211428568</v>
      </c>
      <c r="CC21" s="437">
        <f t="shared" si="163"/>
        <v>35084.914527272675</v>
      </c>
      <c r="CD21" s="437">
        <f t="shared" si="163"/>
        <v>37768.972716666627</v>
      </c>
      <c r="CE21" s="437">
        <f t="shared" si="163"/>
        <v>48551.640695693728</v>
      </c>
      <c r="CF21" s="437">
        <f t="shared" si="163"/>
        <v>55440.408328358164</v>
      </c>
      <c r="CG21" s="437">
        <f t="shared" si="163"/>
        <v>19367.495830730037</v>
      </c>
      <c r="CH21" s="437">
        <f t="shared" si="163"/>
        <v>32036.382751487377</v>
      </c>
      <c r="CI21" s="437">
        <f t="shared" si="163"/>
        <v>0</v>
      </c>
      <c r="CJ21" s="437">
        <f t="shared" si="163"/>
        <v>0</v>
      </c>
      <c r="CK21" s="437">
        <f t="shared" si="163"/>
        <v>0</v>
      </c>
      <c r="CL21" s="437">
        <f t="shared" si="163"/>
        <v>0</v>
      </c>
      <c r="CM21" s="437">
        <f t="shared" si="163"/>
        <v>0</v>
      </c>
      <c r="CN21" s="437">
        <f t="shared" si="163"/>
        <v>0</v>
      </c>
      <c r="CO21" s="437">
        <f t="shared" si="163"/>
        <v>0</v>
      </c>
      <c r="CP21" s="437">
        <f t="shared" si="163"/>
        <v>0</v>
      </c>
      <c r="CQ21" s="437">
        <f t="shared" si="163"/>
        <v>0</v>
      </c>
      <c r="CR21" s="437">
        <f t="shared" si="163"/>
        <v>0</v>
      </c>
      <c r="CS21" s="437">
        <f t="shared" si="163"/>
        <v>0</v>
      </c>
      <c r="CT21" s="437">
        <f t="shared" si="163"/>
        <v>0</v>
      </c>
      <c r="CU21" s="437">
        <f t="shared" si="163"/>
        <v>0</v>
      </c>
      <c r="CV21" s="437">
        <f t="shared" si="163"/>
        <v>0</v>
      </c>
      <c r="CW21" s="437">
        <f t="shared" si="163"/>
        <v>0</v>
      </c>
      <c r="CX21" s="437">
        <f t="shared" si="163"/>
        <v>0</v>
      </c>
      <c r="CY21" s="437">
        <f t="shared" si="163"/>
        <v>0</v>
      </c>
      <c r="CZ21" s="437">
        <f t="shared" si="163"/>
        <v>0</v>
      </c>
      <c r="DA21" s="437">
        <f t="shared" si="163"/>
        <v>0</v>
      </c>
      <c r="DB21" s="437">
        <f t="shared" si="163"/>
        <v>0</v>
      </c>
      <c r="DC21" s="437">
        <f t="shared" si="163"/>
        <v>0</v>
      </c>
      <c r="DD21" s="437">
        <f t="shared" si="163"/>
        <v>0</v>
      </c>
      <c r="DE21" s="437">
        <f t="shared" si="163"/>
        <v>0</v>
      </c>
      <c r="DF21" s="437">
        <f t="shared" si="163"/>
        <v>0</v>
      </c>
      <c r="DG21" s="437">
        <f t="shared" si="163"/>
        <v>0</v>
      </c>
      <c r="DH21" s="437">
        <f t="shared" si="163"/>
        <v>0</v>
      </c>
      <c r="DI21" s="437">
        <f t="shared" si="163"/>
        <v>0</v>
      </c>
      <c r="DJ21" s="437">
        <f t="shared" si="163"/>
        <v>0</v>
      </c>
      <c r="DK21" s="437">
        <f t="shared" si="163"/>
        <v>0</v>
      </c>
      <c r="DL21" s="437">
        <f t="shared" si="163"/>
        <v>0</v>
      </c>
      <c r="DM21" s="437">
        <f t="shared" si="163"/>
        <v>0</v>
      </c>
      <c r="DN21" s="437">
        <f t="shared" si="163"/>
        <v>0</v>
      </c>
      <c r="DO21" s="437">
        <f t="shared" si="163"/>
        <v>0</v>
      </c>
      <c r="DP21" s="437">
        <f t="shared" si="163"/>
        <v>0</v>
      </c>
      <c r="DQ21" s="437">
        <f t="shared" si="163"/>
        <v>0</v>
      </c>
      <c r="DR21" s="437">
        <f t="shared" si="163"/>
        <v>0</v>
      </c>
      <c r="DS21" s="437">
        <f t="shared" si="163"/>
        <v>0</v>
      </c>
      <c r="DT21" s="437">
        <f t="shared" si="163"/>
        <v>0</v>
      </c>
      <c r="DU21" s="437">
        <f t="shared" si="163"/>
        <v>0</v>
      </c>
      <c r="DV21" s="437">
        <f t="shared" si="163"/>
        <v>0</v>
      </c>
      <c r="DW21" s="437">
        <f t="shared" si="163"/>
        <v>0</v>
      </c>
      <c r="DX21" s="437">
        <f t="shared" si="163"/>
        <v>0</v>
      </c>
      <c r="DY21" s="437">
        <f t="shared" si="163"/>
        <v>0</v>
      </c>
      <c r="DZ21" s="437">
        <f t="shared" si="163"/>
        <v>0</v>
      </c>
      <c r="EA21" s="437">
        <f t="shared" si="163"/>
        <v>0</v>
      </c>
      <c r="EB21" s="437">
        <f t="shared" si="163"/>
        <v>0</v>
      </c>
      <c r="EC21" s="437">
        <f t="shared" si="163"/>
        <v>0</v>
      </c>
      <c r="ED21" s="437">
        <f t="shared" si="163"/>
        <v>0</v>
      </c>
      <c r="EE21" s="437">
        <f t="shared" si="163"/>
        <v>0</v>
      </c>
      <c r="EF21" s="437">
        <f t="shared" si="163"/>
        <v>0</v>
      </c>
      <c r="EG21" s="437">
        <f t="shared" si="163"/>
        <v>0</v>
      </c>
      <c r="EH21" s="437">
        <f t="shared" ref="EH21:FB21" si="164">+EH8+EH20</f>
        <v>0</v>
      </c>
      <c r="EI21" s="437">
        <f t="shared" si="164"/>
        <v>0</v>
      </c>
      <c r="EJ21" s="437">
        <f t="shared" si="164"/>
        <v>0</v>
      </c>
      <c r="EK21" s="437">
        <f t="shared" si="164"/>
        <v>0</v>
      </c>
      <c r="EL21" s="437">
        <f t="shared" si="164"/>
        <v>0</v>
      </c>
      <c r="EM21" s="437">
        <f t="shared" si="164"/>
        <v>0</v>
      </c>
      <c r="EN21" s="437">
        <f t="shared" si="164"/>
        <v>0</v>
      </c>
      <c r="EO21" s="437">
        <f t="shared" si="164"/>
        <v>0</v>
      </c>
      <c r="EP21" s="437">
        <f t="shared" si="164"/>
        <v>0</v>
      </c>
      <c r="EQ21" s="437">
        <f t="shared" si="164"/>
        <v>0</v>
      </c>
      <c r="ER21" s="437">
        <f t="shared" si="164"/>
        <v>0</v>
      </c>
      <c r="ES21" s="437">
        <f t="shared" si="164"/>
        <v>0</v>
      </c>
      <c r="ET21" s="437">
        <f t="shared" si="164"/>
        <v>0</v>
      </c>
      <c r="EU21" s="437">
        <f t="shared" si="164"/>
        <v>0</v>
      </c>
      <c r="EV21" s="437">
        <f t="shared" si="164"/>
        <v>0</v>
      </c>
      <c r="EW21" s="437">
        <f t="shared" si="164"/>
        <v>0</v>
      </c>
      <c r="EX21" s="437">
        <f t="shared" si="164"/>
        <v>0</v>
      </c>
      <c r="EY21" s="437">
        <f t="shared" si="164"/>
        <v>0</v>
      </c>
      <c r="EZ21" s="437">
        <f t="shared" si="164"/>
        <v>0</v>
      </c>
      <c r="FA21" s="437">
        <f t="shared" si="164"/>
        <v>0</v>
      </c>
      <c r="FB21" s="438">
        <f t="shared" si="164"/>
        <v>0</v>
      </c>
    </row>
    <row r="22" spans="2:158" ht="15" thickTop="1" x14ac:dyDescent="0.3"/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601B-6805-4A91-BD06-C6FD41EB325B}">
  <sheetPr>
    <tabColor theme="0" tint="-0.249977111117893"/>
    <pageSetUpPr fitToPage="1"/>
  </sheetPr>
  <dimension ref="B1:CL52"/>
  <sheetViews>
    <sheetView topLeftCell="B2" zoomScaleNormal="100" workbookViewId="0">
      <selection activeCell="CC9" sqref="CC9"/>
    </sheetView>
  </sheetViews>
  <sheetFormatPr defaultColWidth="8.6640625" defaultRowHeight="14.4" outlineLevelCol="1" x14ac:dyDescent="0.3"/>
  <cols>
    <col min="2" max="2" width="17" style="262" bestFit="1" customWidth="1"/>
    <col min="3" max="3" width="24.6640625" style="262" bestFit="1" customWidth="1"/>
    <col min="4" max="6" width="11.109375" hidden="1" customWidth="1" outlineLevel="1"/>
    <col min="7" max="7" width="11.109375" hidden="1" customWidth="1" outlineLevel="1" collapsed="1"/>
    <col min="8" max="10" width="11.109375" hidden="1" customWidth="1" outlineLevel="1"/>
    <col min="11" max="13" width="11.109375" hidden="1" customWidth="1" outlineLevel="1" collapsed="1"/>
    <col min="14" max="14" width="12.44140625" hidden="1" customWidth="1" outlineLevel="1"/>
    <col min="15" max="16" width="12.44140625" hidden="1" customWidth="1" outlineLevel="1" collapsed="1"/>
    <col min="17" max="17" width="12.44140625" hidden="1" customWidth="1" outlineLevel="1"/>
    <col min="18" max="18" width="12.44140625" hidden="1" customWidth="1" outlineLevel="1" collapsed="1"/>
    <col min="19" max="27" width="12.44140625" hidden="1" customWidth="1" outlineLevel="1"/>
    <col min="28" max="28" width="11.109375" hidden="1" customWidth="1" outlineLevel="1"/>
    <col min="29" max="29" width="12.44140625" customWidth="1" collapsed="1"/>
    <col min="30" max="30" width="11.109375" hidden="1" customWidth="1" outlineLevel="1"/>
    <col min="31" max="32" width="11.109375" hidden="1" customWidth="1" outlineLevel="1" collapsed="1"/>
    <col min="33" max="34" width="11.109375" hidden="1" customWidth="1" outlineLevel="1"/>
    <col min="35" max="36" width="11.6640625" hidden="1" customWidth="1" outlineLevel="1"/>
    <col min="37" max="37" width="11.109375" hidden="1" customWidth="1" outlineLevel="1"/>
    <col min="38" max="41" width="11.109375" hidden="1" customWidth="1" outlineLevel="1" collapsed="1"/>
    <col min="42" max="42" width="12" hidden="1" customWidth="1" outlineLevel="1" collapsed="1"/>
    <col min="43" max="44" width="12" hidden="1" customWidth="1" outlineLevel="1"/>
    <col min="45" max="45" width="10.6640625" hidden="1" customWidth="1" outlineLevel="1" collapsed="1"/>
    <col min="46" max="48" width="12.44140625" hidden="1" customWidth="1" outlineLevel="1"/>
    <col min="49" max="49" width="12.44140625" hidden="1" customWidth="1" outlineLevel="1" collapsed="1"/>
    <col min="50" max="55" width="12.44140625" hidden="1" customWidth="1" outlineLevel="1"/>
    <col min="56" max="56" width="12.88671875" bestFit="1" customWidth="1" collapsed="1"/>
    <col min="57" max="57" width="11.6640625" hidden="1" customWidth="1" outlineLevel="1"/>
    <col min="58" max="59" width="10.44140625" hidden="1" customWidth="1" outlineLevel="1"/>
    <col min="60" max="60" width="10.44140625" hidden="1" customWidth="1" outlineLevel="1" collapsed="1"/>
    <col min="61" max="61" width="12" hidden="1" customWidth="1" outlineLevel="1" collapsed="1"/>
    <col min="62" max="62" width="10.44140625" hidden="1" customWidth="1" outlineLevel="1" collapsed="1"/>
    <col min="63" max="63" width="12" hidden="1" customWidth="1" outlineLevel="1" collapsed="1"/>
    <col min="64" max="64" width="12.6640625" hidden="1" customWidth="1" outlineLevel="1" collapsed="1"/>
    <col min="65" max="65" width="11.44140625" hidden="1" customWidth="1" outlineLevel="1"/>
    <col min="66" max="66" width="11.44140625" hidden="1" customWidth="1" outlineLevel="1" collapsed="1"/>
    <col min="67" max="67" width="11.109375" hidden="1" customWidth="1" outlineLevel="1"/>
    <col min="68" max="68" width="12.33203125" hidden="1" customWidth="1" outlineLevel="1" collapsed="1"/>
    <col min="69" max="69" width="11.6640625" hidden="1" customWidth="1" outlineLevel="1" collapsed="1"/>
    <col min="70" max="70" width="11.109375" hidden="1" customWidth="1" outlineLevel="1"/>
    <col min="71" max="71" width="12.77734375" hidden="1" customWidth="1" outlineLevel="1" collapsed="1"/>
    <col min="72" max="72" width="11.44140625" hidden="1" customWidth="1" outlineLevel="1" collapsed="1"/>
    <col min="73" max="73" width="12" hidden="1" customWidth="1" outlineLevel="1" collapsed="1"/>
    <col min="74" max="74" width="10.6640625" hidden="1" customWidth="1" outlineLevel="1"/>
    <col min="75" max="75" width="12" hidden="1" customWidth="1" outlineLevel="1"/>
    <col min="76" max="76" width="12.6640625" hidden="1" customWidth="1" outlineLevel="1"/>
    <col min="77" max="77" width="11.44140625" hidden="1" customWidth="1" outlineLevel="1"/>
    <col min="78" max="78" width="11.44140625" customWidth="1" collapsed="1"/>
    <col min="79" max="79" width="11.109375" hidden="1" customWidth="1" outlineLevel="1"/>
    <col min="80" max="80" width="10.6640625" hidden="1" customWidth="1" outlineLevel="1"/>
    <col min="81" max="81" width="21.44140625" customWidth="1" collapsed="1"/>
    <col min="82" max="82" width="20.109375" bestFit="1" customWidth="1"/>
  </cols>
  <sheetData>
    <row r="1" spans="2:82" x14ac:dyDescent="0.3">
      <c r="AP1" t="s">
        <v>163</v>
      </c>
    </row>
    <row r="13" spans="2:82" ht="15" thickBot="1" x14ac:dyDescent="0.35"/>
    <row r="14" spans="2:82" ht="16.8" thickTop="1" thickBot="1" x14ac:dyDescent="0.35">
      <c r="B14" s="758">
        <v>45961</v>
      </c>
      <c r="C14" s="759"/>
      <c r="D14" s="759"/>
      <c r="E14" s="759"/>
      <c r="F14" s="759"/>
      <c r="G14" s="759"/>
      <c r="H14" s="759"/>
      <c r="I14" s="759"/>
      <c r="J14" s="759"/>
      <c r="K14" s="759"/>
      <c r="L14" s="759"/>
      <c r="M14" s="759"/>
      <c r="N14" s="759"/>
      <c r="O14" s="759"/>
      <c r="P14" s="759"/>
      <c r="Q14" s="759"/>
      <c r="R14" s="759"/>
      <c r="S14" s="759"/>
      <c r="T14" s="759"/>
      <c r="U14" s="759"/>
      <c r="V14" s="759"/>
      <c r="W14" s="759"/>
      <c r="X14" s="759"/>
      <c r="Y14" s="759"/>
      <c r="Z14" s="759"/>
      <c r="AA14" s="759"/>
      <c r="AB14" s="759"/>
      <c r="AC14" s="759"/>
      <c r="AD14" s="759"/>
      <c r="AE14" s="759"/>
      <c r="AF14" s="759"/>
      <c r="AG14" s="759"/>
      <c r="AH14" s="759"/>
      <c r="AI14" s="759"/>
      <c r="AJ14" s="759"/>
      <c r="AK14" s="759"/>
      <c r="AL14" s="759"/>
      <c r="AM14" s="759"/>
      <c r="AN14" s="759"/>
      <c r="AO14" s="759"/>
      <c r="AP14" s="759"/>
      <c r="AQ14" s="759"/>
      <c r="AR14" s="759"/>
      <c r="AS14" s="759"/>
      <c r="AT14" s="759"/>
      <c r="AU14" s="759"/>
      <c r="AV14" s="759"/>
      <c r="AW14" s="759"/>
      <c r="AX14" s="759"/>
      <c r="AY14" s="759"/>
      <c r="AZ14" s="759"/>
      <c r="BA14" s="759"/>
      <c r="BB14" s="759"/>
      <c r="BC14" s="759"/>
      <c r="BD14" s="759"/>
      <c r="BE14" s="759"/>
      <c r="BF14" s="759"/>
      <c r="BG14" s="759"/>
      <c r="BH14" s="759"/>
      <c r="BI14" s="759"/>
      <c r="BJ14" s="759"/>
      <c r="BK14" s="759"/>
      <c r="BL14" s="759"/>
      <c r="BM14" s="759"/>
      <c r="BN14" s="759"/>
      <c r="BO14" s="759"/>
      <c r="BP14" s="759"/>
      <c r="BQ14" s="759"/>
      <c r="BR14" s="759"/>
      <c r="BS14" s="759"/>
      <c r="BT14" s="759"/>
      <c r="BU14" s="759"/>
      <c r="BV14" s="759"/>
      <c r="BW14" s="759"/>
      <c r="BX14" s="759"/>
      <c r="BY14" s="759"/>
      <c r="BZ14" s="759"/>
      <c r="CA14" s="759"/>
      <c r="CB14" s="759"/>
      <c r="CC14" s="759"/>
      <c r="CD14" s="760"/>
    </row>
    <row r="15" spans="2:82" ht="15" thickTop="1" x14ac:dyDescent="0.3">
      <c r="B15" s="268"/>
      <c r="C15" s="298"/>
      <c r="D15" s="599">
        <v>45169</v>
      </c>
      <c r="E15" s="599">
        <v>45199</v>
      </c>
      <c r="F15" s="599">
        <v>45230</v>
      </c>
      <c r="G15" s="599">
        <v>45260</v>
      </c>
      <c r="H15" s="599">
        <v>45291</v>
      </c>
      <c r="I15" s="599">
        <v>45322</v>
      </c>
      <c r="J15" s="599">
        <v>45351</v>
      </c>
      <c r="K15" s="599">
        <v>45382</v>
      </c>
      <c r="L15" s="599">
        <v>45412</v>
      </c>
      <c r="M15" s="599">
        <v>45443</v>
      </c>
      <c r="N15" s="599">
        <v>45473</v>
      </c>
      <c r="O15" s="599">
        <v>45504</v>
      </c>
      <c r="P15" s="599">
        <v>45535</v>
      </c>
      <c r="Q15" s="599">
        <v>45596</v>
      </c>
      <c r="R15" s="599">
        <v>45626</v>
      </c>
      <c r="S15" s="599">
        <v>45657</v>
      </c>
      <c r="T15" s="599">
        <v>45688</v>
      </c>
      <c r="U15" s="599">
        <v>45716</v>
      </c>
      <c r="V15" s="599">
        <v>45747</v>
      </c>
      <c r="W15" s="599">
        <v>45777</v>
      </c>
      <c r="X15" s="599">
        <v>45808</v>
      </c>
      <c r="Y15" s="599">
        <v>45838</v>
      </c>
      <c r="Z15" s="599">
        <v>45869</v>
      </c>
      <c r="AA15" s="599">
        <v>45900</v>
      </c>
      <c r="AB15" s="599">
        <v>45930</v>
      </c>
      <c r="AC15" s="261" t="s">
        <v>239</v>
      </c>
      <c r="AD15" s="284">
        <v>45169</v>
      </c>
      <c r="AE15" s="284">
        <v>45199</v>
      </c>
      <c r="AF15" s="284">
        <v>45230</v>
      </c>
      <c r="AG15" s="284">
        <v>45260</v>
      </c>
      <c r="AH15" s="284">
        <v>45291</v>
      </c>
      <c r="AI15" s="284">
        <v>45322</v>
      </c>
      <c r="AJ15" s="284">
        <v>45351</v>
      </c>
      <c r="AK15" s="284">
        <v>45382</v>
      </c>
      <c r="AL15" s="284">
        <v>45412</v>
      </c>
      <c r="AM15" s="284">
        <v>45443</v>
      </c>
      <c r="AN15" s="284">
        <v>45473</v>
      </c>
      <c r="AO15" s="284">
        <v>45504</v>
      </c>
      <c r="AP15" s="284">
        <v>45535</v>
      </c>
      <c r="AQ15" s="284">
        <v>45565</v>
      </c>
      <c r="AR15" s="284">
        <v>45596</v>
      </c>
      <c r="AS15" s="284">
        <v>45626</v>
      </c>
      <c r="AT15" s="284">
        <v>45657</v>
      </c>
      <c r="AU15" s="284">
        <v>45688</v>
      </c>
      <c r="AV15" s="284">
        <v>45716</v>
      </c>
      <c r="AW15" s="284">
        <v>45747</v>
      </c>
      <c r="AX15" s="284">
        <v>45777</v>
      </c>
      <c r="AY15" s="284">
        <v>45808</v>
      </c>
      <c r="AZ15" s="284">
        <v>45838</v>
      </c>
      <c r="BA15" s="284">
        <v>45869</v>
      </c>
      <c r="BB15" s="284">
        <v>45900</v>
      </c>
      <c r="BC15" s="284">
        <v>45930</v>
      </c>
      <c r="BD15" s="284" t="s">
        <v>225</v>
      </c>
      <c r="BE15" s="285">
        <v>45322</v>
      </c>
      <c r="BF15" s="285">
        <v>45351</v>
      </c>
      <c r="BG15" s="286">
        <v>45382</v>
      </c>
      <c r="BH15" s="284">
        <v>45412</v>
      </c>
      <c r="BI15" s="284">
        <v>45443</v>
      </c>
      <c r="BJ15" s="286">
        <v>45473</v>
      </c>
      <c r="BK15" s="284">
        <v>45504</v>
      </c>
      <c r="BL15" s="286">
        <v>45535</v>
      </c>
      <c r="BM15" s="284">
        <v>45565</v>
      </c>
      <c r="BN15" s="286">
        <v>45596</v>
      </c>
      <c r="BO15" s="271">
        <v>45626</v>
      </c>
      <c r="BP15" s="286">
        <v>45657</v>
      </c>
      <c r="BQ15" s="285">
        <v>45688</v>
      </c>
      <c r="BR15" s="286">
        <v>45716</v>
      </c>
      <c r="BS15" s="285">
        <v>45747</v>
      </c>
      <c r="BT15" s="285">
        <v>45777</v>
      </c>
      <c r="BU15" s="285">
        <v>45808</v>
      </c>
      <c r="BV15" s="285">
        <v>45838</v>
      </c>
      <c r="BW15" s="285">
        <v>45869</v>
      </c>
      <c r="BX15" s="285">
        <v>45900</v>
      </c>
      <c r="BY15" s="285">
        <v>45930</v>
      </c>
      <c r="BZ15" s="285" t="s">
        <v>274</v>
      </c>
      <c r="CA15" s="285">
        <v>45991</v>
      </c>
      <c r="CB15" s="285">
        <v>46022</v>
      </c>
      <c r="CC15" s="267" t="s">
        <v>277</v>
      </c>
      <c r="CD15" s="269" t="s">
        <v>276</v>
      </c>
    </row>
    <row r="16" spans="2:82" x14ac:dyDescent="0.3">
      <c r="B16" s="761" t="s">
        <v>7</v>
      </c>
      <c r="C16" s="762"/>
      <c r="D16" s="600">
        <v>4938</v>
      </c>
      <c r="E16" s="600">
        <v>4489.4999999999991</v>
      </c>
      <c r="F16" s="600">
        <v>5810.25</v>
      </c>
      <c r="G16" s="600">
        <v>4881.37</v>
      </c>
      <c r="H16" s="600">
        <v>8589.3700000000008</v>
      </c>
      <c r="I16" s="600">
        <v>3066.4791666666665</v>
      </c>
      <c r="J16" s="601">
        <v>3175.021359649123</v>
      </c>
      <c r="K16" s="600">
        <v>2422.279891304348</v>
      </c>
      <c r="L16" s="600">
        <v>4440.4241513582401</v>
      </c>
      <c r="M16" s="600">
        <v>6044.6787398063207</v>
      </c>
      <c r="N16" s="602">
        <v>4035.0139064671953</v>
      </c>
      <c r="O16" s="602">
        <v>6070.8647844785883</v>
      </c>
      <c r="P16" s="603">
        <v>9070.6432929860966</v>
      </c>
      <c r="Q16" s="603">
        <v>11517.551726719597</v>
      </c>
      <c r="R16" s="604">
        <v>8370.8924491751968</v>
      </c>
      <c r="S16" s="604">
        <v>5536.9285717570046</v>
      </c>
      <c r="T16" s="602">
        <v>5536.9285717570046</v>
      </c>
      <c r="U16" s="602">
        <v>5536.9285717570046</v>
      </c>
      <c r="V16" s="602">
        <v>5536.9285717570046</v>
      </c>
      <c r="W16" s="602">
        <v>6629.6135261244181</v>
      </c>
      <c r="X16" s="602">
        <v>6629.6135261244181</v>
      </c>
      <c r="Y16" s="602">
        <v>6629.6135261244181</v>
      </c>
      <c r="Z16" s="602">
        <v>10577.152050665438</v>
      </c>
      <c r="AA16" s="602">
        <v>17228.12892164422</v>
      </c>
      <c r="AB16" s="600">
        <v>17092.78954071294</v>
      </c>
      <c r="AC16" s="411">
        <v>23851.269902365319</v>
      </c>
      <c r="AD16" s="600">
        <f>+SUMIF('[1]Monthly Detail'!$4:$4, AD15,'[1]Monthly Detail'!$14:$14)</f>
        <v>7078.66</v>
      </c>
      <c r="AE16" s="600">
        <f>+SUMIF('[1]Monthly Detail'!$4:$4, AE15,'[1]Monthly Detail'!$14:$14)</f>
        <v>8756.09</v>
      </c>
      <c r="AF16" s="600">
        <f>+SUMIF('[1]Monthly Detail'!$4:$4, AF15,'[1]Monthly Detail'!$14:$14)</f>
        <v>8196.3700000000008</v>
      </c>
      <c r="AG16" s="600">
        <f>+SUMIF('[1]Monthly Detail'!$4:$4, AG15,'[1]Monthly Detail'!$14:$14)</f>
        <v>4938.12</v>
      </c>
      <c r="AH16" s="600">
        <f>+SUMIF('[1]Monthly Detail'!$4:$4, AH15,'[1]Monthly Detail'!$14:$14)</f>
        <v>2144.5</v>
      </c>
      <c r="AI16" s="600">
        <f>+SUMIF('[1]Monthly Detail'!$4:$4, AI15,'[1]Monthly Detail'!$14:$14)</f>
        <v>3002</v>
      </c>
      <c r="AJ16" s="600">
        <f>+SUMIF('[1]Monthly Detail'!$4:$4, AJ15,'[1]Monthly Detail'!$14:$14)</f>
        <v>4357.5</v>
      </c>
      <c r="AK16" s="600">
        <f>+SUMIF('[1]Monthly Detail'!$4:$4, AK15,'[1]Monthly Detail'!$14:$14)</f>
        <v>3479.5</v>
      </c>
      <c r="AL16" s="600">
        <f>+SUMIF('[1]Monthly Detail'!$4:$4, AL15,'[1]Monthly Detail'!$14:$14)</f>
        <v>4018</v>
      </c>
      <c r="AM16" s="600">
        <v>5705.08</v>
      </c>
      <c r="AN16" s="602">
        <v>4308.26</v>
      </c>
      <c r="AO16" s="602">
        <v>9060.8900000000012</v>
      </c>
      <c r="AP16" s="602">
        <v>14111.26</v>
      </c>
      <c r="AQ16" s="602"/>
      <c r="AR16" s="602"/>
      <c r="AS16" s="602">
        <v>9573.5</v>
      </c>
      <c r="AT16" s="602">
        <v>5194</v>
      </c>
      <c r="AU16" s="602">
        <v>6585.5</v>
      </c>
      <c r="AV16" s="602">
        <v>8112.12</v>
      </c>
      <c r="AW16" s="603">
        <v>7682.37</v>
      </c>
      <c r="AX16" s="603">
        <v>3756.25</v>
      </c>
      <c r="AY16" s="603">
        <v>6044.5</v>
      </c>
      <c r="AZ16" s="603">
        <v>6916</v>
      </c>
      <c r="BA16" s="603">
        <v>6916</v>
      </c>
      <c r="BB16" s="603">
        <v>6916</v>
      </c>
      <c r="BC16" s="603">
        <v>6916</v>
      </c>
      <c r="BD16" s="411">
        <f>+SUMIF('Monthly Detail'!$4:$4, $B$14,'Monthly Detail'!$14:$14)</f>
        <v>39363.130000000005</v>
      </c>
      <c r="BE16" s="603">
        <f>+'2024 AOP'!C14</f>
        <v>3066.4791666666665</v>
      </c>
      <c r="BF16" s="604">
        <f>+'2024 AOP'!D14</f>
        <v>4893.6611842105267</v>
      </c>
      <c r="BG16" s="604">
        <f>+'2024 AOP'!E14</f>
        <v>3994.133152173913</v>
      </c>
      <c r="BH16" s="602">
        <f>+'2024 AOP'!F14</f>
        <v>5964.4553571428578</v>
      </c>
      <c r="BI16" s="602">
        <f>+'2024 AOP'!G14</f>
        <v>10231.791666666668</v>
      </c>
      <c r="BJ16" s="681">
        <f>+'2024 AOP'!H14</f>
        <v>6730.371212121212</v>
      </c>
      <c r="BK16" s="604">
        <f>+'2024 AOP'!I14</f>
        <v>9868.4732142857138</v>
      </c>
      <c r="BL16" s="604">
        <f>+'2024 AOP'!J14</f>
        <v>9248.9884910485926</v>
      </c>
      <c r="BM16" s="604">
        <f>+'2024 AOP'!L14</f>
        <v>10194.697088068182</v>
      </c>
      <c r="BN16" s="604">
        <v>6042.6640625</v>
      </c>
      <c r="BO16" s="604">
        <f>+'2024 AOP'!M14</f>
        <v>6042.6640625</v>
      </c>
      <c r="BP16" s="604">
        <f>+'2024 AOP'!N14</f>
        <v>4112</v>
      </c>
      <c r="BQ16" s="604">
        <v>9543.353747161058</v>
      </c>
      <c r="BR16" s="604">
        <v>12714.963793117566</v>
      </c>
      <c r="BS16" s="604">
        <v>7487.4507121535908</v>
      </c>
      <c r="BT16" s="604">
        <v>9849.7966500428829</v>
      </c>
      <c r="BU16" s="604">
        <v>10751.931562484624</v>
      </c>
      <c r="BV16" s="604">
        <v>5819.9641619529039</v>
      </c>
      <c r="BW16" s="412">
        <v>10878.587957853946</v>
      </c>
      <c r="BX16" s="412">
        <v>15891.044139070656</v>
      </c>
      <c r="BY16" s="412">
        <v>12144.427841594141</v>
      </c>
      <c r="BZ16" s="412">
        <v>15655.285902215979</v>
      </c>
      <c r="CA16" s="412">
        <v>8813.267146899947</v>
      </c>
      <c r="CB16" s="412">
        <v>6298.8781775238203</v>
      </c>
      <c r="CC16" s="393">
        <f>+BD16-AC16</f>
        <v>15511.860097634686</v>
      </c>
      <c r="CD16" s="393">
        <f>+BD16-BZ16</f>
        <v>23707.844097784026</v>
      </c>
    </row>
    <row r="17" spans="2:82" ht="14.7" customHeight="1" x14ac:dyDescent="0.3">
      <c r="B17" s="763" t="s">
        <v>329</v>
      </c>
      <c r="C17" s="419" t="s">
        <v>66</v>
      </c>
      <c r="D17" s="605">
        <v>17</v>
      </c>
      <c r="E17" s="605">
        <v>17</v>
      </c>
      <c r="F17" s="605">
        <v>20</v>
      </c>
      <c r="G17" s="605">
        <v>18</v>
      </c>
      <c r="H17" s="605">
        <v>34</v>
      </c>
      <c r="I17" s="605">
        <v>21</v>
      </c>
      <c r="J17" s="606">
        <v>21</v>
      </c>
      <c r="K17" s="605">
        <v>21</v>
      </c>
      <c r="L17" s="605">
        <v>27</v>
      </c>
      <c r="M17" s="605">
        <v>22</v>
      </c>
      <c r="N17" s="605">
        <v>22</v>
      </c>
      <c r="O17" s="607">
        <v>19</v>
      </c>
      <c r="P17" s="608">
        <v>32</v>
      </c>
      <c r="Q17" s="608">
        <v>41</v>
      </c>
      <c r="R17" s="609">
        <v>44</v>
      </c>
      <c r="S17" s="609">
        <v>41</v>
      </c>
      <c r="T17" s="607">
        <v>41</v>
      </c>
      <c r="U17" s="607">
        <v>41</v>
      </c>
      <c r="V17" s="607">
        <v>41</v>
      </c>
      <c r="W17" s="607">
        <v>25</v>
      </c>
      <c r="X17" s="607">
        <v>25</v>
      </c>
      <c r="Y17" s="607">
        <v>25</v>
      </c>
      <c r="Z17" s="607">
        <v>24</v>
      </c>
      <c r="AA17" s="607">
        <v>36</v>
      </c>
      <c r="AB17" s="607">
        <v>50</v>
      </c>
      <c r="AC17" s="417">
        <v>55</v>
      </c>
      <c r="AD17" s="607">
        <f>+SUMIF('[1]Monthly Detail'!$4:$4, AD15,'[1]Monthly Detail'!17:17)</f>
        <v>19</v>
      </c>
      <c r="AE17" s="607">
        <f>+SUMIF('[1]Monthly Detail'!$4:$4, AE15,'[1]Monthly Detail'!17:17)</f>
        <v>29</v>
      </c>
      <c r="AF17" s="607">
        <f>+SUMIF('[1]Monthly Detail'!$4:$4, AF15,'[1]Monthly Detail'!17:17)</f>
        <v>32</v>
      </c>
      <c r="AG17" s="607">
        <f>+SUMIF('[1]Monthly Detail'!$4:$4, AG15,'[1]Monthly Detail'!17:17)</f>
        <v>32</v>
      </c>
      <c r="AH17" s="607">
        <f>+SUMIF('[1]Monthly Detail'!$4:$4, AH15,'[1]Monthly Detail'!17:17)</f>
        <v>19</v>
      </c>
      <c r="AI17" s="607">
        <f>+SUMIF('[1]Monthly Detail'!$4:$4, AI15,'[1]Monthly Detail'!17:17)</f>
        <v>16</v>
      </c>
      <c r="AJ17" s="607">
        <f>+SUMIF('[1]Monthly Detail'!$4:$4, AJ15,'[1]Monthly Detail'!17:17)</f>
        <v>15</v>
      </c>
      <c r="AK17" s="607">
        <f>+SUMIF('[1]Monthly Detail'!$4:$4, AK15,'[1]Monthly Detail'!17:17)</f>
        <v>20</v>
      </c>
      <c r="AL17" s="607">
        <f>+SUMIF('[1]Monthly Detail'!$4:$4, AL15,'[1]Monthly Detail'!17:17)</f>
        <v>17</v>
      </c>
      <c r="AM17" s="607">
        <v>22</v>
      </c>
      <c r="AN17" s="607">
        <v>16</v>
      </c>
      <c r="AO17" s="607">
        <v>30</v>
      </c>
      <c r="AP17" s="607">
        <v>38</v>
      </c>
      <c r="AQ17" s="607"/>
      <c r="AR17" s="607"/>
      <c r="AS17" s="607">
        <v>44</v>
      </c>
      <c r="AT17" s="607">
        <v>23</v>
      </c>
      <c r="AU17" s="607">
        <v>24</v>
      </c>
      <c r="AV17" s="607">
        <v>28</v>
      </c>
      <c r="AW17" s="608">
        <v>24</v>
      </c>
      <c r="AX17" s="608">
        <v>23</v>
      </c>
      <c r="AY17" s="608">
        <v>20</v>
      </c>
      <c r="AZ17" s="608">
        <v>25</v>
      </c>
      <c r="BA17" s="608">
        <v>25</v>
      </c>
      <c r="BB17" s="608">
        <v>25</v>
      </c>
      <c r="BC17" s="608">
        <v>25</v>
      </c>
      <c r="BD17" s="417">
        <f>+SUMIF('Monthly Detail'!$4:$4, $B$14,'Monthly Detail'!17:17)</f>
        <v>67</v>
      </c>
      <c r="BE17" s="682">
        <v>21</v>
      </c>
      <c r="BF17" s="683">
        <v>33</v>
      </c>
      <c r="BG17" s="683">
        <v>35</v>
      </c>
      <c r="BH17" s="605">
        <v>33</v>
      </c>
      <c r="BI17" s="605">
        <v>34</v>
      </c>
      <c r="BJ17" s="684">
        <v>34</v>
      </c>
      <c r="BK17" s="609">
        <v>31</v>
      </c>
      <c r="BL17" s="683">
        <v>32</v>
      </c>
      <c r="BM17" s="683">
        <v>43</v>
      </c>
      <c r="BN17" s="683">
        <v>38</v>
      </c>
      <c r="BO17" s="683">
        <v>38</v>
      </c>
      <c r="BP17" s="683">
        <v>38</v>
      </c>
      <c r="BQ17" s="683">
        <v>24</v>
      </c>
      <c r="BR17" s="683">
        <v>35.799999999999997</v>
      </c>
      <c r="BS17" s="683">
        <v>33.599999999999994</v>
      </c>
      <c r="BT17" s="683">
        <v>32.399999999999991</v>
      </c>
      <c r="BU17" s="683">
        <v>33.399999999999991</v>
      </c>
      <c r="BV17" s="683">
        <v>29.199999999999989</v>
      </c>
      <c r="BW17" s="223">
        <v>31.199999999999989</v>
      </c>
      <c r="BX17" s="223">
        <v>37.199999999999989</v>
      </c>
      <c r="BY17" s="223">
        <v>43.199999999999989</v>
      </c>
      <c r="BZ17" s="223">
        <v>44.999999999999986</v>
      </c>
      <c r="CA17" s="223">
        <v>43.599999999999987</v>
      </c>
      <c r="CB17" s="223">
        <v>42.199999999999989</v>
      </c>
      <c r="CC17" s="465">
        <f>+BD17-AC17</f>
        <v>12</v>
      </c>
      <c r="CD17" s="465">
        <f t="shared" ref="CD17:CD50" si="0">+BD17-BZ17</f>
        <v>22.000000000000014</v>
      </c>
    </row>
    <row r="18" spans="2:82" x14ac:dyDescent="0.3">
      <c r="B18" s="764"/>
      <c r="C18" s="420" t="s">
        <v>67</v>
      </c>
      <c r="D18" s="610">
        <v>2</v>
      </c>
      <c r="E18" s="610">
        <v>0</v>
      </c>
      <c r="F18" s="610">
        <v>2</v>
      </c>
      <c r="G18" s="610">
        <v>2</v>
      </c>
      <c r="H18" s="610">
        <v>2</v>
      </c>
      <c r="I18" s="610">
        <v>2</v>
      </c>
      <c r="J18" s="611">
        <v>2</v>
      </c>
      <c r="K18" s="610">
        <v>2</v>
      </c>
      <c r="L18" s="610">
        <v>2</v>
      </c>
      <c r="M18" s="610">
        <v>2</v>
      </c>
      <c r="N18" s="612">
        <v>0</v>
      </c>
      <c r="O18" s="612">
        <v>3</v>
      </c>
      <c r="P18" s="613">
        <v>2</v>
      </c>
      <c r="Q18" s="613">
        <v>-1</v>
      </c>
      <c r="R18" s="614">
        <v>-4</v>
      </c>
      <c r="S18" s="614">
        <v>-3</v>
      </c>
      <c r="T18" s="615">
        <v>-3</v>
      </c>
      <c r="U18" s="615">
        <v>-3</v>
      </c>
      <c r="V18" s="615">
        <v>-3</v>
      </c>
      <c r="W18" s="615">
        <v>3</v>
      </c>
      <c r="X18" s="615">
        <v>3</v>
      </c>
      <c r="Y18" s="615">
        <v>3</v>
      </c>
      <c r="Z18" s="615">
        <v>-1</v>
      </c>
      <c r="AA18" s="615">
        <v>1</v>
      </c>
      <c r="AB18" s="612">
        <v>1</v>
      </c>
      <c r="AC18" s="473">
        <v>-2</v>
      </c>
      <c r="AD18" s="612">
        <f>+SUMIF('[1]Monthly Detail'!$4:$4, AD15,'[1]Monthly Detail'!19:19)</f>
        <v>11</v>
      </c>
      <c r="AE18" s="612">
        <f>+SUMIF('[1]Monthly Detail'!$4:$4, AE15,'[1]Monthly Detail'!19:19)</f>
        <v>10</v>
      </c>
      <c r="AF18" s="612">
        <f>+SUMIF('[1]Monthly Detail'!$4:$4, AF15,'[1]Monthly Detail'!19:19)</f>
        <v>3</v>
      </c>
      <c r="AG18" s="612">
        <f>+SUMIF('[1]Monthly Detail'!$4:$4, AG15,'[1]Monthly Detail'!19:19)</f>
        <v>0</v>
      </c>
      <c r="AH18" s="612">
        <f>+SUMIF('[1]Monthly Detail'!$4:$4, AH15,'[1]Monthly Detail'!19:19)</f>
        <v>-13</v>
      </c>
      <c r="AI18" s="612">
        <f>+SUMIF('[1]Monthly Detail'!$4:$4, AI15,'[1]Monthly Detail'!19:19)</f>
        <v>-3</v>
      </c>
      <c r="AJ18" s="612">
        <f>+SUMIF('[1]Monthly Detail'!$4:$4, AJ15,'[1]Monthly Detail'!19:19)</f>
        <v>-1</v>
      </c>
      <c r="AK18" s="612">
        <f>+SUMIF('[1]Monthly Detail'!$4:$4, AK15,'[1]Monthly Detail'!19:19)</f>
        <v>5</v>
      </c>
      <c r="AL18" s="612">
        <f>+SUMIF('[1]Monthly Detail'!$4:$4, AL15,'[1]Monthly Detail'!19:19)</f>
        <v>-3</v>
      </c>
      <c r="AM18" s="615">
        <v>2</v>
      </c>
      <c r="AN18" s="612">
        <v>-6</v>
      </c>
      <c r="AO18" s="612">
        <v>6</v>
      </c>
      <c r="AP18" s="615">
        <v>8</v>
      </c>
      <c r="AQ18" s="615"/>
      <c r="AR18" s="615"/>
      <c r="AS18" s="613">
        <v>-4</v>
      </c>
      <c r="AT18" s="613">
        <v>-21</v>
      </c>
      <c r="AU18" s="615">
        <v>1</v>
      </c>
      <c r="AV18" s="615">
        <v>4</v>
      </c>
      <c r="AW18" s="613">
        <v>-4</v>
      </c>
      <c r="AX18" s="613">
        <v>-1</v>
      </c>
      <c r="AY18" s="613">
        <v>-3</v>
      </c>
      <c r="AZ18" s="613">
        <v>5</v>
      </c>
      <c r="BA18" s="613">
        <v>5</v>
      </c>
      <c r="BB18" s="613">
        <v>5</v>
      </c>
      <c r="BC18" s="613">
        <v>5</v>
      </c>
      <c r="BD18" s="473">
        <f>+SUMIF('Monthly Detail'!$4:$4, $B$14,'Monthly Detail'!19:19)</f>
        <v>10</v>
      </c>
      <c r="BE18" s="615">
        <v>2</v>
      </c>
      <c r="BF18" s="618">
        <v>12</v>
      </c>
      <c r="BG18" s="615">
        <v>2</v>
      </c>
      <c r="BH18" s="615">
        <v>-2</v>
      </c>
      <c r="BI18" s="615">
        <v>1</v>
      </c>
      <c r="BJ18" s="685">
        <v>0</v>
      </c>
      <c r="BK18" s="686">
        <v>-3</v>
      </c>
      <c r="BL18" s="618">
        <v>1</v>
      </c>
      <c r="BM18" s="618">
        <v>11</v>
      </c>
      <c r="BN18" s="615">
        <v>0</v>
      </c>
      <c r="BO18" s="613">
        <v>0</v>
      </c>
      <c r="BP18" s="613">
        <v>0</v>
      </c>
      <c r="BQ18" s="613">
        <v>7</v>
      </c>
      <c r="BR18" s="613">
        <v>1</v>
      </c>
      <c r="BS18" s="613">
        <v>-2.2000000000000011</v>
      </c>
      <c r="BT18" s="613">
        <v>-1.2000000000000011</v>
      </c>
      <c r="BU18" s="613">
        <v>1</v>
      </c>
      <c r="BV18" s="613">
        <v>-4.2000000000000011</v>
      </c>
      <c r="BW18" s="473">
        <v>2</v>
      </c>
      <c r="BX18" s="473">
        <v>6</v>
      </c>
      <c r="BY18" s="473">
        <v>6</v>
      </c>
      <c r="BZ18" s="473">
        <v>1.7999999999999989</v>
      </c>
      <c r="CA18" s="473">
        <v>-1.4000000000000004</v>
      </c>
      <c r="CB18" s="473">
        <v>-1.4000000000000004</v>
      </c>
      <c r="CC18" s="319">
        <f>+BD18-AC18</f>
        <v>12</v>
      </c>
      <c r="CD18" s="319">
        <f t="shared" si="0"/>
        <v>8.2000000000000011</v>
      </c>
    </row>
    <row r="19" spans="2:82" x14ac:dyDescent="0.3">
      <c r="B19" s="764"/>
      <c r="C19" s="421" t="s">
        <v>327</v>
      </c>
      <c r="D19" s="616">
        <v>70</v>
      </c>
      <c r="E19" s="610">
        <v>50</v>
      </c>
      <c r="F19" s="610">
        <v>28</v>
      </c>
      <c r="G19" s="610">
        <v>28</v>
      </c>
      <c r="H19" s="610">
        <v>28</v>
      </c>
      <c r="I19" s="610">
        <v>72.666666666666671</v>
      </c>
      <c r="J19" s="611">
        <v>28</v>
      </c>
      <c r="K19" s="610">
        <v>28</v>
      </c>
      <c r="L19" s="610">
        <v>28</v>
      </c>
      <c r="M19" s="610">
        <v>59</v>
      </c>
      <c r="N19" s="610">
        <v>65.333333333333329</v>
      </c>
      <c r="O19" s="610">
        <v>60</v>
      </c>
      <c r="P19" s="617">
        <v>79.666666666666671</v>
      </c>
      <c r="Q19" s="617">
        <v>137.33333333333334</v>
      </c>
      <c r="R19" s="618">
        <v>155.66666666666666</v>
      </c>
      <c r="S19" s="618">
        <v>129.33333333333334</v>
      </c>
      <c r="T19" s="610">
        <v>129.33333333333334</v>
      </c>
      <c r="U19" s="610">
        <v>129.33333333333334</v>
      </c>
      <c r="V19" s="610">
        <v>129.33333333333334</v>
      </c>
      <c r="W19" s="610">
        <v>57.333333333333336</v>
      </c>
      <c r="X19" s="610">
        <v>57.333333333333336</v>
      </c>
      <c r="Y19" s="610">
        <v>57.333333333333336</v>
      </c>
      <c r="Z19" s="610">
        <v>50</v>
      </c>
      <c r="AA19" s="610">
        <v>77.666666666666671</v>
      </c>
      <c r="AB19" s="610">
        <v>111.66666666666667</v>
      </c>
      <c r="AC19" s="288">
        <v>174.33333333333334</v>
      </c>
      <c r="AD19" s="610">
        <f>+SUMIF('[1]Monthly Detail'!$4:$4, AD15,'[1]Monthly Detail'!22:22)</f>
        <v>70</v>
      </c>
      <c r="AE19" s="610">
        <f>+SUMIF('[1]Monthly Detail'!$4:$4, AE15,'[1]Monthly Detail'!22:22)</f>
        <v>110</v>
      </c>
      <c r="AF19" s="610">
        <f>+SUMIF('[1]Monthly Detail'!$4:$4, AF15,'[1]Monthly Detail'!22:22)</f>
        <v>114</v>
      </c>
      <c r="AG19" s="610">
        <f>+SUMIF('[1]Monthly Detail'!$4:$4, AG15,'[1]Monthly Detail'!22:22)</f>
        <v>73</v>
      </c>
      <c r="AH19" s="610">
        <f>+SUMIF('[1]Monthly Detail'!$4:$4, AH15,'[1]Monthly Detail'!22:22)</f>
        <v>31</v>
      </c>
      <c r="AI19" s="610">
        <f>+SUMIF('[1]Monthly Detail'!$4:$4, AI15,'[1]Monthly Detail'!22:22)</f>
        <v>34</v>
      </c>
      <c r="AJ19" s="610">
        <f>+SUMIF('[1]Monthly Detail'!$4:$4, AJ15,'[1]Monthly Detail'!22:22)</f>
        <v>56</v>
      </c>
      <c r="AK19" s="610">
        <f>+SUMIF('[1]Monthly Detail'!$4:$4, AK15,'[1]Monthly Detail'!22:22)</f>
        <v>36</v>
      </c>
      <c r="AL19" s="610">
        <f>+SUMIF('[1]Monthly Detail'!$4:$4, AL15,'[1]Monthly Detail'!22:22)</f>
        <v>49</v>
      </c>
      <c r="AM19" s="610">
        <v>85</v>
      </c>
      <c r="AN19" s="610">
        <v>30</v>
      </c>
      <c r="AO19" s="610">
        <v>118</v>
      </c>
      <c r="AP19" s="610">
        <v>169</v>
      </c>
      <c r="AQ19" s="610"/>
      <c r="AR19" s="610"/>
      <c r="AS19" s="610">
        <v>90</v>
      </c>
      <c r="AT19" s="610">
        <v>50</v>
      </c>
      <c r="AU19" s="610">
        <v>56</v>
      </c>
      <c r="AV19" s="610">
        <v>66</v>
      </c>
      <c r="AW19" s="617">
        <v>73</v>
      </c>
      <c r="AX19" s="617">
        <v>37</v>
      </c>
      <c r="AY19" s="617">
        <v>62</v>
      </c>
      <c r="AZ19" s="617">
        <v>51</v>
      </c>
      <c r="BA19" s="617">
        <v>51</v>
      </c>
      <c r="BB19" s="617">
        <v>51</v>
      </c>
      <c r="BC19" s="617">
        <v>51</v>
      </c>
      <c r="BD19" s="288">
        <f>+SUMIF('Monthly Detail'!$4:$4, $B$14,'Monthly Detail'!22:22)</f>
        <v>275</v>
      </c>
      <c r="BE19" s="617">
        <v>28</v>
      </c>
      <c r="BF19" s="618">
        <v>44.95772282967198</v>
      </c>
      <c r="BG19" s="618">
        <v>36.609377181381348</v>
      </c>
      <c r="BH19" s="610">
        <v>54.895556399544255</v>
      </c>
      <c r="BI19" s="610">
        <v>94.499879156164781</v>
      </c>
      <c r="BJ19" s="687">
        <v>62.003873280329451</v>
      </c>
      <c r="BK19" s="618">
        <v>91.127990884922141</v>
      </c>
      <c r="BL19" s="618">
        <v>85.378673010180634</v>
      </c>
      <c r="BM19" s="618">
        <v>115.36827605256173</v>
      </c>
      <c r="BN19" s="618">
        <v>55.621396264199156</v>
      </c>
      <c r="BO19" s="618">
        <v>55.621396264199156</v>
      </c>
      <c r="BP19" s="618">
        <v>37.703276594275458</v>
      </c>
      <c r="BQ19" s="618">
        <v>65.333333333333329</v>
      </c>
      <c r="BR19" s="618">
        <v>294.18455041417218</v>
      </c>
      <c r="BS19" s="618">
        <v>175.84395899611167</v>
      </c>
      <c r="BT19" s="618">
        <v>230.94120142224435</v>
      </c>
      <c r="BU19" s="618">
        <v>248.36790344311754</v>
      </c>
      <c r="BV19" s="618">
        <v>132.05017909744311</v>
      </c>
      <c r="BW19" s="224">
        <v>245.26427712972773</v>
      </c>
      <c r="BX19" s="224">
        <v>359.9819338667694</v>
      </c>
      <c r="BY19" s="224">
        <v>268.15975068712527</v>
      </c>
      <c r="BZ19" s="224">
        <v>344.87031636620713</v>
      </c>
      <c r="CA19" s="224">
        <v>193.66335679167068</v>
      </c>
      <c r="CB19" s="224">
        <v>147.13119383825418</v>
      </c>
      <c r="CC19" s="319">
        <f>+BD19-AC19</f>
        <v>100.66666666666666</v>
      </c>
      <c r="CD19" s="319">
        <f t="shared" si="0"/>
        <v>-69.870316366207135</v>
      </c>
    </row>
    <row r="20" spans="2:82" x14ac:dyDescent="0.3">
      <c r="B20" s="764"/>
      <c r="C20" s="422" t="s">
        <v>62</v>
      </c>
      <c r="D20" s="616">
        <v>0.2</v>
      </c>
      <c r="E20" s="616">
        <v>0.21</v>
      </c>
      <c r="F20" s="616">
        <v>0.21</v>
      </c>
      <c r="G20" s="616">
        <v>0.21</v>
      </c>
      <c r="H20" s="616">
        <v>0.21</v>
      </c>
      <c r="I20" s="616">
        <v>0.10448412698412697</v>
      </c>
      <c r="J20" s="619">
        <v>0.1118421052631579</v>
      </c>
      <c r="K20" s="616">
        <v>8.5869565217391308E-2</v>
      </c>
      <c r="L20" s="616">
        <v>0.13035714285714287</v>
      </c>
      <c r="M20" s="616">
        <v>0.21338383838383837</v>
      </c>
      <c r="N20" s="616">
        <v>0.15909090909090909</v>
      </c>
      <c r="O20" s="616">
        <v>0.19843749999999999</v>
      </c>
      <c r="P20" s="620">
        <v>0.19279176201372997</v>
      </c>
      <c r="Q20" s="620">
        <v>0.19353693181818182</v>
      </c>
      <c r="R20" s="621">
        <v>0.13125000000000001</v>
      </c>
      <c r="S20" s="621">
        <v>9.5567867036011084E-2</v>
      </c>
      <c r="T20" s="616">
        <v>9.5567867036011084E-2</v>
      </c>
      <c r="U20" s="616">
        <v>9.5567867036011084E-2</v>
      </c>
      <c r="V20" s="616">
        <v>9.5567867036011084E-2</v>
      </c>
      <c r="W20" s="616">
        <v>0.14345238095238094</v>
      </c>
      <c r="X20" s="616">
        <v>0.14345238095238094</v>
      </c>
      <c r="Y20" s="616">
        <v>0.14345238095238094</v>
      </c>
      <c r="Z20" s="616">
        <v>0.20568181818181819</v>
      </c>
      <c r="AA20" s="616">
        <v>0.26525119617224879</v>
      </c>
      <c r="AB20" s="616">
        <v>0.16241496598639454</v>
      </c>
      <c r="AC20" s="289">
        <v>0.19180253623188406</v>
      </c>
      <c r="AD20" s="616">
        <f>+SUMIF('[1]Monthly Detail'!$4:$4, AD15,'[1]Monthly Detail'!25:25)</f>
        <v>0.19279176201372997</v>
      </c>
      <c r="AE20" s="616">
        <f>+SUMIF('[1]Monthly Detail'!$4:$4, AE15,'[1]Monthly Detail'!25:25)</f>
        <v>0.22500000000000001</v>
      </c>
      <c r="AF20" s="616">
        <f>+SUMIF('[1]Monthly Detail'!$4:$4, AF15,'[1]Monthly Detail'!25:25)</f>
        <v>0.19353693181818182</v>
      </c>
      <c r="AG20" s="616">
        <f>+SUMIF('[1]Monthly Detail'!$4:$4, AG15,'[1]Monthly Detail'!25:25)</f>
        <v>0.13125000000000001</v>
      </c>
      <c r="AH20" s="616">
        <f>+SUMIF('[1]Monthly Detail'!$4:$4, AH15,'[1]Monthly Detail'!25:25)</f>
        <v>9.5567867036011084E-2</v>
      </c>
      <c r="AI20" s="616">
        <f>+SUMIF('[1]Monthly Detail'!$4:$4, AI15,'[1]Monthly Detail'!25:25)</f>
        <v>0.12784090909090909</v>
      </c>
      <c r="AJ20" s="616">
        <f>+SUMIF('[1]Monthly Detail'!$4:$4, AJ15,'[1]Monthly Detail'!25:25)</f>
        <v>0.2365079365079365</v>
      </c>
      <c r="AK20" s="616">
        <f>+SUMIF('[1]Monthly Detail'!$4:$4, AK15,'[1]Monthly Detail'!25:25)</f>
        <v>0.14345238095238094</v>
      </c>
      <c r="AL20" s="616">
        <f>+SUMIF('[1]Monthly Detail'!$4:$4, AL15,'[1]Monthly Detail'!25:25)</f>
        <v>0.18649732620320855</v>
      </c>
      <c r="AM20" s="616">
        <v>0.18626482213438733</v>
      </c>
      <c r="AN20" s="616">
        <v>0.15937499999999999</v>
      </c>
      <c r="AO20" s="616">
        <v>0.20568181818181819</v>
      </c>
      <c r="AP20" s="616">
        <v>0.26525119617224879</v>
      </c>
      <c r="AQ20" s="616"/>
      <c r="AR20" s="616"/>
      <c r="AS20" s="616">
        <v>0.14204545454545456</v>
      </c>
      <c r="AT20" s="616">
        <v>0.14359267734553777</v>
      </c>
      <c r="AU20" s="616">
        <v>0.1693840579710145</v>
      </c>
      <c r="AV20" s="616">
        <v>0.18035714285714285</v>
      </c>
      <c r="AW20" s="620">
        <v>0.19940476190476189</v>
      </c>
      <c r="AX20" s="620">
        <v>9.4367588932806321E-2</v>
      </c>
      <c r="AY20" s="620">
        <v>0.17215909090909093</v>
      </c>
      <c r="AZ20" s="620">
        <v>0.12</v>
      </c>
      <c r="BA20" s="620">
        <v>0.12</v>
      </c>
      <c r="BB20" s="620">
        <v>0.12</v>
      </c>
      <c r="BC20" s="620">
        <v>0.12</v>
      </c>
      <c r="BD20" s="289">
        <f>+SUMIF('Monthly Detail'!$4:$4, $B$14,'Monthly Detail'!25:25)</f>
        <v>0.19987021414665804</v>
      </c>
      <c r="BE20" s="620">
        <v>0.10448412698412697</v>
      </c>
      <c r="BF20" s="621">
        <v>0.1118421052631579</v>
      </c>
      <c r="BG20" s="621">
        <v>8.5869565217391308E-2</v>
      </c>
      <c r="BH20" s="616">
        <v>0.13035714285714287</v>
      </c>
      <c r="BI20" s="616">
        <v>0.20833333333333334</v>
      </c>
      <c r="BJ20" s="688">
        <v>0.1571969696969697</v>
      </c>
      <c r="BK20" s="621">
        <v>0.23035714285714287</v>
      </c>
      <c r="BL20" s="621">
        <v>0.20907928388746802</v>
      </c>
      <c r="BM20" s="621">
        <v>0.22025862068965518</v>
      </c>
      <c r="BN20" s="621">
        <v>0.1328125</v>
      </c>
      <c r="BO20" s="621">
        <v>0.1328125</v>
      </c>
      <c r="BP20" s="621">
        <v>9.0027700831024932E-2</v>
      </c>
      <c r="BQ20" s="621">
        <v>0.2365079365079365</v>
      </c>
      <c r="BR20" s="621">
        <v>0.2365079365079365</v>
      </c>
      <c r="BS20" s="621">
        <v>0.14345238095238094</v>
      </c>
      <c r="BT20" s="621">
        <v>0.18649732620320855</v>
      </c>
      <c r="BU20" s="621">
        <v>0.19456521739130433</v>
      </c>
      <c r="BV20" s="621">
        <v>0.12395833333333334</v>
      </c>
      <c r="BW20" s="225">
        <v>0.20568181818181819</v>
      </c>
      <c r="BX20" s="225">
        <v>0.26525119617224879</v>
      </c>
      <c r="BY20" s="225">
        <v>0.16241496598639454</v>
      </c>
      <c r="BZ20" s="225">
        <v>0.19180253623188406</v>
      </c>
      <c r="CA20" s="225">
        <v>0.14204545454545456</v>
      </c>
      <c r="CB20" s="225">
        <v>9.5567867036011084E-2</v>
      </c>
      <c r="CC20" s="319">
        <f>+BD20-AC20</f>
        <v>8.0676779147739741E-3</v>
      </c>
      <c r="CD20" s="319">
        <f t="shared" si="0"/>
        <v>8.0676779147739741E-3</v>
      </c>
    </row>
    <row r="21" spans="2:82" x14ac:dyDescent="0.3">
      <c r="B21" s="764"/>
      <c r="C21" s="422" t="s">
        <v>63</v>
      </c>
      <c r="D21" s="616">
        <v>78.2</v>
      </c>
      <c r="E21" s="616">
        <v>71</v>
      </c>
      <c r="F21" s="616">
        <v>92.399999999999991</v>
      </c>
      <c r="G21" s="616">
        <v>75.599999999999994</v>
      </c>
      <c r="H21" s="616">
        <v>135.66</v>
      </c>
      <c r="I21" s="616">
        <v>48.271666666666661</v>
      </c>
      <c r="J21" s="619">
        <v>49.32236842105263</v>
      </c>
      <c r="K21" s="616">
        <v>37.868478260869566</v>
      </c>
      <c r="L21" s="616">
        <v>77.432142857142864</v>
      </c>
      <c r="M21" s="616">
        <v>107.97222222222221</v>
      </c>
      <c r="N21" s="616">
        <v>70</v>
      </c>
      <c r="O21" s="616">
        <v>82.946874999999991</v>
      </c>
      <c r="P21" s="620">
        <v>135.7254004576659</v>
      </c>
      <c r="Q21" s="620">
        <v>182.50532670454547</v>
      </c>
      <c r="R21" s="621">
        <v>131.44833333333335</v>
      </c>
      <c r="S21" s="621">
        <v>74.44736842105263</v>
      </c>
      <c r="T21" s="616">
        <v>74.44736842105263</v>
      </c>
      <c r="U21" s="616">
        <v>74.44736842105263</v>
      </c>
      <c r="V21" s="616">
        <v>74.44736842105263</v>
      </c>
      <c r="W21" s="616">
        <v>87.3125</v>
      </c>
      <c r="X21" s="616">
        <v>87.3125</v>
      </c>
      <c r="Y21" s="616">
        <v>87.3125</v>
      </c>
      <c r="Z21" s="616">
        <v>120.60000000000001</v>
      </c>
      <c r="AA21" s="616">
        <v>212.52990430622009</v>
      </c>
      <c r="AB21" s="616">
        <v>190.65646258503401</v>
      </c>
      <c r="AC21" s="289">
        <v>242.63020833333334</v>
      </c>
      <c r="AD21" s="616">
        <f>+SUMIF('[1]Monthly Detail'!$4:$4, AD15,'[1]Monthly Detail'!26:26)</f>
        <v>84.25</v>
      </c>
      <c r="AE21" s="616">
        <f>+SUMIF('[1]Monthly Detail'!$4:$4, AE15,'[1]Monthly Detail'!26:26)</f>
        <v>130.5</v>
      </c>
      <c r="AF21" s="616">
        <f>+SUMIF('[1]Monthly Detail'!$4:$4, AF15,'[1]Monthly Detail'!26:26)</f>
        <v>136.25</v>
      </c>
      <c r="AG21" s="616">
        <f>+SUMIF('[1]Monthly Detail'!$4:$4, AG15,'[1]Monthly Detail'!26:26)</f>
        <v>84</v>
      </c>
      <c r="AH21" s="616">
        <f>+SUMIF('[1]Monthly Detail'!$4:$4, AH15,'[1]Monthly Detail'!26:26)</f>
        <v>34.5</v>
      </c>
      <c r="AI21" s="616">
        <f>+SUMIF('[1]Monthly Detail'!$4:$4, AI15,'[1]Monthly Detail'!26:26)</f>
        <v>45</v>
      </c>
      <c r="AJ21" s="616">
        <f>+SUMIF('[1]Monthly Detail'!$4:$4, AJ15,'[1]Monthly Detail'!26:26)</f>
        <v>74.5</v>
      </c>
      <c r="AK21" s="616">
        <f>+SUMIF('[1]Monthly Detail'!$4:$4, AK15,'[1]Monthly Detail'!26:26)</f>
        <v>60.25</v>
      </c>
      <c r="AL21" s="616">
        <f>+SUMIF('[1]Monthly Detail'!$4:$4, AL15,'[1]Monthly Detail'!26:26)</f>
        <v>69.75</v>
      </c>
      <c r="AM21" s="616">
        <v>94.25</v>
      </c>
      <c r="AN21" s="616">
        <v>51</v>
      </c>
      <c r="AO21" s="616">
        <v>135.75</v>
      </c>
      <c r="AP21" s="616">
        <v>221.75</v>
      </c>
      <c r="AQ21" s="616"/>
      <c r="AR21" s="616"/>
      <c r="AS21" s="616">
        <v>118.75</v>
      </c>
      <c r="AT21" s="616">
        <v>62.75</v>
      </c>
      <c r="AU21" s="616">
        <v>93.5</v>
      </c>
      <c r="AV21" s="616">
        <v>101</v>
      </c>
      <c r="AW21" s="620">
        <v>100.5</v>
      </c>
      <c r="AX21" s="620">
        <v>47.75</v>
      </c>
      <c r="AY21" s="620">
        <v>75.75</v>
      </c>
      <c r="AZ21" s="620">
        <v>63</v>
      </c>
      <c r="BA21" s="620">
        <v>63</v>
      </c>
      <c r="BB21" s="620">
        <v>63</v>
      </c>
      <c r="BC21" s="620">
        <v>63</v>
      </c>
      <c r="BD21" s="289">
        <f>+SUMIF('Monthly Detail'!$4:$4, $B$14,'Monthly Detail'!26:26)</f>
        <v>308</v>
      </c>
      <c r="BE21" s="620">
        <v>48.271666666666661</v>
      </c>
      <c r="BF21" s="621">
        <v>77.506578947368425</v>
      </c>
      <c r="BG21" s="621">
        <v>63.114130434782609</v>
      </c>
      <c r="BH21" s="616">
        <v>94.63928571428572</v>
      </c>
      <c r="BI21" s="616">
        <v>162.91666666666669</v>
      </c>
      <c r="BJ21" s="688">
        <v>106.89393939393939</v>
      </c>
      <c r="BK21" s="621">
        <v>157.10357142857143</v>
      </c>
      <c r="BL21" s="621">
        <v>147.19181585677748</v>
      </c>
      <c r="BM21" s="621">
        <v>198.89353448275864</v>
      </c>
      <c r="BN21" s="621">
        <v>95.890625</v>
      </c>
      <c r="BO21" s="621">
        <v>95.890625</v>
      </c>
      <c r="BP21" s="621">
        <v>65</v>
      </c>
      <c r="BQ21" s="621">
        <v>125.52380952380952</v>
      </c>
      <c r="BR21" s="621">
        <v>169.33968253968254</v>
      </c>
      <c r="BS21" s="621">
        <v>101.21999999999998</v>
      </c>
      <c r="BT21" s="621">
        <v>132.93529411764703</v>
      </c>
      <c r="BU21" s="621">
        <v>142.9665217391304</v>
      </c>
      <c r="BV21" s="621">
        <v>76.011249999999976</v>
      </c>
      <c r="BW21" s="225">
        <v>141.17999999999995</v>
      </c>
      <c r="BX21" s="225">
        <v>207.21423444976071</v>
      </c>
      <c r="BY21" s="225">
        <v>154.35918367346935</v>
      </c>
      <c r="BZ21" s="225">
        <v>198.51562499999997</v>
      </c>
      <c r="CA21" s="225">
        <v>111.47727272727271</v>
      </c>
      <c r="CB21" s="225">
        <v>84.692243767313002</v>
      </c>
      <c r="CC21" s="319">
        <f>+BD21-AC21</f>
        <v>65.369791666666657</v>
      </c>
      <c r="CD21" s="319">
        <f t="shared" si="0"/>
        <v>109.48437500000003</v>
      </c>
    </row>
    <row r="22" spans="2:82" ht="14.7" hidden="1" customHeight="1" x14ac:dyDescent="0.3">
      <c r="B22" s="764"/>
      <c r="C22" s="422" t="s">
        <v>162</v>
      </c>
      <c r="D22" s="622">
        <v>0</v>
      </c>
      <c r="E22" s="622"/>
      <c r="F22" s="622">
        <v>0</v>
      </c>
      <c r="G22" s="622">
        <v>0</v>
      </c>
      <c r="H22" s="622"/>
      <c r="I22" s="622">
        <v>0</v>
      </c>
      <c r="J22" s="623">
        <v>0</v>
      </c>
      <c r="K22" s="622">
        <v>0</v>
      </c>
      <c r="L22" s="622">
        <v>0</v>
      </c>
      <c r="M22" s="622">
        <v>0</v>
      </c>
      <c r="N22" s="622">
        <v>0</v>
      </c>
      <c r="O22" s="616">
        <v>0</v>
      </c>
      <c r="P22" s="620">
        <v>0</v>
      </c>
      <c r="Q22" s="620">
        <v>0</v>
      </c>
      <c r="R22" s="621">
        <v>0</v>
      </c>
      <c r="S22" s="621">
        <v>0</v>
      </c>
      <c r="T22" s="616">
        <v>0</v>
      </c>
      <c r="U22" s="616">
        <v>0</v>
      </c>
      <c r="V22" s="616">
        <v>0</v>
      </c>
      <c r="W22" s="616">
        <v>0</v>
      </c>
      <c r="X22" s="616">
        <v>0</v>
      </c>
      <c r="Y22" s="616">
        <v>0</v>
      </c>
      <c r="Z22" s="616">
        <v>0</v>
      </c>
      <c r="AA22" s="616">
        <v>0</v>
      </c>
      <c r="AB22" s="616">
        <v>0</v>
      </c>
      <c r="AC22" s="289">
        <v>0</v>
      </c>
      <c r="AD22" s="616">
        <f>+SUMIF('[1]Monthly Detail'!$4:$4, AD15,'[1]Monthly Detail'!27:27)</f>
        <v>0</v>
      </c>
      <c r="AE22" s="616">
        <f>+SUMIF('[1]Monthly Detail'!$4:$4, AE15,'[1]Monthly Detail'!27:27)</f>
        <v>0</v>
      </c>
      <c r="AF22" s="616">
        <f>+SUMIF('[1]Monthly Detail'!$4:$4, AF15,'[1]Monthly Detail'!27:27)</f>
        <v>0</v>
      </c>
      <c r="AG22" s="616">
        <f>+SUMIF('[1]Monthly Detail'!$4:$4, AG15,'[1]Monthly Detail'!27:27)</f>
        <v>0</v>
      </c>
      <c r="AH22" s="616">
        <f>+SUMIF('[1]Monthly Detail'!$4:$4, AH15,'[1]Monthly Detail'!27:27)</f>
        <v>0</v>
      </c>
      <c r="AI22" s="616">
        <f>+SUMIF('[1]Monthly Detail'!$4:$4, AI15,'[1]Monthly Detail'!27:27)</f>
        <v>0</v>
      </c>
      <c r="AJ22" s="616">
        <f>+SUMIF('[1]Monthly Detail'!$4:$4, AJ15,'[1]Monthly Detail'!27:27)</f>
        <v>0</v>
      </c>
      <c r="AK22" s="616">
        <f>+SUMIF('[1]Monthly Detail'!$4:$4, AK15,'[1]Monthly Detail'!27:27)</f>
        <v>0</v>
      </c>
      <c r="AL22" s="616">
        <f>+SUMIF('[1]Monthly Detail'!$4:$4, AL15,'[1]Monthly Detail'!27:27)</f>
        <v>0</v>
      </c>
      <c r="AM22" s="616">
        <v>0</v>
      </c>
      <c r="AN22" s="616">
        <v>0</v>
      </c>
      <c r="AO22" s="616">
        <v>0</v>
      </c>
      <c r="AP22" s="616">
        <v>0</v>
      </c>
      <c r="AQ22" s="616"/>
      <c r="AR22" s="616"/>
      <c r="AS22" s="616">
        <v>0</v>
      </c>
      <c r="AT22" s="616">
        <v>0</v>
      </c>
      <c r="AU22" s="616">
        <v>0</v>
      </c>
      <c r="AV22" s="616">
        <v>0</v>
      </c>
      <c r="AW22" s="620">
        <v>0</v>
      </c>
      <c r="AX22" s="620">
        <v>0</v>
      </c>
      <c r="AY22" s="620">
        <v>0</v>
      </c>
      <c r="AZ22" s="620">
        <v>0</v>
      </c>
      <c r="BA22" s="620">
        <v>0</v>
      </c>
      <c r="BB22" s="620">
        <v>0</v>
      </c>
      <c r="BC22" s="620">
        <v>0</v>
      </c>
      <c r="BD22" s="289">
        <f>+SUMIF('Monthly Detail'!$4:$4, N14,'Monthly Detail'!27:27)</f>
        <v>0</v>
      </c>
      <c r="BE22" s="629">
        <v>0</v>
      </c>
      <c r="BF22" s="630">
        <v>0</v>
      </c>
      <c r="BG22" s="630">
        <v>0</v>
      </c>
      <c r="BH22" s="622">
        <v>0</v>
      </c>
      <c r="BI22" s="622">
        <v>0</v>
      </c>
      <c r="BJ22" s="689">
        <v>0</v>
      </c>
      <c r="BK22" s="630">
        <v>0</v>
      </c>
      <c r="BL22" s="630">
        <v>0</v>
      </c>
      <c r="BM22" s="630">
        <v>0</v>
      </c>
      <c r="BN22" s="630">
        <v>0</v>
      </c>
      <c r="BO22" s="630">
        <v>0</v>
      </c>
      <c r="BP22" s="630">
        <v>0</v>
      </c>
      <c r="BQ22" s="630">
        <v>0</v>
      </c>
      <c r="BR22" s="630">
        <v>0</v>
      </c>
      <c r="BS22" s="630">
        <v>0</v>
      </c>
      <c r="BT22" s="630">
        <v>0</v>
      </c>
      <c r="BU22" s="630">
        <v>0</v>
      </c>
      <c r="BV22" s="630">
        <v>0</v>
      </c>
      <c r="BW22" s="226">
        <v>0</v>
      </c>
      <c r="BX22" s="226">
        <v>0</v>
      </c>
      <c r="BY22" s="226">
        <v>0</v>
      </c>
      <c r="BZ22" s="226">
        <v>0</v>
      </c>
      <c r="CA22" s="226">
        <v>0</v>
      </c>
      <c r="CB22" s="226">
        <v>0</v>
      </c>
      <c r="CC22" s="466">
        <f>+BD22-AC22</f>
        <v>0</v>
      </c>
      <c r="CD22" s="466">
        <f t="shared" si="0"/>
        <v>0</v>
      </c>
    </row>
    <row r="23" spans="2:82" x14ac:dyDescent="0.3">
      <c r="B23" s="764"/>
      <c r="C23" s="422" t="s">
        <v>64</v>
      </c>
      <c r="D23" s="624">
        <v>62.5</v>
      </c>
      <c r="E23" s="624">
        <v>62.5</v>
      </c>
      <c r="F23" s="624">
        <v>62.5</v>
      </c>
      <c r="G23" s="624">
        <v>62.5</v>
      </c>
      <c r="H23" s="624">
        <v>62.5</v>
      </c>
      <c r="I23" s="624">
        <v>62.5</v>
      </c>
      <c r="J23" s="625">
        <v>62.5</v>
      </c>
      <c r="K23" s="626">
        <v>62.5</v>
      </c>
      <c r="L23" s="626">
        <v>62.5</v>
      </c>
      <c r="M23" s="626">
        <v>62.5</v>
      </c>
      <c r="N23" s="626">
        <v>62.5</v>
      </c>
      <c r="O23" s="626">
        <v>73.189795088465829</v>
      </c>
      <c r="P23" s="627">
        <v>66.830845681058207</v>
      </c>
      <c r="Q23" s="627">
        <v>63.10803051444713</v>
      </c>
      <c r="R23" s="628">
        <v>63.681997610025704</v>
      </c>
      <c r="S23" s="628">
        <v>74.373731257252103</v>
      </c>
      <c r="T23" s="626">
        <v>74.373731257252103</v>
      </c>
      <c r="U23" s="626">
        <v>74.373731257252103</v>
      </c>
      <c r="V23" s="626">
        <v>74.373731257252103</v>
      </c>
      <c r="W23" s="626">
        <v>75.929718266278229</v>
      </c>
      <c r="X23" s="626">
        <v>75.929718266278229</v>
      </c>
      <c r="Y23" s="626">
        <v>75.929718266278229</v>
      </c>
      <c r="Z23" s="626">
        <v>87.70441169706001</v>
      </c>
      <c r="AA23" s="626">
        <v>81.062140303895134</v>
      </c>
      <c r="AB23" s="626">
        <v>89.652295594697961</v>
      </c>
      <c r="AC23" s="291">
        <v>98.302969223014728</v>
      </c>
      <c r="AD23" s="626">
        <f>+SUMIF('[1]Monthly Detail'!$4:$4, AD15,'[1]Monthly Detail'!33:33)</f>
        <v>67.096303317535543</v>
      </c>
      <c r="AE23" s="626">
        <f>+SUMIF('[1]Monthly Detail'!$4:$4, AE15,'[1]Monthly Detail'!33:33)</f>
        <v>67.096475095785436</v>
      </c>
      <c r="AF23" s="626">
        <f>+SUMIF('[1]Monthly Detail'!$4:$4, AF15,'[1]Monthly Detail'!33:33)</f>
        <v>60.156844036697251</v>
      </c>
      <c r="AG23" s="626">
        <f>+SUMIF('[1]Monthly Detail'!$4:$4, AG15,'[1]Monthly Detail'!33:33)</f>
        <v>58.787142857142854</v>
      </c>
      <c r="AH23" s="626">
        <f>+SUMIF('[1]Monthly Detail'!$4:$4, AH15,'[1]Monthly Detail'!33:33)</f>
        <v>62.159420289855071</v>
      </c>
      <c r="AI23" s="626">
        <f>+SUMIF('[1]Monthly Detail'!$4:$4, AI15,'[1]Monthly Detail'!33:33)</f>
        <v>66.711111111111109</v>
      </c>
      <c r="AJ23" s="626">
        <f>+SUMIF('[1]Monthly Detail'!$4:$4, AJ15,'[1]Monthly Detail'!33:33)</f>
        <v>58.489932885906043</v>
      </c>
      <c r="AK23" s="626">
        <f>+SUMIF('[1]Monthly Detail'!$4:$4, AK15,'[1]Monthly Detail'!33:33)</f>
        <v>57.751037344398341</v>
      </c>
      <c r="AL23" s="626">
        <f>+SUMIF('[1]Monthly Detail'!$4:$4, AL15,'[1]Monthly Detail'!33:33)</f>
        <v>57.605734767025091</v>
      </c>
      <c r="AM23" s="626">
        <v>60.531352785145884</v>
      </c>
      <c r="AN23" s="626">
        <v>84.475686274509812</v>
      </c>
      <c r="AO23" s="626">
        <v>66.746887661141812</v>
      </c>
      <c r="AP23" s="626">
        <v>63.635896279594135</v>
      </c>
      <c r="AQ23" s="626"/>
      <c r="AR23" s="626"/>
      <c r="AS23" s="626">
        <v>80.618947368421047</v>
      </c>
      <c r="AT23" s="626">
        <v>82.772908366533869</v>
      </c>
      <c r="AU23" s="626">
        <v>70.433155080213908</v>
      </c>
      <c r="AV23" s="626">
        <v>80.318019801980199</v>
      </c>
      <c r="AW23" s="627">
        <v>76.441492537313437</v>
      </c>
      <c r="AX23" s="627">
        <v>78.66492146596859</v>
      </c>
      <c r="AY23" s="627">
        <v>79.795379537953792</v>
      </c>
      <c r="AZ23" s="627">
        <v>109.77777777777777</v>
      </c>
      <c r="BA23" s="627">
        <v>109.77777777777777</v>
      </c>
      <c r="BB23" s="627">
        <v>109.77777777777777</v>
      </c>
      <c r="BC23" s="627">
        <v>109.77777777777777</v>
      </c>
      <c r="BD23" s="291">
        <f>+SUMIF('Monthly Detail'!$4:$4, $B$14,'Monthly Detail'!35:35)</f>
        <v>127.80237012987014</v>
      </c>
      <c r="BE23" s="627">
        <v>62.5</v>
      </c>
      <c r="BF23" s="628">
        <v>62.5</v>
      </c>
      <c r="BG23" s="628">
        <v>62.5</v>
      </c>
      <c r="BH23" s="626">
        <v>62.5</v>
      </c>
      <c r="BI23" s="626">
        <v>62.5</v>
      </c>
      <c r="BJ23" s="690">
        <v>62.5</v>
      </c>
      <c r="BK23" s="628">
        <v>62.5</v>
      </c>
      <c r="BL23" s="628">
        <v>62.5</v>
      </c>
      <c r="BM23" s="628">
        <v>62.5</v>
      </c>
      <c r="BN23" s="628">
        <v>62.5</v>
      </c>
      <c r="BO23" s="628">
        <v>62.5</v>
      </c>
      <c r="BP23" s="628">
        <v>62.5</v>
      </c>
      <c r="BQ23" s="628">
        <v>76.028235466761089</v>
      </c>
      <c r="BR23" s="628">
        <v>75.085553500656758</v>
      </c>
      <c r="BS23" s="628">
        <v>73.972048134297495</v>
      </c>
      <c r="BT23" s="628">
        <v>74.094669255599385</v>
      </c>
      <c r="BU23" s="628">
        <v>75.205939346440616</v>
      </c>
      <c r="BV23" s="628">
        <v>76.567141863249262</v>
      </c>
      <c r="BW23" s="227">
        <v>77.054738333007151</v>
      </c>
      <c r="BX23" s="227">
        <v>76.688960009277039</v>
      </c>
      <c r="BY23" s="227">
        <v>78.676419196958207</v>
      </c>
      <c r="BZ23" s="227">
        <v>78.861731423992353</v>
      </c>
      <c r="CA23" s="227">
        <v>79.05886941153878</v>
      </c>
      <c r="CB23" s="227">
        <v>74.373731257252089</v>
      </c>
      <c r="CC23" s="319">
        <f>+BD23-AC23</f>
        <v>29.499400906855413</v>
      </c>
      <c r="CD23" s="319">
        <f t="shared" si="0"/>
        <v>48.940638705877788</v>
      </c>
    </row>
    <row r="24" spans="2:82" ht="2.7" customHeight="1" x14ac:dyDescent="0.3">
      <c r="B24" s="263"/>
      <c r="C24" s="422"/>
      <c r="D24" s="622"/>
      <c r="E24" s="622"/>
      <c r="F24" s="622"/>
      <c r="G24" s="622"/>
      <c r="H24" s="622"/>
      <c r="I24" s="622"/>
      <c r="J24" s="623"/>
      <c r="K24" s="622"/>
      <c r="L24" s="622"/>
      <c r="M24" s="622"/>
      <c r="N24" s="622"/>
      <c r="O24" s="622"/>
      <c r="P24" s="629"/>
      <c r="Q24" s="629"/>
      <c r="R24" s="630"/>
      <c r="S24" s="630"/>
      <c r="T24" s="622"/>
      <c r="U24" s="622"/>
      <c r="V24" s="622"/>
      <c r="W24" s="622"/>
      <c r="X24" s="622"/>
      <c r="Y24" s="622"/>
      <c r="Z24" s="622"/>
      <c r="AA24" s="622"/>
      <c r="AB24" s="622"/>
      <c r="AC24" s="290"/>
      <c r="AD24" s="622"/>
      <c r="AE24" s="622"/>
      <c r="AF24" s="622"/>
      <c r="AG24" s="622"/>
      <c r="AH24" s="622"/>
      <c r="AI24" s="622"/>
      <c r="AJ24" s="622"/>
      <c r="AK24" s="622"/>
      <c r="AL24" s="622"/>
      <c r="AM24" s="622"/>
      <c r="AN24" s="622"/>
      <c r="AO24" s="622"/>
      <c r="AP24" s="622"/>
      <c r="AQ24" s="622"/>
      <c r="AR24" s="622"/>
      <c r="AS24" s="622"/>
      <c r="AT24" s="622"/>
      <c r="AU24" s="622"/>
      <c r="AV24" s="622"/>
      <c r="AW24" s="629"/>
      <c r="AX24" s="629"/>
      <c r="AY24" s="629"/>
      <c r="AZ24" s="629"/>
      <c r="BA24" s="629"/>
      <c r="BB24" s="629"/>
      <c r="BC24" s="629"/>
      <c r="BD24" s="290"/>
      <c r="BE24" s="629"/>
      <c r="BF24" s="630"/>
      <c r="BG24" s="630"/>
      <c r="BH24" s="622"/>
      <c r="BI24" s="622"/>
      <c r="BJ24" s="689"/>
      <c r="BK24" s="630"/>
      <c r="BL24" s="630"/>
      <c r="BM24" s="630"/>
      <c r="BN24" s="630"/>
      <c r="BO24" s="630"/>
      <c r="BP24" s="630"/>
      <c r="BQ24" s="630"/>
      <c r="BR24" s="630"/>
      <c r="BS24" s="630"/>
      <c r="BT24" s="630"/>
      <c r="BU24" s="630"/>
      <c r="BV24" s="630"/>
      <c r="BW24" s="226"/>
      <c r="BX24" s="226"/>
      <c r="BY24" s="226"/>
      <c r="BZ24" s="226"/>
      <c r="CA24" s="226"/>
      <c r="CB24" s="226"/>
      <c r="CC24" s="466">
        <f>+BD24-AC24</f>
        <v>0</v>
      </c>
      <c r="CD24" s="466">
        <f t="shared" si="0"/>
        <v>0</v>
      </c>
    </row>
    <row r="25" spans="2:82" ht="15" thickBot="1" x14ac:dyDescent="0.35">
      <c r="B25" s="264"/>
      <c r="C25" s="423" t="s">
        <v>65</v>
      </c>
      <c r="D25" s="631">
        <v>2.5000000000000001E-2</v>
      </c>
      <c r="E25" s="631">
        <v>2.6249999999999999E-2</v>
      </c>
      <c r="F25" s="631">
        <v>2.6249999999999999E-2</v>
      </c>
      <c r="G25" s="631">
        <v>2.6249999999999999E-2</v>
      </c>
      <c r="H25" s="631">
        <v>2.6249999999999999E-2</v>
      </c>
      <c r="I25" s="631">
        <v>1.3060515873015871E-2</v>
      </c>
      <c r="J25" s="632">
        <v>1.3980263157894737E-2</v>
      </c>
      <c r="K25" s="633">
        <v>1.0733695652173914E-2</v>
      </c>
      <c r="L25" s="633">
        <v>1.6294642857142858E-2</v>
      </c>
      <c r="M25" s="633">
        <v>2.6672979797979796E-2</v>
      </c>
      <c r="N25" s="633">
        <v>1.9886363636363636E-2</v>
      </c>
      <c r="O25" s="633">
        <v>2.4804687499999999E-2</v>
      </c>
      <c r="P25" s="634">
        <v>2.4098970251716246E-2</v>
      </c>
      <c r="Q25" s="634">
        <v>2.4192116477272728E-2</v>
      </c>
      <c r="R25" s="635">
        <v>1.6406250000000001E-2</v>
      </c>
      <c r="S25" s="635">
        <v>1.1945983379501385E-2</v>
      </c>
      <c r="T25" s="633">
        <v>1.1945983379501385E-2</v>
      </c>
      <c r="U25" s="633">
        <v>1.1945983379501385E-2</v>
      </c>
      <c r="V25" s="633">
        <v>1.1945983379501385E-2</v>
      </c>
      <c r="W25" s="633">
        <v>1.7931547619047618E-2</v>
      </c>
      <c r="X25" s="633">
        <v>1.7931547619047618E-2</v>
      </c>
      <c r="Y25" s="633">
        <v>1.7931547619047618E-2</v>
      </c>
      <c r="Z25" s="633">
        <v>2.5710227272727273E-2</v>
      </c>
      <c r="AA25" s="633">
        <v>3.3156399521531099E-2</v>
      </c>
      <c r="AB25" s="633">
        <v>2.0301870748299318E-2</v>
      </c>
      <c r="AC25" s="292">
        <v>2.3975317028985508E-2</v>
      </c>
      <c r="AD25" s="633">
        <f>+SUMIF('[1]Monthly Detail'!$4:$4, AD15,'[1]Monthly Detail'!49:49)</f>
        <v>2.4098970251716246E-2</v>
      </c>
      <c r="AE25" s="633">
        <f>+SUMIF('[1]Monthly Detail'!$4:$4, AE15,'[1]Monthly Detail'!49:49)</f>
        <v>2.8125000000000001E-2</v>
      </c>
      <c r="AF25" s="633">
        <f>+SUMIF('[1]Monthly Detail'!$4:$4, AF15,'[1]Monthly Detail'!49:49)</f>
        <v>2.4192116477272728E-2</v>
      </c>
      <c r="AG25" s="633">
        <f>+SUMIF('[1]Monthly Detail'!$4:$4, AG15,'[1]Monthly Detail'!49:49)</f>
        <v>1.6406250000000001E-2</v>
      </c>
      <c r="AH25" s="633">
        <f>+SUMIF('[1]Monthly Detail'!$4:$4, AH15,'[1]Monthly Detail'!49:49)</f>
        <v>1.1945983379501385E-2</v>
      </c>
      <c r="AI25" s="633">
        <f>+SUMIF('[1]Monthly Detail'!$4:$4, AI15,'[1]Monthly Detail'!49:49)</f>
        <v>1.5980113636363636E-2</v>
      </c>
      <c r="AJ25" s="633">
        <f>+SUMIF('[1]Monthly Detail'!$4:$4, AJ15,'[1]Monthly Detail'!49:49)</f>
        <v>2.9563492063492063E-2</v>
      </c>
      <c r="AK25" s="633">
        <f>+SUMIF('[1]Monthly Detail'!$4:$4, AK15,'[1]Monthly Detail'!49:49)</f>
        <v>1.7931547619047618E-2</v>
      </c>
      <c r="AL25" s="633">
        <f>+SUMIF('[1]Monthly Detail'!$4:$4, AL15,'[1]Monthly Detail'!49:49)</f>
        <v>2.3312165775401069E-2</v>
      </c>
      <c r="AM25" s="633">
        <v>2.3283102766798416E-2</v>
      </c>
      <c r="AN25" s="633">
        <v>1.9921874999999999E-2</v>
      </c>
      <c r="AO25" s="633">
        <v>2.5710227272727273E-2</v>
      </c>
      <c r="AP25" s="633">
        <v>3.3156399521531099E-2</v>
      </c>
      <c r="AQ25" s="633"/>
      <c r="AR25" s="633"/>
      <c r="AS25" s="633">
        <v>1.775568181818182E-2</v>
      </c>
      <c r="AT25" s="633">
        <v>1.7949084668192221E-2</v>
      </c>
      <c r="AU25" s="633">
        <v>2.1173007246376812E-2</v>
      </c>
      <c r="AV25" s="633">
        <v>2.2544642857142857E-2</v>
      </c>
      <c r="AW25" s="634">
        <v>2.4925595238095236E-2</v>
      </c>
      <c r="AX25" s="634">
        <v>1.179594861660079E-2</v>
      </c>
      <c r="AY25" s="634">
        <v>2.1519886363636366E-2</v>
      </c>
      <c r="AZ25" s="634">
        <v>1.4999999999999999E-2</v>
      </c>
      <c r="BA25" s="634">
        <v>1.4999999999999999E-2</v>
      </c>
      <c r="BB25" s="634">
        <v>1.4999999999999999E-2</v>
      </c>
      <c r="BC25" s="634">
        <v>1.4999999999999999E-2</v>
      </c>
      <c r="BD25" s="292">
        <f>+SUMIF('Monthly Detail'!$4:$4, $B$14,'Monthly Detail'!51:51)</f>
        <v>2.4983776768332255E-2</v>
      </c>
      <c r="BE25" s="634">
        <v>1.3060515873015871E-2</v>
      </c>
      <c r="BF25" s="635">
        <v>1.3980263157894737E-2</v>
      </c>
      <c r="BG25" s="635">
        <v>1.0733695652173914E-2</v>
      </c>
      <c r="BH25" s="633">
        <v>1.6294642857142858E-2</v>
      </c>
      <c r="BI25" s="633">
        <v>2.6041666666666668E-2</v>
      </c>
      <c r="BJ25" s="691">
        <v>1.9649621212121212E-2</v>
      </c>
      <c r="BK25" s="635">
        <v>2.8794642857142859E-2</v>
      </c>
      <c r="BL25" s="635">
        <v>2.6134910485933503E-2</v>
      </c>
      <c r="BM25" s="635">
        <v>2.7532327586206898E-2</v>
      </c>
      <c r="BN25" s="635">
        <v>1.66015625E-2</v>
      </c>
      <c r="BO25" s="635">
        <v>1.66015625E-2</v>
      </c>
      <c r="BP25" s="635">
        <v>1.1253462603878116E-2</v>
      </c>
      <c r="BQ25" s="635">
        <v>2.9563492063492063E-2</v>
      </c>
      <c r="BR25" s="635">
        <v>2.9563492063492063E-2</v>
      </c>
      <c r="BS25" s="635">
        <v>1.7931547619047618E-2</v>
      </c>
      <c r="BT25" s="635">
        <v>2.3312165775401069E-2</v>
      </c>
      <c r="BU25" s="635">
        <v>2.4320652173913042E-2</v>
      </c>
      <c r="BV25" s="635">
        <v>1.5494791666666667E-2</v>
      </c>
      <c r="BW25" s="228">
        <v>2.5710227272727273E-2</v>
      </c>
      <c r="BX25" s="228">
        <v>3.3156399521531099E-2</v>
      </c>
      <c r="BY25" s="228">
        <v>2.0301870748299318E-2</v>
      </c>
      <c r="BZ25" s="228">
        <v>2.3975317028985508E-2</v>
      </c>
      <c r="CA25" s="228">
        <v>1.775568181818182E-2</v>
      </c>
      <c r="CB25" s="228">
        <v>1.1945983379501385E-2</v>
      </c>
      <c r="CC25" s="467">
        <f>+BD25-AC25</f>
        <v>1.0084597393467468E-3</v>
      </c>
      <c r="CD25" s="467">
        <f t="shared" si="0"/>
        <v>1.0084597393467468E-3</v>
      </c>
    </row>
    <row r="26" spans="2:82" x14ac:dyDescent="0.3">
      <c r="B26" s="765" t="s">
        <v>9</v>
      </c>
      <c r="C26" s="766"/>
      <c r="D26" s="636"/>
      <c r="E26" s="636"/>
      <c r="F26" s="636"/>
      <c r="G26" s="636"/>
      <c r="H26" s="636"/>
      <c r="I26" s="636"/>
      <c r="J26" s="637"/>
      <c r="K26" s="636"/>
      <c r="L26" s="636"/>
      <c r="M26" s="636"/>
      <c r="N26" s="638"/>
      <c r="O26" s="638"/>
      <c r="P26" s="639"/>
      <c r="Q26" s="639"/>
      <c r="R26" s="640"/>
      <c r="S26" s="640"/>
      <c r="T26" s="638"/>
      <c r="U26" s="638"/>
      <c r="V26" s="638"/>
      <c r="W26" s="638"/>
      <c r="X26" s="638"/>
      <c r="Y26" s="638"/>
      <c r="Z26" s="638"/>
      <c r="AA26" s="638"/>
      <c r="AB26" s="638"/>
      <c r="AC26" s="413"/>
      <c r="AD26" s="638"/>
      <c r="AE26" s="638"/>
      <c r="AF26" s="638"/>
      <c r="AG26" s="638"/>
      <c r="AH26" s="638"/>
      <c r="AI26" s="638"/>
      <c r="AJ26" s="638"/>
      <c r="AK26" s="638"/>
      <c r="AL26" s="638"/>
      <c r="AM26" s="638"/>
      <c r="AN26" s="638"/>
      <c r="AO26" s="638"/>
      <c r="AP26" s="638"/>
      <c r="AQ26" s="638"/>
      <c r="AR26" s="638"/>
      <c r="AS26" s="638"/>
      <c r="AT26" s="638"/>
      <c r="AU26" s="638"/>
      <c r="AV26" s="638"/>
      <c r="AW26" s="639"/>
      <c r="AX26" s="639"/>
      <c r="AY26" s="639"/>
      <c r="AZ26" s="639"/>
      <c r="BA26" s="639"/>
      <c r="BB26" s="639"/>
      <c r="BC26" s="639"/>
      <c r="BD26" s="413"/>
      <c r="BE26" s="639"/>
      <c r="BF26" s="640"/>
      <c r="BG26" s="640"/>
      <c r="BH26" s="638"/>
      <c r="BI26" s="638"/>
      <c r="BJ26" s="692"/>
      <c r="BK26" s="640"/>
      <c r="BL26" s="640"/>
      <c r="BM26" s="640"/>
      <c r="BN26" s="640"/>
      <c r="BO26" s="640"/>
      <c r="BP26" s="640"/>
      <c r="BQ26" s="640"/>
      <c r="BR26" s="640"/>
      <c r="BS26" s="640"/>
      <c r="BT26" s="640"/>
      <c r="BU26" s="640"/>
      <c r="BV26" s="640"/>
      <c r="BW26" s="414"/>
      <c r="BX26" s="414"/>
      <c r="BY26" s="414"/>
      <c r="BZ26" s="414"/>
      <c r="CA26" s="414"/>
      <c r="CB26" s="414"/>
      <c r="CC26" s="468">
        <f>+BD26-AC26</f>
        <v>0</v>
      </c>
      <c r="CD26" s="468">
        <f t="shared" si="0"/>
        <v>0</v>
      </c>
    </row>
    <row r="27" spans="2:82" x14ac:dyDescent="0.3">
      <c r="B27" s="750" t="s">
        <v>324</v>
      </c>
      <c r="C27" s="751"/>
      <c r="D27" s="600"/>
      <c r="E27" s="600"/>
      <c r="F27" s="600"/>
      <c r="G27" s="600"/>
      <c r="H27" s="600"/>
      <c r="I27" s="600"/>
      <c r="J27" s="641"/>
      <c r="K27" s="642"/>
      <c r="L27" s="642"/>
      <c r="M27" s="642">
        <v>0</v>
      </c>
      <c r="N27" s="643">
        <v>0</v>
      </c>
      <c r="O27" s="643">
        <v>650</v>
      </c>
      <c r="P27" s="644">
        <v>1612.6240274599538</v>
      </c>
      <c r="Q27" s="644">
        <v>3394.8663352272733</v>
      </c>
      <c r="R27" s="645">
        <v>1928.1833333333343</v>
      </c>
      <c r="S27" s="645">
        <v>0</v>
      </c>
      <c r="T27" s="643">
        <v>0</v>
      </c>
      <c r="U27" s="643">
        <v>0</v>
      </c>
      <c r="V27" s="643">
        <v>0</v>
      </c>
      <c r="W27" s="643">
        <v>450</v>
      </c>
      <c r="X27" s="643">
        <v>450</v>
      </c>
      <c r="Y27" s="643">
        <v>450</v>
      </c>
      <c r="Z27" s="643">
        <v>981.65745856353647</v>
      </c>
      <c r="AA27" s="643">
        <v>4023.9944466321072</v>
      </c>
      <c r="AB27" s="643">
        <v>450</v>
      </c>
      <c r="AC27" s="415">
        <v>1081.7708333333335</v>
      </c>
      <c r="AD27" s="643"/>
      <c r="AE27" s="643"/>
      <c r="AF27" s="643"/>
      <c r="AG27" s="643"/>
      <c r="AH27" s="643"/>
      <c r="AI27" s="643"/>
      <c r="AJ27" s="643"/>
      <c r="AK27" s="643"/>
      <c r="AL27" s="643"/>
      <c r="AM27" s="643">
        <v>0</v>
      </c>
      <c r="AN27" s="643">
        <v>0</v>
      </c>
      <c r="AO27" s="643">
        <v>610</v>
      </c>
      <c r="AP27" s="643">
        <v>900</v>
      </c>
      <c r="AQ27" s="643"/>
      <c r="AR27" s="643"/>
      <c r="AS27" s="643">
        <v>170</v>
      </c>
      <c r="AT27" s="643">
        <v>599</v>
      </c>
      <c r="AU27" s="643">
        <v>0</v>
      </c>
      <c r="AV27" s="643">
        <v>450</v>
      </c>
      <c r="AW27" s="644">
        <v>0</v>
      </c>
      <c r="AX27" s="644">
        <v>0</v>
      </c>
      <c r="AY27" s="644">
        <v>270</v>
      </c>
      <c r="AZ27" s="644">
        <v>0</v>
      </c>
      <c r="BA27" s="644">
        <v>0</v>
      </c>
      <c r="BB27" s="644">
        <v>0</v>
      </c>
      <c r="BC27" s="644">
        <v>0</v>
      </c>
      <c r="BD27" s="415">
        <f>+SUMIF('Monthly Detail'!$4:$4, $B$14,'Monthly Detail'!65:65)</f>
        <v>6255</v>
      </c>
      <c r="BE27" s="644"/>
      <c r="BF27" s="645"/>
      <c r="BG27" s="645"/>
      <c r="BH27" s="643"/>
      <c r="BI27" s="643">
        <v>0</v>
      </c>
      <c r="BJ27" s="693">
        <v>0</v>
      </c>
      <c r="BK27" s="645">
        <v>0</v>
      </c>
      <c r="BL27" s="645">
        <v>0</v>
      </c>
      <c r="BM27" s="645">
        <v>1035.7413793103456</v>
      </c>
      <c r="BN27" s="645">
        <v>0</v>
      </c>
      <c r="BO27" s="645"/>
      <c r="BP27" s="645">
        <v>0</v>
      </c>
      <c r="BQ27" s="645">
        <v>919.60690316394994</v>
      </c>
      <c r="BR27" s="645">
        <v>2106.1904761904761</v>
      </c>
      <c r="BS27" s="645">
        <v>600</v>
      </c>
      <c r="BT27" s="645">
        <v>1173.2352941176462</v>
      </c>
      <c r="BU27" s="645">
        <v>2952.0760869565211</v>
      </c>
      <c r="BV27" s="645">
        <v>600</v>
      </c>
      <c r="BW27" s="416">
        <v>1648.9999999999989</v>
      </c>
      <c r="BX27" s="416">
        <v>3994.4258373205716</v>
      </c>
      <c r="BY27" s="416">
        <v>821.63265306122423</v>
      </c>
      <c r="BZ27" s="416">
        <v>1007.8124999999998</v>
      </c>
      <c r="CA27" s="416">
        <v>82.141148325358841</v>
      </c>
      <c r="CB27" s="416">
        <v>0</v>
      </c>
      <c r="CC27" s="393">
        <f>+BD27-AC27</f>
        <v>5173.2291666666661</v>
      </c>
      <c r="CD27" s="393">
        <f t="shared" si="0"/>
        <v>5247.1875</v>
      </c>
    </row>
    <row r="28" spans="2:82" x14ac:dyDescent="0.3">
      <c r="B28" s="752" t="s">
        <v>326</v>
      </c>
      <c r="C28" s="753"/>
      <c r="D28" s="646">
        <f>+D2-D27</f>
        <v>0</v>
      </c>
      <c r="E28" s="646">
        <f>+E2-E27</f>
        <v>0</v>
      </c>
      <c r="F28" s="646">
        <v>5166.6266666666661</v>
      </c>
      <c r="G28" s="646">
        <v>3957.7216666666668</v>
      </c>
      <c r="H28" s="646">
        <v>7569.7233333333343</v>
      </c>
      <c r="I28" s="646">
        <v>2255.7184999999999</v>
      </c>
      <c r="J28" s="647">
        <v>1022.1880263157896</v>
      </c>
      <c r="K28" s="646">
        <v>1435.4298913043481</v>
      </c>
      <c r="L28" s="646">
        <v>3942.5624846915707</v>
      </c>
      <c r="M28" s="646">
        <v>4387.4070731396541</v>
      </c>
      <c r="N28" s="646">
        <v>3311.2272398005284</v>
      </c>
      <c r="O28" s="646">
        <f t="shared" ref="O28" si="1">+O16-O27</f>
        <v>5420.8647844785883</v>
      </c>
      <c r="P28" s="648">
        <v>7458.0192655261426</v>
      </c>
      <c r="Q28" s="648">
        <v>8122.685391492324</v>
      </c>
      <c r="R28" s="649">
        <v>6442.7091158418625</v>
      </c>
      <c r="S28" s="649">
        <v>4937.9285717570046</v>
      </c>
      <c r="T28" s="646">
        <v>4937.9285717570046</v>
      </c>
      <c r="U28" s="646">
        <v>4937.9285717570046</v>
      </c>
      <c r="V28" s="646">
        <v>4937.9285717570046</v>
      </c>
      <c r="W28" s="646">
        <v>6179.6135261244181</v>
      </c>
      <c r="X28" s="646">
        <v>6179.6135261244181</v>
      </c>
      <c r="Y28" s="646">
        <v>6179.6135261244181</v>
      </c>
      <c r="Z28" s="646">
        <v>9595.4945921019007</v>
      </c>
      <c r="AA28" s="646">
        <v>13204.134475012113</v>
      </c>
      <c r="AB28" s="646">
        <v>16642.78954071294</v>
      </c>
      <c r="AC28" s="294">
        <v>22769.499069031986</v>
      </c>
      <c r="AD28" s="646">
        <f t="shared" ref="AD28:AL28" si="2">+AD2-AD27</f>
        <v>0</v>
      </c>
      <c r="AE28" s="646">
        <f t="shared" si="2"/>
        <v>0</v>
      </c>
      <c r="AF28" s="646">
        <f t="shared" si="2"/>
        <v>0</v>
      </c>
      <c r="AG28" s="646">
        <f t="shared" si="2"/>
        <v>0</v>
      </c>
      <c r="AH28" s="646">
        <f t="shared" si="2"/>
        <v>0</v>
      </c>
      <c r="AI28" s="646">
        <f t="shared" si="2"/>
        <v>0</v>
      </c>
      <c r="AJ28" s="646">
        <f t="shared" si="2"/>
        <v>0</v>
      </c>
      <c r="AK28" s="646">
        <f t="shared" si="2"/>
        <v>0</v>
      </c>
      <c r="AL28" s="646">
        <f t="shared" si="2"/>
        <v>0</v>
      </c>
      <c r="AM28" s="646">
        <v>5015.13</v>
      </c>
      <c r="AN28" s="646">
        <v>4308.26</v>
      </c>
      <c r="AO28" s="646">
        <v>8450.8900000000012</v>
      </c>
      <c r="AP28" s="646">
        <v>13211.26</v>
      </c>
      <c r="AQ28" s="646"/>
      <c r="AR28" s="646"/>
      <c r="AS28" s="646">
        <v>9403.5</v>
      </c>
      <c r="AT28" s="646">
        <v>4595</v>
      </c>
      <c r="AU28" s="646">
        <v>6585.5</v>
      </c>
      <c r="AV28" s="646">
        <v>7662.12</v>
      </c>
      <c r="AW28" s="648">
        <v>7682.37</v>
      </c>
      <c r="AX28" s="648">
        <v>3756.25</v>
      </c>
      <c r="AY28" s="648">
        <v>5774.5</v>
      </c>
      <c r="AZ28" s="648">
        <v>6916</v>
      </c>
      <c r="BA28" s="648">
        <v>6916</v>
      </c>
      <c r="BB28" s="648">
        <v>6916</v>
      </c>
      <c r="BC28" s="648">
        <v>6916</v>
      </c>
      <c r="BD28" s="294">
        <f t="shared" ref="BD28" si="3">+BD16-BD27</f>
        <v>33108.130000000005</v>
      </c>
      <c r="BE28" s="648">
        <f>+BE2-BE27</f>
        <v>0</v>
      </c>
      <c r="BF28" s="649">
        <f>+BF2-BF27</f>
        <v>0</v>
      </c>
      <c r="BG28" s="649">
        <f>+BG2-BG27</f>
        <v>0</v>
      </c>
      <c r="BH28" s="646">
        <f>+BH2-BH27</f>
        <v>0</v>
      </c>
      <c r="BI28" s="646">
        <f>+BI2-BI27</f>
        <v>0</v>
      </c>
      <c r="BJ28" s="694">
        <f>+BJ16-BJ27</f>
        <v>6730.371212121212</v>
      </c>
      <c r="BK28" s="649">
        <f>+BK16-BK27</f>
        <v>9868.4732142857138</v>
      </c>
      <c r="BL28" s="649">
        <f>+BL16-BL27</f>
        <v>9248.9884910485926</v>
      </c>
      <c r="BM28" s="649">
        <f>+BM2-BM27</f>
        <v>-1035.7413793103456</v>
      </c>
      <c r="BN28" s="649">
        <v>0</v>
      </c>
      <c r="BO28" s="649">
        <f>+BO2-BO27</f>
        <v>0</v>
      </c>
      <c r="BP28" s="649">
        <f>+BP16-BP27</f>
        <v>4112</v>
      </c>
      <c r="BQ28" s="649">
        <v>8623.746843997109</v>
      </c>
      <c r="BR28" s="649">
        <v>10608.77331692709</v>
      </c>
      <c r="BS28" s="649">
        <v>6887.4507121535908</v>
      </c>
      <c r="BT28" s="649">
        <v>8676.5613559252361</v>
      </c>
      <c r="BU28" s="649">
        <v>7799.8554755281029</v>
      </c>
      <c r="BV28" s="649">
        <v>5219.9641619529039</v>
      </c>
      <c r="BW28" s="231">
        <v>9229.587957853948</v>
      </c>
      <c r="BX28" s="231">
        <v>11896.618301750084</v>
      </c>
      <c r="BY28" s="231">
        <v>11322.795188532917</v>
      </c>
      <c r="BZ28" s="231">
        <v>14647.473402215979</v>
      </c>
      <c r="CA28" s="231">
        <v>8731.1259985745874</v>
      </c>
      <c r="CB28" s="231">
        <v>6298.8781775238203</v>
      </c>
      <c r="CC28" s="392">
        <f>+BD28-AC28</f>
        <v>10338.630930968018</v>
      </c>
      <c r="CD28" s="392">
        <f t="shared" si="0"/>
        <v>18460.656597784026</v>
      </c>
    </row>
    <row r="29" spans="2:82" x14ac:dyDescent="0.3">
      <c r="B29" s="746" t="s">
        <v>232</v>
      </c>
      <c r="C29" s="747"/>
      <c r="D29" s="650"/>
      <c r="E29" s="650"/>
      <c r="F29" s="650"/>
      <c r="G29" s="650"/>
      <c r="H29" s="650"/>
      <c r="I29" s="650"/>
      <c r="J29" s="651" t="e">
        <f>+J28/J2</f>
        <v>#DIV/0!</v>
      </c>
      <c r="K29" s="652">
        <v>0.59259456203114436</v>
      </c>
      <c r="L29" s="652">
        <v>0.88787970479928569</v>
      </c>
      <c r="M29" s="652">
        <v>0.72582965315378078</v>
      </c>
      <c r="N29" s="652">
        <v>0.82062350132013073</v>
      </c>
      <c r="O29" s="652">
        <f t="shared" ref="O29" si="4">+O28/O16</f>
        <v>0.89293123416916509</v>
      </c>
      <c r="P29" s="653">
        <v>0.8222150320135595</v>
      </c>
      <c r="Q29" s="653">
        <v>0.70524409911252972</v>
      </c>
      <c r="R29" s="654">
        <v>0.7696561812207583</v>
      </c>
      <c r="S29" s="654">
        <v>0.89181727879687589</v>
      </c>
      <c r="T29" s="652">
        <v>0.89181727879687589</v>
      </c>
      <c r="U29" s="652">
        <v>0.89181727879687589</v>
      </c>
      <c r="V29" s="652">
        <v>0.89181727879687589</v>
      </c>
      <c r="W29" s="652">
        <v>0.93212274015268826</v>
      </c>
      <c r="X29" s="652">
        <v>0.93212274015268826</v>
      </c>
      <c r="Y29" s="652">
        <v>0.93212274015268826</v>
      </c>
      <c r="Z29" s="652">
        <v>0.90719075854622144</v>
      </c>
      <c r="AA29" s="652">
        <v>0.76642881737571389</v>
      </c>
      <c r="AB29" s="650">
        <v>0.97367310941680085</v>
      </c>
      <c r="AC29" s="424">
        <v>0.95464514729146333</v>
      </c>
      <c r="AD29" s="650"/>
      <c r="AE29" s="650"/>
      <c r="AF29" s="650"/>
      <c r="AG29" s="650"/>
      <c r="AH29" s="650"/>
      <c r="AI29" s="650"/>
      <c r="AJ29" s="654">
        <v>0.87906392197830707</v>
      </c>
      <c r="AK29" s="654">
        <v>0.87906392197830707</v>
      </c>
      <c r="AL29" s="654">
        <v>0.87906392197830707</v>
      </c>
      <c r="AM29" s="678">
        <v>0.87906392197830707</v>
      </c>
      <c r="AN29" s="652">
        <v>1</v>
      </c>
      <c r="AO29" s="652">
        <v>0.93267769501671471</v>
      </c>
      <c r="AP29" s="652">
        <v>0.93622114538319046</v>
      </c>
      <c r="AQ29" s="652"/>
      <c r="AR29" s="652"/>
      <c r="AS29" s="652">
        <v>0.9822426489789523</v>
      </c>
      <c r="AT29" s="652">
        <v>0.8846746245668079</v>
      </c>
      <c r="AU29" s="652">
        <v>1</v>
      </c>
      <c r="AV29" s="652">
        <v>0.94452744781881925</v>
      </c>
      <c r="AW29" s="653">
        <v>1</v>
      </c>
      <c r="AX29" s="653">
        <v>1</v>
      </c>
      <c r="AY29" s="653">
        <v>0.95533129291091079</v>
      </c>
      <c r="AZ29" s="653">
        <v>1</v>
      </c>
      <c r="BA29" s="653">
        <v>1</v>
      </c>
      <c r="BB29" s="653">
        <v>1</v>
      </c>
      <c r="BC29" s="653">
        <v>1</v>
      </c>
      <c r="BD29" s="424">
        <f t="shared" ref="BD29" si="5">+BD28/BD16</f>
        <v>0.8410949535771165</v>
      </c>
      <c r="BE29" s="653">
        <f>+BE28/BE16</f>
        <v>0</v>
      </c>
      <c r="BF29" s="654">
        <f t="shared" ref="BF29:BP29" si="6">+BF28/BF16</f>
        <v>0</v>
      </c>
      <c r="BG29" s="678">
        <f t="shared" si="6"/>
        <v>0</v>
      </c>
      <c r="BH29" s="652">
        <f t="shared" si="6"/>
        <v>0</v>
      </c>
      <c r="BI29" s="652">
        <f t="shared" si="6"/>
        <v>0</v>
      </c>
      <c r="BJ29" s="695">
        <f t="shared" si="6"/>
        <v>1</v>
      </c>
      <c r="BK29" s="654">
        <f t="shared" si="6"/>
        <v>1</v>
      </c>
      <c r="BL29" s="654">
        <f t="shared" si="6"/>
        <v>1</v>
      </c>
      <c r="BM29" s="654">
        <f t="shared" si="6"/>
        <v>-0.10159609161144882</v>
      </c>
      <c r="BN29" s="654">
        <v>0</v>
      </c>
      <c r="BO29" s="654">
        <f t="shared" si="6"/>
        <v>0</v>
      </c>
      <c r="BP29" s="654">
        <f t="shared" si="6"/>
        <v>1</v>
      </c>
      <c r="BQ29" s="654">
        <v>0.90363902171838573</v>
      </c>
      <c r="BR29" s="654">
        <v>0.83435340355978627</v>
      </c>
      <c r="BS29" s="654">
        <v>0.91986591657610739</v>
      </c>
      <c r="BT29" s="654">
        <v>0.88088735881541891</v>
      </c>
      <c r="BU29" s="654">
        <v>0.72543760441548633</v>
      </c>
      <c r="BV29" s="654">
        <v>0.89690658167237436</v>
      </c>
      <c r="BW29" s="425">
        <v>0.84841782716758929</v>
      </c>
      <c r="BX29" s="425">
        <v>0.74863666588782285</v>
      </c>
      <c r="BY29" s="425">
        <v>0.9323448857551635</v>
      </c>
      <c r="BZ29" s="425">
        <v>0.93562477834675983</v>
      </c>
      <c r="CA29" s="425">
        <v>0.99067982997040405</v>
      </c>
      <c r="CB29" s="425">
        <v>1</v>
      </c>
      <c r="CC29" s="426">
        <f>+BD29-AC29</f>
        <v>-0.11355019371434683</v>
      </c>
      <c r="CD29" s="426">
        <f t="shared" si="0"/>
        <v>-9.4529824769643334E-2</v>
      </c>
    </row>
    <row r="30" spans="2:82" x14ac:dyDescent="0.3">
      <c r="B30" s="750" t="s">
        <v>275</v>
      </c>
      <c r="C30" s="751"/>
      <c r="D30" s="655"/>
      <c r="E30" s="655"/>
      <c r="F30" s="655"/>
      <c r="G30" s="655"/>
      <c r="H30" s="655"/>
      <c r="I30" s="655"/>
      <c r="J30" s="642">
        <v>1179.44</v>
      </c>
      <c r="K30" s="642">
        <v>0</v>
      </c>
      <c r="L30" s="642">
        <v>2358.88</v>
      </c>
      <c r="M30" s="642">
        <v>1179.44</v>
      </c>
      <c r="N30" s="643">
        <v>0</v>
      </c>
      <c r="O30" s="643">
        <v>0</v>
      </c>
      <c r="P30" s="644">
        <v>0</v>
      </c>
      <c r="Q30" s="644">
        <v>1400</v>
      </c>
      <c r="R30" s="645">
        <v>0</v>
      </c>
      <c r="S30" s="645">
        <v>0</v>
      </c>
      <c r="T30" s="643"/>
      <c r="U30" s="643"/>
      <c r="V30" s="643"/>
      <c r="W30" s="643">
        <v>0</v>
      </c>
      <c r="X30" s="643">
        <v>0</v>
      </c>
      <c r="Y30" s="643">
        <v>0</v>
      </c>
      <c r="Z30" s="643">
        <v>0</v>
      </c>
      <c r="AA30" s="643">
        <v>0</v>
      </c>
      <c r="AB30" s="679">
        <v>0</v>
      </c>
      <c r="AC30" s="415">
        <v>0</v>
      </c>
      <c r="AD30" s="679"/>
      <c r="AE30" s="679"/>
      <c r="AF30" s="679"/>
      <c r="AG30" s="679"/>
      <c r="AH30" s="679"/>
      <c r="AI30" s="679"/>
      <c r="AJ30" s="643">
        <f>+SUMIF('[1]Monthly Detail'!$4:$4, AJ15,'[1]Monthly Detail'!69:69)</f>
        <v>1179.44</v>
      </c>
      <c r="AK30" s="643">
        <f>+SUMIF('[1]Monthly Detail'!$4:$4, AK15,'[1]Monthly Detail'!69:69)</f>
        <v>0</v>
      </c>
      <c r="AL30" s="643">
        <f>+SUMIF('[1]Monthly Detail'!$4:$4, AL15,'[1]Monthly Detail'!69:69)</f>
        <v>2400</v>
      </c>
      <c r="AM30" s="643">
        <v>0</v>
      </c>
      <c r="AN30" s="643">
        <v>665.56</v>
      </c>
      <c r="AO30" s="643">
        <v>0</v>
      </c>
      <c r="AP30" s="643">
        <v>0</v>
      </c>
      <c r="AQ30" s="643"/>
      <c r="AR30" s="643"/>
      <c r="AS30" s="643">
        <v>0</v>
      </c>
      <c r="AT30" s="643">
        <v>0</v>
      </c>
      <c r="AU30" s="643">
        <v>0</v>
      </c>
      <c r="AV30" s="643">
        <v>0</v>
      </c>
      <c r="AW30" s="644">
        <v>0</v>
      </c>
      <c r="AX30" s="644">
        <v>0</v>
      </c>
      <c r="AY30" s="644">
        <v>0</v>
      </c>
      <c r="AZ30" s="644">
        <v>0</v>
      </c>
      <c r="BA30" s="644">
        <v>0</v>
      </c>
      <c r="BB30" s="644">
        <v>0</v>
      </c>
      <c r="BC30" s="644">
        <v>0</v>
      </c>
      <c r="BD30" s="415">
        <f>+SUMIF('Monthly Detail'!$4:$4, $B$14,'Monthly Detail'!71:71)</f>
        <v>0</v>
      </c>
      <c r="BE30" s="696"/>
      <c r="BF30" s="645">
        <v>0</v>
      </c>
      <c r="BG30" s="697"/>
      <c r="BH30" s="679"/>
      <c r="BI30" s="679"/>
      <c r="BJ30" s="698">
        <v>0</v>
      </c>
      <c r="BK30" s="697">
        <v>0</v>
      </c>
      <c r="BL30" s="697">
        <v>0</v>
      </c>
      <c r="BM30" s="697"/>
      <c r="BN30" s="645">
        <v>0</v>
      </c>
      <c r="BO30" s="697"/>
      <c r="BP30" s="697">
        <v>0</v>
      </c>
      <c r="BQ30" s="645">
        <v>0</v>
      </c>
      <c r="BR30" s="645">
        <v>0</v>
      </c>
      <c r="BS30" s="645">
        <v>0</v>
      </c>
      <c r="BT30" s="645">
        <v>0</v>
      </c>
      <c r="BU30" s="645">
        <v>0</v>
      </c>
      <c r="BV30" s="645">
        <v>0</v>
      </c>
      <c r="BW30" s="416">
        <v>0</v>
      </c>
      <c r="BX30" s="416">
        <v>0</v>
      </c>
      <c r="BY30" s="416">
        <v>0</v>
      </c>
      <c r="BZ30" s="416">
        <v>0</v>
      </c>
      <c r="CA30" s="416">
        <v>0</v>
      </c>
      <c r="CB30" s="416">
        <v>0</v>
      </c>
      <c r="CC30" s="393">
        <f>+BD30-AC30</f>
        <v>0</v>
      </c>
      <c r="CD30" s="393">
        <f t="shared" si="0"/>
        <v>0</v>
      </c>
    </row>
    <row r="31" spans="2:82" x14ac:dyDescent="0.3">
      <c r="B31" s="750" t="s">
        <v>377</v>
      </c>
      <c r="C31" s="751"/>
      <c r="D31" s="655"/>
      <c r="E31" s="655"/>
      <c r="F31" s="655"/>
      <c r="G31" s="655"/>
      <c r="H31" s="655"/>
      <c r="I31" s="655"/>
      <c r="J31" s="642"/>
      <c r="K31" s="642"/>
      <c r="L31" s="642"/>
      <c r="M31" s="642"/>
      <c r="N31" s="643"/>
      <c r="O31" s="643"/>
      <c r="P31" s="644"/>
      <c r="Q31" s="644"/>
      <c r="R31" s="645"/>
      <c r="S31" s="645"/>
      <c r="T31" s="643"/>
      <c r="U31" s="643"/>
      <c r="V31" s="643"/>
      <c r="W31" s="643">
        <v>2172.5374999999999</v>
      </c>
      <c r="X31" s="643">
        <v>2172.5374999999999</v>
      </c>
      <c r="Y31" s="643">
        <v>2172.5374999999999</v>
      </c>
      <c r="Z31" s="643">
        <v>3660.1</v>
      </c>
      <c r="AA31" s="643">
        <v>3660.1</v>
      </c>
      <c r="AB31" s="679">
        <v>5274.85</v>
      </c>
      <c r="AC31" s="415">
        <v>12810.35</v>
      </c>
      <c r="AD31" s="679"/>
      <c r="AE31" s="679"/>
      <c r="AF31" s="679"/>
      <c r="AG31" s="679"/>
      <c r="AH31" s="679"/>
      <c r="AI31" s="679"/>
      <c r="AJ31" s="643"/>
      <c r="AK31" s="643"/>
      <c r="AL31" s="643"/>
      <c r="AM31" s="643"/>
      <c r="AN31" s="643"/>
      <c r="AO31" s="643"/>
      <c r="AP31" s="643"/>
      <c r="AQ31" s="643"/>
      <c r="AR31" s="643"/>
      <c r="AS31" s="643"/>
      <c r="AT31" s="643"/>
      <c r="AU31" s="643">
        <v>2407.42</v>
      </c>
      <c r="AV31" s="643">
        <v>5055.82</v>
      </c>
      <c r="AW31" s="644">
        <v>4826.3</v>
      </c>
      <c r="AX31" s="644">
        <v>2637.43</v>
      </c>
      <c r="AY31" s="644">
        <v>2109.94</v>
      </c>
      <c r="AZ31" s="644">
        <v>2637.42</v>
      </c>
      <c r="BA31" s="644">
        <v>2637.42</v>
      </c>
      <c r="BB31" s="644">
        <v>2637.42</v>
      </c>
      <c r="BC31" s="644">
        <v>2637.42</v>
      </c>
      <c r="BD31" s="415">
        <f>+SUMIF('Monthly Detail'!$4:$4, $B$14,'Monthly Detail'!80:80)</f>
        <v>15447.77</v>
      </c>
      <c r="BE31" s="696"/>
      <c r="BF31" s="645"/>
      <c r="BG31" s="697"/>
      <c r="BH31" s="679"/>
      <c r="BI31" s="679"/>
      <c r="BJ31" s="698"/>
      <c r="BK31" s="697"/>
      <c r="BL31" s="697"/>
      <c r="BM31" s="697"/>
      <c r="BN31" s="645"/>
      <c r="BO31" s="697"/>
      <c r="BP31" s="697"/>
      <c r="BQ31" s="645">
        <v>2367.8874999999998</v>
      </c>
      <c r="BR31" s="645">
        <v>2172.5374999999999</v>
      </c>
      <c r="BS31" s="645">
        <v>2172.5374999999999</v>
      </c>
      <c r="BT31" s="645">
        <v>2172.5374999999999</v>
      </c>
      <c r="BU31" s="645">
        <v>2172.5374999999999</v>
      </c>
      <c r="BV31" s="645">
        <v>2172.5374999999999</v>
      </c>
      <c r="BW31" s="416">
        <v>2172.5374999999999</v>
      </c>
      <c r="BX31" s="416">
        <v>2172.5374999999999</v>
      </c>
      <c r="BY31" s="416">
        <v>2172.5374999999999</v>
      </c>
      <c r="BZ31" s="416">
        <v>2172.5374999999999</v>
      </c>
      <c r="CA31" s="416">
        <v>2172.5374999999999</v>
      </c>
      <c r="CB31" s="416">
        <v>2172.5374999999999</v>
      </c>
      <c r="CC31" s="393">
        <f>+BD31-AC31</f>
        <v>2637.42</v>
      </c>
      <c r="CD31" s="393">
        <f t="shared" si="0"/>
        <v>13275.2325</v>
      </c>
    </row>
    <row r="32" spans="2:82" x14ac:dyDescent="0.3">
      <c r="B32" s="750" t="s">
        <v>328</v>
      </c>
      <c r="C32" s="751"/>
      <c r="D32" s="655"/>
      <c r="E32" s="655"/>
      <c r="F32" s="655"/>
      <c r="G32" s="655"/>
      <c r="H32" s="655"/>
      <c r="I32" s="655"/>
      <c r="J32" s="642"/>
      <c r="K32" s="642"/>
      <c r="L32" s="642"/>
      <c r="M32" s="642"/>
      <c r="N32" s="643"/>
      <c r="O32" s="643">
        <v>0</v>
      </c>
      <c r="P32" s="644">
        <v>75</v>
      </c>
      <c r="Q32" s="644">
        <v>75</v>
      </c>
      <c r="R32" s="645">
        <v>75</v>
      </c>
      <c r="S32" s="645">
        <v>75</v>
      </c>
      <c r="T32" s="643">
        <v>75</v>
      </c>
      <c r="U32" s="643">
        <v>75</v>
      </c>
      <c r="V32" s="643">
        <v>75</v>
      </c>
      <c r="W32" s="643">
        <v>75</v>
      </c>
      <c r="X32" s="643">
        <v>75</v>
      </c>
      <c r="Y32" s="643">
        <v>75</v>
      </c>
      <c r="Z32" s="643">
        <v>75</v>
      </c>
      <c r="AA32" s="643">
        <v>75</v>
      </c>
      <c r="AB32" s="679">
        <v>75</v>
      </c>
      <c r="AC32" s="415">
        <v>75</v>
      </c>
      <c r="AD32" s="679"/>
      <c r="AE32" s="679"/>
      <c r="AF32" s="679"/>
      <c r="AG32" s="679"/>
      <c r="AH32" s="679"/>
      <c r="AI32" s="679"/>
      <c r="AJ32" s="643"/>
      <c r="AK32" s="643"/>
      <c r="AL32" s="643"/>
      <c r="AM32" s="643"/>
      <c r="AN32" s="643"/>
      <c r="AO32" s="643">
        <v>17.54</v>
      </c>
      <c r="AP32" s="643">
        <v>15.71</v>
      </c>
      <c r="AQ32" s="643"/>
      <c r="AR32" s="643"/>
      <c r="AS32" s="643">
        <v>0</v>
      </c>
      <c r="AT32" s="643">
        <v>0</v>
      </c>
      <c r="AU32" s="643">
        <v>0</v>
      </c>
      <c r="AV32" s="643">
        <v>0</v>
      </c>
      <c r="AW32" s="644">
        <v>0</v>
      </c>
      <c r="AX32" s="644">
        <v>0</v>
      </c>
      <c r="AY32" s="644">
        <v>44.17</v>
      </c>
      <c r="AZ32" s="644">
        <v>49.63</v>
      </c>
      <c r="BA32" s="644">
        <v>49.63</v>
      </c>
      <c r="BB32" s="644">
        <v>49.63</v>
      </c>
      <c r="BC32" s="644">
        <v>49.63</v>
      </c>
      <c r="BD32" s="415">
        <f>+SUMIF('Monthly Detail'!$4:$4, $B$14,'Monthly Detail'!84:84)</f>
        <v>222.44</v>
      </c>
      <c r="BE32" s="696"/>
      <c r="BF32" s="645"/>
      <c r="BG32" s="697"/>
      <c r="BH32" s="679"/>
      <c r="BI32" s="679"/>
      <c r="BJ32" s="698"/>
      <c r="BK32" s="697">
        <v>0</v>
      </c>
      <c r="BL32" s="697">
        <v>0</v>
      </c>
      <c r="BM32" s="697"/>
      <c r="BN32" s="645">
        <v>0</v>
      </c>
      <c r="BO32" s="697"/>
      <c r="BP32" s="697">
        <v>0</v>
      </c>
      <c r="BQ32" s="645">
        <v>75</v>
      </c>
      <c r="BR32" s="645">
        <v>75</v>
      </c>
      <c r="BS32" s="645">
        <v>75</v>
      </c>
      <c r="BT32" s="645">
        <v>75</v>
      </c>
      <c r="BU32" s="645">
        <v>75</v>
      </c>
      <c r="BV32" s="645">
        <v>75</v>
      </c>
      <c r="BW32" s="416">
        <v>75</v>
      </c>
      <c r="BX32" s="416">
        <v>75</v>
      </c>
      <c r="BY32" s="416">
        <v>75</v>
      </c>
      <c r="BZ32" s="416">
        <v>75</v>
      </c>
      <c r="CA32" s="416">
        <v>75</v>
      </c>
      <c r="CB32" s="416">
        <v>75</v>
      </c>
      <c r="CC32" s="393">
        <f>+BD32-AC32</f>
        <v>147.44</v>
      </c>
      <c r="CD32" s="393">
        <f t="shared" si="0"/>
        <v>147.44</v>
      </c>
    </row>
    <row r="33" spans="2:82" x14ac:dyDescent="0.3">
      <c r="B33" s="750" t="s">
        <v>259</v>
      </c>
      <c r="C33" s="751"/>
      <c r="D33" s="600">
        <v>12</v>
      </c>
      <c r="E33" s="600">
        <v>12</v>
      </c>
      <c r="F33" s="600">
        <v>12</v>
      </c>
      <c r="G33" s="600">
        <v>12</v>
      </c>
      <c r="H33" s="600">
        <v>12</v>
      </c>
      <c r="I33" s="600">
        <v>12</v>
      </c>
      <c r="J33" s="641">
        <v>12</v>
      </c>
      <c r="K33" s="642">
        <v>12</v>
      </c>
      <c r="L33" s="642">
        <v>12</v>
      </c>
      <c r="M33" s="642">
        <v>12</v>
      </c>
      <c r="N33" s="643">
        <v>114.89833333333335</v>
      </c>
      <c r="O33" s="643">
        <v>1300.7666666666667</v>
      </c>
      <c r="P33" s="644">
        <v>111.76666666666667</v>
      </c>
      <c r="Q33" s="644">
        <v>304.78666666666669</v>
      </c>
      <c r="R33" s="645">
        <v>303.21333333333337</v>
      </c>
      <c r="S33" s="645">
        <v>316.34833333333336</v>
      </c>
      <c r="T33" s="643">
        <v>316.34833333333336</v>
      </c>
      <c r="U33" s="643">
        <v>316.34833333333336</v>
      </c>
      <c r="V33" s="643">
        <v>316.34833333333336</v>
      </c>
      <c r="W33" s="643">
        <v>150</v>
      </c>
      <c r="X33" s="643">
        <v>150</v>
      </c>
      <c r="Y33" s="643">
        <v>150</v>
      </c>
      <c r="Z33" s="643">
        <v>150</v>
      </c>
      <c r="AA33" s="643">
        <v>150</v>
      </c>
      <c r="AB33" s="643">
        <v>150</v>
      </c>
      <c r="AC33" s="415">
        <v>150</v>
      </c>
      <c r="AD33" s="643">
        <f>+SUMIF('[1]Monthly Detail'!$4:$4, AD15,'[1]Monthly Detail'!83:83)</f>
        <v>12</v>
      </c>
      <c r="AE33" s="643">
        <f>+SUMIF('[1]Monthly Detail'!$4:$4, AE15,'[1]Monthly Detail'!83:83)</f>
        <v>240.91</v>
      </c>
      <c r="AF33" s="643">
        <f>+SUMIF('[1]Monthly Detail'!$4:$4, AF15,'[1]Monthly Detail'!83:83)</f>
        <v>352.91</v>
      </c>
      <c r="AG33" s="643">
        <f>+SUMIF('[1]Monthly Detail'!$4:$4, AG15,'[1]Monthly Detail'!83:83)</f>
        <v>28.91</v>
      </c>
      <c r="AH33" s="643">
        <f>+SUMIF('[1]Monthly Detail'!$4:$4, AH15,'[1]Monthly Detail'!83:83)</f>
        <v>28.91</v>
      </c>
      <c r="AI33" s="643">
        <f>+SUMIF('[1]Monthly Detail'!$4:$4, AI15,'[1]Monthly Detail'!83:83)</f>
        <v>78.91</v>
      </c>
      <c r="AJ33" s="643">
        <f>+SUMIF('[1]Monthly Detail'!$4:$4, AJ15,'[1]Monthly Detail'!83:83)</f>
        <v>28.91</v>
      </c>
      <c r="AK33" s="643">
        <f>+SUMIF('[1]Monthly Detail'!$4:$4, AK15,'[1]Monthly Detail'!83:83)</f>
        <v>86.19</v>
      </c>
      <c r="AL33" s="643">
        <f>+SUMIF('[1]Monthly Detail'!$4:$4, AL15,'[1]Monthly Detail'!83:83)</f>
        <v>12</v>
      </c>
      <c r="AM33" s="643">
        <v>154.47</v>
      </c>
      <c r="AN33" s="643">
        <v>310.12</v>
      </c>
      <c r="AO33" s="643">
        <v>1251.1300000000001</v>
      </c>
      <c r="AP33" s="643">
        <v>14.81</v>
      </c>
      <c r="AQ33" s="643"/>
      <c r="AR33" s="643"/>
      <c r="AS33" s="643">
        <v>100.41</v>
      </c>
      <c r="AT33" s="643">
        <v>107.82</v>
      </c>
      <c r="AU33" s="643">
        <v>218.17</v>
      </c>
      <c r="AV33" s="643">
        <v>118.63</v>
      </c>
      <c r="AW33" s="644">
        <v>118.81</v>
      </c>
      <c r="AX33" s="644">
        <v>202.32</v>
      </c>
      <c r="AY33" s="644">
        <v>241.38</v>
      </c>
      <c r="AZ33" s="644">
        <v>433.68</v>
      </c>
      <c r="BA33" s="644">
        <v>433.68</v>
      </c>
      <c r="BB33" s="644">
        <v>433.68</v>
      </c>
      <c r="BC33" s="644">
        <v>433.68</v>
      </c>
      <c r="BD33" s="415">
        <f>+SUMIF('Monthly Detail'!$4:$4, $B$14,'Monthly Detail'!85:85)</f>
        <v>709.4</v>
      </c>
      <c r="BE33" s="644">
        <v>12</v>
      </c>
      <c r="BF33" s="645">
        <v>12</v>
      </c>
      <c r="BG33" s="645">
        <v>12</v>
      </c>
      <c r="BH33" s="643">
        <v>12</v>
      </c>
      <c r="BI33" s="643">
        <v>12</v>
      </c>
      <c r="BJ33" s="693">
        <v>12</v>
      </c>
      <c r="BK33" s="645">
        <v>12</v>
      </c>
      <c r="BL33" s="645">
        <v>12</v>
      </c>
      <c r="BM33" s="645">
        <v>12</v>
      </c>
      <c r="BN33" s="645">
        <v>12</v>
      </c>
      <c r="BO33" s="645">
        <v>12</v>
      </c>
      <c r="BP33" s="645">
        <v>12</v>
      </c>
      <c r="BQ33" s="645">
        <v>150</v>
      </c>
      <c r="BR33" s="645">
        <v>150</v>
      </c>
      <c r="BS33" s="645">
        <v>150</v>
      </c>
      <c r="BT33" s="645">
        <v>150</v>
      </c>
      <c r="BU33" s="645">
        <v>150</v>
      </c>
      <c r="BV33" s="645">
        <v>150</v>
      </c>
      <c r="BW33" s="416">
        <v>150</v>
      </c>
      <c r="BX33" s="416">
        <v>150</v>
      </c>
      <c r="BY33" s="416">
        <v>150</v>
      </c>
      <c r="BZ33" s="416">
        <v>150</v>
      </c>
      <c r="CA33" s="416">
        <v>150</v>
      </c>
      <c r="CB33" s="416">
        <v>150</v>
      </c>
      <c r="CC33" s="393">
        <f>+BD33-AC33</f>
        <v>559.4</v>
      </c>
      <c r="CD33" s="393">
        <f t="shared" si="0"/>
        <v>559.4</v>
      </c>
    </row>
    <row r="34" spans="2:82" x14ac:dyDescent="0.3">
      <c r="B34" s="750" t="s">
        <v>260</v>
      </c>
      <c r="C34" s="751"/>
      <c r="D34" s="600">
        <v>100</v>
      </c>
      <c r="E34" s="600">
        <v>100</v>
      </c>
      <c r="F34" s="600">
        <v>100</v>
      </c>
      <c r="G34" s="600">
        <v>100</v>
      </c>
      <c r="H34" s="600">
        <v>100</v>
      </c>
      <c r="I34" s="600">
        <v>100</v>
      </c>
      <c r="J34" s="641">
        <v>100</v>
      </c>
      <c r="K34" s="642">
        <v>100</v>
      </c>
      <c r="L34" s="642">
        <v>100</v>
      </c>
      <c r="M34" s="642">
        <v>100</v>
      </c>
      <c r="N34" s="643">
        <v>100</v>
      </c>
      <c r="O34" s="643">
        <v>100</v>
      </c>
      <c r="P34" s="644">
        <v>100</v>
      </c>
      <c r="Q34" s="644">
        <v>100</v>
      </c>
      <c r="R34" s="645">
        <v>100</v>
      </c>
      <c r="S34" s="645">
        <v>100</v>
      </c>
      <c r="T34" s="643">
        <v>100</v>
      </c>
      <c r="U34" s="643">
        <v>100</v>
      </c>
      <c r="V34" s="643">
        <v>100</v>
      </c>
      <c r="W34" s="643">
        <v>100</v>
      </c>
      <c r="X34" s="643">
        <v>100</v>
      </c>
      <c r="Y34" s="643">
        <v>100</v>
      </c>
      <c r="Z34" s="643">
        <v>100</v>
      </c>
      <c r="AA34" s="643">
        <v>100</v>
      </c>
      <c r="AB34" s="643">
        <v>100</v>
      </c>
      <c r="AC34" s="415">
        <v>100</v>
      </c>
      <c r="AD34" s="643">
        <f>+SUMIF('[1]Monthly Detail'!$4:$4, AD15,'[1]Monthly Detail'!84:84)</f>
        <v>0</v>
      </c>
      <c r="AE34" s="643">
        <f>+SUMIF('[1]Monthly Detail'!$4:$4, AE15,'[1]Monthly Detail'!84:84)</f>
        <v>150</v>
      </c>
      <c r="AF34" s="643">
        <f>+SUMIF('[1]Monthly Detail'!$4:$4, AF15,'[1]Monthly Detail'!84:84)</f>
        <v>0</v>
      </c>
      <c r="AG34" s="643">
        <f>+SUMIF('[1]Monthly Detail'!$4:$4, AG15,'[1]Monthly Detail'!84:84)</f>
        <v>430</v>
      </c>
      <c r="AH34" s="643">
        <f>+SUMIF('[1]Monthly Detail'!$4:$4, AH15,'[1]Monthly Detail'!84:84)</f>
        <v>0</v>
      </c>
      <c r="AI34" s="643">
        <f>+SUMIF('[1]Monthly Detail'!$4:$4, AI15,'[1]Monthly Detail'!84:84)</f>
        <v>0</v>
      </c>
      <c r="AJ34" s="643">
        <f>+SUMIF('[1]Monthly Detail'!$4:$4, AJ15,'[1]Monthly Detail'!84:84)</f>
        <v>0</v>
      </c>
      <c r="AK34" s="643">
        <f>+SUMIF('[1]Monthly Detail'!$4:$4, AK15,'[1]Monthly Detail'!84:84)</f>
        <v>50</v>
      </c>
      <c r="AL34" s="643">
        <f>+SUMIF('[1]Monthly Detail'!$4:$4, AL15,'[1]Monthly Detail'!84:84)</f>
        <v>0</v>
      </c>
      <c r="AM34" s="643">
        <v>141.19</v>
      </c>
      <c r="AN34" s="643">
        <v>0</v>
      </c>
      <c r="AO34" s="643">
        <v>0</v>
      </c>
      <c r="AP34" s="643">
        <v>0</v>
      </c>
      <c r="AQ34" s="643"/>
      <c r="AR34" s="643"/>
      <c r="AS34" s="643">
        <v>472.9</v>
      </c>
      <c r="AT34" s="643">
        <v>45</v>
      </c>
      <c r="AU34" s="643">
        <v>485</v>
      </c>
      <c r="AV34" s="643">
        <v>424</v>
      </c>
      <c r="AW34" s="644">
        <v>152.63</v>
      </c>
      <c r="AX34" s="644">
        <v>0</v>
      </c>
      <c r="AY34" s="644">
        <v>246.05</v>
      </c>
      <c r="AZ34" s="644">
        <v>100</v>
      </c>
      <c r="BA34" s="644">
        <v>100</v>
      </c>
      <c r="BB34" s="644">
        <v>100</v>
      </c>
      <c r="BC34" s="644">
        <v>100</v>
      </c>
      <c r="BD34" s="415">
        <f>+SUMIF('Monthly Detail'!$4:$4, $B$14,'Monthly Detail'!86:86)</f>
        <v>150.38999999999999</v>
      </c>
      <c r="BE34" s="644">
        <v>100</v>
      </c>
      <c r="BF34" s="645">
        <v>100</v>
      </c>
      <c r="BG34" s="645">
        <v>100</v>
      </c>
      <c r="BH34" s="643">
        <v>100</v>
      </c>
      <c r="BI34" s="643">
        <v>100</v>
      </c>
      <c r="BJ34" s="693">
        <v>100</v>
      </c>
      <c r="BK34" s="645">
        <v>100</v>
      </c>
      <c r="BL34" s="645">
        <v>100</v>
      </c>
      <c r="BM34" s="645">
        <v>100</v>
      </c>
      <c r="BN34" s="645">
        <v>100</v>
      </c>
      <c r="BO34" s="645">
        <v>100</v>
      </c>
      <c r="BP34" s="645">
        <v>100</v>
      </c>
      <c r="BQ34" s="645">
        <v>100</v>
      </c>
      <c r="BR34" s="645">
        <v>0</v>
      </c>
      <c r="BS34" s="645">
        <v>0</v>
      </c>
      <c r="BT34" s="645">
        <v>50</v>
      </c>
      <c r="BU34" s="645">
        <v>0</v>
      </c>
      <c r="BV34" s="645">
        <v>0</v>
      </c>
      <c r="BW34" s="416">
        <v>50</v>
      </c>
      <c r="BX34" s="416">
        <v>0</v>
      </c>
      <c r="BY34" s="416">
        <v>0</v>
      </c>
      <c r="BZ34" s="416">
        <v>50</v>
      </c>
      <c r="CA34" s="416">
        <v>50</v>
      </c>
      <c r="CB34" s="416">
        <v>50</v>
      </c>
      <c r="CC34" s="393">
        <f>+BD34-AC34</f>
        <v>50.389999999999986</v>
      </c>
      <c r="CD34" s="393">
        <f t="shared" si="0"/>
        <v>100.38999999999999</v>
      </c>
    </row>
    <row r="35" spans="2:82" x14ac:dyDescent="0.3">
      <c r="B35" s="750" t="s">
        <v>261</v>
      </c>
      <c r="C35" s="751"/>
      <c r="D35" s="600">
        <v>0</v>
      </c>
      <c r="E35" s="600">
        <v>0</v>
      </c>
      <c r="F35" s="600">
        <v>0</v>
      </c>
      <c r="G35" s="600">
        <v>13.86</v>
      </c>
      <c r="H35" s="600">
        <v>0</v>
      </c>
      <c r="I35" s="600">
        <v>0</v>
      </c>
      <c r="J35" s="641">
        <v>0</v>
      </c>
      <c r="K35" s="642">
        <v>0</v>
      </c>
      <c r="L35" s="642">
        <v>0</v>
      </c>
      <c r="M35" s="642">
        <v>0</v>
      </c>
      <c r="N35" s="643">
        <v>0</v>
      </c>
      <c r="O35" s="643">
        <v>0</v>
      </c>
      <c r="P35" s="644">
        <v>0</v>
      </c>
      <c r="Q35" s="644">
        <v>42.58</v>
      </c>
      <c r="R35" s="645">
        <v>42.58</v>
      </c>
      <c r="S35" s="645">
        <v>42.58</v>
      </c>
      <c r="T35" s="643">
        <v>42.58</v>
      </c>
      <c r="U35" s="643">
        <v>42.58</v>
      </c>
      <c r="V35" s="643">
        <v>42.58</v>
      </c>
      <c r="W35" s="643">
        <v>42.58</v>
      </c>
      <c r="X35" s="643">
        <v>42.58</v>
      </c>
      <c r="Y35" s="643">
        <v>42.58</v>
      </c>
      <c r="Z35" s="643">
        <v>0</v>
      </c>
      <c r="AA35" s="643">
        <v>0</v>
      </c>
      <c r="AB35" s="643">
        <v>0</v>
      </c>
      <c r="AC35" s="415">
        <v>0</v>
      </c>
      <c r="AD35" s="643">
        <f>+SUMIF('[1]Monthly Detail'!$4:$4, AD15,'[1]Monthly Detail'!85:85)</f>
        <v>0</v>
      </c>
      <c r="AE35" s="643">
        <f>+SUMIF('[1]Monthly Detail'!$4:$4, AE15,'[1]Monthly Detail'!85:85)</f>
        <v>0</v>
      </c>
      <c r="AF35" s="643">
        <f>+SUMIF('[1]Monthly Detail'!$4:$4, AF15,'[1]Monthly Detail'!85:85)</f>
        <v>13.86</v>
      </c>
      <c r="AG35" s="643">
        <f>+SUMIF('[1]Monthly Detail'!$4:$4, AG15,'[1]Monthly Detail'!85:85)</f>
        <v>0</v>
      </c>
      <c r="AH35" s="643">
        <f>+SUMIF('[1]Monthly Detail'!$4:$4, AH15,'[1]Monthly Detail'!85:85)</f>
        <v>0</v>
      </c>
      <c r="AI35" s="643">
        <f>+SUMIF('[1]Monthly Detail'!$4:$4, AI15,'[1]Monthly Detail'!85:85)</f>
        <v>0</v>
      </c>
      <c r="AJ35" s="643">
        <f>+SUMIF('[1]Monthly Detail'!$4:$4, AJ15,'[1]Monthly Detail'!85:85)</f>
        <v>0</v>
      </c>
      <c r="AK35" s="643">
        <f>+SUMIF('[1]Monthly Detail'!$4:$4, AK15,'[1]Monthly Detail'!85:85)</f>
        <v>0</v>
      </c>
      <c r="AL35" s="643">
        <f>+SUMIF('[1]Monthly Detail'!$4:$4, AL15,'[1]Monthly Detail'!85:85)</f>
        <v>0</v>
      </c>
      <c r="AM35" s="643">
        <v>0</v>
      </c>
      <c r="AN35" s="643">
        <v>0</v>
      </c>
      <c r="AO35" s="643">
        <v>0</v>
      </c>
      <c r="AP35" s="643">
        <v>42.58</v>
      </c>
      <c r="AQ35" s="643"/>
      <c r="AR35" s="643"/>
      <c r="AS35" s="643">
        <v>0</v>
      </c>
      <c r="AT35" s="643">
        <v>0</v>
      </c>
      <c r="AU35" s="643">
        <v>0</v>
      </c>
      <c r="AV35" s="643">
        <v>0</v>
      </c>
      <c r="AW35" s="644">
        <v>0</v>
      </c>
      <c r="AX35" s="644">
        <v>0</v>
      </c>
      <c r="AY35" s="644">
        <v>0</v>
      </c>
      <c r="AZ35" s="644">
        <v>0</v>
      </c>
      <c r="BA35" s="644">
        <v>0</v>
      </c>
      <c r="BB35" s="644">
        <v>0</v>
      </c>
      <c r="BC35" s="644">
        <v>0</v>
      </c>
      <c r="BD35" s="415">
        <f>+SUMIF('Monthly Detail'!$4:$4, $B$14,'Monthly Detail'!87:87)</f>
        <v>0</v>
      </c>
      <c r="BE35" s="644">
        <v>0</v>
      </c>
      <c r="BF35" s="645">
        <v>0</v>
      </c>
      <c r="BG35" s="645">
        <v>0</v>
      </c>
      <c r="BH35" s="643">
        <v>0</v>
      </c>
      <c r="BI35" s="643">
        <v>0</v>
      </c>
      <c r="BJ35" s="693">
        <v>0</v>
      </c>
      <c r="BK35" s="645">
        <v>0</v>
      </c>
      <c r="BL35" s="645">
        <v>0</v>
      </c>
      <c r="BM35" s="645">
        <v>0</v>
      </c>
      <c r="BN35" s="645">
        <v>0</v>
      </c>
      <c r="BO35" s="645">
        <v>0</v>
      </c>
      <c r="BP35" s="645">
        <v>0</v>
      </c>
      <c r="BQ35" s="645">
        <v>42.58</v>
      </c>
      <c r="BR35" s="645">
        <v>42.58</v>
      </c>
      <c r="BS35" s="645">
        <v>42.58</v>
      </c>
      <c r="BT35" s="645">
        <v>42.58</v>
      </c>
      <c r="BU35" s="645">
        <v>42.58</v>
      </c>
      <c r="BV35" s="645">
        <v>42.58</v>
      </c>
      <c r="BW35" s="416">
        <v>42.58</v>
      </c>
      <c r="BX35" s="416">
        <v>42.58</v>
      </c>
      <c r="BY35" s="416">
        <v>42.58</v>
      </c>
      <c r="BZ35" s="416">
        <v>42.58</v>
      </c>
      <c r="CA35" s="416">
        <v>42.58</v>
      </c>
      <c r="CB35" s="416">
        <v>42.58</v>
      </c>
      <c r="CC35" s="393">
        <f>+BD35-AC35</f>
        <v>0</v>
      </c>
      <c r="CD35" s="393">
        <f t="shared" si="0"/>
        <v>-42.58</v>
      </c>
    </row>
    <row r="36" spans="2:82" x14ac:dyDescent="0.3">
      <c r="B36" s="750" t="s">
        <v>262</v>
      </c>
      <c r="C36" s="751"/>
      <c r="D36" s="600">
        <v>75</v>
      </c>
      <c r="E36" s="600">
        <v>225</v>
      </c>
      <c r="F36" s="600">
        <v>75</v>
      </c>
      <c r="G36" s="600">
        <v>75</v>
      </c>
      <c r="H36" s="600">
        <v>225</v>
      </c>
      <c r="I36" s="600">
        <v>75</v>
      </c>
      <c r="J36" s="641">
        <v>112.5</v>
      </c>
      <c r="K36" s="642">
        <v>225</v>
      </c>
      <c r="L36" s="642">
        <v>75</v>
      </c>
      <c r="M36" s="642">
        <v>75</v>
      </c>
      <c r="N36" s="643">
        <v>225</v>
      </c>
      <c r="O36" s="643">
        <v>150</v>
      </c>
      <c r="P36" s="644">
        <v>200</v>
      </c>
      <c r="Q36" s="644">
        <v>200</v>
      </c>
      <c r="R36" s="645">
        <v>200</v>
      </c>
      <c r="S36" s="645">
        <v>200</v>
      </c>
      <c r="T36" s="643">
        <v>200</v>
      </c>
      <c r="U36" s="643">
        <v>200</v>
      </c>
      <c r="V36" s="643">
        <v>200</v>
      </c>
      <c r="W36" s="643">
        <v>200</v>
      </c>
      <c r="X36" s="643">
        <v>200</v>
      </c>
      <c r="Y36" s="643">
        <v>200</v>
      </c>
      <c r="Z36" s="643">
        <v>375</v>
      </c>
      <c r="AA36" s="643">
        <v>500</v>
      </c>
      <c r="AB36" s="643">
        <v>275</v>
      </c>
      <c r="AC36" s="415">
        <v>600</v>
      </c>
      <c r="AD36" s="643">
        <f>+SUMIF('[1]Monthly Detail'!$4:$4, AD15,'[1]Monthly Detail'!86:86)</f>
        <v>75</v>
      </c>
      <c r="AE36" s="643">
        <f>+SUMIF('[1]Monthly Detail'!$4:$4, AE15,'[1]Monthly Detail'!86:86)</f>
        <v>225</v>
      </c>
      <c r="AF36" s="643">
        <f>+SUMIF('[1]Monthly Detail'!$4:$4, AF15,'[1]Monthly Detail'!86:86)</f>
        <v>75</v>
      </c>
      <c r="AG36" s="643">
        <f>+SUMIF('[1]Monthly Detail'!$4:$4, AG15,'[1]Monthly Detail'!86:86)</f>
        <v>75</v>
      </c>
      <c r="AH36" s="643">
        <f>+SUMIF('[1]Monthly Detail'!$4:$4, AH15,'[1]Monthly Detail'!86:86)</f>
        <v>225</v>
      </c>
      <c r="AI36" s="643">
        <f>+SUMIF('[1]Monthly Detail'!$4:$4, AI15,'[1]Monthly Detail'!86:86)</f>
        <v>75</v>
      </c>
      <c r="AJ36" s="643">
        <f>+SUMIF('[1]Monthly Detail'!$4:$4, AJ15,'[1]Monthly Detail'!86:86)</f>
        <v>112.5</v>
      </c>
      <c r="AK36" s="643">
        <f>+SUMIF('[1]Monthly Detail'!$4:$4, AK15,'[1]Monthly Detail'!86:86)</f>
        <v>225</v>
      </c>
      <c r="AL36" s="643">
        <f>+SUMIF('[1]Monthly Detail'!$4:$4, AL15,'[1]Monthly Detail'!86:86)</f>
        <v>75</v>
      </c>
      <c r="AM36" s="643">
        <v>75</v>
      </c>
      <c r="AN36" s="643">
        <v>225</v>
      </c>
      <c r="AO36" s="643">
        <v>185</v>
      </c>
      <c r="AP36" s="643">
        <v>207.5</v>
      </c>
      <c r="AQ36" s="643"/>
      <c r="AR36" s="643"/>
      <c r="AS36" s="643">
        <v>241.25</v>
      </c>
      <c r="AT36" s="643">
        <v>140</v>
      </c>
      <c r="AU36" s="643">
        <v>711.25</v>
      </c>
      <c r="AV36" s="643">
        <v>412.5</v>
      </c>
      <c r="AW36" s="644">
        <v>1155.73</v>
      </c>
      <c r="AX36" s="644">
        <v>415</v>
      </c>
      <c r="AY36" s="644">
        <v>356.25</v>
      </c>
      <c r="AZ36" s="644">
        <v>281.25</v>
      </c>
      <c r="BA36" s="644">
        <v>281.25</v>
      </c>
      <c r="BB36" s="644">
        <v>281.25</v>
      </c>
      <c r="BC36" s="644">
        <v>281.25</v>
      </c>
      <c r="BD36" s="415">
        <f>+SUMIF('Monthly Detail'!$4:$4, $B$14,'Monthly Detail'!88:88)</f>
        <v>581.25</v>
      </c>
      <c r="BE36" s="644">
        <v>75</v>
      </c>
      <c r="BF36" s="645">
        <v>75</v>
      </c>
      <c r="BG36" s="645">
        <v>225</v>
      </c>
      <c r="BH36" s="643">
        <v>75</v>
      </c>
      <c r="BI36" s="643">
        <v>75</v>
      </c>
      <c r="BJ36" s="693">
        <v>225</v>
      </c>
      <c r="BK36" s="645">
        <v>75</v>
      </c>
      <c r="BL36" s="645">
        <v>75</v>
      </c>
      <c r="BM36" s="645">
        <v>225</v>
      </c>
      <c r="BN36" s="645">
        <v>75</v>
      </c>
      <c r="BO36" s="645">
        <v>75</v>
      </c>
      <c r="BP36" s="645">
        <v>225</v>
      </c>
      <c r="BQ36" s="645">
        <v>200</v>
      </c>
      <c r="BR36" s="645">
        <v>200</v>
      </c>
      <c r="BS36" s="645">
        <v>600</v>
      </c>
      <c r="BT36" s="645">
        <v>350</v>
      </c>
      <c r="BU36" s="645">
        <v>200</v>
      </c>
      <c r="BV36" s="645">
        <v>200</v>
      </c>
      <c r="BW36" s="416">
        <v>350</v>
      </c>
      <c r="BX36" s="416">
        <v>200</v>
      </c>
      <c r="BY36" s="416">
        <v>200</v>
      </c>
      <c r="BZ36" s="416">
        <v>350</v>
      </c>
      <c r="CA36" s="416">
        <v>200</v>
      </c>
      <c r="CB36" s="416">
        <v>200</v>
      </c>
      <c r="CC36" s="393">
        <f>+BD36-AC36</f>
        <v>-18.75</v>
      </c>
      <c r="CD36" s="393">
        <f t="shared" si="0"/>
        <v>231.25</v>
      </c>
    </row>
    <row r="37" spans="2:82" x14ac:dyDescent="0.3">
      <c r="B37" s="750" t="s">
        <v>263</v>
      </c>
      <c r="C37" s="751"/>
      <c r="D37" s="600">
        <v>28.905000000000001</v>
      </c>
      <c r="E37" s="600">
        <v>20.33666666666667</v>
      </c>
      <c r="F37" s="600">
        <v>58.913333333333327</v>
      </c>
      <c r="G37" s="600">
        <v>38.104999999999997</v>
      </c>
      <c r="H37" s="600">
        <v>30.791666666666668</v>
      </c>
      <c r="I37" s="600">
        <v>31.453999999999997</v>
      </c>
      <c r="J37" s="641">
        <v>23.344999999999999</v>
      </c>
      <c r="K37" s="642">
        <v>17.718333333333334</v>
      </c>
      <c r="L37" s="642">
        <v>9.9583333333333339</v>
      </c>
      <c r="M37" s="642">
        <v>5.8833333333333329</v>
      </c>
      <c r="N37" s="643">
        <v>2.4500000000000002</v>
      </c>
      <c r="O37" s="643">
        <v>2.4500000000000002</v>
      </c>
      <c r="P37" s="644">
        <v>8.2800000000000011</v>
      </c>
      <c r="Q37" s="644">
        <v>13.216666666666669</v>
      </c>
      <c r="R37" s="645">
        <v>21.366666666666664</v>
      </c>
      <c r="S37" s="645">
        <v>30.3</v>
      </c>
      <c r="T37" s="643">
        <v>30.3</v>
      </c>
      <c r="U37" s="643">
        <v>30.3</v>
      </c>
      <c r="V37" s="643">
        <v>30.3</v>
      </c>
      <c r="W37" s="643">
        <v>29</v>
      </c>
      <c r="X37" s="643">
        <v>29</v>
      </c>
      <c r="Y37" s="643">
        <v>29</v>
      </c>
      <c r="Z37" s="643">
        <v>13</v>
      </c>
      <c r="AA37" s="643">
        <v>10.4</v>
      </c>
      <c r="AB37" s="643">
        <v>8.6666666666666661</v>
      </c>
      <c r="AC37" s="415">
        <v>0.33333333333333331</v>
      </c>
      <c r="AD37" s="643">
        <f>+SUMIF('[1]Monthly Detail'!$4:$4, AD15,'[1]Monthly Detail'!87:87)</f>
        <v>33.76</v>
      </c>
      <c r="AE37" s="643">
        <f>+SUMIF('[1]Monthly Detail'!$4:$4, AE15,'[1]Monthly Detail'!87:87)</f>
        <v>48.31</v>
      </c>
      <c r="AF37" s="643">
        <f>+SUMIF('[1]Monthly Detail'!$4:$4, AF15,'[1]Monthly Detail'!87:87)</f>
        <v>29</v>
      </c>
      <c r="AG37" s="643">
        <f>+SUMIF('[1]Monthly Detail'!$4:$4, AG15,'[1]Monthly Detail'!87:87)</f>
        <v>29</v>
      </c>
      <c r="AH37" s="643">
        <f>+SUMIF('[1]Monthly Detail'!$4:$4, AH15,'[1]Monthly Detail'!87:87)</f>
        <v>0</v>
      </c>
      <c r="AI37" s="643">
        <f>+SUMIF('[1]Monthly Detail'!$4:$4, AI15,'[1]Monthly Detail'!87:87)</f>
        <v>0</v>
      </c>
      <c r="AJ37" s="643">
        <f>+SUMIF('[1]Monthly Detail'!$4:$4, AJ15,'[1]Monthly Detail'!87:87)</f>
        <v>0</v>
      </c>
      <c r="AK37" s="643">
        <f>+SUMIF('[1]Monthly Detail'!$4:$4, AK15,'[1]Monthly Detail'!87:87)</f>
        <v>1.75</v>
      </c>
      <c r="AL37" s="643">
        <f>+SUMIF('[1]Monthly Detail'!$4:$4, AL15,'[1]Monthly Detail'!87:87)</f>
        <v>4.55</v>
      </c>
      <c r="AM37" s="643">
        <v>3.5</v>
      </c>
      <c r="AN37" s="643">
        <v>0</v>
      </c>
      <c r="AO37" s="643">
        <v>31.6</v>
      </c>
      <c r="AP37" s="643">
        <v>0</v>
      </c>
      <c r="AQ37" s="643"/>
      <c r="AR37" s="643"/>
      <c r="AS37" s="643">
        <v>0</v>
      </c>
      <c r="AT37" s="643">
        <v>0</v>
      </c>
      <c r="AU37" s="643">
        <v>0</v>
      </c>
      <c r="AV37" s="643">
        <v>0</v>
      </c>
      <c r="AW37" s="644">
        <v>52</v>
      </c>
      <c r="AX37" s="644">
        <v>0</v>
      </c>
      <c r="AY37" s="644">
        <v>0</v>
      </c>
      <c r="AZ37" s="644">
        <v>0</v>
      </c>
      <c r="BA37" s="644">
        <v>0</v>
      </c>
      <c r="BB37" s="644">
        <v>0</v>
      </c>
      <c r="BC37" s="644">
        <v>0</v>
      </c>
      <c r="BD37" s="415">
        <f>+SUMIF('Monthly Detail'!$4:$4, $B$14,'Monthly Detail'!89:89)</f>
        <v>80.44</v>
      </c>
      <c r="BE37" s="644">
        <v>31.453999999999997</v>
      </c>
      <c r="BF37" s="645">
        <v>31.453999999999997</v>
      </c>
      <c r="BG37" s="645">
        <v>31.453999999999997</v>
      </c>
      <c r="BH37" s="643">
        <v>31.454000000000001</v>
      </c>
      <c r="BI37" s="643">
        <v>31.453999999999997</v>
      </c>
      <c r="BJ37" s="693">
        <v>31.453999999999997</v>
      </c>
      <c r="BK37" s="645">
        <v>31.453999999999997</v>
      </c>
      <c r="BL37" s="645">
        <v>31.453999999999997</v>
      </c>
      <c r="BM37" s="645">
        <v>31.453999999999997</v>
      </c>
      <c r="BN37" s="645">
        <v>31.453999999999997</v>
      </c>
      <c r="BO37" s="645">
        <v>31.453999999999997</v>
      </c>
      <c r="BP37" s="645">
        <v>31.453999999999997</v>
      </c>
      <c r="BQ37" s="645">
        <v>29</v>
      </c>
      <c r="BR37" s="645">
        <v>30.3</v>
      </c>
      <c r="BS37" s="645">
        <v>30.3</v>
      </c>
      <c r="BT37" s="645">
        <v>30.3</v>
      </c>
      <c r="BU37" s="645">
        <v>30.3</v>
      </c>
      <c r="BV37" s="645">
        <v>30.3</v>
      </c>
      <c r="BW37" s="416">
        <v>30.3</v>
      </c>
      <c r="BX37" s="416">
        <v>30.3</v>
      </c>
      <c r="BY37" s="416">
        <v>30.3</v>
      </c>
      <c r="BZ37" s="416">
        <v>30.3</v>
      </c>
      <c r="CA37" s="416">
        <v>30.3</v>
      </c>
      <c r="CB37" s="416">
        <v>30.3</v>
      </c>
      <c r="CC37" s="393">
        <f>+BD37-AC37</f>
        <v>80.106666666666669</v>
      </c>
      <c r="CD37" s="393">
        <f t="shared" si="0"/>
        <v>50.14</v>
      </c>
    </row>
    <row r="38" spans="2:82" x14ac:dyDescent="0.3">
      <c r="B38" s="750" t="s">
        <v>264</v>
      </c>
      <c r="C38" s="751"/>
      <c r="D38" s="600">
        <v>0</v>
      </c>
      <c r="E38" s="600"/>
      <c r="F38" s="600">
        <v>0</v>
      </c>
      <c r="G38" s="600">
        <v>0</v>
      </c>
      <c r="H38" s="600">
        <v>0</v>
      </c>
      <c r="I38" s="600"/>
      <c r="J38" s="641">
        <v>0</v>
      </c>
      <c r="K38" s="642">
        <v>0</v>
      </c>
      <c r="L38" s="642">
        <v>0</v>
      </c>
      <c r="M38" s="642">
        <v>0</v>
      </c>
      <c r="N38" s="643">
        <v>0</v>
      </c>
      <c r="O38" s="643">
        <v>0</v>
      </c>
      <c r="P38" s="644">
        <v>218.02</v>
      </c>
      <c r="Q38" s="644">
        <v>106.49666666666667</v>
      </c>
      <c r="R38" s="645">
        <v>121.30000000000001</v>
      </c>
      <c r="S38" s="645">
        <v>289.14</v>
      </c>
      <c r="T38" s="643">
        <v>289.14</v>
      </c>
      <c r="U38" s="643">
        <v>289.14</v>
      </c>
      <c r="V38" s="643">
        <v>289.14</v>
      </c>
      <c r="W38" s="643">
        <v>295.73500000000001</v>
      </c>
      <c r="X38" s="643">
        <v>295.73500000000001</v>
      </c>
      <c r="Y38" s="643">
        <v>295.73500000000001</v>
      </c>
      <c r="Z38" s="643">
        <v>225.60000000000002</v>
      </c>
      <c r="AA38" s="643">
        <v>294.64750000000004</v>
      </c>
      <c r="AB38" s="643">
        <v>352.79750000000001</v>
      </c>
      <c r="AC38" s="415">
        <v>358.89600000000002</v>
      </c>
      <c r="AD38" s="643">
        <f>+SUMIF('[1]Monthly Detail'!$4:$4, AD15,'[1]Monthly Detail'!88:88)</f>
        <v>0</v>
      </c>
      <c r="AE38" s="643">
        <f>+SUMIF('[1]Monthly Detail'!$4:$4, AE15,'[1]Monthly Detail'!88:88)</f>
        <v>0</v>
      </c>
      <c r="AF38" s="643">
        <f>+SUMIF('[1]Monthly Detail'!$4:$4, AF15,'[1]Monthly Detail'!88:88)</f>
        <v>0</v>
      </c>
      <c r="AG38" s="643">
        <f>+SUMIF('[1]Monthly Detail'!$4:$4, AG15,'[1]Monthly Detail'!88:88)</f>
        <v>0</v>
      </c>
      <c r="AH38" s="643">
        <f>+SUMIF('[1]Monthly Detail'!$4:$4, AH15,'[1]Monthly Detail'!88:88)</f>
        <v>0</v>
      </c>
      <c r="AI38" s="643">
        <f>+SUMIF('[1]Monthly Detail'!$4:$4, AI15,'[1]Monthly Detail'!88:88)</f>
        <v>0</v>
      </c>
      <c r="AJ38" s="643">
        <f>+SUMIF('[1]Monthly Detail'!$4:$4, AJ15,'[1]Monthly Detail'!88:88)</f>
        <v>0</v>
      </c>
      <c r="AK38" s="643">
        <f>+SUMIF('[1]Monthly Detail'!$4:$4, AK15,'[1]Monthly Detail'!88:88)</f>
        <v>0</v>
      </c>
      <c r="AL38" s="643">
        <f>+SUMIF('[1]Monthly Detail'!$4:$4, AL15,'[1]Monthly Detail'!88:88)</f>
        <v>0</v>
      </c>
      <c r="AM38" s="643">
        <v>0</v>
      </c>
      <c r="AN38" s="643">
        <v>0</v>
      </c>
      <c r="AO38" s="643">
        <v>218.02</v>
      </c>
      <c r="AP38" s="643">
        <v>57.06</v>
      </c>
      <c r="AQ38" s="643"/>
      <c r="AR38" s="643"/>
      <c r="AS38" s="643">
        <v>837.07</v>
      </c>
      <c r="AT38" s="643">
        <v>0</v>
      </c>
      <c r="AU38" s="643">
        <v>50</v>
      </c>
      <c r="AV38" s="643">
        <v>251.46</v>
      </c>
      <c r="AW38" s="644">
        <v>0</v>
      </c>
      <c r="AX38" s="644">
        <v>0</v>
      </c>
      <c r="AY38" s="644">
        <v>285.64999999999998</v>
      </c>
      <c r="AZ38" s="644">
        <v>315.29000000000002</v>
      </c>
      <c r="BA38" s="644">
        <v>315.29000000000002</v>
      </c>
      <c r="BB38" s="644">
        <v>315.29000000000002</v>
      </c>
      <c r="BC38" s="644">
        <v>315.29000000000002</v>
      </c>
      <c r="BD38" s="415">
        <f>+SUMIF('Monthly Detail'!$4:$4, $B$14,'Monthly Detail'!90:90)</f>
        <v>677.01</v>
      </c>
      <c r="BE38" s="644"/>
      <c r="BF38" s="645"/>
      <c r="BG38" s="645"/>
      <c r="BH38" s="643"/>
      <c r="BI38" s="643"/>
      <c r="BJ38" s="693">
        <v>0</v>
      </c>
      <c r="BK38" s="645">
        <v>0</v>
      </c>
      <c r="BL38" s="645">
        <v>0</v>
      </c>
      <c r="BM38" s="645"/>
      <c r="BN38" s="645"/>
      <c r="BO38" s="645"/>
      <c r="BP38" s="645"/>
      <c r="BQ38" s="645">
        <v>247.13500000000002</v>
      </c>
      <c r="BR38" s="645">
        <v>289.14</v>
      </c>
      <c r="BS38" s="645">
        <v>289.14</v>
      </c>
      <c r="BT38" s="645">
        <v>289.14</v>
      </c>
      <c r="BU38" s="645">
        <v>289.14</v>
      </c>
      <c r="BV38" s="645">
        <v>289.14</v>
      </c>
      <c r="BW38" s="416">
        <v>289.14</v>
      </c>
      <c r="BX38" s="416">
        <v>289.14</v>
      </c>
      <c r="BY38" s="416">
        <v>289.14</v>
      </c>
      <c r="BZ38" s="416">
        <v>289.14</v>
      </c>
      <c r="CA38" s="416">
        <v>289.14</v>
      </c>
      <c r="CB38" s="416">
        <v>289.14</v>
      </c>
      <c r="CC38" s="393">
        <f>+BD38-AC38</f>
        <v>318.11399999999998</v>
      </c>
      <c r="CD38" s="393">
        <f t="shared" si="0"/>
        <v>387.87</v>
      </c>
    </row>
    <row r="39" spans="2:82" x14ac:dyDescent="0.3">
      <c r="B39" s="750" t="s">
        <v>265</v>
      </c>
      <c r="C39" s="751"/>
      <c r="D39" s="600">
        <v>93.21</v>
      </c>
      <c r="E39" s="600">
        <v>194.71</v>
      </c>
      <c r="F39" s="600">
        <v>210.47</v>
      </c>
      <c r="G39" s="600">
        <v>313.33999999999997</v>
      </c>
      <c r="H39" s="600">
        <v>226.36</v>
      </c>
      <c r="I39" s="600">
        <v>105.16</v>
      </c>
      <c r="J39" s="641">
        <v>124.93</v>
      </c>
      <c r="K39" s="642">
        <v>156.19</v>
      </c>
      <c r="L39" s="642">
        <v>141.66999999999999</v>
      </c>
      <c r="M39" s="642">
        <v>145.28</v>
      </c>
      <c r="N39" s="643">
        <v>141.1</v>
      </c>
      <c r="O39" s="643">
        <v>247.63911170144925</v>
      </c>
      <c r="P39" s="644">
        <v>339.03333674686911</v>
      </c>
      <c r="Q39" s="644">
        <v>335.89847710302689</v>
      </c>
      <c r="R39" s="645">
        <v>257.52077062457164</v>
      </c>
      <c r="S39" s="645">
        <v>178.5279525095095</v>
      </c>
      <c r="T39" s="643">
        <v>178.5279525095095</v>
      </c>
      <c r="U39" s="643">
        <v>178.5279525095095</v>
      </c>
      <c r="V39" s="643">
        <v>178.5279525095095</v>
      </c>
      <c r="W39" s="643">
        <v>238.92854557032297</v>
      </c>
      <c r="X39" s="643">
        <v>238.92854557032297</v>
      </c>
      <c r="Y39" s="643">
        <v>238.92854557032297</v>
      </c>
      <c r="Z39" s="643">
        <v>364.67414526425631</v>
      </c>
      <c r="AA39" s="643">
        <v>509.55028256194942</v>
      </c>
      <c r="AB39" s="643">
        <v>527.38242896446025</v>
      </c>
      <c r="AC39" s="415">
        <v>677.12335253839251</v>
      </c>
      <c r="AD39" s="643">
        <f>+SUMIF('[1]Monthly Detail'!$4:$4, AD15,'[1]Monthly Detail'!89:89)</f>
        <v>194.71</v>
      </c>
      <c r="AE39" s="643">
        <f>+SUMIF('[1]Monthly Detail'!$4:$4, AE15,'[1]Monthly Detail'!89:89)</f>
        <v>210.47</v>
      </c>
      <c r="AF39" s="643">
        <f>+SUMIF('[1]Monthly Detail'!$4:$4, AF15,'[1]Monthly Detail'!89:89)</f>
        <v>313.33999999999997</v>
      </c>
      <c r="AG39" s="643">
        <f>+SUMIF('[1]Monthly Detail'!$4:$4, AG15,'[1]Monthly Detail'!89:89)</f>
        <v>205.12</v>
      </c>
      <c r="AH39" s="643">
        <f>+SUMIF('[1]Monthly Detail'!$4:$4, AH15,'[1]Monthly Detail'!89:89)</f>
        <v>105.16</v>
      </c>
      <c r="AI39" s="643">
        <f>+SUMIF('[1]Monthly Detail'!$4:$4, AI15,'[1]Monthly Detail'!89:89)</f>
        <v>124.93</v>
      </c>
      <c r="AJ39" s="643">
        <f>+SUMIF('[1]Monthly Detail'!$4:$4, AJ15,'[1]Monthly Detail'!89:89)</f>
        <v>156.19</v>
      </c>
      <c r="AK39" s="643">
        <f>+SUMIF('[1]Monthly Detail'!$4:$4, AK15,'[1]Monthly Detail'!89:89)</f>
        <v>141.66999999999999</v>
      </c>
      <c r="AL39" s="643">
        <f>+SUMIF('[1]Monthly Detail'!$4:$4, AL15,'[1]Monthly Detail'!89:89)</f>
        <v>145.28</v>
      </c>
      <c r="AM39" s="643">
        <v>173.37</v>
      </c>
      <c r="AN39" s="643">
        <v>236.32</v>
      </c>
      <c r="AO39" s="643">
        <v>228.28</v>
      </c>
      <c r="AP39" s="643">
        <v>404.2</v>
      </c>
      <c r="AQ39" s="643"/>
      <c r="AR39" s="643"/>
      <c r="AS39" s="643">
        <v>315.97000000000003</v>
      </c>
      <c r="AT39" s="643">
        <v>199.98</v>
      </c>
      <c r="AU39" s="643">
        <v>229.96</v>
      </c>
      <c r="AV39" s="643">
        <v>281.20999999999998</v>
      </c>
      <c r="AW39" s="644">
        <v>303.5</v>
      </c>
      <c r="AX39" s="644">
        <v>167.72</v>
      </c>
      <c r="AY39" s="644">
        <v>171.91</v>
      </c>
      <c r="AZ39" s="644">
        <v>212.1</v>
      </c>
      <c r="BA39" s="644">
        <v>212.1</v>
      </c>
      <c r="BB39" s="644">
        <v>212.1</v>
      </c>
      <c r="BC39" s="644">
        <v>212.1</v>
      </c>
      <c r="BD39" s="415">
        <f>+SUMIF('Monthly Detail'!$4:$4, $B$14,'Monthly Detail'!91:91)</f>
        <v>921.67</v>
      </c>
      <c r="BE39" s="644">
        <v>105.16</v>
      </c>
      <c r="BF39" s="645">
        <v>105.16</v>
      </c>
      <c r="BG39" s="645">
        <v>105.16</v>
      </c>
      <c r="BH39" s="643">
        <v>105.16</v>
      </c>
      <c r="BI39" s="643">
        <v>105.16</v>
      </c>
      <c r="BJ39" s="693">
        <v>105.16</v>
      </c>
      <c r="BK39" s="645">
        <v>105.16</v>
      </c>
      <c r="BL39" s="645">
        <v>105.16</v>
      </c>
      <c r="BM39" s="645">
        <v>105.16</v>
      </c>
      <c r="BN39" s="645">
        <v>105.16</v>
      </c>
      <c r="BO39" s="645">
        <v>105.16</v>
      </c>
      <c r="BP39" s="645">
        <v>105.16</v>
      </c>
      <c r="BQ39" s="645">
        <v>340.0568486568493</v>
      </c>
      <c r="BR39" s="645">
        <v>409.97033333545528</v>
      </c>
      <c r="BS39" s="645">
        <v>241.41890722142278</v>
      </c>
      <c r="BT39" s="645">
        <v>317.58835350284772</v>
      </c>
      <c r="BU39" s="645">
        <v>346.67601405658729</v>
      </c>
      <c r="BV39" s="645">
        <v>187.65390812734768</v>
      </c>
      <c r="BW39" s="416">
        <v>350.75981370191033</v>
      </c>
      <c r="BX39" s="416">
        <v>512.3771305011212</v>
      </c>
      <c r="BY39" s="416">
        <v>391.57446386766111</v>
      </c>
      <c r="BZ39" s="416">
        <v>504.77554511538784</v>
      </c>
      <c r="CA39" s="416">
        <v>284.16738960316599</v>
      </c>
      <c r="CB39" s="416">
        <v>203.09559886255104</v>
      </c>
      <c r="CC39" s="393">
        <f>+BD39-AC39</f>
        <v>244.54664746160745</v>
      </c>
      <c r="CD39" s="393">
        <f t="shared" si="0"/>
        <v>416.89445488461212</v>
      </c>
    </row>
    <row r="40" spans="2:82" x14ac:dyDescent="0.3">
      <c r="B40" s="750" t="s">
        <v>266</v>
      </c>
      <c r="C40" s="751"/>
      <c r="D40" s="600">
        <v>0</v>
      </c>
      <c r="E40" s="600">
        <v>0</v>
      </c>
      <c r="F40" s="600">
        <v>0</v>
      </c>
      <c r="G40" s="600">
        <v>171.41666666666666</v>
      </c>
      <c r="H40" s="600">
        <v>234.625</v>
      </c>
      <c r="I40" s="600">
        <v>296.16666666666669</v>
      </c>
      <c r="J40" s="641">
        <v>416.75</v>
      </c>
      <c r="K40" s="642">
        <v>316.75</v>
      </c>
      <c r="L40" s="642">
        <v>0</v>
      </c>
      <c r="M40" s="642">
        <v>0</v>
      </c>
      <c r="N40" s="643">
        <v>0</v>
      </c>
      <c r="O40" s="643">
        <v>0</v>
      </c>
      <c r="P40" s="644">
        <v>0</v>
      </c>
      <c r="Q40" s="644">
        <v>490</v>
      </c>
      <c r="R40" s="645">
        <v>376.25</v>
      </c>
      <c r="S40" s="645">
        <v>376.25</v>
      </c>
      <c r="T40" s="643">
        <v>376.25</v>
      </c>
      <c r="U40" s="643">
        <v>376.25</v>
      </c>
      <c r="V40" s="643">
        <v>376.25</v>
      </c>
      <c r="W40" s="643">
        <v>262.5</v>
      </c>
      <c r="X40" s="643">
        <v>262.5</v>
      </c>
      <c r="Y40" s="643">
        <v>262.5</v>
      </c>
      <c r="Z40" s="643">
        <v>471.25</v>
      </c>
      <c r="AA40" s="643">
        <v>405.83333333333331</v>
      </c>
      <c r="AB40" s="643">
        <v>326.375</v>
      </c>
      <c r="AC40" s="415">
        <v>199.5</v>
      </c>
      <c r="AD40" s="643">
        <f>+SUMIF('[1]Monthly Detail'!$4:$4, AD15,'[1]Monthly Detail'!90:90)</f>
        <v>200</v>
      </c>
      <c r="AE40" s="643">
        <f>+SUMIF('[1]Monthly Detail'!$4:$4, AE15,'[1]Monthly Detail'!90:90)</f>
        <v>633.5</v>
      </c>
      <c r="AF40" s="643">
        <f>+SUMIF('[1]Monthly Detail'!$4:$4, AF15,'[1]Monthly Detail'!90:90)</f>
        <v>0</v>
      </c>
      <c r="AG40" s="643">
        <f>+SUMIF('[1]Monthly Detail'!$4:$4, AG15,'[1]Monthly Detail'!90:90)</f>
        <v>0</v>
      </c>
      <c r="AH40" s="643">
        <f>+SUMIF('[1]Monthly Detail'!$4:$4, AH15,'[1]Monthly Detail'!90:90)</f>
        <v>0</v>
      </c>
      <c r="AI40" s="643">
        <f>+SUMIF('[1]Monthly Detail'!$4:$4, AI15,'[1]Monthly Detail'!90:90)</f>
        <v>0</v>
      </c>
      <c r="AJ40" s="643">
        <f>+SUMIF('[1]Monthly Detail'!$4:$4, AJ15,'[1]Monthly Detail'!90:90)</f>
        <v>0</v>
      </c>
      <c r="AK40" s="643">
        <f>+SUMIF('[1]Monthly Detail'!$4:$4, AK15,'[1]Monthly Detail'!90:90)</f>
        <v>0</v>
      </c>
      <c r="AL40" s="643">
        <f>+SUMIF('[1]Monthly Detail'!$4:$4, AL15,'[1]Monthly Detail'!90:90)</f>
        <v>0</v>
      </c>
      <c r="AM40" s="643">
        <v>0</v>
      </c>
      <c r="AN40" s="643">
        <v>0</v>
      </c>
      <c r="AO40" s="643">
        <v>0</v>
      </c>
      <c r="AP40" s="643">
        <v>490</v>
      </c>
      <c r="AQ40" s="643"/>
      <c r="AR40" s="643"/>
      <c r="AS40" s="643">
        <v>0</v>
      </c>
      <c r="AT40" s="643">
        <v>0</v>
      </c>
      <c r="AU40" s="643">
        <v>0</v>
      </c>
      <c r="AV40" s="643">
        <v>0</v>
      </c>
      <c r="AW40" s="644">
        <v>707</v>
      </c>
      <c r="AX40" s="644">
        <v>235.5</v>
      </c>
      <c r="AY40" s="644">
        <v>0</v>
      </c>
      <c r="AZ40" s="644">
        <v>0</v>
      </c>
      <c r="BA40" s="644">
        <v>0</v>
      </c>
      <c r="BB40" s="644">
        <v>0</v>
      </c>
      <c r="BC40" s="644">
        <v>0</v>
      </c>
      <c r="BD40" s="415">
        <f>+SUMIF('Monthly Detail'!$4:$4, $B$14,'Monthly Detail'!92:92)</f>
        <v>0</v>
      </c>
      <c r="BE40" s="644">
        <v>296.16666666666669</v>
      </c>
      <c r="BF40" s="645">
        <v>296.16666666666669</v>
      </c>
      <c r="BG40" s="645">
        <v>296.16666666666669</v>
      </c>
      <c r="BH40" s="643">
        <v>296.16666666666669</v>
      </c>
      <c r="BI40" s="643">
        <v>296.16666666666669</v>
      </c>
      <c r="BJ40" s="693">
        <v>296.16666666666669</v>
      </c>
      <c r="BK40" s="645">
        <v>296.16666666666669</v>
      </c>
      <c r="BL40" s="645">
        <v>296.16666666666669</v>
      </c>
      <c r="BM40" s="645">
        <v>296.16666666666669</v>
      </c>
      <c r="BN40" s="645">
        <v>296.16666666666669</v>
      </c>
      <c r="BO40" s="645">
        <v>296.16666666666669</v>
      </c>
      <c r="BP40" s="645">
        <v>296.16666666666669</v>
      </c>
      <c r="BQ40" s="645">
        <v>376.25</v>
      </c>
      <c r="BR40" s="645">
        <v>0</v>
      </c>
      <c r="BS40" s="645">
        <v>0</v>
      </c>
      <c r="BT40" s="645">
        <v>0</v>
      </c>
      <c r="BU40" s="645">
        <v>0</v>
      </c>
      <c r="BV40" s="645">
        <v>0</v>
      </c>
      <c r="BW40" s="416">
        <v>0</v>
      </c>
      <c r="BX40" s="416">
        <v>490</v>
      </c>
      <c r="BY40" s="416">
        <v>0</v>
      </c>
      <c r="BZ40" s="416">
        <v>262.5</v>
      </c>
      <c r="CA40" s="416">
        <v>0</v>
      </c>
      <c r="CB40" s="416">
        <v>376.25</v>
      </c>
      <c r="CC40" s="393">
        <f>+BD40-AC40</f>
        <v>-199.5</v>
      </c>
      <c r="CD40" s="393">
        <f t="shared" si="0"/>
        <v>-262.5</v>
      </c>
    </row>
    <row r="41" spans="2:82" x14ac:dyDescent="0.3">
      <c r="B41" s="750" t="s">
        <v>267</v>
      </c>
      <c r="C41" s="751"/>
      <c r="D41" s="600">
        <v>170.51666666666668</v>
      </c>
      <c r="E41" s="600">
        <v>199.50749999999999</v>
      </c>
      <c r="F41" s="600">
        <v>187.23999999999998</v>
      </c>
      <c r="G41" s="600">
        <v>199.92666666666665</v>
      </c>
      <c r="H41" s="600">
        <v>190.87</v>
      </c>
      <c r="I41" s="600">
        <v>190.98000000000002</v>
      </c>
      <c r="J41" s="641">
        <v>183.86833333333334</v>
      </c>
      <c r="K41" s="642">
        <v>159.19166666666663</v>
      </c>
      <c r="L41" s="642">
        <v>159.23333333333332</v>
      </c>
      <c r="M41" s="642">
        <v>139.66833333333332</v>
      </c>
      <c r="N41" s="643">
        <v>140.33833333333334</v>
      </c>
      <c r="O41" s="643">
        <v>141.00833333333333</v>
      </c>
      <c r="P41" s="644">
        <v>202.29</v>
      </c>
      <c r="Q41" s="644">
        <v>378.53</v>
      </c>
      <c r="R41" s="645">
        <v>260.35000000000002</v>
      </c>
      <c r="S41" s="645">
        <v>169.03</v>
      </c>
      <c r="T41" s="643">
        <v>169.03</v>
      </c>
      <c r="U41" s="643">
        <v>169.03</v>
      </c>
      <c r="V41" s="643">
        <v>169.03</v>
      </c>
      <c r="W41" s="643">
        <v>155.68</v>
      </c>
      <c r="X41" s="643">
        <v>155.68</v>
      </c>
      <c r="Y41" s="643">
        <v>155.68</v>
      </c>
      <c r="Z41" s="643">
        <v>123.01</v>
      </c>
      <c r="AA41" s="643">
        <v>123.01</v>
      </c>
      <c r="AB41" s="643">
        <v>122.99</v>
      </c>
      <c r="AC41" s="415">
        <v>161.99</v>
      </c>
      <c r="AD41" s="643">
        <f>+SUMIF('[1]Monthly Detail'!$4:$4, AD15,'[1]Monthly Detail'!91:91)</f>
        <v>286.48</v>
      </c>
      <c r="AE41" s="643">
        <f>+SUMIF('[1]Monthly Detail'!$4:$4, AE15,'[1]Monthly Detail'!91:91)</f>
        <v>138.16999999999999</v>
      </c>
      <c r="AF41" s="643">
        <f>+SUMIF('[1]Monthly Detail'!$4:$4, AF15,'[1]Monthly Detail'!91:91)</f>
        <v>263.36</v>
      </c>
      <c r="AG41" s="643">
        <f>+SUMIF('[1]Monthly Detail'!$4:$4, AG15,'[1]Monthly Detail'!91:91)</f>
        <v>138.4</v>
      </c>
      <c r="AH41" s="643">
        <f>+SUMIF('[1]Monthly Detail'!$4:$4, AH15,'[1]Monthly Detail'!91:91)</f>
        <v>138.4</v>
      </c>
      <c r="AI41" s="643">
        <f>+SUMIF('[1]Monthly Detail'!$4:$4, AI15,'[1]Monthly Detail'!91:91)</f>
        <v>138.4</v>
      </c>
      <c r="AJ41" s="643">
        <f>+SUMIF('[1]Monthly Detail'!$4:$4, AJ15,'[1]Monthly Detail'!91:91)</f>
        <v>138.41999999999999</v>
      </c>
      <c r="AK41" s="643">
        <f>+SUMIF('[1]Monthly Detail'!$4:$4, AK15,'[1]Monthly Detail'!91:91)</f>
        <v>138.41999999999999</v>
      </c>
      <c r="AL41" s="643">
        <f>+SUMIF('[1]Monthly Detail'!$4:$4, AL15,'[1]Monthly Detail'!91:91)</f>
        <v>145.97</v>
      </c>
      <c r="AM41" s="643">
        <v>142.41999999999999</v>
      </c>
      <c r="AN41" s="643">
        <v>142.41999999999999</v>
      </c>
      <c r="AO41" s="643">
        <v>202.29</v>
      </c>
      <c r="AP41" s="643">
        <v>164.46</v>
      </c>
      <c r="AQ41" s="643"/>
      <c r="AR41" s="643"/>
      <c r="AS41" s="643">
        <v>169.03</v>
      </c>
      <c r="AT41" s="643">
        <v>127.41</v>
      </c>
      <c r="AU41" s="643">
        <v>128.5</v>
      </c>
      <c r="AV41" s="643">
        <v>155.68</v>
      </c>
      <c r="AW41" s="644">
        <v>123.02</v>
      </c>
      <c r="AX41" s="644">
        <v>123.02</v>
      </c>
      <c r="AY41" s="644">
        <v>123.01</v>
      </c>
      <c r="AZ41" s="644">
        <v>123.01</v>
      </c>
      <c r="BA41" s="644">
        <v>123.01</v>
      </c>
      <c r="BB41" s="644">
        <v>123.01</v>
      </c>
      <c r="BC41" s="644">
        <v>123.01</v>
      </c>
      <c r="BD41" s="415">
        <f>+SUMIF('Monthly Detail'!$4:$4, $B$14,'Monthly Detail'!93:93)</f>
        <v>155.86000000000001</v>
      </c>
      <c r="BE41" s="644">
        <v>190.98000000000002</v>
      </c>
      <c r="BF41" s="645">
        <v>190.98000000000002</v>
      </c>
      <c r="BG41" s="645">
        <v>190.98000000000002</v>
      </c>
      <c r="BH41" s="643">
        <v>190.98000000000002</v>
      </c>
      <c r="BI41" s="643">
        <v>190.98000000000002</v>
      </c>
      <c r="BJ41" s="693">
        <v>190.98000000000002</v>
      </c>
      <c r="BK41" s="645">
        <v>190.98000000000002</v>
      </c>
      <c r="BL41" s="645">
        <v>190.98000000000002</v>
      </c>
      <c r="BM41" s="645">
        <v>190.98000000000002</v>
      </c>
      <c r="BN41" s="645">
        <v>190.98000000000002</v>
      </c>
      <c r="BO41" s="645">
        <v>190.98000000000002</v>
      </c>
      <c r="BP41" s="645">
        <v>190.98000000000002</v>
      </c>
      <c r="BQ41" s="645">
        <v>128.5</v>
      </c>
      <c r="BR41" s="645">
        <v>169.03</v>
      </c>
      <c r="BS41" s="645">
        <v>169.03</v>
      </c>
      <c r="BT41" s="645">
        <v>169.03</v>
      </c>
      <c r="BU41" s="645">
        <v>169.03</v>
      </c>
      <c r="BV41" s="645">
        <v>169.03</v>
      </c>
      <c r="BW41" s="416">
        <v>169.03</v>
      </c>
      <c r="BX41" s="416">
        <v>169.03</v>
      </c>
      <c r="BY41" s="416">
        <v>169.03</v>
      </c>
      <c r="BZ41" s="416">
        <v>169.03</v>
      </c>
      <c r="CA41" s="416">
        <v>169.03</v>
      </c>
      <c r="CB41" s="416">
        <v>169.03</v>
      </c>
      <c r="CC41" s="393">
        <f>+BD41-AC41</f>
        <v>-6.1299999999999955</v>
      </c>
      <c r="CD41" s="393">
        <f t="shared" si="0"/>
        <v>-13.169999999999987</v>
      </c>
    </row>
    <row r="42" spans="2:82" x14ac:dyDescent="0.3">
      <c r="B42" s="750" t="s">
        <v>288</v>
      </c>
      <c r="C42" s="751"/>
      <c r="D42" s="600"/>
      <c r="E42" s="600"/>
      <c r="F42" s="600"/>
      <c r="G42" s="600"/>
      <c r="H42" s="600"/>
      <c r="I42" s="600"/>
      <c r="J42" s="641"/>
      <c r="K42" s="642"/>
      <c r="L42" s="642"/>
      <c r="M42" s="642">
        <v>0</v>
      </c>
      <c r="N42" s="643">
        <v>0</v>
      </c>
      <c r="O42" s="643">
        <v>0</v>
      </c>
      <c r="P42" s="644">
        <v>0</v>
      </c>
      <c r="Q42" s="644">
        <v>50</v>
      </c>
      <c r="R42" s="645">
        <v>50</v>
      </c>
      <c r="S42" s="645">
        <v>50</v>
      </c>
      <c r="T42" s="643">
        <v>50</v>
      </c>
      <c r="U42" s="643">
        <v>50</v>
      </c>
      <c r="V42" s="643">
        <v>50</v>
      </c>
      <c r="W42" s="643">
        <v>50</v>
      </c>
      <c r="X42" s="643">
        <v>50</v>
      </c>
      <c r="Y42" s="643">
        <v>50</v>
      </c>
      <c r="Z42" s="643">
        <v>0</v>
      </c>
      <c r="AA42" s="643">
        <v>16.666666666666668</v>
      </c>
      <c r="AB42" s="643">
        <v>16.666666666666668</v>
      </c>
      <c r="AC42" s="415">
        <v>16.666666666666668</v>
      </c>
      <c r="AD42" s="643"/>
      <c r="AE42" s="643"/>
      <c r="AF42" s="643"/>
      <c r="AG42" s="643"/>
      <c r="AH42" s="643"/>
      <c r="AI42" s="643"/>
      <c r="AJ42" s="643"/>
      <c r="AK42" s="643"/>
      <c r="AL42" s="643"/>
      <c r="AM42" s="643">
        <v>0</v>
      </c>
      <c r="AN42" s="643">
        <v>0</v>
      </c>
      <c r="AO42" s="643">
        <v>0</v>
      </c>
      <c r="AP42" s="643">
        <v>50</v>
      </c>
      <c r="AQ42" s="643"/>
      <c r="AR42" s="643"/>
      <c r="AS42" s="643">
        <v>0</v>
      </c>
      <c r="AT42" s="643">
        <v>0</v>
      </c>
      <c r="AU42" s="643">
        <v>0</v>
      </c>
      <c r="AV42" s="643">
        <v>0</v>
      </c>
      <c r="AW42" s="644">
        <v>0</v>
      </c>
      <c r="AX42" s="644">
        <v>0</v>
      </c>
      <c r="AY42" s="644">
        <v>0</v>
      </c>
      <c r="AZ42" s="644">
        <v>0</v>
      </c>
      <c r="BA42" s="644">
        <v>0</v>
      </c>
      <c r="BB42" s="644">
        <v>0</v>
      </c>
      <c r="BC42" s="644">
        <v>0</v>
      </c>
      <c r="BD42" s="415">
        <f>+SUMIF('Monthly Detail'!$4:$4, $B$14,'Monthly Detail'!94:94)</f>
        <v>0</v>
      </c>
      <c r="BE42" s="644"/>
      <c r="BF42" s="645"/>
      <c r="BG42" s="645"/>
      <c r="BH42" s="643"/>
      <c r="BI42" s="643">
        <v>0</v>
      </c>
      <c r="BJ42" s="693">
        <v>0</v>
      </c>
      <c r="BK42" s="645">
        <v>0</v>
      </c>
      <c r="BL42" s="645">
        <v>0</v>
      </c>
      <c r="BM42" s="645"/>
      <c r="BN42" s="645"/>
      <c r="BO42" s="645"/>
      <c r="BP42" s="645">
        <v>0</v>
      </c>
      <c r="BQ42" s="645">
        <v>50</v>
      </c>
      <c r="BR42" s="645">
        <v>50</v>
      </c>
      <c r="BS42" s="645">
        <v>50</v>
      </c>
      <c r="BT42" s="645">
        <v>50</v>
      </c>
      <c r="BU42" s="645">
        <v>50</v>
      </c>
      <c r="BV42" s="645">
        <v>50</v>
      </c>
      <c r="BW42" s="416">
        <v>50</v>
      </c>
      <c r="BX42" s="416">
        <v>50</v>
      </c>
      <c r="BY42" s="416">
        <v>50</v>
      </c>
      <c r="BZ42" s="416">
        <v>50</v>
      </c>
      <c r="CA42" s="416">
        <v>50</v>
      </c>
      <c r="CB42" s="416">
        <v>50</v>
      </c>
      <c r="CC42" s="393">
        <f>+BD42-AC42</f>
        <v>-16.666666666666668</v>
      </c>
      <c r="CD42" s="393">
        <f t="shared" si="0"/>
        <v>-50</v>
      </c>
    </row>
    <row r="43" spans="2:82" x14ac:dyDescent="0.3">
      <c r="B43" s="752" t="s">
        <v>10</v>
      </c>
      <c r="C43" s="753"/>
      <c r="D43" s="646">
        <f>SUM(D33:D41)</f>
        <v>479.63166666666666</v>
      </c>
      <c r="E43" s="646">
        <f>SUM(E33:E41)</f>
        <v>751.55416666666656</v>
      </c>
      <c r="F43" s="646">
        <v>643.62333333333333</v>
      </c>
      <c r="G43" s="646">
        <v>923.6483333333332</v>
      </c>
      <c r="H43" s="646">
        <v>1019.6466666666699</v>
      </c>
      <c r="I43" s="646">
        <v>810.76066666666679</v>
      </c>
      <c r="J43" s="647">
        <v>2152.8333333333335</v>
      </c>
      <c r="K43" s="646">
        <v>986.84999999999991</v>
      </c>
      <c r="L43" s="646">
        <f>+SUM(L30:L42)</f>
        <v>2856.7416666666668</v>
      </c>
      <c r="M43" s="646">
        <v>1657.2716666666668</v>
      </c>
      <c r="N43" s="646">
        <v>723.78666666666675</v>
      </c>
      <c r="O43" s="646">
        <v>1941.8641117014495</v>
      </c>
      <c r="P43" s="648">
        <v>1254.3900034135356</v>
      </c>
      <c r="Q43" s="648">
        <v>3496.508477103027</v>
      </c>
      <c r="R43" s="649">
        <v>1807.5807706245719</v>
      </c>
      <c r="S43" s="649">
        <v>1827.1762858428428</v>
      </c>
      <c r="T43" s="646">
        <v>1827.1762858428428</v>
      </c>
      <c r="U43" s="646">
        <v>1827.1762858428428</v>
      </c>
      <c r="V43" s="646">
        <v>1827.1762858428428</v>
      </c>
      <c r="W43" s="646">
        <v>3771.9610455703228</v>
      </c>
      <c r="X43" s="646">
        <v>3771.9610455703228</v>
      </c>
      <c r="Y43" s="646">
        <v>3771.9610455703228</v>
      </c>
      <c r="Z43" s="646">
        <v>5557.6341452642573</v>
      </c>
      <c r="AA43" s="646">
        <v>5845.2077825619499</v>
      </c>
      <c r="AB43" s="646">
        <v>7229.7282622977937</v>
      </c>
      <c r="AC43" s="294">
        <v>15149.859352538393</v>
      </c>
      <c r="AD43" s="646">
        <f t="shared" ref="AD43:AL43" si="7">SUM(AD33:AD41)</f>
        <v>801.95</v>
      </c>
      <c r="AE43" s="646">
        <f t="shared" si="7"/>
        <v>1646.3600000000001</v>
      </c>
      <c r="AF43" s="646">
        <f t="shared" si="7"/>
        <v>1047.47</v>
      </c>
      <c r="AG43" s="646">
        <f t="shared" si="7"/>
        <v>906.43000000000006</v>
      </c>
      <c r="AH43" s="646">
        <f t="shared" si="7"/>
        <v>497.47</v>
      </c>
      <c r="AI43" s="646">
        <f t="shared" si="7"/>
        <v>417.24</v>
      </c>
      <c r="AJ43" s="646">
        <f t="shared" si="7"/>
        <v>436.02</v>
      </c>
      <c r="AK43" s="646">
        <f t="shared" si="7"/>
        <v>643.03</v>
      </c>
      <c r="AL43" s="646">
        <f t="shared" si="7"/>
        <v>382.79999999999995</v>
      </c>
      <c r="AM43" s="646">
        <v>689.94999999999993</v>
      </c>
      <c r="AN43" s="646">
        <v>1579.4199999999998</v>
      </c>
      <c r="AO43" s="646">
        <v>2133.86</v>
      </c>
      <c r="AP43" s="646">
        <v>1446.3200000000002</v>
      </c>
      <c r="AQ43" s="646"/>
      <c r="AR43" s="646"/>
      <c r="AS43" s="646">
        <v>2136.63</v>
      </c>
      <c r="AT43" s="646">
        <v>620.20999999999992</v>
      </c>
      <c r="AU43" s="646">
        <v>4230.3</v>
      </c>
      <c r="AV43" s="646">
        <v>6699.3</v>
      </c>
      <c r="AW43" s="648">
        <v>7438.9900000000016</v>
      </c>
      <c r="AX43" s="648">
        <v>3780.99</v>
      </c>
      <c r="AY43" s="648">
        <v>3578.3600000000006</v>
      </c>
      <c r="AZ43" s="648">
        <v>4152.38</v>
      </c>
      <c r="BA43" s="648">
        <v>4152.38</v>
      </c>
      <c r="BB43" s="648">
        <v>4152.38</v>
      </c>
      <c r="BC43" s="648">
        <v>4152.38</v>
      </c>
      <c r="BD43" s="294">
        <f t="shared" ref="BD43" si="8">+SUM(BD30:BD42)</f>
        <v>18946.229999999996</v>
      </c>
      <c r="BE43" s="648">
        <v>810.76066666666679</v>
      </c>
      <c r="BF43" s="649">
        <v>810.76066666666679</v>
      </c>
      <c r="BG43" s="649">
        <v>810.76066666666679</v>
      </c>
      <c r="BH43" s="646">
        <v>960.76066666666679</v>
      </c>
      <c r="BI43" s="646">
        <v>810.76066666666679</v>
      </c>
      <c r="BJ43" s="694">
        <v>810.76066666666679</v>
      </c>
      <c r="BK43" s="649">
        <v>960.76066666666679</v>
      </c>
      <c r="BL43" s="649">
        <v>810.76066666666679</v>
      </c>
      <c r="BM43" s="649">
        <v>1846.5020459770124</v>
      </c>
      <c r="BN43" s="649">
        <v>810.76066666666679</v>
      </c>
      <c r="BO43" s="649">
        <v>810.76066666666679</v>
      </c>
      <c r="BP43" s="649">
        <v>810.76066666666679</v>
      </c>
      <c r="BQ43" s="649">
        <f>SUM(BQ30:BQ42)</f>
        <v>4106.409348656849</v>
      </c>
      <c r="BR43" s="649">
        <f t="shared" ref="BR43:CB43" si="9">SUM(BR30:BR42)</f>
        <v>3588.5578333354556</v>
      </c>
      <c r="BS43" s="649">
        <f t="shared" si="9"/>
        <v>3820.0064072214227</v>
      </c>
      <c r="BT43" s="649">
        <f t="shared" si="9"/>
        <v>3696.175853502848</v>
      </c>
      <c r="BU43" s="649">
        <f t="shared" si="9"/>
        <v>3525.2635140565876</v>
      </c>
      <c r="BV43" s="649">
        <f t="shared" si="9"/>
        <v>3366.2414081273478</v>
      </c>
      <c r="BW43" s="231">
        <f t="shared" si="9"/>
        <v>3729.3473137019105</v>
      </c>
      <c r="BX43" s="231">
        <f t="shared" si="9"/>
        <v>4180.9646305011211</v>
      </c>
      <c r="BY43" s="231">
        <f t="shared" si="9"/>
        <v>3570.1619638676611</v>
      </c>
      <c r="BZ43" s="231">
        <f t="shared" si="9"/>
        <v>4145.8630451153876</v>
      </c>
      <c r="CA43" s="231">
        <f t="shared" si="9"/>
        <v>3512.7548896031662</v>
      </c>
      <c r="CB43" s="231">
        <f t="shared" si="9"/>
        <v>3807.9330988625511</v>
      </c>
      <c r="CC43" s="392">
        <f>+BD43-AC43</f>
        <v>3796.3706474616029</v>
      </c>
      <c r="CD43" s="392">
        <f t="shared" si="0"/>
        <v>14800.366954884608</v>
      </c>
    </row>
    <row r="44" spans="2:82" x14ac:dyDescent="0.3">
      <c r="B44" s="744" t="s">
        <v>11</v>
      </c>
      <c r="C44" s="745"/>
      <c r="D44" s="656">
        <f>+D16-D43</f>
        <v>4458.3683333333338</v>
      </c>
      <c r="E44" s="656">
        <f>+E16-E43</f>
        <v>3737.9458333333323</v>
      </c>
      <c r="F44" s="656">
        <v>5166.6266666666661</v>
      </c>
      <c r="G44" s="656">
        <v>3957.7216666666668</v>
      </c>
      <c r="H44" s="656">
        <v>7569.7233333333343</v>
      </c>
      <c r="I44" s="656">
        <v>2255.7184999999999</v>
      </c>
      <c r="J44" s="657">
        <v>1022.1880263157896</v>
      </c>
      <c r="K44" s="656">
        <v>1435.4298913043481</v>
      </c>
      <c r="L44" s="656">
        <v>3942.5624846915707</v>
      </c>
      <c r="M44" s="656">
        <v>4387.4070731396541</v>
      </c>
      <c r="N44" s="656">
        <v>3311.2272398005284</v>
      </c>
      <c r="O44" s="656">
        <f>+O28-O43</f>
        <v>3479.0006727771388</v>
      </c>
      <c r="P44" s="658">
        <v>6203.6292621126067</v>
      </c>
      <c r="Q44" s="658">
        <v>4626.1769143892971</v>
      </c>
      <c r="R44" s="659">
        <v>4635.1283452172902</v>
      </c>
      <c r="S44" s="659">
        <v>3110.7522859141618</v>
      </c>
      <c r="T44" s="656">
        <v>3110.7522859141618</v>
      </c>
      <c r="U44" s="656">
        <v>3110.7522859141618</v>
      </c>
      <c r="V44" s="656">
        <v>3110.7522859141618</v>
      </c>
      <c r="W44" s="656">
        <v>2407.6524805540953</v>
      </c>
      <c r="X44" s="656">
        <v>2407.6524805540953</v>
      </c>
      <c r="Y44" s="656">
        <v>2407.6524805540953</v>
      </c>
      <c r="Z44" s="656">
        <v>4037.8604468376434</v>
      </c>
      <c r="AA44" s="656">
        <v>7358.9266924501635</v>
      </c>
      <c r="AB44" s="656">
        <v>9413.0612784151454</v>
      </c>
      <c r="AC44" s="295">
        <v>7619.6397164935934</v>
      </c>
      <c r="AD44" s="656">
        <f t="shared" ref="AD44:AL44" si="10">+AD16-AD43</f>
        <v>6276.71</v>
      </c>
      <c r="AE44" s="656">
        <f t="shared" si="10"/>
        <v>7109.73</v>
      </c>
      <c r="AF44" s="656">
        <f t="shared" si="10"/>
        <v>7148.9000000000005</v>
      </c>
      <c r="AG44" s="656">
        <f t="shared" si="10"/>
        <v>4031.6899999999996</v>
      </c>
      <c r="AH44" s="656">
        <f t="shared" si="10"/>
        <v>1647.03</v>
      </c>
      <c r="AI44" s="656">
        <f t="shared" si="10"/>
        <v>2584.7600000000002</v>
      </c>
      <c r="AJ44" s="656">
        <f t="shared" si="10"/>
        <v>3921.48</v>
      </c>
      <c r="AK44" s="656">
        <f t="shared" si="10"/>
        <v>2836.4700000000003</v>
      </c>
      <c r="AL44" s="656">
        <f t="shared" si="10"/>
        <v>3635.2</v>
      </c>
      <c r="AM44" s="656">
        <v>5015.13</v>
      </c>
      <c r="AN44" s="656">
        <v>2728.84</v>
      </c>
      <c r="AO44" s="656">
        <v>6317.0300000000007</v>
      </c>
      <c r="AP44" s="656">
        <v>11764.94</v>
      </c>
      <c r="AQ44" s="656"/>
      <c r="AR44" s="656"/>
      <c r="AS44" s="656">
        <v>7266.87</v>
      </c>
      <c r="AT44" s="656">
        <v>3974.79</v>
      </c>
      <c r="AU44" s="656">
        <v>2355.1999999999998</v>
      </c>
      <c r="AV44" s="656">
        <v>962.81999999999971</v>
      </c>
      <c r="AW44" s="658">
        <v>243.37999999999829</v>
      </c>
      <c r="AX44" s="658">
        <v>-24.739999999999782</v>
      </c>
      <c r="AY44" s="658">
        <v>2196.1399999999994</v>
      </c>
      <c r="AZ44" s="658">
        <v>2763.62</v>
      </c>
      <c r="BA44" s="658">
        <v>2763.62</v>
      </c>
      <c r="BB44" s="658">
        <v>2763.62</v>
      </c>
      <c r="BC44" s="658">
        <v>2763.62</v>
      </c>
      <c r="BD44" s="295">
        <f>+BD28-BD43</f>
        <v>14161.900000000009</v>
      </c>
      <c r="BE44" s="658">
        <f t="shared" ref="BE44:BJ44" si="11">+BE16-BE43</f>
        <v>2255.7184999999999</v>
      </c>
      <c r="BF44" s="659">
        <f t="shared" si="11"/>
        <v>4082.9005175438597</v>
      </c>
      <c r="BG44" s="659">
        <f t="shared" si="11"/>
        <v>3183.372485507246</v>
      </c>
      <c r="BH44" s="656">
        <f t="shared" si="11"/>
        <v>5003.6946904761908</v>
      </c>
      <c r="BI44" s="656">
        <f t="shared" si="11"/>
        <v>9421.0310000000009</v>
      </c>
      <c r="BJ44" s="699">
        <f t="shared" si="11"/>
        <v>5919.610545454545</v>
      </c>
      <c r="BK44" s="659">
        <f t="shared" ref="BK44:BR44" si="12">+BK28-BK43</f>
        <v>8907.7125476190467</v>
      </c>
      <c r="BL44" s="659">
        <f t="shared" si="12"/>
        <v>8438.2278243819255</v>
      </c>
      <c r="BM44" s="659">
        <f t="shared" si="12"/>
        <v>-2882.2434252873581</v>
      </c>
      <c r="BN44" s="659">
        <f t="shared" si="12"/>
        <v>-810.76066666666679</v>
      </c>
      <c r="BO44" s="659">
        <f t="shared" si="12"/>
        <v>-810.76066666666679</v>
      </c>
      <c r="BP44" s="659">
        <f t="shared" si="12"/>
        <v>3301.239333333333</v>
      </c>
      <c r="BQ44" s="659">
        <f t="shared" si="12"/>
        <v>4517.3374953402599</v>
      </c>
      <c r="BR44" s="659">
        <f t="shared" si="12"/>
        <v>7020.2154835916353</v>
      </c>
      <c r="BS44" s="659">
        <f>+BS28-BS43</f>
        <v>3067.4443049321681</v>
      </c>
      <c r="BT44" s="659">
        <f t="shared" ref="BT44:CB44" si="13">+BT28-BT43</f>
        <v>4980.3855024223885</v>
      </c>
      <c r="BU44" s="659">
        <f t="shared" si="13"/>
        <v>4274.5919614715149</v>
      </c>
      <c r="BV44" s="659">
        <f t="shared" si="13"/>
        <v>1853.7227538255561</v>
      </c>
      <c r="BW44" s="232">
        <f t="shared" si="13"/>
        <v>5500.2406441520379</v>
      </c>
      <c r="BX44" s="232">
        <f t="shared" si="13"/>
        <v>7715.6536712489633</v>
      </c>
      <c r="BY44" s="232">
        <f t="shared" si="13"/>
        <v>7752.6332246652555</v>
      </c>
      <c r="BZ44" s="232">
        <f t="shared" si="13"/>
        <v>10501.610357100592</v>
      </c>
      <c r="CA44" s="232">
        <f t="shared" si="13"/>
        <v>5218.3711089714216</v>
      </c>
      <c r="CB44" s="232">
        <f t="shared" si="13"/>
        <v>2490.9450786612692</v>
      </c>
      <c r="CC44" s="393">
        <f>+BD44-AC44</f>
        <v>6542.2602835064154</v>
      </c>
      <c r="CD44" s="393">
        <f t="shared" si="0"/>
        <v>3660.2896428994172</v>
      </c>
    </row>
    <row r="45" spans="2:82" x14ac:dyDescent="0.3">
      <c r="B45" s="754" t="s">
        <v>278</v>
      </c>
      <c r="C45" s="755"/>
      <c r="D45" s="660"/>
      <c r="E45" s="660"/>
      <c r="F45" s="660"/>
      <c r="G45" s="660"/>
      <c r="H45" s="660"/>
      <c r="I45" s="660"/>
      <c r="J45" s="661">
        <f>+J44/J16</f>
        <v>0.32194681878573356</v>
      </c>
      <c r="K45" s="662">
        <v>0.59259456203114436</v>
      </c>
      <c r="L45" s="662">
        <v>0.88787970479928569</v>
      </c>
      <c r="M45" s="662">
        <v>0.72582965315378078</v>
      </c>
      <c r="N45" s="662">
        <v>0.82062350132013073</v>
      </c>
      <c r="O45" s="662">
        <f t="shared" ref="O45" si="14">+O44/O16</f>
        <v>0.57306508978291171</v>
      </c>
      <c r="P45" s="663">
        <v>0.68392384770654391</v>
      </c>
      <c r="Q45" s="663">
        <v>0.40166322011448125</v>
      </c>
      <c r="R45" s="664">
        <v>0.55371973458743939</v>
      </c>
      <c r="S45" s="664">
        <v>0.56181911064947021</v>
      </c>
      <c r="T45" s="662">
        <v>0.56181911064947021</v>
      </c>
      <c r="U45" s="662">
        <v>0.56181911064947021</v>
      </c>
      <c r="V45" s="662">
        <v>0.56181911064947021</v>
      </c>
      <c r="W45" s="662">
        <v>0.3631663400991002</v>
      </c>
      <c r="X45" s="662">
        <v>0.3631663400991002</v>
      </c>
      <c r="Y45" s="662">
        <v>0.3631663400991002</v>
      </c>
      <c r="Z45" s="662">
        <v>0.38175308698371319</v>
      </c>
      <c r="AA45" s="662">
        <v>0.42714601950795256</v>
      </c>
      <c r="AB45" s="660">
        <v>0.55070363184396443</v>
      </c>
      <c r="AC45" s="318">
        <v>0.31946473909709761</v>
      </c>
      <c r="AD45" s="660"/>
      <c r="AE45" s="660"/>
      <c r="AF45" s="660"/>
      <c r="AG45" s="660"/>
      <c r="AH45" s="660"/>
      <c r="AI45" s="660"/>
      <c r="AJ45" s="664">
        <f>+AJ44/AJ16</f>
        <v>0.89993803786574866</v>
      </c>
      <c r="AK45" s="664">
        <f>+AK44/AK16</f>
        <v>0.81519471188389148</v>
      </c>
      <c r="AL45" s="664">
        <f>+AL44/AL16</f>
        <v>0.90472872075659527</v>
      </c>
      <c r="AM45" s="680">
        <v>0.87906392197830707</v>
      </c>
      <c r="AN45" s="662">
        <v>0.6333972415778063</v>
      </c>
      <c r="AO45" s="662">
        <v>0.69717544303043077</v>
      </c>
      <c r="AP45" s="662">
        <v>0.83372710870609712</v>
      </c>
      <c r="AQ45" s="662"/>
      <c r="AR45" s="662"/>
      <c r="AS45" s="662">
        <v>0.75906094949600456</v>
      </c>
      <c r="AT45" s="662">
        <v>0.76526569118213328</v>
      </c>
      <c r="AU45" s="662">
        <v>0.35763419634044491</v>
      </c>
      <c r="AV45" s="662">
        <v>0.1186890726468543</v>
      </c>
      <c r="AW45" s="663">
        <v>3.168032781550463E-2</v>
      </c>
      <c r="AX45" s="663">
        <v>-6.5863560732112563E-3</v>
      </c>
      <c r="AY45" s="663">
        <v>0.3633286458764165</v>
      </c>
      <c r="AZ45" s="663">
        <v>0.39959803354540196</v>
      </c>
      <c r="BA45" s="663">
        <v>0.39959803354540196</v>
      </c>
      <c r="BB45" s="663">
        <v>0.39959803354540196</v>
      </c>
      <c r="BC45" s="663">
        <v>0.39959803354540196</v>
      </c>
      <c r="BD45" s="318">
        <f t="shared" ref="BD45" si="15">+BD44/BD16</f>
        <v>0.35977575970203607</v>
      </c>
      <c r="BE45" s="663">
        <f t="shared" ref="BE45:CB45" si="16">+BE44/BE16</f>
        <v>0.73560535630575241</v>
      </c>
      <c r="BF45" s="664">
        <f t="shared" si="16"/>
        <v>0.83432431544656205</v>
      </c>
      <c r="BG45" s="680">
        <f t="shared" si="16"/>
        <v>0.79701210856593774</v>
      </c>
      <c r="BH45" s="662">
        <f t="shared" si="16"/>
        <v>0.83891896088783902</v>
      </c>
      <c r="BI45" s="662">
        <f t="shared" si="16"/>
        <v>0.92076063576353118</v>
      </c>
      <c r="BJ45" s="700">
        <f t="shared" si="16"/>
        <v>0.87953700604113638</v>
      </c>
      <c r="BK45" s="664">
        <f t="shared" si="16"/>
        <v>0.90264343371010436</v>
      </c>
      <c r="BL45" s="664">
        <f t="shared" si="16"/>
        <v>0.91234061244088027</v>
      </c>
      <c r="BM45" s="664">
        <f t="shared" si="16"/>
        <v>-0.28271986900530083</v>
      </c>
      <c r="BN45" s="664">
        <f t="shared" si="16"/>
        <v>-0.13417271890028501</v>
      </c>
      <c r="BO45" s="664">
        <f t="shared" si="16"/>
        <v>-0.13417271890028501</v>
      </c>
      <c r="BP45" s="664">
        <f t="shared" si="16"/>
        <v>0.80283057717250317</v>
      </c>
      <c r="BQ45" s="664">
        <f t="shared" si="16"/>
        <v>0.47334905684325812</v>
      </c>
      <c r="BR45" s="664">
        <f>+BR44/BR16</f>
        <v>0.5521223337963086</v>
      </c>
      <c r="BS45" s="664">
        <f t="shared" si="16"/>
        <v>0.40967806304929777</v>
      </c>
      <c r="BT45" s="664">
        <f t="shared" si="16"/>
        <v>0.50563333227805318</v>
      </c>
      <c r="BU45" s="664">
        <f t="shared" si="16"/>
        <v>0.39756502695630208</v>
      </c>
      <c r="BV45" s="664">
        <f t="shared" si="16"/>
        <v>0.31851102553929383</v>
      </c>
      <c r="BW45" s="274">
        <f t="shared" si="16"/>
        <v>0.50560244265718912</v>
      </c>
      <c r="BX45" s="274">
        <f t="shared" si="16"/>
        <v>0.48553472029435768</v>
      </c>
      <c r="BY45" s="274">
        <f t="shared" si="16"/>
        <v>0.6383695737491083</v>
      </c>
      <c r="BZ45" s="274">
        <f t="shared" si="16"/>
        <v>0.67080284721048156</v>
      </c>
      <c r="CA45" s="274">
        <f t="shared" si="16"/>
        <v>0.59210404291522867</v>
      </c>
      <c r="CB45" s="274">
        <f t="shared" si="16"/>
        <v>0.39545852586094871</v>
      </c>
      <c r="CC45" s="394">
        <f>+BD45-AC45</f>
        <v>4.0311020604938463E-2</v>
      </c>
      <c r="CD45" s="394">
        <f t="shared" si="0"/>
        <v>-0.31102708750844549</v>
      </c>
    </row>
    <row r="46" spans="2:82" hidden="1" x14ac:dyDescent="0.3">
      <c r="B46" s="756" t="s">
        <v>13</v>
      </c>
      <c r="C46" s="757"/>
      <c r="D46" s="600">
        <v>0.03</v>
      </c>
      <c r="E46" s="600">
        <v>0.01</v>
      </c>
      <c r="F46" s="600">
        <v>0</v>
      </c>
      <c r="G46" s="600">
        <v>0</v>
      </c>
      <c r="H46" s="600">
        <v>0</v>
      </c>
      <c r="I46" s="600">
        <v>0</v>
      </c>
      <c r="J46" s="641">
        <v>0</v>
      </c>
      <c r="K46" s="642">
        <v>0</v>
      </c>
      <c r="L46" s="642">
        <v>0</v>
      </c>
      <c r="M46" s="642">
        <v>0</v>
      </c>
      <c r="N46" s="642">
        <v>0</v>
      </c>
      <c r="O46" s="642">
        <v>0</v>
      </c>
      <c r="P46" s="665">
        <v>0</v>
      </c>
      <c r="Q46" s="665">
        <v>0</v>
      </c>
      <c r="R46" s="666">
        <v>0</v>
      </c>
      <c r="S46" s="666">
        <v>0</v>
      </c>
      <c r="T46" s="642">
        <v>0</v>
      </c>
      <c r="U46" s="642">
        <v>0</v>
      </c>
      <c r="V46" s="642">
        <v>0</v>
      </c>
      <c r="W46" s="642"/>
      <c r="X46" s="642"/>
      <c r="Y46" s="642"/>
      <c r="Z46" s="642">
        <v>0</v>
      </c>
      <c r="AA46" s="642">
        <v>0</v>
      </c>
      <c r="AB46" s="642">
        <v>0</v>
      </c>
      <c r="AC46" s="293">
        <v>0</v>
      </c>
      <c r="AD46" s="642">
        <f>+SUMIF('[1]Monthly Detail'!$4:$4, AD15,'[1]Monthly Detail'!103:103)</f>
        <v>0.01</v>
      </c>
      <c r="AE46" s="642">
        <f>+SUMIF('[1]Monthly Detail'!$4:$4, AE15,'[1]Monthly Detail'!103:103)</f>
        <v>0</v>
      </c>
      <c r="AF46" s="642">
        <f>+SUMIF('[1]Monthly Detail'!$4:$4, AF15,'[1]Monthly Detail'!103:103)</f>
        <v>0</v>
      </c>
      <c r="AG46" s="642">
        <f>+SUMIF('[1]Monthly Detail'!$4:$4, AG15,'[1]Monthly Detail'!103:103)</f>
        <v>0</v>
      </c>
      <c r="AH46" s="642">
        <f>+SUMIF('[1]Monthly Detail'!$4:$4, AH15,'[1]Monthly Detail'!103:103)</f>
        <v>0</v>
      </c>
      <c r="AI46" s="642">
        <f>+SUMIF('[1]Monthly Detail'!$4:$4, AI15,'[1]Monthly Detail'!103:103)</f>
        <v>0</v>
      </c>
      <c r="AJ46" s="642">
        <f>+SUMIF('[1]Monthly Detail'!$4:$4, AJ15,'[1]Monthly Detail'!103:103)</f>
        <v>0</v>
      </c>
      <c r="AK46" s="642">
        <f>+SUMIF('[1]Monthly Detail'!$4:$4, AK15,'[1]Monthly Detail'!103:103)</f>
        <v>0</v>
      </c>
      <c r="AL46" s="642">
        <f>+SUMIF('[1]Monthly Detail'!$4:$4, AL15,'[1]Monthly Detail'!103:103)</f>
        <v>0</v>
      </c>
      <c r="AM46" s="642">
        <v>0</v>
      </c>
      <c r="AN46" s="642">
        <v>25</v>
      </c>
      <c r="AO46" s="642">
        <v>0</v>
      </c>
      <c r="AP46" s="642">
        <v>0</v>
      </c>
      <c r="AQ46" s="642"/>
      <c r="AR46" s="642"/>
      <c r="AS46" s="642">
        <v>0</v>
      </c>
      <c r="AT46" s="642">
        <v>0</v>
      </c>
      <c r="AU46" s="642">
        <v>0</v>
      </c>
      <c r="AV46" s="642">
        <v>0</v>
      </c>
      <c r="AW46" s="665">
        <v>0</v>
      </c>
      <c r="AX46" s="665">
        <v>0</v>
      </c>
      <c r="AY46" s="665">
        <v>0</v>
      </c>
      <c r="AZ46" s="665">
        <v>0</v>
      </c>
      <c r="BA46" s="665">
        <v>0</v>
      </c>
      <c r="BB46" s="665">
        <v>0</v>
      </c>
      <c r="BC46" s="665">
        <v>0</v>
      </c>
      <c r="BD46" s="293">
        <f>+SUMIF('Monthly Detail'!$4:$4, L14,'Monthly Detail'!104:104)</f>
        <v>0</v>
      </c>
      <c r="BE46" s="665">
        <v>0</v>
      </c>
      <c r="BF46" s="666">
        <v>0</v>
      </c>
      <c r="BG46" s="666">
        <v>0</v>
      </c>
      <c r="BH46" s="642">
        <v>0</v>
      </c>
      <c r="BI46" s="642">
        <v>0</v>
      </c>
      <c r="BJ46" s="701">
        <v>0</v>
      </c>
      <c r="BK46" s="666">
        <v>0</v>
      </c>
      <c r="BL46" s="666">
        <v>0</v>
      </c>
      <c r="BM46" s="666">
        <v>0</v>
      </c>
      <c r="BN46" s="666">
        <v>0</v>
      </c>
      <c r="BO46" s="666">
        <v>0</v>
      </c>
      <c r="BP46" s="666">
        <v>0</v>
      </c>
      <c r="BQ46" s="666">
        <v>0</v>
      </c>
      <c r="BR46" s="666">
        <v>0</v>
      </c>
      <c r="BS46" s="666">
        <v>0</v>
      </c>
      <c r="BT46" s="666">
        <v>0</v>
      </c>
      <c r="BU46" s="666">
        <v>0</v>
      </c>
      <c r="BV46" s="666">
        <v>0</v>
      </c>
      <c r="BW46" s="229">
        <v>0</v>
      </c>
      <c r="BX46" s="229">
        <v>0</v>
      </c>
      <c r="BY46" s="229">
        <v>0</v>
      </c>
      <c r="BZ46" s="229">
        <v>0</v>
      </c>
      <c r="CA46" s="229">
        <v>0</v>
      </c>
      <c r="CB46" s="229">
        <v>0</v>
      </c>
      <c r="CC46" s="393">
        <f>+BD46-AC46</f>
        <v>0</v>
      </c>
      <c r="CD46" s="393">
        <f t="shared" si="0"/>
        <v>0</v>
      </c>
    </row>
    <row r="47" spans="2:82" x14ac:dyDescent="0.3">
      <c r="B47" s="752" t="s">
        <v>345</v>
      </c>
      <c r="C47" s="753"/>
      <c r="D47" s="646">
        <f>+D46</f>
        <v>0.03</v>
      </c>
      <c r="E47" s="646">
        <f>+E46</f>
        <v>0.01</v>
      </c>
      <c r="F47" s="646">
        <v>0</v>
      </c>
      <c r="G47" s="646">
        <v>0</v>
      </c>
      <c r="H47" s="646">
        <v>7569.7233333333343</v>
      </c>
      <c r="I47" s="646">
        <v>2255.7184999999999</v>
      </c>
      <c r="J47" s="647">
        <v>0</v>
      </c>
      <c r="K47" s="646">
        <v>0</v>
      </c>
      <c r="L47" s="646">
        <v>0</v>
      </c>
      <c r="M47" s="646">
        <v>0</v>
      </c>
      <c r="N47" s="646">
        <v>0</v>
      </c>
      <c r="O47" s="646">
        <v>0</v>
      </c>
      <c r="P47" s="648">
        <v>-715.26</v>
      </c>
      <c r="Q47" s="648">
        <v>-638.92999999999995</v>
      </c>
      <c r="R47" s="649">
        <v>-733.37</v>
      </c>
      <c r="S47" s="649">
        <v>-800</v>
      </c>
      <c r="T47" s="646">
        <v>-800</v>
      </c>
      <c r="U47" s="646">
        <v>-800</v>
      </c>
      <c r="V47" s="646">
        <v>-800</v>
      </c>
      <c r="W47" s="646">
        <v>-800</v>
      </c>
      <c r="X47" s="646">
        <v>-800</v>
      </c>
      <c r="Y47" s="646">
        <v>-800</v>
      </c>
      <c r="Z47" s="646">
        <v>-800</v>
      </c>
      <c r="AA47" s="646">
        <v>-800</v>
      </c>
      <c r="AB47" s="646">
        <v>-800</v>
      </c>
      <c r="AC47" s="294">
        <v>-800</v>
      </c>
      <c r="AD47" s="646">
        <f t="shared" ref="AD47:AL48" si="17">+AD46</f>
        <v>0.01</v>
      </c>
      <c r="AE47" s="646">
        <f t="shared" si="17"/>
        <v>0</v>
      </c>
      <c r="AF47" s="646">
        <f t="shared" si="17"/>
        <v>0</v>
      </c>
      <c r="AG47" s="646">
        <f t="shared" si="17"/>
        <v>0</v>
      </c>
      <c r="AH47" s="646">
        <f t="shared" si="17"/>
        <v>0</v>
      </c>
      <c r="AI47" s="646">
        <f t="shared" si="17"/>
        <v>0</v>
      </c>
      <c r="AJ47" s="646">
        <f t="shared" si="17"/>
        <v>0</v>
      </c>
      <c r="AK47" s="646">
        <f t="shared" si="17"/>
        <v>0</v>
      </c>
      <c r="AL47" s="646">
        <f t="shared" si="17"/>
        <v>0</v>
      </c>
      <c r="AM47" s="646">
        <v>0</v>
      </c>
      <c r="AN47" s="646">
        <v>25</v>
      </c>
      <c r="AO47" s="646">
        <v>0</v>
      </c>
      <c r="AP47" s="646">
        <v>-606.69000000000005</v>
      </c>
      <c r="AQ47" s="646"/>
      <c r="AR47" s="646"/>
      <c r="AS47" s="646">
        <v>-735.08</v>
      </c>
      <c r="AT47" s="646">
        <v>-790.12</v>
      </c>
      <c r="AU47" s="646">
        <v>-821.85</v>
      </c>
      <c r="AV47" s="646">
        <v>-775.58</v>
      </c>
      <c r="AW47" s="648">
        <v>-757.93</v>
      </c>
      <c r="AX47" s="648">
        <v>-757.93</v>
      </c>
      <c r="AY47" s="648">
        <v>-692.93</v>
      </c>
      <c r="AZ47" s="648">
        <v>-769.03</v>
      </c>
      <c r="BA47" s="648">
        <v>-769.03</v>
      </c>
      <c r="BB47" s="648">
        <v>-769.03</v>
      </c>
      <c r="BC47" s="648">
        <v>-769.03</v>
      </c>
      <c r="BD47" s="294">
        <f>SUMIF('Monthly Detail'!$4:$4, $B$14,'Monthly Detail'!109:109)</f>
        <v>-842.23</v>
      </c>
      <c r="BE47" s="648">
        <v>0</v>
      </c>
      <c r="BF47" s="649">
        <v>0</v>
      </c>
      <c r="BG47" s="649">
        <v>0</v>
      </c>
      <c r="BH47" s="646">
        <v>0</v>
      </c>
      <c r="BI47" s="646">
        <v>0</v>
      </c>
      <c r="BJ47" s="694">
        <v>0</v>
      </c>
      <c r="BK47" s="649">
        <v>0</v>
      </c>
      <c r="BL47" s="649">
        <v>0</v>
      </c>
      <c r="BM47" s="649">
        <v>0</v>
      </c>
      <c r="BN47" s="649">
        <v>0</v>
      </c>
      <c r="BO47" s="649">
        <v>0</v>
      </c>
      <c r="BP47" s="649">
        <v>0</v>
      </c>
      <c r="BQ47" s="649">
        <v>0</v>
      </c>
      <c r="BR47" s="649">
        <v>-800</v>
      </c>
      <c r="BS47" s="649">
        <v>-800</v>
      </c>
      <c r="BT47" s="649">
        <v>-800</v>
      </c>
      <c r="BU47" s="649">
        <v>-800</v>
      </c>
      <c r="BV47" s="649">
        <v>-800</v>
      </c>
      <c r="BW47" s="231">
        <v>-800</v>
      </c>
      <c r="BX47" s="231">
        <v>-800</v>
      </c>
      <c r="BY47" s="231">
        <v>-800</v>
      </c>
      <c r="BZ47" s="231">
        <v>-800</v>
      </c>
      <c r="CA47" s="231">
        <v>-800</v>
      </c>
      <c r="CB47" s="231">
        <v>-800</v>
      </c>
      <c r="CC47" s="392">
        <f>+BD47-AC47</f>
        <v>-42.230000000000018</v>
      </c>
      <c r="CD47" s="392">
        <f t="shared" si="0"/>
        <v>-42.230000000000018</v>
      </c>
    </row>
    <row r="48" spans="2:82" hidden="1" x14ac:dyDescent="0.3">
      <c r="B48" s="744" t="s">
        <v>15</v>
      </c>
      <c r="C48" s="745"/>
      <c r="D48" s="667">
        <f>+D47</f>
        <v>0.03</v>
      </c>
      <c r="E48" s="667">
        <f>+E47</f>
        <v>0.01</v>
      </c>
      <c r="F48" s="667">
        <v>0</v>
      </c>
      <c r="G48" s="667">
        <v>0</v>
      </c>
      <c r="H48" s="667">
        <v>0</v>
      </c>
      <c r="I48" s="667">
        <v>0</v>
      </c>
      <c r="J48" s="668">
        <v>0</v>
      </c>
      <c r="K48" s="667">
        <v>0</v>
      </c>
      <c r="L48" s="667">
        <v>0</v>
      </c>
      <c r="M48" s="667">
        <v>0</v>
      </c>
      <c r="N48" s="667">
        <v>0</v>
      </c>
      <c r="O48" s="667">
        <v>0</v>
      </c>
      <c r="P48" s="669">
        <v>0</v>
      </c>
      <c r="Q48" s="669">
        <v>-638.92999999999995</v>
      </c>
      <c r="R48" s="670">
        <v>-733.37</v>
      </c>
      <c r="S48" s="670">
        <v>-800</v>
      </c>
      <c r="T48" s="667">
        <v>-800</v>
      </c>
      <c r="U48" s="667">
        <v>-800</v>
      </c>
      <c r="V48" s="667">
        <v>-800</v>
      </c>
      <c r="W48" s="667"/>
      <c r="X48" s="667"/>
      <c r="Y48" s="667"/>
      <c r="Z48" s="667">
        <v>-800</v>
      </c>
      <c r="AA48" s="667">
        <v>-800</v>
      </c>
      <c r="AB48" s="667">
        <v>-800</v>
      </c>
      <c r="AC48" s="296">
        <v>-800</v>
      </c>
      <c r="AD48" s="667">
        <f t="shared" si="17"/>
        <v>0.01</v>
      </c>
      <c r="AE48" s="667">
        <f t="shared" si="17"/>
        <v>0</v>
      </c>
      <c r="AF48" s="667">
        <f t="shared" si="17"/>
        <v>0</v>
      </c>
      <c r="AG48" s="667">
        <f t="shared" si="17"/>
        <v>0</v>
      </c>
      <c r="AH48" s="667">
        <f t="shared" si="17"/>
        <v>0</v>
      </c>
      <c r="AI48" s="667">
        <f t="shared" si="17"/>
        <v>0</v>
      </c>
      <c r="AJ48" s="667">
        <f t="shared" si="17"/>
        <v>0</v>
      </c>
      <c r="AK48" s="667">
        <f t="shared" si="17"/>
        <v>0</v>
      </c>
      <c r="AL48" s="667">
        <f t="shared" si="17"/>
        <v>0</v>
      </c>
      <c r="AM48" s="667">
        <v>0</v>
      </c>
      <c r="AN48" s="667">
        <v>25</v>
      </c>
      <c r="AO48" s="667">
        <v>0</v>
      </c>
      <c r="AP48" s="667">
        <v>-606.69000000000005</v>
      </c>
      <c r="AQ48" s="667"/>
      <c r="AR48" s="667"/>
      <c r="AS48" s="667">
        <v>-735.08</v>
      </c>
      <c r="AT48" s="667">
        <v>-790.12</v>
      </c>
      <c r="AU48" s="667">
        <v>-821.85</v>
      </c>
      <c r="AV48" s="667">
        <v>-775.58</v>
      </c>
      <c r="AW48" s="669">
        <v>-757.93</v>
      </c>
      <c r="AX48" s="669">
        <v>-757.93</v>
      </c>
      <c r="AY48" s="669">
        <v>-692.93</v>
      </c>
      <c r="AZ48" s="669">
        <v>-769.03</v>
      </c>
      <c r="BA48" s="669">
        <v>-769.03</v>
      </c>
      <c r="BB48" s="669">
        <v>-769.03</v>
      </c>
      <c r="BC48" s="669">
        <v>-769.03</v>
      </c>
      <c r="BD48" s="296">
        <f t="shared" ref="BD48" si="18">+BD47</f>
        <v>-842.23</v>
      </c>
      <c r="BE48" s="669">
        <v>0</v>
      </c>
      <c r="BF48" s="670">
        <v>0</v>
      </c>
      <c r="BG48" s="670">
        <v>0</v>
      </c>
      <c r="BH48" s="667">
        <v>0</v>
      </c>
      <c r="BI48" s="667">
        <v>0</v>
      </c>
      <c r="BJ48" s="702">
        <v>0</v>
      </c>
      <c r="BK48" s="670">
        <v>0</v>
      </c>
      <c r="BL48" s="670">
        <v>0</v>
      </c>
      <c r="BM48" s="670">
        <v>0</v>
      </c>
      <c r="BN48" s="670">
        <v>0</v>
      </c>
      <c r="BO48" s="670">
        <v>0</v>
      </c>
      <c r="BP48" s="670">
        <v>0</v>
      </c>
      <c r="BQ48" s="670">
        <v>0</v>
      </c>
      <c r="BR48" s="670">
        <v>-800</v>
      </c>
      <c r="BS48" s="670">
        <v>-800</v>
      </c>
      <c r="BT48" s="670">
        <v>-800</v>
      </c>
      <c r="BU48" s="670">
        <v>-800</v>
      </c>
      <c r="BV48" s="670">
        <v>-800</v>
      </c>
      <c r="BW48" s="272">
        <v>-800</v>
      </c>
      <c r="BX48" s="272">
        <v>-800</v>
      </c>
      <c r="BY48" s="272">
        <v>-800</v>
      </c>
      <c r="BZ48" s="272">
        <v>-800</v>
      </c>
      <c r="CA48" s="272">
        <v>-800</v>
      </c>
      <c r="CB48" s="272">
        <v>-800</v>
      </c>
      <c r="CC48" s="469">
        <f>+BD48-AC48</f>
        <v>-42.230000000000018</v>
      </c>
      <c r="CD48" s="469">
        <f t="shared" si="0"/>
        <v>-42.230000000000018</v>
      </c>
    </row>
    <row r="49" spans="2:82" x14ac:dyDescent="0.3">
      <c r="B49" s="746" t="s">
        <v>279</v>
      </c>
      <c r="C49" s="747"/>
      <c r="D49" s="650"/>
      <c r="E49" s="650"/>
      <c r="F49" s="650"/>
      <c r="G49" s="650"/>
      <c r="H49" s="650"/>
      <c r="I49" s="650"/>
      <c r="J49" s="651">
        <v>3250</v>
      </c>
      <c r="K49" s="650">
        <v>800</v>
      </c>
      <c r="L49" s="650">
        <v>1600</v>
      </c>
      <c r="M49" s="650">
        <v>1600</v>
      </c>
      <c r="N49" s="650">
        <v>1270</v>
      </c>
      <c r="O49" s="650">
        <v>3964.1962695766706</v>
      </c>
      <c r="P49" s="671">
        <v>4045.8968508380203</v>
      </c>
      <c r="Q49" s="671">
        <v>6767.5</v>
      </c>
      <c r="R49" s="672">
        <v>-3250</v>
      </c>
      <c r="S49" s="672">
        <v>-3250</v>
      </c>
      <c r="T49" s="650">
        <v>-3250</v>
      </c>
      <c r="U49" s="650">
        <v>-3250</v>
      </c>
      <c r="V49" s="650">
        <v>-3250</v>
      </c>
      <c r="W49" s="650">
        <v>0</v>
      </c>
      <c r="X49" s="650">
        <v>-8367.4899999999907</v>
      </c>
      <c r="Y49" s="650">
        <v>0</v>
      </c>
      <c r="Z49" s="650">
        <v>0</v>
      </c>
      <c r="AA49" s="650">
        <v>0</v>
      </c>
      <c r="AB49" s="650">
        <v>0</v>
      </c>
      <c r="AC49" s="297">
        <v>0</v>
      </c>
      <c r="AD49" s="650"/>
      <c r="AE49" s="650"/>
      <c r="AF49" s="650"/>
      <c r="AG49" s="650"/>
      <c r="AH49" s="650"/>
      <c r="AI49" s="650"/>
      <c r="AJ49" s="672">
        <f>-'[1]Monthly Detail'!AQ170</f>
        <v>-1</v>
      </c>
      <c r="AK49" s="672">
        <f>-'[1]Monthly Detail'!AR170</f>
        <v>746.48999999999069</v>
      </c>
      <c r="AL49" s="672">
        <f>-'[1]Monthly Detail'!AS170</f>
        <v>37.680000000000291</v>
      </c>
      <c r="AM49" s="651">
        <v>4300</v>
      </c>
      <c r="AN49" s="650">
        <v>2750</v>
      </c>
      <c r="AO49" s="650">
        <v>4307.5404834788205</v>
      </c>
      <c r="AP49" s="650">
        <v>9775</v>
      </c>
      <c r="AQ49" s="650"/>
      <c r="AR49" s="650"/>
      <c r="AS49" s="650">
        <v>-7780</v>
      </c>
      <c r="AT49" s="650">
        <v>-7452.4100000000035</v>
      </c>
      <c r="AU49" s="650">
        <v>-2150</v>
      </c>
      <c r="AV49" s="650">
        <v>0</v>
      </c>
      <c r="AW49" s="671">
        <v>0</v>
      </c>
      <c r="AX49" s="671">
        <v>-20674</v>
      </c>
      <c r="AY49" s="671">
        <v>-8367.4899999999907</v>
      </c>
      <c r="AZ49" s="671">
        <v>0</v>
      </c>
      <c r="BA49" s="671">
        <v>0</v>
      </c>
      <c r="BB49" s="671">
        <v>0</v>
      </c>
      <c r="BC49" s="671">
        <v>0</v>
      </c>
      <c r="BD49" s="297">
        <f>+SUMIF('Monthly Detail'!$4:$4, $B$14,'Monthly Detail'!157:157)</f>
        <v>0</v>
      </c>
      <c r="BE49" s="671">
        <v>2000</v>
      </c>
      <c r="BF49" s="672">
        <v>1050</v>
      </c>
      <c r="BG49" s="672">
        <v>1150</v>
      </c>
      <c r="BH49" s="650">
        <v>1275</v>
      </c>
      <c r="BI49" s="650">
        <v>2400</v>
      </c>
      <c r="BJ49" s="703">
        <v>1270</v>
      </c>
      <c r="BK49" s="672">
        <v>2464.61</v>
      </c>
      <c r="BL49" s="672">
        <v>6405</v>
      </c>
      <c r="BM49" s="672">
        <v>-5600</v>
      </c>
      <c r="BN49" s="672">
        <v>-4100</v>
      </c>
      <c r="BO49" s="672">
        <v>-4100</v>
      </c>
      <c r="BP49" s="672">
        <v>-1425</v>
      </c>
      <c r="BQ49" s="672">
        <v>-3250</v>
      </c>
      <c r="BR49" s="672">
        <v>-3250</v>
      </c>
      <c r="BS49" s="672">
        <v>-3250</v>
      </c>
      <c r="BT49" s="672">
        <v>-3250</v>
      </c>
      <c r="BU49" s="672">
        <v>-3250</v>
      </c>
      <c r="BV49" s="672">
        <v>-3250</v>
      </c>
      <c r="BW49" s="273">
        <v>-3250</v>
      </c>
      <c r="BX49" s="273">
        <v>-3250</v>
      </c>
      <c r="BY49" s="273">
        <v>-3250</v>
      </c>
      <c r="BZ49" s="273">
        <v>-3250</v>
      </c>
      <c r="CA49" s="273">
        <v>-3250</v>
      </c>
      <c r="CB49" s="273">
        <v>-3250</v>
      </c>
      <c r="CC49" s="506">
        <f>+BD49-AC49</f>
        <v>0</v>
      </c>
      <c r="CD49" s="506">
        <f t="shared" si="0"/>
        <v>3250</v>
      </c>
    </row>
    <row r="50" spans="2:82" ht="15" thickBot="1" x14ac:dyDescent="0.35">
      <c r="B50" s="748" t="s">
        <v>16</v>
      </c>
      <c r="C50" s="749"/>
      <c r="D50" s="673">
        <f>+D48+D44</f>
        <v>4458.3983333333335</v>
      </c>
      <c r="E50" s="673">
        <f>+E48+E44</f>
        <v>3737.9558333333325</v>
      </c>
      <c r="F50" s="673">
        <v>5166.6266666666661</v>
      </c>
      <c r="G50" s="673">
        <v>3957.7216666666668</v>
      </c>
      <c r="H50" s="673">
        <v>7569.7233333333343</v>
      </c>
      <c r="I50" s="673">
        <v>2255.7184999999999</v>
      </c>
      <c r="J50" s="674">
        <v>1022.1880263157896</v>
      </c>
      <c r="K50" s="673">
        <v>1435.4298913043481</v>
      </c>
      <c r="L50" s="673">
        <v>3942.5624846915707</v>
      </c>
      <c r="M50" s="673">
        <v>4387.4070731396541</v>
      </c>
      <c r="N50" s="673">
        <v>3311.2272398005284</v>
      </c>
      <c r="O50" s="675">
        <v>4129.0006727771388</v>
      </c>
      <c r="P50" s="676">
        <v>6203.6292621126067</v>
      </c>
      <c r="Q50" s="676">
        <v>3987.2469143892972</v>
      </c>
      <c r="R50" s="677">
        <v>3901.7583452172903</v>
      </c>
      <c r="S50" s="677">
        <v>2310.7522859141618</v>
      </c>
      <c r="T50" s="675">
        <v>2310.7522859141618</v>
      </c>
      <c r="U50" s="675">
        <v>2310.7522859141618</v>
      </c>
      <c r="V50" s="675">
        <v>2310.7522859141618</v>
      </c>
      <c r="W50" s="675">
        <v>2407.6524805540953</v>
      </c>
      <c r="X50" s="675">
        <v>2407.6524805540953</v>
      </c>
      <c r="Y50" s="675">
        <v>2407.6524805540953</v>
      </c>
      <c r="Z50" s="675">
        <v>3237.8604468376434</v>
      </c>
      <c r="AA50" s="675">
        <v>6558.9266924501635</v>
      </c>
      <c r="AB50" s="675">
        <v>8613.0612784151454</v>
      </c>
      <c r="AC50" s="418">
        <v>6819.6397164935934</v>
      </c>
      <c r="AD50" s="675">
        <f t="shared" ref="AD50:AL50" si="19">+AD48+AD44</f>
        <v>6276.72</v>
      </c>
      <c r="AE50" s="675">
        <f t="shared" si="19"/>
        <v>7109.73</v>
      </c>
      <c r="AF50" s="675">
        <f t="shared" si="19"/>
        <v>7148.9000000000005</v>
      </c>
      <c r="AG50" s="675">
        <f t="shared" si="19"/>
        <v>4031.6899999999996</v>
      </c>
      <c r="AH50" s="675">
        <f t="shared" si="19"/>
        <v>1647.03</v>
      </c>
      <c r="AI50" s="675">
        <f t="shared" si="19"/>
        <v>2584.7600000000002</v>
      </c>
      <c r="AJ50" s="675">
        <f t="shared" si="19"/>
        <v>3921.48</v>
      </c>
      <c r="AK50" s="675">
        <f t="shared" si="19"/>
        <v>2836.4700000000003</v>
      </c>
      <c r="AL50" s="675">
        <f t="shared" si="19"/>
        <v>3635.2</v>
      </c>
      <c r="AM50" s="675">
        <v>5015.13</v>
      </c>
      <c r="AN50" s="675">
        <v>2753.84</v>
      </c>
      <c r="AO50" s="675">
        <v>6317.0300000000007</v>
      </c>
      <c r="AP50" s="675">
        <v>11158.25</v>
      </c>
      <c r="AQ50" s="675"/>
      <c r="AR50" s="675"/>
      <c r="AS50" s="675">
        <v>6531.79</v>
      </c>
      <c r="AT50" s="675">
        <v>3184.67</v>
      </c>
      <c r="AU50" s="675">
        <v>1533.35</v>
      </c>
      <c r="AV50" s="675">
        <v>187.23999999999967</v>
      </c>
      <c r="AW50" s="676">
        <v>-514.55000000000166</v>
      </c>
      <c r="AX50" s="676">
        <v>-782.66999999999973</v>
      </c>
      <c r="AY50" s="676">
        <v>1503.2099999999996</v>
      </c>
      <c r="AZ50" s="676">
        <v>1994.59</v>
      </c>
      <c r="BA50" s="676">
        <v>1994.59</v>
      </c>
      <c r="BB50" s="676">
        <v>1994.59</v>
      </c>
      <c r="BC50" s="676">
        <v>1994.59</v>
      </c>
      <c r="BD50" s="418">
        <f t="shared" ref="BD50" si="20">+BD48+BD44</f>
        <v>13319.670000000009</v>
      </c>
      <c r="BE50" s="704">
        <v>2255.7184999999999</v>
      </c>
      <c r="BF50" s="705">
        <v>4082.9005175438597</v>
      </c>
      <c r="BG50" s="705">
        <v>3183.372485507246</v>
      </c>
      <c r="BH50" s="673">
        <v>5003.6946904761908</v>
      </c>
      <c r="BI50" s="673">
        <v>9421.0310000000009</v>
      </c>
      <c r="BJ50" s="706">
        <v>5919.610545454545</v>
      </c>
      <c r="BK50" s="705">
        <f>+BK44+BK47</f>
        <v>8907.7125476190467</v>
      </c>
      <c r="BL50" s="705">
        <f t="shared" ref="BL50:CB50" si="21">+BL44+BL47</f>
        <v>8438.2278243819255</v>
      </c>
      <c r="BM50" s="705">
        <f t="shared" si="21"/>
        <v>-2882.2434252873581</v>
      </c>
      <c r="BN50" s="705">
        <f t="shared" si="21"/>
        <v>-810.76066666666679</v>
      </c>
      <c r="BO50" s="705">
        <f t="shared" si="21"/>
        <v>-810.76066666666679</v>
      </c>
      <c r="BP50" s="705">
        <f t="shared" si="21"/>
        <v>3301.239333333333</v>
      </c>
      <c r="BQ50" s="705">
        <f t="shared" si="21"/>
        <v>4517.3374953402599</v>
      </c>
      <c r="BR50" s="705">
        <f t="shared" si="21"/>
        <v>6220.2154835916353</v>
      </c>
      <c r="BS50" s="705">
        <f t="shared" si="21"/>
        <v>2267.4443049321681</v>
      </c>
      <c r="BT50" s="705">
        <f t="shared" si="21"/>
        <v>4180.3855024223885</v>
      </c>
      <c r="BU50" s="705">
        <f t="shared" si="21"/>
        <v>3474.5919614715149</v>
      </c>
      <c r="BV50" s="705">
        <f t="shared" si="21"/>
        <v>1053.7227538255561</v>
      </c>
      <c r="BW50" s="233">
        <f t="shared" si="21"/>
        <v>4700.2406441520379</v>
      </c>
      <c r="BX50" s="233">
        <f t="shared" si="21"/>
        <v>6915.6536712489633</v>
      </c>
      <c r="BY50" s="233">
        <f t="shared" si="21"/>
        <v>6952.6332246652555</v>
      </c>
      <c r="BZ50" s="233">
        <f t="shared" si="21"/>
        <v>9701.6103571005915</v>
      </c>
      <c r="CA50" s="233">
        <f t="shared" si="21"/>
        <v>4418.3711089714216</v>
      </c>
      <c r="CB50" s="233">
        <f t="shared" si="21"/>
        <v>1690.9450786612692</v>
      </c>
      <c r="CC50" s="395">
        <f>+BD50-AC50</f>
        <v>6500.0302835064158</v>
      </c>
      <c r="CD50" s="395">
        <f t="shared" si="0"/>
        <v>3618.0596428994177</v>
      </c>
    </row>
    <row r="51" spans="2:82" ht="15" thickTop="1" x14ac:dyDescent="0.3"/>
    <row r="52" spans="2:82" x14ac:dyDescent="0.3">
      <c r="B52" s="265"/>
      <c r="C52" s="265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230"/>
      <c r="AC52" s="9"/>
      <c r="AD52" s="230"/>
      <c r="AE52" s="230"/>
      <c r="AF52" s="230"/>
      <c r="AG52" s="230"/>
      <c r="AH52" s="230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270"/>
      <c r="CD52" s="270"/>
    </row>
  </sheetData>
  <mergeCells count="28">
    <mergeCell ref="B28:C28"/>
    <mergeCell ref="B14:CD14"/>
    <mergeCell ref="B16:C16"/>
    <mergeCell ref="B17:B23"/>
    <mergeCell ref="B26:C26"/>
    <mergeCell ref="B27:C27"/>
    <mergeCell ref="B41:C41"/>
    <mergeCell ref="B29:C29"/>
    <mergeCell ref="B30:C30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31:C31"/>
    <mergeCell ref="B48:C48"/>
    <mergeCell ref="B49:C49"/>
    <mergeCell ref="B50:C50"/>
    <mergeCell ref="B42:C42"/>
    <mergeCell ref="B43:C43"/>
    <mergeCell ref="B44:C44"/>
    <mergeCell ref="B45:C45"/>
    <mergeCell ref="B46:C46"/>
    <mergeCell ref="B47:C47"/>
  </mergeCells>
  <pageMargins left="0.7" right="0.7" top="0.75" bottom="0.75" header="0.3" footer="0.3"/>
  <pageSetup scale="58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E60E-B214-4ADE-BEB3-F68D07A7637B}">
  <sheetPr>
    <tabColor theme="0" tint="-0.249977111117893"/>
  </sheetPr>
  <dimension ref="B2:C62"/>
  <sheetViews>
    <sheetView workbookViewId="0">
      <selection activeCell="C1" sqref="C1:C1048576"/>
    </sheetView>
  </sheetViews>
  <sheetFormatPr defaultColWidth="8.6640625" defaultRowHeight="14.4" x14ac:dyDescent="0.3"/>
  <cols>
    <col min="2" max="2" width="10.6640625" bestFit="1" customWidth="1"/>
    <col min="3" max="3" width="14.33203125" bestFit="1" customWidth="1"/>
  </cols>
  <sheetData>
    <row r="2" spans="2:3" x14ac:dyDescent="0.3">
      <c r="B2" s="12" t="s">
        <v>49</v>
      </c>
      <c r="C2" s="13"/>
    </row>
    <row r="3" spans="2:3" x14ac:dyDescent="0.3">
      <c r="B3" s="14">
        <v>43831</v>
      </c>
      <c r="C3" t="s">
        <v>50</v>
      </c>
    </row>
    <row r="4" spans="2:3" x14ac:dyDescent="0.3">
      <c r="B4" s="14">
        <v>43850</v>
      </c>
      <c r="C4" t="s">
        <v>51</v>
      </c>
    </row>
    <row r="5" spans="2:3" x14ac:dyDescent="0.3">
      <c r="B5" s="14">
        <v>43878</v>
      </c>
      <c r="C5" t="s">
        <v>52</v>
      </c>
    </row>
    <row r="6" spans="2:3" x14ac:dyDescent="0.3">
      <c r="B6" s="14">
        <v>43976</v>
      </c>
      <c r="C6" t="s">
        <v>53</v>
      </c>
    </row>
    <row r="7" spans="2:3" x14ac:dyDescent="0.3">
      <c r="B7" s="14">
        <v>44081</v>
      </c>
      <c r="C7" t="s">
        <v>54</v>
      </c>
    </row>
    <row r="8" spans="2:3" x14ac:dyDescent="0.3">
      <c r="B8" s="14">
        <v>44016</v>
      </c>
      <c r="C8" t="s">
        <v>55</v>
      </c>
    </row>
    <row r="9" spans="2:3" x14ac:dyDescent="0.3">
      <c r="B9" s="14">
        <v>44161</v>
      </c>
      <c r="C9" t="s">
        <v>56</v>
      </c>
    </row>
    <row r="10" spans="2:3" x14ac:dyDescent="0.3">
      <c r="B10" s="14">
        <f>+B9+1</f>
        <v>44162</v>
      </c>
      <c r="C10" t="s">
        <v>57</v>
      </c>
    </row>
    <row r="11" spans="2:3" x14ac:dyDescent="0.3">
      <c r="B11" s="14">
        <v>44189</v>
      </c>
      <c r="C11" t="s">
        <v>58</v>
      </c>
    </row>
    <row r="12" spans="2:3" x14ac:dyDescent="0.3">
      <c r="B12" s="14">
        <f>+B11+1</f>
        <v>44190</v>
      </c>
      <c r="C12" t="s">
        <v>59</v>
      </c>
    </row>
    <row r="13" spans="2:3" x14ac:dyDescent="0.3">
      <c r="B13" s="14">
        <f>+B3+366</f>
        <v>44197</v>
      </c>
      <c r="C13" t="s">
        <v>50</v>
      </c>
    </row>
    <row r="14" spans="2:3" x14ac:dyDescent="0.3">
      <c r="B14" s="14">
        <f t="shared" ref="B14:B22" si="0">+B4+366</f>
        <v>44216</v>
      </c>
      <c r="C14" t="s">
        <v>51</v>
      </c>
    </row>
    <row r="15" spans="2:3" x14ac:dyDescent="0.3">
      <c r="B15" s="14">
        <f t="shared" si="0"/>
        <v>44244</v>
      </c>
      <c r="C15" t="s">
        <v>52</v>
      </c>
    </row>
    <row r="16" spans="2:3" x14ac:dyDescent="0.3">
      <c r="B16" s="14">
        <f t="shared" si="0"/>
        <v>44342</v>
      </c>
      <c r="C16" t="s">
        <v>53</v>
      </c>
    </row>
    <row r="17" spans="2:3" x14ac:dyDescent="0.3">
      <c r="B17" s="14">
        <f t="shared" si="0"/>
        <v>44447</v>
      </c>
      <c r="C17" t="s">
        <v>54</v>
      </c>
    </row>
    <row r="18" spans="2:3" x14ac:dyDescent="0.3">
      <c r="B18" s="14">
        <f t="shared" si="0"/>
        <v>44382</v>
      </c>
      <c r="C18" t="s">
        <v>55</v>
      </c>
    </row>
    <row r="19" spans="2:3" x14ac:dyDescent="0.3">
      <c r="B19" s="14">
        <f t="shared" si="0"/>
        <v>44527</v>
      </c>
      <c r="C19" t="s">
        <v>56</v>
      </c>
    </row>
    <row r="20" spans="2:3" x14ac:dyDescent="0.3">
      <c r="B20" s="14">
        <f t="shared" si="0"/>
        <v>44528</v>
      </c>
      <c r="C20" t="s">
        <v>57</v>
      </c>
    </row>
    <row r="21" spans="2:3" x14ac:dyDescent="0.3">
      <c r="B21" s="14">
        <f t="shared" si="0"/>
        <v>44555</v>
      </c>
      <c r="C21" t="s">
        <v>58</v>
      </c>
    </row>
    <row r="22" spans="2:3" x14ac:dyDescent="0.3">
      <c r="B22" s="14">
        <f t="shared" si="0"/>
        <v>44556</v>
      </c>
      <c r="C22" t="s">
        <v>59</v>
      </c>
    </row>
    <row r="23" spans="2:3" x14ac:dyDescent="0.3">
      <c r="B23" s="14">
        <f>+B13+365</f>
        <v>44562</v>
      </c>
      <c r="C23" t="s">
        <v>50</v>
      </c>
    </row>
    <row r="24" spans="2:3" x14ac:dyDescent="0.3">
      <c r="B24" s="14">
        <f t="shared" ref="B24:B62" si="1">+B14+365</f>
        <v>44581</v>
      </c>
      <c r="C24" t="s">
        <v>51</v>
      </c>
    </row>
    <row r="25" spans="2:3" x14ac:dyDescent="0.3">
      <c r="B25" s="14">
        <f t="shared" si="1"/>
        <v>44609</v>
      </c>
      <c r="C25" t="s">
        <v>52</v>
      </c>
    </row>
    <row r="26" spans="2:3" x14ac:dyDescent="0.3">
      <c r="B26" s="14">
        <f t="shared" si="1"/>
        <v>44707</v>
      </c>
      <c r="C26" t="s">
        <v>53</v>
      </c>
    </row>
    <row r="27" spans="2:3" x14ac:dyDescent="0.3">
      <c r="B27" s="14">
        <f t="shared" si="1"/>
        <v>44812</v>
      </c>
      <c r="C27" t="s">
        <v>54</v>
      </c>
    </row>
    <row r="28" spans="2:3" x14ac:dyDescent="0.3">
      <c r="B28" s="14">
        <f t="shared" si="1"/>
        <v>44747</v>
      </c>
      <c r="C28" t="s">
        <v>55</v>
      </c>
    </row>
    <row r="29" spans="2:3" x14ac:dyDescent="0.3">
      <c r="B29" s="14">
        <f t="shared" si="1"/>
        <v>44892</v>
      </c>
      <c r="C29" t="s">
        <v>56</v>
      </c>
    </row>
    <row r="30" spans="2:3" x14ac:dyDescent="0.3">
      <c r="B30" s="14">
        <f t="shared" si="1"/>
        <v>44893</v>
      </c>
      <c r="C30" t="s">
        <v>57</v>
      </c>
    </row>
    <row r="31" spans="2:3" x14ac:dyDescent="0.3">
      <c r="B31" s="14">
        <f t="shared" si="1"/>
        <v>44920</v>
      </c>
      <c r="C31" t="s">
        <v>58</v>
      </c>
    </row>
    <row r="32" spans="2:3" x14ac:dyDescent="0.3">
      <c r="B32" s="14">
        <f t="shared" si="1"/>
        <v>44921</v>
      </c>
      <c r="C32" t="s">
        <v>59</v>
      </c>
    </row>
    <row r="33" spans="2:3" x14ac:dyDescent="0.3">
      <c r="B33" s="14">
        <f t="shared" si="1"/>
        <v>44927</v>
      </c>
      <c r="C33" t="s">
        <v>50</v>
      </c>
    </row>
    <row r="34" spans="2:3" x14ac:dyDescent="0.3">
      <c r="B34" s="14">
        <f t="shared" si="1"/>
        <v>44946</v>
      </c>
      <c r="C34" t="s">
        <v>51</v>
      </c>
    </row>
    <row r="35" spans="2:3" x14ac:dyDescent="0.3">
      <c r="B35" s="14">
        <f t="shared" si="1"/>
        <v>44974</v>
      </c>
      <c r="C35" t="s">
        <v>52</v>
      </c>
    </row>
    <row r="36" spans="2:3" x14ac:dyDescent="0.3">
      <c r="B36" s="14">
        <f t="shared" si="1"/>
        <v>45072</v>
      </c>
      <c r="C36" t="s">
        <v>53</v>
      </c>
    </row>
    <row r="37" spans="2:3" x14ac:dyDescent="0.3">
      <c r="B37" s="14">
        <f t="shared" si="1"/>
        <v>45177</v>
      </c>
      <c r="C37" t="s">
        <v>54</v>
      </c>
    </row>
    <row r="38" spans="2:3" x14ac:dyDescent="0.3">
      <c r="B38" s="14">
        <f t="shared" si="1"/>
        <v>45112</v>
      </c>
      <c r="C38" t="s">
        <v>55</v>
      </c>
    </row>
    <row r="39" spans="2:3" x14ac:dyDescent="0.3">
      <c r="B39" s="14">
        <f t="shared" si="1"/>
        <v>45257</v>
      </c>
      <c r="C39" t="s">
        <v>56</v>
      </c>
    </row>
    <row r="40" spans="2:3" x14ac:dyDescent="0.3">
      <c r="B40" s="14">
        <f t="shared" si="1"/>
        <v>45258</v>
      </c>
      <c r="C40" t="s">
        <v>57</v>
      </c>
    </row>
    <row r="41" spans="2:3" x14ac:dyDescent="0.3">
      <c r="B41" s="14">
        <f t="shared" si="1"/>
        <v>45285</v>
      </c>
      <c r="C41" t="s">
        <v>58</v>
      </c>
    </row>
    <row r="42" spans="2:3" x14ac:dyDescent="0.3">
      <c r="B42" s="14">
        <f t="shared" si="1"/>
        <v>45286</v>
      </c>
      <c r="C42" t="s">
        <v>59</v>
      </c>
    </row>
    <row r="43" spans="2:3" x14ac:dyDescent="0.3">
      <c r="B43" s="14">
        <f t="shared" si="1"/>
        <v>45292</v>
      </c>
      <c r="C43" t="s">
        <v>50</v>
      </c>
    </row>
    <row r="44" spans="2:3" x14ac:dyDescent="0.3">
      <c r="B44" s="14">
        <f t="shared" si="1"/>
        <v>45311</v>
      </c>
      <c r="C44" t="s">
        <v>51</v>
      </c>
    </row>
    <row r="45" spans="2:3" x14ac:dyDescent="0.3">
      <c r="B45" s="14">
        <f t="shared" si="1"/>
        <v>45339</v>
      </c>
      <c r="C45" t="s">
        <v>52</v>
      </c>
    </row>
    <row r="46" spans="2:3" x14ac:dyDescent="0.3">
      <c r="B46" s="14">
        <f t="shared" si="1"/>
        <v>45437</v>
      </c>
      <c r="C46" t="s">
        <v>53</v>
      </c>
    </row>
    <row r="47" spans="2:3" x14ac:dyDescent="0.3">
      <c r="B47" s="14">
        <f t="shared" si="1"/>
        <v>45542</v>
      </c>
      <c r="C47" t="s">
        <v>54</v>
      </c>
    </row>
    <row r="48" spans="2:3" x14ac:dyDescent="0.3">
      <c r="B48" s="14">
        <f t="shared" si="1"/>
        <v>45477</v>
      </c>
      <c r="C48" t="s">
        <v>55</v>
      </c>
    </row>
    <row r="49" spans="2:3" x14ac:dyDescent="0.3">
      <c r="B49" s="14">
        <f t="shared" si="1"/>
        <v>45622</v>
      </c>
      <c r="C49" t="s">
        <v>56</v>
      </c>
    </row>
    <row r="50" spans="2:3" x14ac:dyDescent="0.3">
      <c r="B50" s="14">
        <f t="shared" si="1"/>
        <v>45623</v>
      </c>
      <c r="C50" t="s">
        <v>57</v>
      </c>
    </row>
    <row r="51" spans="2:3" x14ac:dyDescent="0.3">
      <c r="B51" s="14">
        <f t="shared" si="1"/>
        <v>45650</v>
      </c>
      <c r="C51" t="s">
        <v>58</v>
      </c>
    </row>
    <row r="52" spans="2:3" x14ac:dyDescent="0.3">
      <c r="B52" s="14">
        <f t="shared" si="1"/>
        <v>45651</v>
      </c>
      <c r="C52" t="s">
        <v>59</v>
      </c>
    </row>
    <row r="53" spans="2:3" x14ac:dyDescent="0.3">
      <c r="B53" s="14">
        <f t="shared" si="1"/>
        <v>45657</v>
      </c>
      <c r="C53" t="s">
        <v>50</v>
      </c>
    </row>
    <row r="54" spans="2:3" x14ac:dyDescent="0.3">
      <c r="B54" s="14">
        <f t="shared" si="1"/>
        <v>45676</v>
      </c>
      <c r="C54" t="s">
        <v>51</v>
      </c>
    </row>
    <row r="55" spans="2:3" x14ac:dyDescent="0.3">
      <c r="B55" s="14">
        <f t="shared" si="1"/>
        <v>45704</v>
      </c>
      <c r="C55" t="s">
        <v>52</v>
      </c>
    </row>
    <row r="56" spans="2:3" x14ac:dyDescent="0.3">
      <c r="B56" s="14">
        <f t="shared" si="1"/>
        <v>45802</v>
      </c>
      <c r="C56" t="s">
        <v>53</v>
      </c>
    </row>
    <row r="57" spans="2:3" x14ac:dyDescent="0.3">
      <c r="B57" s="14">
        <f t="shared" si="1"/>
        <v>45907</v>
      </c>
      <c r="C57" t="s">
        <v>54</v>
      </c>
    </row>
    <row r="58" spans="2:3" x14ac:dyDescent="0.3">
      <c r="B58" s="14">
        <f t="shared" si="1"/>
        <v>45842</v>
      </c>
      <c r="C58" t="s">
        <v>55</v>
      </c>
    </row>
    <row r="59" spans="2:3" x14ac:dyDescent="0.3">
      <c r="B59" s="14">
        <f t="shared" si="1"/>
        <v>45987</v>
      </c>
      <c r="C59" t="s">
        <v>56</v>
      </c>
    </row>
    <row r="60" spans="2:3" x14ac:dyDescent="0.3">
      <c r="B60" s="14">
        <f t="shared" si="1"/>
        <v>45988</v>
      </c>
      <c r="C60" t="s">
        <v>57</v>
      </c>
    </row>
    <row r="61" spans="2:3" x14ac:dyDescent="0.3">
      <c r="B61" s="14">
        <f t="shared" si="1"/>
        <v>46015</v>
      </c>
      <c r="C61" t="s">
        <v>58</v>
      </c>
    </row>
    <row r="62" spans="2:3" x14ac:dyDescent="0.3">
      <c r="B62" s="14">
        <f t="shared" si="1"/>
        <v>46016</v>
      </c>
      <c r="C62" t="s">
        <v>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B7E7-E1EF-4D02-8151-E1C7395CE6E2}">
  <dimension ref="A1:XFD18"/>
  <sheetViews>
    <sheetView workbookViewId="0">
      <selection activeCell="C2" sqref="C2:C16"/>
    </sheetView>
  </sheetViews>
  <sheetFormatPr defaultColWidth="8.6640625" defaultRowHeight="14.4" x14ac:dyDescent="0.3"/>
  <cols>
    <col min="1" max="1" width="8.6640625" style="135"/>
    <col min="2" max="2" width="12.33203125" style="135" bestFit="1" customWidth="1"/>
    <col min="3" max="9" width="8.6640625" style="135"/>
    <col min="10" max="10" width="15" style="135" bestFit="1" customWidth="1"/>
    <col min="11" max="16384" width="8.6640625" style="135"/>
  </cols>
  <sheetData>
    <row r="1" spans="1:11 16384:16384" x14ac:dyDescent="0.3">
      <c r="A1" s="135" t="s">
        <v>68</v>
      </c>
      <c r="B1" s="135" t="s">
        <v>69</v>
      </c>
      <c r="C1" s="135" t="s">
        <v>70</v>
      </c>
      <c r="D1" s="135" t="s">
        <v>71</v>
      </c>
      <c r="E1" s="135" t="s">
        <v>72</v>
      </c>
      <c r="F1" s="135" t="s">
        <v>73</v>
      </c>
      <c r="G1" s="135" t="s">
        <v>74</v>
      </c>
      <c r="H1" s="135" t="s">
        <v>75</v>
      </c>
      <c r="I1" s="135" t="s">
        <v>76</v>
      </c>
      <c r="J1" s="136" t="s">
        <v>77</v>
      </c>
      <c r="K1" s="135" t="s">
        <v>78</v>
      </c>
    </row>
    <row r="2" spans="1:11 16384:16384" x14ac:dyDescent="0.3">
      <c r="A2" s="137" t="s">
        <v>91</v>
      </c>
      <c r="B2" s="137" t="s">
        <v>210</v>
      </c>
      <c r="C2" s="137">
        <v>2</v>
      </c>
      <c r="D2" s="137">
        <v>50</v>
      </c>
      <c r="E2" s="137">
        <v>100</v>
      </c>
      <c r="F2" s="137" t="s">
        <v>80</v>
      </c>
      <c r="G2" s="137" t="s">
        <v>80</v>
      </c>
      <c r="H2" s="137" t="s">
        <v>211</v>
      </c>
      <c r="I2" s="137"/>
      <c r="J2" s="138" t="s">
        <v>212</v>
      </c>
      <c r="K2" s="137">
        <v>100</v>
      </c>
    </row>
    <row r="3" spans="1:11 16384:16384" x14ac:dyDescent="0.3">
      <c r="A3" s="137" t="s">
        <v>98</v>
      </c>
      <c r="B3" s="139">
        <v>44906</v>
      </c>
      <c r="C3" s="137">
        <v>1.25</v>
      </c>
      <c r="D3" s="138">
        <v>60</v>
      </c>
      <c r="E3" s="137">
        <v>75</v>
      </c>
      <c r="F3" s="137" t="s">
        <v>80</v>
      </c>
      <c r="G3" s="137" t="s">
        <v>80</v>
      </c>
      <c r="H3" s="137" t="s">
        <v>99</v>
      </c>
      <c r="I3" s="137" t="s">
        <v>82</v>
      </c>
      <c r="J3" s="137" t="s">
        <v>180</v>
      </c>
      <c r="K3" s="137">
        <v>75</v>
      </c>
    </row>
    <row r="4" spans="1:11 16384:16384" x14ac:dyDescent="0.3">
      <c r="A4" s="137" t="s">
        <v>213</v>
      </c>
      <c r="B4" s="139">
        <v>44907</v>
      </c>
      <c r="C4" s="137">
        <v>1</v>
      </c>
      <c r="D4" s="138">
        <v>60</v>
      </c>
      <c r="E4" s="137">
        <v>60</v>
      </c>
      <c r="F4" s="137" t="s">
        <v>80</v>
      </c>
      <c r="G4" s="137" t="s">
        <v>80</v>
      </c>
      <c r="H4" s="137" t="s">
        <v>214</v>
      </c>
      <c r="I4" s="137" t="s">
        <v>82</v>
      </c>
      <c r="J4" s="137" t="s">
        <v>180</v>
      </c>
      <c r="K4" s="137">
        <v>60</v>
      </c>
    </row>
    <row r="5" spans="1:11 16384:16384" x14ac:dyDescent="0.3">
      <c r="A5" s="137" t="s">
        <v>213</v>
      </c>
      <c r="B5" s="139">
        <v>44908</v>
      </c>
      <c r="C5" s="137">
        <v>1.5</v>
      </c>
      <c r="D5" s="138">
        <v>60</v>
      </c>
      <c r="E5" s="137">
        <v>90</v>
      </c>
      <c r="F5" s="137" t="s">
        <v>80</v>
      </c>
      <c r="G5" s="137" t="s">
        <v>80</v>
      </c>
      <c r="H5" s="137" t="s">
        <v>214</v>
      </c>
      <c r="I5" s="137" t="s">
        <v>82</v>
      </c>
      <c r="J5" s="137" t="s">
        <v>180</v>
      </c>
      <c r="K5" s="137">
        <v>90</v>
      </c>
    </row>
    <row r="6" spans="1:11 16384:16384" x14ac:dyDescent="0.3">
      <c r="A6" s="137" t="s">
        <v>213</v>
      </c>
      <c r="B6" s="139">
        <v>44910</v>
      </c>
      <c r="C6" s="137">
        <v>1.5</v>
      </c>
      <c r="D6" s="137">
        <v>60</v>
      </c>
      <c r="E6" s="137">
        <v>90</v>
      </c>
      <c r="F6" s="137" t="s">
        <v>80</v>
      </c>
      <c r="G6" s="137" t="s">
        <v>80</v>
      </c>
      <c r="H6" s="137" t="s">
        <v>214</v>
      </c>
      <c r="I6" s="137" t="s">
        <v>82</v>
      </c>
      <c r="J6" s="137" t="s">
        <v>180</v>
      </c>
      <c r="K6" s="137">
        <v>90</v>
      </c>
    </row>
    <row r="7" spans="1:11 16384:16384" x14ac:dyDescent="0.3">
      <c r="A7" s="137" t="s">
        <v>215</v>
      </c>
      <c r="B7" s="139">
        <v>44905</v>
      </c>
      <c r="C7" s="137">
        <v>1</v>
      </c>
      <c r="D7" s="138">
        <v>60</v>
      </c>
      <c r="E7" s="137">
        <v>60</v>
      </c>
      <c r="F7" s="137" t="s">
        <v>80</v>
      </c>
      <c r="G7" s="137" t="s">
        <v>80</v>
      </c>
      <c r="H7" s="137" t="s">
        <v>216</v>
      </c>
      <c r="I7" s="137" t="s">
        <v>82</v>
      </c>
      <c r="J7" s="137" t="s">
        <v>180</v>
      </c>
      <c r="K7" s="137">
        <v>60</v>
      </c>
    </row>
    <row r="8" spans="1:11 16384:16384" x14ac:dyDescent="0.3">
      <c r="A8" s="137" t="s">
        <v>120</v>
      </c>
      <c r="B8" s="139">
        <v>44898</v>
      </c>
      <c r="C8" s="137">
        <v>1.5</v>
      </c>
      <c r="D8" s="137">
        <v>50</v>
      </c>
      <c r="E8" s="137">
        <v>75</v>
      </c>
      <c r="F8" s="137" t="s">
        <v>80</v>
      </c>
      <c r="G8" s="137" t="s">
        <v>80</v>
      </c>
      <c r="H8" s="137" t="s">
        <v>121</v>
      </c>
      <c r="I8" s="137" t="s">
        <v>82</v>
      </c>
      <c r="J8" s="137" t="s">
        <v>180</v>
      </c>
      <c r="K8" s="137">
        <v>75</v>
      </c>
    </row>
    <row r="9" spans="1:11 16384:16384" x14ac:dyDescent="0.3">
      <c r="A9" s="137" t="s">
        <v>120</v>
      </c>
      <c r="B9" s="139">
        <v>44900</v>
      </c>
      <c r="C9" s="137">
        <v>1.5</v>
      </c>
      <c r="D9" s="137">
        <v>50</v>
      </c>
      <c r="E9" s="137">
        <v>75</v>
      </c>
      <c r="F9" s="137" t="s">
        <v>80</v>
      </c>
      <c r="G9" s="137" t="s">
        <v>80</v>
      </c>
      <c r="H9" s="137" t="s">
        <v>121</v>
      </c>
      <c r="I9" s="137" t="s">
        <v>82</v>
      </c>
      <c r="J9" s="137" t="s">
        <v>180</v>
      </c>
      <c r="K9" s="137">
        <v>75</v>
      </c>
    </row>
    <row r="10" spans="1:11 16384:16384" x14ac:dyDescent="0.3">
      <c r="A10" s="137" t="s">
        <v>120</v>
      </c>
      <c r="B10" s="139">
        <v>44903</v>
      </c>
      <c r="C10" s="137">
        <v>1</v>
      </c>
      <c r="D10" s="137">
        <v>50</v>
      </c>
      <c r="E10" s="137">
        <v>50</v>
      </c>
      <c r="F10" s="137" t="s">
        <v>80</v>
      </c>
      <c r="G10" s="137" t="s">
        <v>80</v>
      </c>
      <c r="H10" s="137" t="s">
        <v>121</v>
      </c>
      <c r="I10" s="137" t="s">
        <v>82</v>
      </c>
      <c r="J10" s="137" t="s">
        <v>180</v>
      </c>
      <c r="K10" s="137">
        <v>50</v>
      </c>
    </row>
    <row r="11" spans="1:11 16384:16384" x14ac:dyDescent="0.3">
      <c r="A11" s="137" t="s">
        <v>120</v>
      </c>
      <c r="B11" s="139">
        <v>44906</v>
      </c>
      <c r="C11" s="137">
        <v>2</v>
      </c>
      <c r="D11" s="137">
        <v>50</v>
      </c>
      <c r="E11" s="137">
        <v>100</v>
      </c>
      <c r="F11" s="137" t="s">
        <v>80</v>
      </c>
      <c r="G11" s="137" t="s">
        <v>80</v>
      </c>
      <c r="H11" s="137" t="s">
        <v>121</v>
      </c>
      <c r="I11" s="137" t="s">
        <v>82</v>
      </c>
      <c r="J11" s="137" t="s">
        <v>180</v>
      </c>
      <c r="K11" s="137">
        <v>100</v>
      </c>
    </row>
    <row r="12" spans="1:11 16384:16384" x14ac:dyDescent="0.3">
      <c r="A12" s="137" t="s">
        <v>120</v>
      </c>
      <c r="B12" s="139">
        <v>44907</v>
      </c>
      <c r="C12" s="137">
        <v>1.25</v>
      </c>
      <c r="D12" s="137">
        <v>50</v>
      </c>
      <c r="E12" s="137">
        <v>62.5</v>
      </c>
      <c r="F12" s="137" t="s">
        <v>80</v>
      </c>
      <c r="G12" s="137" t="s">
        <v>80</v>
      </c>
      <c r="H12" s="137" t="s">
        <v>121</v>
      </c>
      <c r="I12" s="137" t="s">
        <v>82</v>
      </c>
      <c r="J12" s="137" t="s">
        <v>180</v>
      </c>
      <c r="K12" s="137">
        <v>62.5</v>
      </c>
      <c r="XFD12" s="135" t="s">
        <v>80</v>
      </c>
    </row>
    <row r="13" spans="1:11 16384:16384" x14ac:dyDescent="0.3">
      <c r="A13" s="137" t="s">
        <v>120</v>
      </c>
      <c r="B13" s="139">
        <v>44908</v>
      </c>
      <c r="C13" s="137">
        <v>1.5</v>
      </c>
      <c r="D13" s="137">
        <v>50</v>
      </c>
      <c r="E13" s="137">
        <v>75</v>
      </c>
      <c r="F13" s="137" t="s">
        <v>80</v>
      </c>
      <c r="G13" s="137" t="s">
        <v>80</v>
      </c>
      <c r="H13" s="137" t="s">
        <v>121</v>
      </c>
      <c r="I13" s="137" t="s">
        <v>82</v>
      </c>
      <c r="J13" s="137" t="s">
        <v>180</v>
      </c>
      <c r="K13" s="137">
        <v>75</v>
      </c>
    </row>
    <row r="14" spans="1:11 16384:16384" x14ac:dyDescent="0.3">
      <c r="A14" s="137" t="s">
        <v>120</v>
      </c>
      <c r="B14" s="139">
        <v>44909</v>
      </c>
      <c r="C14" s="137">
        <v>0.5</v>
      </c>
      <c r="D14" s="137">
        <v>50</v>
      </c>
      <c r="E14" s="137">
        <v>25</v>
      </c>
      <c r="F14" s="137" t="s">
        <v>80</v>
      </c>
      <c r="G14" s="137" t="s">
        <v>80</v>
      </c>
      <c r="H14" s="137" t="s">
        <v>121</v>
      </c>
      <c r="I14" s="137" t="s">
        <v>82</v>
      </c>
      <c r="J14" s="137" t="s">
        <v>180</v>
      </c>
      <c r="K14" s="137">
        <v>25</v>
      </c>
    </row>
    <row r="15" spans="1:11 16384:16384" x14ac:dyDescent="0.3">
      <c r="A15" s="137" t="s">
        <v>125</v>
      </c>
      <c r="B15" s="139">
        <v>44904</v>
      </c>
      <c r="C15" s="137">
        <v>2</v>
      </c>
      <c r="D15" s="138">
        <v>60</v>
      </c>
      <c r="E15" s="137">
        <v>120</v>
      </c>
      <c r="F15" s="137" t="s">
        <v>217</v>
      </c>
      <c r="G15" s="137" t="s">
        <v>80</v>
      </c>
      <c r="H15" s="137" t="s">
        <v>218</v>
      </c>
      <c r="I15" s="137" t="s">
        <v>82</v>
      </c>
      <c r="J15" s="137" t="s">
        <v>180</v>
      </c>
      <c r="K15" s="137">
        <v>0</v>
      </c>
    </row>
    <row r="16" spans="1:11 16384:16384" x14ac:dyDescent="0.3">
      <c r="A16" s="137" t="s">
        <v>125</v>
      </c>
      <c r="B16" s="139">
        <v>44906</v>
      </c>
      <c r="C16" s="137">
        <v>1.25</v>
      </c>
      <c r="D16" s="138">
        <v>60</v>
      </c>
      <c r="E16" s="137">
        <v>75</v>
      </c>
      <c r="F16" s="137" t="s">
        <v>80</v>
      </c>
      <c r="G16" s="137" t="s">
        <v>80</v>
      </c>
      <c r="H16" s="137" t="s">
        <v>219</v>
      </c>
      <c r="I16" s="137" t="s">
        <v>82</v>
      </c>
      <c r="J16" s="137" t="s">
        <v>180</v>
      </c>
      <c r="K16" s="137">
        <v>195</v>
      </c>
    </row>
    <row r="17" spans="1:11" x14ac:dyDescent="0.3">
      <c r="A17" s="137"/>
      <c r="B17" s="139"/>
      <c r="C17" s="137"/>
      <c r="D17" s="137"/>
      <c r="E17" s="137"/>
      <c r="F17" s="137"/>
      <c r="G17" s="137"/>
      <c r="H17" s="137"/>
      <c r="I17" s="137"/>
      <c r="J17" s="137"/>
      <c r="K17" s="137"/>
    </row>
    <row r="18" spans="1:11" x14ac:dyDescent="0.3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>
        <f>SUM(K2:K16)</f>
        <v>1132.5</v>
      </c>
    </row>
  </sheetData>
  <autoFilter ref="A1:K16" xr:uid="{9A642484-9CB1-4531-9C0F-5A0BEE9907C7}">
    <sortState xmlns:xlrd2="http://schemas.microsoft.com/office/spreadsheetml/2017/richdata2" ref="A2:K16">
      <sortCondition ref="A1:A16"/>
    </sortState>
  </autoFilter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670E-C494-45F7-9C9C-19FB3B86410B}">
  <dimension ref="A1:T27"/>
  <sheetViews>
    <sheetView workbookViewId="0">
      <selection activeCell="R3" sqref="R3:R13"/>
    </sheetView>
  </sheetViews>
  <sheetFormatPr defaultColWidth="8.6640625" defaultRowHeight="14.4" x14ac:dyDescent="0.3"/>
  <cols>
    <col min="1" max="1" width="14.44140625" style="117" bestFit="1" customWidth="1"/>
    <col min="2" max="2" width="7.109375" style="117" bestFit="1" customWidth="1"/>
    <col min="3" max="3" width="8" style="117" bestFit="1" customWidth="1"/>
    <col min="4" max="4" width="12" style="117" bestFit="1" customWidth="1"/>
    <col min="5" max="5" width="6.6640625" style="117" bestFit="1" customWidth="1"/>
    <col min="6" max="6" width="8.44140625" style="117" bestFit="1" customWidth="1"/>
    <col min="7" max="7" width="19.109375" style="117" bestFit="1" customWidth="1"/>
    <col min="8" max="8" width="68.33203125" style="117" bestFit="1" customWidth="1"/>
    <col min="9" max="9" width="6.44140625" style="117" bestFit="1" customWidth="1"/>
    <col min="10" max="10" width="17.33203125" style="117" bestFit="1" customWidth="1"/>
    <col min="11" max="11" width="8.33203125" style="117" bestFit="1" customWidth="1"/>
    <col min="12" max="12" width="23.6640625" style="117" bestFit="1" customWidth="1"/>
    <col min="13" max="17" width="8.6640625" style="117"/>
    <col min="18" max="18" width="14.44140625" style="117" bestFit="1" customWidth="1"/>
    <col min="19" max="19" width="12.33203125" style="117" bestFit="1" customWidth="1"/>
    <col min="20" max="20" width="11.33203125" style="117" bestFit="1" customWidth="1"/>
    <col min="21" max="16384" width="8.6640625" style="117"/>
  </cols>
  <sheetData>
    <row r="1" spans="1:20" x14ac:dyDescent="0.3">
      <c r="A1" s="117" t="s">
        <v>68</v>
      </c>
      <c r="B1" s="117" t="s">
        <v>69</v>
      </c>
      <c r="C1" s="117" t="s">
        <v>70</v>
      </c>
      <c r="D1" s="117" t="s">
        <v>71</v>
      </c>
      <c r="E1" s="117" t="s">
        <v>72</v>
      </c>
      <c r="F1" s="117" t="s">
        <v>73</v>
      </c>
      <c r="G1" s="117" t="s">
        <v>74</v>
      </c>
      <c r="H1" s="117" t="s">
        <v>75</v>
      </c>
      <c r="I1" s="117" t="s">
        <v>76</v>
      </c>
      <c r="J1" s="118" t="s">
        <v>77</v>
      </c>
      <c r="K1" s="117" t="s">
        <v>78</v>
      </c>
    </row>
    <row r="2" spans="1:20" x14ac:dyDescent="0.3">
      <c r="A2" s="119" t="s">
        <v>79</v>
      </c>
      <c r="B2" s="119">
        <v>44868</v>
      </c>
      <c r="C2" s="120">
        <v>1</v>
      </c>
      <c r="D2" s="120">
        <v>50</v>
      </c>
      <c r="E2" s="120">
        <v>50</v>
      </c>
      <c r="F2" s="120" t="s">
        <v>80</v>
      </c>
      <c r="G2" s="120" t="s">
        <v>80</v>
      </c>
      <c r="H2" s="120" t="s">
        <v>177</v>
      </c>
      <c r="I2" s="120" t="s">
        <v>82</v>
      </c>
      <c r="J2" s="120" t="s">
        <v>80</v>
      </c>
      <c r="K2" s="120">
        <v>50</v>
      </c>
      <c r="R2" s="47" t="s">
        <v>149</v>
      </c>
      <c r="S2" t="s">
        <v>151</v>
      </c>
      <c r="T2" t="s">
        <v>152</v>
      </c>
    </row>
    <row r="3" spans="1:20" s="121" customFormat="1" x14ac:dyDescent="0.3">
      <c r="A3" s="121" t="s">
        <v>178</v>
      </c>
      <c r="B3" s="122">
        <v>44878</v>
      </c>
      <c r="C3" s="121">
        <v>1</v>
      </c>
      <c r="D3" s="121">
        <v>60</v>
      </c>
      <c r="E3" s="121">
        <v>60</v>
      </c>
      <c r="F3" s="121" t="s">
        <v>80</v>
      </c>
      <c r="G3" s="121" t="s">
        <v>80</v>
      </c>
      <c r="H3" s="121" t="s">
        <v>179</v>
      </c>
      <c r="I3" s="121" t="s">
        <v>82</v>
      </c>
      <c r="J3" s="121" t="s">
        <v>180</v>
      </c>
      <c r="K3" s="121">
        <v>60</v>
      </c>
      <c r="R3" s="48" t="s">
        <v>79</v>
      </c>
      <c r="S3">
        <v>1</v>
      </c>
      <c r="T3">
        <v>50</v>
      </c>
    </row>
    <row r="4" spans="1:20" s="121" customFormat="1" x14ac:dyDescent="0.3">
      <c r="A4" s="121" t="s">
        <v>178</v>
      </c>
      <c r="B4" s="122">
        <v>44880</v>
      </c>
      <c r="C4" s="121">
        <v>1.5</v>
      </c>
      <c r="D4" s="121">
        <v>60</v>
      </c>
      <c r="E4" s="121">
        <v>90</v>
      </c>
      <c r="F4" s="121" t="s">
        <v>80</v>
      </c>
      <c r="G4" s="121" t="s">
        <v>80</v>
      </c>
      <c r="H4" s="121" t="s">
        <v>179</v>
      </c>
      <c r="I4" s="121" t="s">
        <v>82</v>
      </c>
      <c r="J4" s="121" t="s">
        <v>180</v>
      </c>
      <c r="K4" s="121">
        <v>90</v>
      </c>
      <c r="R4" s="48" t="s">
        <v>178</v>
      </c>
      <c r="S4">
        <v>2.5</v>
      </c>
      <c r="T4">
        <v>150</v>
      </c>
    </row>
    <row r="5" spans="1:20" s="121" customFormat="1" x14ac:dyDescent="0.3">
      <c r="A5" s="121" t="s">
        <v>98</v>
      </c>
      <c r="B5" s="122">
        <v>44872</v>
      </c>
      <c r="C5" s="121">
        <v>1</v>
      </c>
      <c r="D5" s="121">
        <v>60</v>
      </c>
      <c r="E5" s="121">
        <v>60</v>
      </c>
      <c r="F5" s="121" t="s">
        <v>80</v>
      </c>
      <c r="G5" s="121" t="s">
        <v>80</v>
      </c>
      <c r="H5" s="121" t="s">
        <v>181</v>
      </c>
      <c r="I5" s="121" t="s">
        <v>82</v>
      </c>
      <c r="J5" s="121" t="s">
        <v>180</v>
      </c>
      <c r="K5" s="121">
        <v>60</v>
      </c>
      <c r="R5" s="48" t="s">
        <v>98</v>
      </c>
      <c r="S5">
        <v>2.5</v>
      </c>
      <c r="T5">
        <v>150</v>
      </c>
    </row>
    <row r="6" spans="1:20" s="123" customFormat="1" x14ac:dyDescent="0.3">
      <c r="A6" s="123" t="s">
        <v>98</v>
      </c>
      <c r="B6" s="124">
        <v>44892</v>
      </c>
      <c r="C6" s="123">
        <v>1.5</v>
      </c>
      <c r="D6" s="123">
        <v>60</v>
      </c>
      <c r="E6" s="123">
        <v>90</v>
      </c>
      <c r="F6" s="123" t="s">
        <v>80</v>
      </c>
      <c r="G6" s="123" t="s">
        <v>80</v>
      </c>
      <c r="H6" s="123" t="s">
        <v>182</v>
      </c>
      <c r="I6" s="123" t="s">
        <v>82</v>
      </c>
      <c r="J6" s="123" t="s">
        <v>180</v>
      </c>
      <c r="K6" s="123">
        <v>90</v>
      </c>
      <c r="R6" s="48" t="s">
        <v>183</v>
      </c>
      <c r="S6">
        <v>2.5</v>
      </c>
      <c r="T6">
        <v>150</v>
      </c>
    </row>
    <row r="7" spans="1:20" x14ac:dyDescent="0.3">
      <c r="A7" s="120" t="s">
        <v>183</v>
      </c>
      <c r="B7" s="119">
        <v>44878</v>
      </c>
      <c r="C7" s="120">
        <v>1</v>
      </c>
      <c r="D7" s="120">
        <v>60</v>
      </c>
      <c r="E7" s="120">
        <v>60</v>
      </c>
      <c r="F7" s="120" t="s">
        <v>80</v>
      </c>
      <c r="G7" s="120" t="s">
        <v>80</v>
      </c>
      <c r="H7" s="120" t="s">
        <v>184</v>
      </c>
      <c r="I7" s="120" t="s">
        <v>82</v>
      </c>
      <c r="J7" s="120" t="s">
        <v>180</v>
      </c>
      <c r="K7" s="120">
        <v>60</v>
      </c>
      <c r="R7" s="48" t="s">
        <v>103</v>
      </c>
      <c r="S7">
        <v>1.5</v>
      </c>
      <c r="T7">
        <v>75</v>
      </c>
    </row>
    <row r="8" spans="1:20" s="123" customFormat="1" x14ac:dyDescent="0.3">
      <c r="A8" s="123" t="s">
        <v>183</v>
      </c>
      <c r="B8" s="124">
        <v>44884</v>
      </c>
      <c r="C8" s="123">
        <v>1.5</v>
      </c>
      <c r="D8" s="123">
        <v>60</v>
      </c>
      <c r="E8" s="123">
        <v>90</v>
      </c>
      <c r="F8" s="123" t="s">
        <v>80</v>
      </c>
      <c r="G8" s="123" t="s">
        <v>80</v>
      </c>
      <c r="H8" s="123" t="s">
        <v>184</v>
      </c>
      <c r="I8" s="123" t="s">
        <v>82</v>
      </c>
      <c r="J8" s="123" t="s">
        <v>180</v>
      </c>
      <c r="K8" s="123">
        <v>90</v>
      </c>
      <c r="R8" s="48" t="s">
        <v>106</v>
      </c>
      <c r="S8">
        <v>1</v>
      </c>
      <c r="T8">
        <v>50</v>
      </c>
    </row>
    <row r="9" spans="1:20" x14ac:dyDescent="0.3">
      <c r="A9" s="120" t="s">
        <v>103</v>
      </c>
      <c r="B9" s="119">
        <v>44875</v>
      </c>
      <c r="C9" s="120">
        <v>1.5</v>
      </c>
      <c r="D9" s="120">
        <v>50</v>
      </c>
      <c r="E9" s="120">
        <v>75</v>
      </c>
      <c r="F9" s="120" t="s">
        <v>80</v>
      </c>
      <c r="G9" s="120" t="s">
        <v>80</v>
      </c>
      <c r="H9" s="120" t="s">
        <v>185</v>
      </c>
      <c r="I9" s="120" t="s">
        <v>82</v>
      </c>
      <c r="J9" s="120" t="s">
        <v>180</v>
      </c>
      <c r="K9" s="120">
        <v>75</v>
      </c>
      <c r="R9" s="48" t="s">
        <v>115</v>
      </c>
      <c r="S9">
        <v>0.5</v>
      </c>
      <c r="T9">
        <v>30</v>
      </c>
    </row>
    <row r="10" spans="1:20" s="123" customFormat="1" x14ac:dyDescent="0.3">
      <c r="A10" s="123" t="s">
        <v>106</v>
      </c>
      <c r="B10" s="124">
        <v>44886</v>
      </c>
      <c r="C10" s="123">
        <v>1</v>
      </c>
      <c r="D10" s="123">
        <v>50</v>
      </c>
      <c r="E10" s="123">
        <v>50</v>
      </c>
      <c r="F10" s="123" t="s">
        <v>80</v>
      </c>
      <c r="G10" s="123" t="s">
        <v>80</v>
      </c>
      <c r="H10" s="123" t="s">
        <v>186</v>
      </c>
      <c r="I10" s="123" t="s">
        <v>82</v>
      </c>
      <c r="J10" s="123" t="s">
        <v>180</v>
      </c>
      <c r="K10" s="123">
        <v>50</v>
      </c>
      <c r="R10" s="48" t="s">
        <v>117</v>
      </c>
      <c r="S10">
        <v>7.5</v>
      </c>
      <c r="T10">
        <v>375</v>
      </c>
    </row>
    <row r="11" spans="1:20" s="121" customFormat="1" x14ac:dyDescent="0.3">
      <c r="A11" s="122" t="s">
        <v>115</v>
      </c>
      <c r="B11" s="122">
        <v>44877</v>
      </c>
      <c r="C11" s="121">
        <v>0.5</v>
      </c>
      <c r="D11" s="121">
        <v>60</v>
      </c>
      <c r="E11" s="121">
        <v>30</v>
      </c>
      <c r="F11" s="121" t="s">
        <v>80</v>
      </c>
      <c r="G11" s="121" t="s">
        <v>80</v>
      </c>
      <c r="H11" s="121" t="s">
        <v>187</v>
      </c>
      <c r="I11" s="121" t="s">
        <v>82</v>
      </c>
      <c r="J11" s="121" t="s">
        <v>180</v>
      </c>
      <c r="K11" s="121">
        <v>30</v>
      </c>
      <c r="R11" s="48" t="s">
        <v>120</v>
      </c>
      <c r="S11">
        <v>9</v>
      </c>
      <c r="T11">
        <v>450</v>
      </c>
    </row>
    <row r="12" spans="1:20" x14ac:dyDescent="0.3">
      <c r="A12" s="120" t="s">
        <v>117</v>
      </c>
      <c r="B12" s="119">
        <v>44871</v>
      </c>
      <c r="C12" s="120">
        <v>2</v>
      </c>
      <c r="D12" s="120">
        <v>50</v>
      </c>
      <c r="E12" s="120">
        <v>100</v>
      </c>
      <c r="F12" s="120" t="s">
        <v>80</v>
      </c>
      <c r="G12" s="120" t="s">
        <v>80</v>
      </c>
      <c r="H12" s="120" t="s">
        <v>188</v>
      </c>
      <c r="I12" s="120" t="s">
        <v>82</v>
      </c>
      <c r="J12" s="120" t="s">
        <v>180</v>
      </c>
      <c r="K12" s="120">
        <v>100</v>
      </c>
      <c r="R12" s="48" t="s">
        <v>123</v>
      </c>
      <c r="S12">
        <v>2</v>
      </c>
      <c r="T12">
        <v>100</v>
      </c>
    </row>
    <row r="13" spans="1:20" x14ac:dyDescent="0.3">
      <c r="A13" s="120" t="s">
        <v>117</v>
      </c>
      <c r="B13" s="119">
        <v>44873</v>
      </c>
      <c r="C13" s="120">
        <v>1</v>
      </c>
      <c r="D13" s="120">
        <v>50</v>
      </c>
      <c r="E13" s="120">
        <v>50</v>
      </c>
      <c r="F13" s="120" t="s">
        <v>80</v>
      </c>
      <c r="G13" s="120" t="s">
        <v>80</v>
      </c>
      <c r="H13" s="120" t="s">
        <v>189</v>
      </c>
      <c r="I13" s="120" t="s">
        <v>82</v>
      </c>
      <c r="J13" s="120" t="s">
        <v>180</v>
      </c>
      <c r="K13" s="120">
        <v>50</v>
      </c>
      <c r="R13" s="48" t="s">
        <v>125</v>
      </c>
      <c r="S13">
        <v>1</v>
      </c>
      <c r="T13">
        <v>60</v>
      </c>
    </row>
    <row r="14" spans="1:20" s="123" customFormat="1" x14ac:dyDescent="0.3">
      <c r="A14" s="123" t="s">
        <v>117</v>
      </c>
      <c r="B14" s="124">
        <v>44884</v>
      </c>
      <c r="C14" s="123">
        <v>1.5</v>
      </c>
      <c r="D14" s="123">
        <v>50</v>
      </c>
      <c r="E14" s="123">
        <v>75</v>
      </c>
      <c r="F14" s="123" t="s">
        <v>80</v>
      </c>
      <c r="G14" s="123" t="s">
        <v>80</v>
      </c>
      <c r="H14" s="123" t="s">
        <v>190</v>
      </c>
      <c r="I14" s="123" t="s">
        <v>82</v>
      </c>
      <c r="J14" s="123" t="s">
        <v>180</v>
      </c>
      <c r="K14" s="123">
        <v>75</v>
      </c>
      <c r="R14" s="48" t="s">
        <v>150</v>
      </c>
      <c r="S14">
        <v>31</v>
      </c>
      <c r="T14">
        <v>1640</v>
      </c>
    </row>
    <row r="15" spans="1:20" s="123" customFormat="1" x14ac:dyDescent="0.3">
      <c r="A15" s="123" t="s">
        <v>117</v>
      </c>
      <c r="B15" s="124">
        <v>44891</v>
      </c>
      <c r="C15" s="123">
        <v>1.5</v>
      </c>
      <c r="D15" s="123">
        <v>50</v>
      </c>
      <c r="E15" s="123">
        <v>75</v>
      </c>
      <c r="F15" s="123" t="s">
        <v>80</v>
      </c>
      <c r="G15" s="123" t="s">
        <v>80</v>
      </c>
      <c r="H15" s="123" t="s">
        <v>191</v>
      </c>
      <c r="I15" s="123" t="s">
        <v>82</v>
      </c>
      <c r="J15" s="123" t="s">
        <v>180</v>
      </c>
      <c r="K15" s="123">
        <v>75</v>
      </c>
      <c r="L15" s="123" t="s">
        <v>192</v>
      </c>
      <c r="R15"/>
      <c r="S15"/>
      <c r="T15"/>
    </row>
    <row r="16" spans="1:20" s="123" customFormat="1" x14ac:dyDescent="0.3">
      <c r="A16" s="123" t="s">
        <v>117</v>
      </c>
      <c r="B16" s="124">
        <v>44892</v>
      </c>
      <c r="C16" s="123">
        <v>1.5</v>
      </c>
      <c r="D16" s="123">
        <v>50</v>
      </c>
      <c r="E16" s="123">
        <v>75</v>
      </c>
      <c r="F16" s="123" t="s">
        <v>80</v>
      </c>
      <c r="G16" s="123" t="s">
        <v>80</v>
      </c>
      <c r="H16" s="123" t="s">
        <v>193</v>
      </c>
      <c r="I16" s="123" t="s">
        <v>82</v>
      </c>
      <c r="J16" s="123" t="s">
        <v>180</v>
      </c>
      <c r="K16" s="123">
        <v>75</v>
      </c>
      <c r="R16"/>
      <c r="S16"/>
      <c r="T16"/>
    </row>
    <row r="17" spans="1:20" x14ac:dyDescent="0.3">
      <c r="A17" s="119" t="s">
        <v>120</v>
      </c>
      <c r="B17" s="119">
        <v>44868</v>
      </c>
      <c r="C17" s="120">
        <v>1.25</v>
      </c>
      <c r="D17" s="120">
        <v>50</v>
      </c>
      <c r="E17" s="120">
        <v>62.5</v>
      </c>
      <c r="F17" s="120" t="s">
        <v>80</v>
      </c>
      <c r="G17" s="120" t="s">
        <v>80</v>
      </c>
      <c r="H17" s="120" t="s">
        <v>194</v>
      </c>
      <c r="I17" s="120" t="s">
        <v>82</v>
      </c>
      <c r="J17" s="120" t="s">
        <v>80</v>
      </c>
      <c r="K17" s="120">
        <v>62.5</v>
      </c>
      <c r="R17"/>
      <c r="S17"/>
      <c r="T17"/>
    </row>
    <row r="18" spans="1:20" x14ac:dyDescent="0.3">
      <c r="A18" s="120" t="s">
        <v>120</v>
      </c>
      <c r="B18" s="119">
        <v>44873</v>
      </c>
      <c r="C18" s="120">
        <v>1</v>
      </c>
      <c r="D18" s="120">
        <v>50</v>
      </c>
      <c r="E18" s="120">
        <v>50</v>
      </c>
      <c r="F18" s="120" t="s">
        <v>80</v>
      </c>
      <c r="G18" s="120" t="s">
        <v>80</v>
      </c>
      <c r="H18" s="120" t="s">
        <v>195</v>
      </c>
      <c r="I18" s="120" t="s">
        <v>82</v>
      </c>
      <c r="J18" s="120" t="s">
        <v>180</v>
      </c>
      <c r="K18" s="120">
        <v>50</v>
      </c>
      <c r="R18"/>
      <c r="S18"/>
      <c r="T18"/>
    </row>
    <row r="19" spans="1:20" x14ac:dyDescent="0.3">
      <c r="A19" s="120" t="s">
        <v>120</v>
      </c>
      <c r="B19" s="119">
        <v>44875</v>
      </c>
      <c r="C19" s="120">
        <v>1.25</v>
      </c>
      <c r="D19" s="120">
        <v>50</v>
      </c>
      <c r="E19" s="120">
        <v>62.5</v>
      </c>
      <c r="F19" s="120" t="s">
        <v>80</v>
      </c>
      <c r="G19" s="120" t="s">
        <v>80</v>
      </c>
      <c r="H19" s="120" t="s">
        <v>196</v>
      </c>
      <c r="I19" s="120" t="s">
        <v>82</v>
      </c>
      <c r="J19" s="120" t="s">
        <v>180</v>
      </c>
      <c r="K19" s="120">
        <v>62.5</v>
      </c>
      <c r="R19"/>
      <c r="S19"/>
      <c r="T19"/>
    </row>
    <row r="20" spans="1:20" s="123" customFormat="1" x14ac:dyDescent="0.3">
      <c r="A20" s="123" t="s">
        <v>120</v>
      </c>
      <c r="B20" s="124">
        <v>44886</v>
      </c>
      <c r="C20" s="123">
        <v>1.5</v>
      </c>
      <c r="D20" s="123">
        <v>50</v>
      </c>
      <c r="E20" s="123">
        <v>75</v>
      </c>
      <c r="F20" s="123" t="s">
        <v>80</v>
      </c>
      <c r="G20" s="123" t="s">
        <v>80</v>
      </c>
      <c r="H20" s="123" t="s">
        <v>195</v>
      </c>
      <c r="I20" s="123" t="s">
        <v>82</v>
      </c>
      <c r="J20" s="123" t="s">
        <v>180</v>
      </c>
      <c r="K20" s="123">
        <v>75</v>
      </c>
    </row>
    <row r="21" spans="1:20" s="123" customFormat="1" x14ac:dyDescent="0.3">
      <c r="A21" s="123" t="s">
        <v>120</v>
      </c>
      <c r="B21" s="124">
        <v>44891</v>
      </c>
      <c r="C21" s="123">
        <v>1</v>
      </c>
      <c r="D21" s="123">
        <v>50</v>
      </c>
      <c r="E21" s="123">
        <v>50</v>
      </c>
      <c r="F21" s="123" t="s">
        <v>80</v>
      </c>
      <c r="G21" s="123" t="s">
        <v>80</v>
      </c>
      <c r="H21" s="123" t="s">
        <v>195</v>
      </c>
      <c r="I21" s="123" t="s">
        <v>82</v>
      </c>
      <c r="J21" s="123" t="s">
        <v>180</v>
      </c>
      <c r="K21" s="123">
        <v>50</v>
      </c>
      <c r="L21" s="123" t="s">
        <v>192</v>
      </c>
    </row>
    <row r="22" spans="1:20" s="123" customFormat="1" x14ac:dyDescent="0.3">
      <c r="A22" s="123" t="s">
        <v>120</v>
      </c>
      <c r="B22" s="124">
        <v>44892</v>
      </c>
      <c r="C22" s="123">
        <v>2</v>
      </c>
      <c r="D22" s="123">
        <v>50</v>
      </c>
      <c r="E22" s="123">
        <v>100</v>
      </c>
      <c r="F22" s="123" t="s">
        <v>80</v>
      </c>
      <c r="G22" s="123" t="s">
        <v>80</v>
      </c>
      <c r="H22" s="123" t="s">
        <v>195</v>
      </c>
      <c r="I22" s="123" t="s">
        <v>82</v>
      </c>
      <c r="J22" s="123" t="s">
        <v>180</v>
      </c>
      <c r="K22" s="123">
        <v>100</v>
      </c>
    </row>
    <row r="23" spans="1:20" s="123" customFormat="1" x14ac:dyDescent="0.3">
      <c r="A23" s="123" t="s">
        <v>120</v>
      </c>
      <c r="B23" s="124">
        <v>44893</v>
      </c>
      <c r="C23" s="123">
        <v>1</v>
      </c>
      <c r="D23" s="123">
        <v>50</v>
      </c>
      <c r="E23" s="123">
        <v>50</v>
      </c>
      <c r="F23" s="123" t="s">
        <v>80</v>
      </c>
      <c r="G23" s="123" t="s">
        <v>80</v>
      </c>
      <c r="H23" s="123" t="s">
        <v>195</v>
      </c>
      <c r="I23" s="123" t="s">
        <v>82</v>
      </c>
      <c r="J23" s="123" t="s">
        <v>180</v>
      </c>
      <c r="K23" s="123">
        <v>50</v>
      </c>
    </row>
    <row r="24" spans="1:20" x14ac:dyDescent="0.3">
      <c r="A24" s="120" t="s">
        <v>123</v>
      </c>
      <c r="B24" s="119">
        <v>44895</v>
      </c>
      <c r="C24" s="120">
        <v>2</v>
      </c>
      <c r="D24" s="120">
        <v>50</v>
      </c>
      <c r="E24" s="120">
        <v>100</v>
      </c>
      <c r="F24" s="120" t="s">
        <v>80</v>
      </c>
      <c r="G24" s="120" t="s">
        <v>80</v>
      </c>
      <c r="H24" s="120" t="s">
        <v>197</v>
      </c>
      <c r="I24" s="120" t="s">
        <v>82</v>
      </c>
      <c r="J24" s="120" t="s">
        <v>180</v>
      </c>
      <c r="K24" s="120">
        <v>100</v>
      </c>
    </row>
    <row r="25" spans="1:20" x14ac:dyDescent="0.3">
      <c r="A25" s="120" t="s">
        <v>125</v>
      </c>
      <c r="B25" s="119">
        <v>44886</v>
      </c>
      <c r="C25" s="120">
        <v>1</v>
      </c>
      <c r="D25" s="120">
        <v>60</v>
      </c>
      <c r="E25" s="120">
        <v>60</v>
      </c>
      <c r="F25" s="120" t="s">
        <v>80</v>
      </c>
      <c r="G25" s="120" t="s">
        <v>80</v>
      </c>
      <c r="H25" s="120" t="s">
        <v>198</v>
      </c>
      <c r="I25" s="120"/>
      <c r="J25" s="120" t="s">
        <v>180</v>
      </c>
      <c r="K25" s="120">
        <v>60</v>
      </c>
    </row>
    <row r="26" spans="1:20" x14ac:dyDescent="0.3">
      <c r="B26" s="125"/>
    </row>
    <row r="27" spans="1:20" x14ac:dyDescent="0.3">
      <c r="A27" s="117" t="s">
        <v>199</v>
      </c>
      <c r="K27" s="117">
        <f>SUM(K2:K25)</f>
        <v>1640</v>
      </c>
    </row>
  </sheetData>
  <autoFilter ref="A1:L25" xr:uid="{7372AF7F-FEA0-45B4-BBDB-057571914BC8}">
    <sortState xmlns:xlrd2="http://schemas.microsoft.com/office/spreadsheetml/2017/richdata2" ref="A2:L25">
      <sortCondition ref="A1:A25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0B01-C763-4E0F-88D9-17C2A57FF301}">
  <dimension ref="A1:I45"/>
  <sheetViews>
    <sheetView topLeftCell="A22" workbookViewId="0">
      <selection activeCell="R3" sqref="R3:R13"/>
    </sheetView>
  </sheetViews>
  <sheetFormatPr defaultColWidth="8.6640625" defaultRowHeight="14.4" x14ac:dyDescent="0.3"/>
  <cols>
    <col min="1" max="8" width="8.6640625" style="117"/>
    <col min="9" max="9" width="75.109375" style="117" bestFit="1" customWidth="1"/>
    <col min="10" max="16384" width="8.6640625" style="117"/>
  </cols>
  <sheetData>
    <row r="1" spans="1:9" x14ac:dyDescent="0.3">
      <c r="A1" s="118" t="s">
        <v>153</v>
      </c>
      <c r="B1" s="118" t="s">
        <v>154</v>
      </c>
      <c r="C1" s="118" t="s">
        <v>155</v>
      </c>
    </row>
    <row r="2" spans="1:9" x14ac:dyDescent="0.3">
      <c r="A2" s="125">
        <v>44825</v>
      </c>
      <c r="B2" s="117">
        <v>0.75</v>
      </c>
      <c r="C2" s="117">
        <f>B2*50</f>
        <v>37.5</v>
      </c>
      <c r="E2" s="117" t="s">
        <v>156</v>
      </c>
      <c r="I2" s="117" t="s">
        <v>157</v>
      </c>
    </row>
    <row r="3" spans="1:9" x14ac:dyDescent="0.3">
      <c r="A3" s="125">
        <v>44826</v>
      </c>
      <c r="B3" s="117">
        <v>1</v>
      </c>
      <c r="C3" s="117">
        <v>50</v>
      </c>
      <c r="E3" s="117">
        <f>C14+C15</f>
        <v>700</v>
      </c>
      <c r="I3" s="117" t="s">
        <v>158</v>
      </c>
    </row>
    <row r="4" spans="1:9" x14ac:dyDescent="0.3">
      <c r="A4" s="125">
        <v>44833</v>
      </c>
      <c r="B4" s="117">
        <v>2</v>
      </c>
      <c r="C4" s="117">
        <v>100</v>
      </c>
    </row>
    <row r="5" spans="1:9" x14ac:dyDescent="0.3">
      <c r="A5" s="125">
        <v>44836</v>
      </c>
      <c r="B5" s="117">
        <v>1.75</v>
      </c>
      <c r="C5" s="117">
        <v>87.5</v>
      </c>
    </row>
    <row r="6" spans="1:9" x14ac:dyDescent="0.3">
      <c r="A6" s="125">
        <v>44837</v>
      </c>
      <c r="B6" s="117">
        <v>0.75</v>
      </c>
      <c r="C6" s="117">
        <v>37.5</v>
      </c>
    </row>
    <row r="7" spans="1:9" x14ac:dyDescent="0.3">
      <c r="A7" s="125">
        <v>44838</v>
      </c>
      <c r="B7" s="117">
        <v>1.25</v>
      </c>
      <c r="C7" s="117">
        <v>62.5</v>
      </c>
    </row>
    <row r="8" spans="1:9" x14ac:dyDescent="0.3">
      <c r="A8" s="125">
        <v>44839</v>
      </c>
      <c r="B8" s="117">
        <v>1.5</v>
      </c>
      <c r="C8" s="117">
        <v>75</v>
      </c>
    </row>
    <row r="9" spans="1:9" x14ac:dyDescent="0.3">
      <c r="A9" s="125">
        <v>44846</v>
      </c>
      <c r="B9" s="117">
        <v>1.5</v>
      </c>
      <c r="C9" s="117">
        <v>75</v>
      </c>
    </row>
    <row r="10" spans="1:9" x14ac:dyDescent="0.3">
      <c r="A10" s="125">
        <v>44850</v>
      </c>
      <c r="B10" s="117">
        <v>1.5</v>
      </c>
      <c r="C10" s="117">
        <v>75</v>
      </c>
    </row>
    <row r="11" spans="1:9" x14ac:dyDescent="0.3">
      <c r="A11" s="125"/>
    </row>
    <row r="12" spans="1:9" x14ac:dyDescent="0.3">
      <c r="A12" s="126" t="s">
        <v>0</v>
      </c>
      <c r="B12" s="117">
        <f>SUM(B2:B10)</f>
        <v>12</v>
      </c>
      <c r="C12" s="117">
        <f>B12*50</f>
        <v>600</v>
      </c>
    </row>
    <row r="14" spans="1:9" x14ac:dyDescent="0.3">
      <c r="A14" s="117" t="s">
        <v>159</v>
      </c>
      <c r="B14" s="117">
        <v>12</v>
      </c>
      <c r="C14" s="117">
        <v>600</v>
      </c>
    </row>
    <row r="15" spans="1:9" x14ac:dyDescent="0.3">
      <c r="A15" s="117" t="s">
        <v>160</v>
      </c>
      <c r="C15" s="127">
        <v>100</v>
      </c>
    </row>
    <row r="16" spans="1:9" x14ac:dyDescent="0.3">
      <c r="A16" s="117" t="s">
        <v>161</v>
      </c>
      <c r="B16" s="117">
        <v>0</v>
      </c>
      <c r="C16" s="117">
        <v>0</v>
      </c>
    </row>
    <row r="17" spans="1:3" s="128" customFormat="1" x14ac:dyDescent="0.3"/>
    <row r="18" spans="1:3" x14ac:dyDescent="0.3">
      <c r="A18" s="118" t="s">
        <v>153</v>
      </c>
      <c r="B18" s="118" t="s">
        <v>154</v>
      </c>
      <c r="C18" s="118" t="s">
        <v>155</v>
      </c>
    </row>
    <row r="19" spans="1:3" x14ac:dyDescent="0.3">
      <c r="A19" s="125">
        <v>44852</v>
      </c>
      <c r="B19" s="117">
        <v>1</v>
      </c>
      <c r="C19" s="117">
        <v>50</v>
      </c>
    </row>
    <row r="20" spans="1:3" x14ac:dyDescent="0.3">
      <c r="A20" s="125">
        <v>44858</v>
      </c>
      <c r="B20" s="117">
        <v>1</v>
      </c>
      <c r="C20" s="117">
        <v>50</v>
      </c>
    </row>
    <row r="21" spans="1:3" x14ac:dyDescent="0.3">
      <c r="A21" s="125">
        <v>44859</v>
      </c>
      <c r="B21" s="117">
        <v>1</v>
      </c>
      <c r="C21" s="117">
        <v>50</v>
      </c>
    </row>
    <row r="22" spans="1:3" x14ac:dyDescent="0.3">
      <c r="A22" s="125">
        <v>44861</v>
      </c>
      <c r="B22" s="117">
        <v>2.5</v>
      </c>
      <c r="C22" s="117">
        <v>125</v>
      </c>
    </row>
    <row r="23" spans="1:3" ht="17.25" customHeight="1" x14ac:dyDescent="0.3">
      <c r="A23" s="125">
        <v>44862</v>
      </c>
      <c r="B23" s="117">
        <v>1</v>
      </c>
      <c r="C23" s="117">
        <v>50</v>
      </c>
    </row>
    <row r="24" spans="1:3" ht="17.25" customHeight="1" x14ac:dyDescent="0.3">
      <c r="A24" s="125">
        <v>44871</v>
      </c>
      <c r="B24" s="117">
        <v>1.5</v>
      </c>
      <c r="C24" s="117">
        <v>75</v>
      </c>
    </row>
    <row r="25" spans="1:3" ht="17.25" customHeight="1" x14ac:dyDescent="0.3">
      <c r="A25" s="125">
        <v>44872</v>
      </c>
      <c r="B25" s="117">
        <v>2</v>
      </c>
      <c r="C25" s="117">
        <v>100</v>
      </c>
    </row>
    <row r="26" spans="1:3" x14ac:dyDescent="0.3">
      <c r="A26" s="125">
        <v>44872</v>
      </c>
      <c r="B26" s="117">
        <v>1</v>
      </c>
      <c r="C26" s="117">
        <v>50</v>
      </c>
    </row>
    <row r="27" spans="1:3" x14ac:dyDescent="0.3">
      <c r="A27" s="125">
        <v>44872</v>
      </c>
      <c r="B27" s="117">
        <v>2</v>
      </c>
      <c r="C27" s="117">
        <v>100</v>
      </c>
    </row>
    <row r="28" spans="1:3" x14ac:dyDescent="0.3">
      <c r="A28" s="125">
        <v>44872</v>
      </c>
      <c r="B28" s="117">
        <v>1</v>
      </c>
      <c r="C28" s="117">
        <v>50</v>
      </c>
    </row>
    <row r="29" spans="1:3" x14ac:dyDescent="0.3">
      <c r="A29" s="125">
        <v>44873</v>
      </c>
      <c r="B29" s="117">
        <v>1.5</v>
      </c>
      <c r="C29" s="117">
        <v>75</v>
      </c>
    </row>
    <row r="30" spans="1:3" x14ac:dyDescent="0.3">
      <c r="A30" s="125">
        <v>44886</v>
      </c>
      <c r="B30" s="117">
        <v>1.5</v>
      </c>
      <c r="C30" s="117">
        <v>75</v>
      </c>
    </row>
    <row r="31" spans="1:3" x14ac:dyDescent="0.3">
      <c r="A31" s="125">
        <v>44891</v>
      </c>
      <c r="B31" s="117">
        <v>0.5</v>
      </c>
      <c r="C31" s="117">
        <v>25</v>
      </c>
    </row>
    <row r="32" spans="1:3" x14ac:dyDescent="0.3">
      <c r="A32" s="125">
        <v>44892</v>
      </c>
      <c r="B32" s="117">
        <v>1.5</v>
      </c>
      <c r="C32" s="117">
        <v>75</v>
      </c>
    </row>
    <row r="33" spans="1:5" x14ac:dyDescent="0.3">
      <c r="A33" s="125">
        <v>44893</v>
      </c>
      <c r="B33" s="117">
        <v>1</v>
      </c>
      <c r="C33" s="117">
        <v>50</v>
      </c>
    </row>
    <row r="34" spans="1:5" x14ac:dyDescent="0.3">
      <c r="A34" s="126" t="s">
        <v>0</v>
      </c>
      <c r="B34" s="117">
        <f>SUM(B19:B33)</f>
        <v>20</v>
      </c>
      <c r="C34" s="117">
        <f>B34*50</f>
        <v>1000</v>
      </c>
    </row>
    <row r="36" spans="1:5" x14ac:dyDescent="0.3">
      <c r="A36" s="117" t="s">
        <v>159</v>
      </c>
      <c r="B36" s="117">
        <v>14</v>
      </c>
      <c r="C36" s="117">
        <v>700</v>
      </c>
      <c r="E36" s="118"/>
    </row>
    <row r="37" spans="1:5" x14ac:dyDescent="0.3">
      <c r="A37" s="117" t="s">
        <v>160</v>
      </c>
      <c r="C37" s="127">
        <v>100</v>
      </c>
    </row>
    <row r="38" spans="1:5" x14ac:dyDescent="0.3">
      <c r="A38" s="117" t="s">
        <v>161</v>
      </c>
      <c r="C38" s="117">
        <v>300</v>
      </c>
    </row>
    <row r="39" spans="1:5" s="128" customFormat="1" x14ac:dyDescent="0.3"/>
    <row r="40" spans="1:5" x14ac:dyDescent="0.3">
      <c r="A40" s="118" t="s">
        <v>153</v>
      </c>
      <c r="B40" s="118" t="s">
        <v>154</v>
      </c>
      <c r="C40" s="118" t="s">
        <v>155</v>
      </c>
    </row>
    <row r="41" spans="1:5" x14ac:dyDescent="0.3">
      <c r="A41" s="117" t="s">
        <v>200</v>
      </c>
      <c r="C41" s="117">
        <v>300</v>
      </c>
    </row>
    <row r="42" spans="1:5" x14ac:dyDescent="0.3">
      <c r="A42" s="125">
        <v>44899</v>
      </c>
      <c r="B42" s="117">
        <v>1.5</v>
      </c>
      <c r="C42" s="117">
        <v>75</v>
      </c>
    </row>
    <row r="43" spans="1:5" x14ac:dyDescent="0.3">
      <c r="A43" s="125"/>
    </row>
    <row r="45" spans="1:5" x14ac:dyDescent="0.3">
      <c r="A45" s="126" t="s">
        <v>0</v>
      </c>
      <c r="C45" s="117">
        <f>SUM(C41:C42)</f>
        <v>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</vt:i4>
      </vt:variant>
    </vt:vector>
  </HeadingPairs>
  <TitlesOfParts>
    <vt:vector size="25" baseType="lpstr">
      <vt:lpstr>1</vt:lpstr>
      <vt:lpstr>Annual Summary</vt:lpstr>
      <vt:lpstr>2025 AOP</vt:lpstr>
      <vt:lpstr>2023 Overview</vt:lpstr>
      <vt:lpstr>2026 AOP</vt:lpstr>
      <vt:lpstr>2025 Overview (Rolling)</vt:lpstr>
      <vt:lpstr>2025 Overview (Budget)</vt:lpstr>
      <vt:lpstr>2024 Overview (Rolling)</vt:lpstr>
      <vt:lpstr>2024 AOP</vt:lpstr>
      <vt:lpstr>Quarterly Overview</vt:lpstr>
      <vt:lpstr>2022 Overview</vt:lpstr>
      <vt:lpstr>2</vt:lpstr>
      <vt:lpstr>Monthly Detail</vt:lpstr>
      <vt:lpstr>3</vt:lpstr>
      <vt:lpstr>October</vt:lpstr>
      <vt:lpstr>September</vt:lpstr>
      <vt:lpstr>August</vt:lpstr>
      <vt:lpstr>People Plan</vt:lpstr>
      <vt:lpstr>Actual vs. Forecast</vt:lpstr>
      <vt:lpstr>Holidays</vt:lpstr>
      <vt:lpstr>December</vt:lpstr>
      <vt:lpstr>November</vt:lpstr>
      <vt:lpstr>River</vt:lpstr>
      <vt:lpstr>'2022 Overview'!Print_Area</vt:lpstr>
      <vt:lpstr>'Annual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Jordan Lee</cp:lastModifiedBy>
  <cp:lastPrinted>2025-11-10T20:12:07Z</cp:lastPrinted>
  <dcterms:created xsi:type="dcterms:W3CDTF">2022-12-01T00:32:54Z</dcterms:created>
  <dcterms:modified xsi:type="dcterms:W3CDTF">2025-12-11T02:04:27Z</dcterms:modified>
</cp:coreProperties>
</file>