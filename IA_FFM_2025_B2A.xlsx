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drawings/drawing4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4.xml" ContentType="application/vnd.openxmlformats-officedocument.spreadsheetml.worksheet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15.xml" ContentType="application/vnd.openxmlformats-officedocument.spreadsheetml.worksheet+xml"/>
  <Override PartName="/xl/pivotCache/pivotCacheRecords3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Records4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worksheets/sheet2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25" firstSheet="1" activeTab="15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2023 Overview" sheetId="3" state="hidden" r:id="rId3"/>
    <sheet xmlns:r="http://schemas.openxmlformats.org/officeDocument/2006/relationships" name="2025 Overview (Budget)" sheetId="4" state="visible" r:id="rId4"/>
    <sheet xmlns:r="http://schemas.openxmlformats.org/officeDocument/2006/relationships" name="2025 Overview" sheetId="5" state="visible" r:id="rId5"/>
    <sheet xmlns:r="http://schemas.openxmlformats.org/officeDocument/2006/relationships" name="2025 AOP" sheetId="6" state="visible" r:id="rId6"/>
    <sheet xmlns:r="http://schemas.openxmlformats.org/officeDocument/2006/relationships" name="2024 Overview" sheetId="7" state="hidden" r:id="rId7"/>
    <sheet xmlns:r="http://schemas.openxmlformats.org/officeDocument/2006/relationships" name="2022 Overview" sheetId="8" state="hidden" r:id="rId8"/>
    <sheet xmlns:r="http://schemas.openxmlformats.org/officeDocument/2006/relationships" name="Quarterly Overview" sheetId="9" state="visible" r:id="rId9"/>
    <sheet xmlns:r="http://schemas.openxmlformats.org/officeDocument/2006/relationships" name="2" sheetId="10" state="visible" r:id="rId10"/>
    <sheet xmlns:r="http://schemas.openxmlformats.org/officeDocument/2006/relationships" name="Monthly Detail" sheetId="11" state="visible" r:id="rId11"/>
    <sheet xmlns:r="http://schemas.openxmlformats.org/officeDocument/2006/relationships" name="3" sheetId="12" state="visible" r:id="rId12"/>
    <sheet xmlns:r="http://schemas.openxmlformats.org/officeDocument/2006/relationships" name="October" sheetId="13" state="hidden" r:id="rId13"/>
    <sheet xmlns:r="http://schemas.openxmlformats.org/officeDocument/2006/relationships" name="September" sheetId="14" state="hidden" r:id="rId14"/>
    <sheet xmlns:r="http://schemas.openxmlformats.org/officeDocument/2006/relationships" name="August" sheetId="15" state="hidden" r:id="rId15"/>
    <sheet xmlns:r="http://schemas.openxmlformats.org/officeDocument/2006/relationships" name="Actual vs. Forecast" sheetId="16" state="visible" r:id="rId16"/>
    <sheet xmlns:r="http://schemas.openxmlformats.org/officeDocument/2006/relationships" name="People Plan" sheetId="17" state="visible" r:id="rId17"/>
    <sheet xmlns:r="http://schemas.openxmlformats.org/officeDocument/2006/relationships" name="Holidays" sheetId="18" state="hidden" r:id="rId18"/>
    <sheet xmlns:r="http://schemas.openxmlformats.org/officeDocument/2006/relationships" name="December" sheetId="19" state="hidden" r:id="rId19"/>
    <sheet xmlns:r="http://schemas.openxmlformats.org/officeDocument/2006/relationships" name="November" sheetId="20" state="hidden" r:id="rId20"/>
    <sheet xmlns:r="http://schemas.openxmlformats.org/officeDocument/2006/relationships" name="River" sheetId="21" state="hidden" r:id="rId21"/>
  </sheets>
  <definedNames>
    <definedName name="MLNK04527a7a692d4c5a962de6ed08306286" hidden="1">#REF!</definedName>
    <definedName name="_xlnm.Print_Area" localSheetId="1">'Annual Summary'!$B$9:$X$48</definedName>
    <definedName name="MLNK04527a7a692d4c5a962de6ed08306286" localSheetId="3" hidden="1">#REF!</definedName>
    <definedName name="MLNK04527a7a692d4c5a962de6ed08306286" localSheetId="4" hidden="1">#REF!</definedName>
    <definedName name="MLNK04527a7a692d4c5a962de6ed08306286" localSheetId="5" hidden="1">#REF!</definedName>
    <definedName name="MLNK04527a7a692d4c5a962de6ed08306286" localSheetId="6" hidden="1">#REF!</definedName>
    <definedName name="_xlnm.Print_Area" localSheetId="7">'2022 Overview'!$B$2:$P$31</definedName>
    <definedName name="MLNK04527a7a692d4c5a962de6ed08306286" localSheetId="8" hidden="1">#REF!</definedName>
    <definedName name="_xlnm._FilterDatabase" localSheetId="12" hidden="1">'October'!$A$1:$K$41</definedName>
    <definedName name="MLNK04527a7a692d4c5a962de6ed08306286" localSheetId="15" hidden="1">#REF!</definedName>
    <definedName name="MLNK04527a7a692d4c5a962de6ed08306286" localSheetId="16" hidden="1">#REF!</definedName>
    <definedName name="_xlnm._FilterDatabase" localSheetId="18" hidden="1">'December'!$A$1:$K$16</definedName>
    <definedName name="_xlnm._FilterDatabase" localSheetId="19" hidden="1">'November'!$A$1:$L$25</definedName>
  </definedNames>
  <calcPr calcId="191029" fullCalcOnLoad="1"/>
  <pivotCaches>
    <pivotCache xmlns:r="http://schemas.openxmlformats.org/officeDocument/2006/relationships" cacheId="36" r:id="rId22"/>
    <pivotCache xmlns:r="http://schemas.openxmlformats.org/officeDocument/2006/relationships" cacheId="37" r:id="rId23"/>
    <pivotCache xmlns:r="http://schemas.openxmlformats.org/officeDocument/2006/relationships" cacheId="38" r:id="rId24"/>
    <pivotCache xmlns:r="http://schemas.openxmlformats.org/officeDocument/2006/relationships" cacheId="39" r:id="rId25"/>
  </pivotCaches>
</workbook>
</file>

<file path=xl/styles.xml><?xml version="1.0" encoding="utf-8"?>
<styleSheet xmlns="http://schemas.openxmlformats.org/spreadsheetml/2006/main">
  <numFmts count="17">
    <numFmt numFmtId="164" formatCode="#,##0.00\ _€"/>
    <numFmt numFmtId="165" formatCode="_(&quot;$&quot;* #,##0.00_);_(&quot;$&quot;* \(#,##0.00\);_(&quot;$&quot;* &quot;-&quot;??_);_(@_)"/>
    <numFmt numFmtId="166" formatCode="m/d/yyyy;@"/>
    <numFmt numFmtId="167" formatCode="_(* #,##0_);_(* \(#,##0\);_(* &quot;-&quot;??_);_(@_)"/>
    <numFmt numFmtId="168" formatCode="&quot;$&quot;* #,##0.00\ _€"/>
    <numFmt numFmtId="169" formatCode="_(* #,##0.0_);_(* \(#,##0.0\);_(* &quot;-&quot;??_);_(@_)"/>
    <numFmt numFmtId="170" formatCode="[$-409]mmmm;@"/>
    <numFmt numFmtId="171" formatCode="[$-409]mmmm\-yy;@"/>
    <numFmt numFmtId="172" formatCode="_(&quot;$&quot;* #,##0_);_(&quot;$&quot;* \(#,##0\);_(&quot;$&quot;* &quot;-&quot;??_);_(@_)"/>
    <numFmt numFmtId="173" formatCode="_([$$]#,##0_)_%;\([$$]#,##0\)_%;_(&quot;–&quot;_)_%;_(@_)_%"/>
    <numFmt numFmtId="174" formatCode="_(#,##0.0%_);\(#,##0.0%\);_(&quot;–&quot;_)_%;_(@_)_%"/>
    <numFmt numFmtId="175" formatCode="0.0%"/>
    <numFmt numFmtId="176" formatCode="0.00000"/>
    <numFmt numFmtId="177" formatCode="0.00\ \x"/>
    <numFmt numFmtId="178" formatCode="_(* #\ ##0.00_)&quot;months&quot;;_(* #\ ##0.00_);_(* &quot;-&quot;??_);_(@_)"/>
    <numFmt numFmtId="179" formatCode="_(* #,##0.00_)\ \x;_(* \(#,##0.00\)\ \x;_(* &quot;-&quot;??_);_(@_)\ \x"/>
    <numFmt numFmtId="180" formatCode="[$-409]mmmm\ yyyy;@"/>
  </numFmts>
  <fonts count="58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indexed="8"/>
      <sz val="8"/>
    </font>
    <font>
      <name val="Arial"/>
      <family val="2"/>
      <color indexed="8"/>
      <sz val="8"/>
    </font>
    <font>
      <name val="Calibri"/>
      <family val="2"/>
      <color indexed="8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i val="1"/>
      <color indexed="8"/>
      <sz val="11"/>
      <scheme val="minor"/>
    </font>
    <font>
      <name val="Arial"/>
      <family val="2"/>
      <b val="1"/>
      <color indexed="8"/>
      <sz val="8"/>
    </font>
    <font>
      <name val="Calibri"/>
      <family val="2"/>
      <i val="1"/>
      <color rgb="FF000000"/>
      <sz val="11"/>
      <scheme val="minor"/>
    </font>
    <font>
      <name val="Calibri"/>
      <family val="2"/>
      <i val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color rgb="FF0000FF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4"/>
      <scheme val="minor"/>
    </font>
    <font>
      <name val="Calibri"/>
      <family val="2"/>
      <sz val="10"/>
      <scheme val="minor"/>
    </font>
    <font>
      <name val="Calibri"/>
      <family val="2"/>
      <i val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1"/>
      <u val="single"/>
      <scheme val="minor"/>
    </font>
    <font>
      <name val="Arial"/>
      <family val="2"/>
      <b val="1"/>
      <i val="1"/>
      <color indexed="8"/>
      <sz val="8"/>
    </font>
    <font>
      <name val="Arial"/>
      <family val="2"/>
      <color theme="4"/>
      <sz val="8"/>
    </font>
    <font>
      <name val="Calibri"/>
      <family val="2"/>
      <b val="1"/>
      <color theme="9"/>
      <sz val="11"/>
      <scheme val="minor"/>
    </font>
    <font>
      <name val="Calibri"/>
      <family val="2"/>
      <color theme="4"/>
      <sz val="11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indexed="8"/>
      <sz val="12"/>
      <scheme val="minor"/>
    </font>
    <font>
      <name val="Calibri"/>
      <family val="2"/>
      <i val="1"/>
      <color theme="0"/>
      <sz val="11"/>
      <scheme val="minor"/>
    </font>
    <font>
      <name val="Calibri"/>
      <family val="2"/>
      <i val="1"/>
      <color indexed="8"/>
      <sz val="11"/>
      <scheme val="minor"/>
    </font>
    <font>
      <name val="Calibri"/>
      <family val="2"/>
      <i val="1"/>
      <color indexed="8"/>
      <sz val="8"/>
      <scheme val="minor"/>
    </font>
    <font>
      <name val="Calibri"/>
      <family val="2"/>
      <color indexed="8"/>
      <sz val="8"/>
      <scheme val="minor"/>
    </font>
    <font>
      <name val="Calibri"/>
      <family val="2"/>
      <b val="1"/>
      <i val="1"/>
      <color theme="0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i val="1"/>
      <sz val="11"/>
      <scheme val="minor"/>
    </font>
    <font>
      <name val="Calibri"/>
      <family val="2"/>
      <color theme="9"/>
      <sz val="11"/>
      <scheme val="minor"/>
    </font>
    <font>
      <name val="Calibri"/>
      <family val="2"/>
      <b val="1"/>
      <color indexed="8"/>
      <sz val="22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9"/>
      <sz val="8"/>
    </font>
    <font>
      <name val="Calibri"/>
      <family val="2"/>
      <color indexed="8"/>
      <sz val="10"/>
      <scheme val="minor"/>
    </font>
    <font>
      <name val="Arial"/>
      <family val="2"/>
      <b val="1"/>
      <color theme="0"/>
      <sz val="10"/>
    </font>
    <font>
      <name val="Times New Roman"/>
      <family val="1"/>
      <color theme="0"/>
      <sz val="11"/>
    </font>
    <font>
      <name val="Times New Roman"/>
      <family val="1"/>
      <b val="1"/>
      <color indexed="8"/>
      <sz val="10"/>
    </font>
    <font>
      <name val="Times New Roman"/>
      <family val="1"/>
      <b val="1"/>
      <sz val="10"/>
    </font>
    <font>
      <name val="Times New Roman"/>
      <family val="1"/>
      <color rgb="FF000000"/>
      <sz val="10"/>
    </font>
    <font>
      <name val="Times New Roman"/>
      <family val="1"/>
      <i val="1"/>
      <color rgb="FF000000"/>
      <sz val="10"/>
    </font>
    <font>
      <name val="Times New Roman"/>
      <family val="1"/>
      <sz val="10"/>
    </font>
    <font>
      <name val="Times New Roman"/>
      <family val="1"/>
      <i val="1"/>
      <sz val="10"/>
    </font>
    <font>
      <name val="Calibri"/>
      <family val="2"/>
      <b val="1"/>
      <color rgb="FF3333FF"/>
      <sz val="11"/>
      <scheme val="minor"/>
    </font>
    <font>
      <name val="Calibri"/>
      <family val="2"/>
      <color rgb="FF3333FF"/>
      <sz val="11"/>
      <scheme val="minor"/>
    </font>
    <font>
      <name val="Times New Roman"/>
      <family val="1"/>
      <color rgb="FF00B0F0"/>
      <sz val="11"/>
    </font>
  </fonts>
  <fills count="1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</fills>
  <borders count="10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tted">
        <color auto="1"/>
      </right>
      <top/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indexed="64"/>
      </top>
      <bottom/>
      <diagonal/>
    </border>
    <border>
      <left style="thick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/>
      <top style="thin">
        <color indexed="64"/>
      </top>
      <bottom style="thin">
        <color auto="1"/>
      </bottom>
      <diagonal/>
    </border>
    <border>
      <left/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dotted">
        <color auto="1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 style="thin">
        <color indexed="64"/>
      </top>
      <bottom/>
      <diagonal/>
    </border>
    <border>
      <left/>
      <right style="dotted">
        <color auto="1"/>
      </right>
      <top style="thin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auto="1"/>
      </left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thick">
        <color auto="1"/>
      </right>
      <top/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indexed="64"/>
      </top>
      <bottom style="medium">
        <color indexed="64"/>
      </bottom>
      <diagonal/>
    </border>
    <border>
      <left style="dotted">
        <color auto="1"/>
      </left>
      <right style="thick">
        <color auto="1"/>
      </right>
      <top style="thin">
        <color indexed="64"/>
      </top>
      <bottom style="thin">
        <color auto="1"/>
      </bottom>
      <diagonal/>
    </border>
    <border>
      <left/>
      <right style="dashed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auto="1"/>
      </right>
      <top style="thin">
        <color auto="1"/>
      </top>
      <bottom/>
      <diagonal/>
    </border>
    <border>
      <left/>
      <right style="dashed">
        <color auto="1"/>
      </right>
      <top style="thin">
        <color indexed="64"/>
      </top>
      <bottom style="thin">
        <color auto="1"/>
      </bottom>
      <diagonal/>
    </border>
    <border>
      <left style="medium">
        <color indexed="64"/>
      </left>
      <right style="dashed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/>
      <bottom/>
      <diagonal/>
    </border>
    <border>
      <left style="medium">
        <color indexed="64"/>
      </left>
      <right style="dotted">
        <color auto="1"/>
      </right>
      <top style="thin">
        <color auto="1"/>
      </top>
      <bottom/>
      <diagonal/>
    </border>
    <border>
      <left style="medium">
        <color indexed="64"/>
      </left>
      <right style="dotted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 style="dotted">
        <color auto="1"/>
      </right>
      <top/>
      <bottom/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indexed="64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dotted">
        <color auto="1"/>
      </right>
      <top style="thin">
        <color indexed="64"/>
      </top>
      <bottom/>
      <diagonal/>
    </border>
  </borders>
  <cellStyleXfs count="8">
    <xf numFmtId="0" fontId="6" fillId="0" borderId="0"/>
    <xf numFmtId="43" fontId="6" fillId="0" borderId="0"/>
    <xf numFmtId="44" fontId="6" fillId="0" borderId="0"/>
    <xf numFmtId="9" fontId="6" fillId="0" borderId="0"/>
    <xf numFmtId="0" fontId="15" fillId="0" borderId="0"/>
    <xf numFmtId="0" fontId="3" fillId="0" borderId="0"/>
    <xf numFmtId="0" fontId="3" fillId="0" borderId="0"/>
    <xf numFmtId="0" fontId="3" fillId="0" borderId="0"/>
  </cellStyleXfs>
  <cellXfs count="1009">
    <xf numFmtId="0" fontId="0" fillId="0" borderId="0" pivotButton="0" quotePrefix="0" xfId="0"/>
    <xf numFmtId="0" fontId="4" fillId="0" borderId="0" applyAlignment="1" pivotButton="0" quotePrefix="0" xfId="0">
      <alignment horizontal="left" wrapText="1"/>
    </xf>
    <xf numFmtId="164" fontId="5" fillId="0" borderId="0" applyAlignment="1" pivotButton="0" quotePrefix="0" xfId="0">
      <alignment wrapText="1"/>
    </xf>
    <xf numFmtId="0" fontId="0" fillId="0" borderId="2" pivotButton="0" quotePrefix="0" xfId="0"/>
    <xf numFmtId="0" fontId="4" fillId="0" borderId="2" applyAlignment="1" pivotButton="0" quotePrefix="0" xfId="0">
      <alignment horizontal="left" wrapText="1"/>
    </xf>
    <xf numFmtId="0" fontId="0" fillId="0" borderId="3" pivotButton="0" quotePrefix="0" xfId="0"/>
    <xf numFmtId="0" fontId="4" fillId="0" borderId="3" applyAlignment="1" pivotButton="0" quotePrefix="0" xfId="0">
      <alignment horizontal="left" wrapText="1"/>
    </xf>
    <xf numFmtId="0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165" fontId="0" fillId="0" borderId="0" pivotButton="0" quotePrefix="0" xfId="0"/>
    <xf numFmtId="165" fontId="0" fillId="0" borderId="2" pivotButton="0" quotePrefix="0" xfId="0"/>
    <xf numFmtId="0" fontId="12" fillId="0" borderId="0" applyAlignment="1" pivotButton="0" quotePrefix="0" xfId="0">
      <alignment horizontal="left" wrapText="1"/>
    </xf>
    <xf numFmtId="166" fontId="8" fillId="2" borderId="0" applyAlignment="1" pivotButton="0" quotePrefix="0" xfId="0">
      <alignment horizontal="centerContinuous"/>
    </xf>
    <xf numFmtId="0" fontId="8" fillId="2" borderId="0" applyAlignment="1" pivotButton="0" quotePrefix="0" xfId="0">
      <alignment horizontal="centerContinuous"/>
    </xf>
    <xf numFmtId="166" fontId="0" fillId="0" borderId="0" applyAlignment="1" pivotButton="0" quotePrefix="0" xfId="0">
      <alignment horizontal="left"/>
    </xf>
    <xf numFmtId="167" fontId="18" fillId="0" borderId="0" pivotButton="0" quotePrefix="0" xfId="1"/>
    <xf numFmtId="167" fontId="17" fillId="2" borderId="0" pivotButton="0" quotePrefix="0" xfId="1"/>
    <xf numFmtId="167" fontId="17" fillId="2" borderId="8" pivotButton="0" quotePrefix="0" xfId="1"/>
    <xf numFmtId="167" fontId="20" fillId="0" borderId="0" pivotButton="0" quotePrefix="0" xfId="1"/>
    <xf numFmtId="167" fontId="20" fillId="2" borderId="0" pivotButton="0" quotePrefix="0" xfId="1"/>
    <xf numFmtId="167" fontId="20" fillId="2" borderId="8" pivotButton="0" quotePrefix="0" xfId="1"/>
    <xf numFmtId="43" fontId="17" fillId="0" borderId="0" pivotButton="0" quotePrefix="0" xfId="1"/>
    <xf numFmtId="43" fontId="18" fillId="3" borderId="0" pivotButton="0" quotePrefix="0" xfId="1"/>
    <xf numFmtId="43" fontId="20" fillId="2" borderId="0" pivotButton="0" quotePrefix="0" xfId="1"/>
    <xf numFmtId="43" fontId="20" fillId="2" borderId="8" pivotButton="0" quotePrefix="0" xfId="1"/>
    <xf numFmtId="165" fontId="17" fillId="0" borderId="0" pivotButton="0" quotePrefix="0" xfId="2"/>
    <xf numFmtId="165" fontId="17" fillId="2" borderId="0" pivotButton="0" quotePrefix="0" xfId="2"/>
    <xf numFmtId="165" fontId="17" fillId="2" borderId="8" pivotButton="0" quotePrefix="0" xfId="2"/>
    <xf numFmtId="0" fontId="0" fillId="4" borderId="0" pivotButton="0" quotePrefix="0" xfId="0"/>
    <xf numFmtId="0" fontId="7" fillId="4" borderId="0" applyAlignment="1" pivotButton="0" quotePrefix="0" xfId="0">
      <alignment horizontal="center"/>
    </xf>
    <xf numFmtId="0" fontId="8" fillId="4" borderId="0" pivotButton="0" quotePrefix="0" xfId="0"/>
    <xf numFmtId="0" fontId="7" fillId="4" borderId="0" pivotButton="0" quotePrefix="0" xfId="0"/>
    <xf numFmtId="14" fontId="7" fillId="4" borderId="0" applyAlignment="1" pivotButton="0" quotePrefix="0" xfId="0">
      <alignment horizontal="center"/>
    </xf>
    <xf numFmtId="43" fontId="16" fillId="2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43" fontId="21" fillId="2" borderId="0" applyAlignment="1" pivotButton="0" quotePrefix="0" xfId="0">
      <alignment horizontal="center" vertical="center" wrapText="1"/>
    </xf>
    <xf numFmtId="0" fontId="3" fillId="0" borderId="0" pivotButton="0" quotePrefix="0" xfId="5"/>
    <xf numFmtId="0" fontId="8" fillId="0" borderId="0" pivotButton="0" quotePrefix="0" xfId="5"/>
    <xf numFmtId="0" fontId="3" fillId="2" borderId="0" pivotButton="0" quotePrefix="0" xfId="5"/>
    <xf numFmtId="16" fontId="3" fillId="2" borderId="0" pivotButton="0" quotePrefix="0" xfId="5"/>
    <xf numFmtId="0" fontId="3" fillId="5" borderId="0" pivotButton="0" quotePrefix="0" xfId="5"/>
    <xf numFmtId="16" fontId="3" fillId="0" borderId="0" pivotButton="0" quotePrefix="0" xfId="5"/>
    <xf numFmtId="0" fontId="3" fillId="6" borderId="0" pivotButton="0" quotePrefix="0" xfId="5"/>
    <xf numFmtId="16" fontId="3" fillId="6" borderId="0" pivotButton="0" quotePrefix="0" xfId="5"/>
    <xf numFmtId="0" fontId="3" fillId="7" borderId="0" pivotButton="0" quotePrefix="0" xfId="5"/>
    <xf numFmtId="14" fontId="3" fillId="7" borderId="0" pivotButton="0" quotePrefix="0" xfId="5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7" fontId="19" fillId="3" borderId="0" pivotButton="0" quotePrefix="0" xfId="1"/>
    <xf numFmtId="167" fontId="3" fillId="0" borderId="0" pivotButton="0" quotePrefix="0" xfId="1"/>
    <xf numFmtId="168" fontId="4" fillId="0" borderId="0" applyAlignment="1" pivotButton="0" quotePrefix="0" xfId="0">
      <alignment horizontal="right" wrapText="1"/>
    </xf>
    <xf numFmtId="0" fontId="7" fillId="4" borderId="8" applyAlignment="1" pivotButton="0" quotePrefix="0" xfId="0">
      <alignment horizontal="center"/>
    </xf>
    <xf numFmtId="14" fontId="7" fillId="4" borderId="8" applyAlignment="1" pivotButton="0" quotePrefix="0" xfId="0">
      <alignment horizontal="center"/>
    </xf>
    <xf numFmtId="165" fontId="10" fillId="0" borderId="3" pivotButton="0" quotePrefix="0" xfId="0"/>
    <xf numFmtId="165" fontId="10" fillId="0" borderId="2" pivotButton="0" quotePrefix="0" xfId="0"/>
    <xf numFmtId="165" fontId="10" fillId="0" borderId="1" pivotButton="0" quotePrefix="0" xfId="0"/>
    <xf numFmtId="165" fontId="10" fillId="0" borderId="0" pivotButton="0" quotePrefix="0" xfId="0"/>
    <xf numFmtId="0" fontId="26" fillId="0" borderId="0" applyAlignment="1" pivotButton="0" quotePrefix="0" xfId="0">
      <alignment horizontal="right" wrapText="1"/>
    </xf>
    <xf numFmtId="2" fontId="0" fillId="0" borderId="2" pivotButton="0" quotePrefix="0" xfId="3"/>
    <xf numFmtId="169" fontId="14" fillId="3" borderId="3" pivotButton="0" quotePrefix="0" xfId="1"/>
    <xf numFmtId="0" fontId="4" fillId="6" borderId="2" applyAlignment="1" pivotButton="0" quotePrefix="0" xfId="0">
      <alignment horizontal="left" wrapText="1"/>
    </xf>
    <xf numFmtId="0" fontId="26" fillId="6" borderId="2" applyAlignment="1" pivotButton="0" quotePrefix="0" xfId="0">
      <alignment horizontal="right" wrapText="1"/>
    </xf>
    <xf numFmtId="2" fontId="4" fillId="6" borderId="2" applyAlignment="1" pivotButton="0" quotePrefix="0" xfId="0">
      <alignment horizontal="right" wrapText="1"/>
    </xf>
    <xf numFmtId="0" fontId="0" fillId="6" borderId="2" pivotButton="0" quotePrefix="0" xfId="0"/>
    <xf numFmtId="165" fontId="28" fillId="0" borderId="2" pivotButton="0" quotePrefix="0" xfId="0"/>
    <xf numFmtId="0" fontId="4" fillId="4" borderId="0" applyAlignment="1" pivotButton="0" quotePrefix="0" xfId="0">
      <alignment horizontal="left" wrapText="1"/>
    </xf>
    <xf numFmtId="165" fontId="10" fillId="4" borderId="0" pivotButton="0" quotePrefix="0" xfId="0"/>
    <xf numFmtId="0" fontId="30" fillId="4" borderId="0" applyAlignment="1" pivotButton="0" quotePrefix="0" xfId="0">
      <alignment horizontal="right" vertical="center"/>
    </xf>
    <xf numFmtId="170" fontId="31" fillId="4" borderId="0" applyAlignment="1" pivotButton="0" quotePrefix="0" xfId="0">
      <alignment horizontal="center" vertical="center"/>
    </xf>
    <xf numFmtId="0" fontId="32" fillId="4" borderId="0" applyAlignment="1" pivotButton="0" quotePrefix="0" xfId="0">
      <alignment vertical="center"/>
    </xf>
    <xf numFmtId="171" fontId="31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167" fontId="0" fillId="0" borderId="0" applyAlignment="1" pivotButton="0" quotePrefix="0" xfId="0">
      <alignment horizontal="right" vertical="center"/>
    </xf>
    <xf numFmtId="172" fontId="16" fillId="2" borderId="2" applyAlignment="1" pivotButton="0" quotePrefix="0" xfId="2">
      <alignment horizontal="right"/>
    </xf>
    <xf numFmtId="172" fontId="0" fillId="0" borderId="0" applyAlignment="1" pivotButton="0" quotePrefix="0" xfId="2">
      <alignment horizontal="right"/>
    </xf>
    <xf numFmtId="173" fontId="0" fillId="0" borderId="0" pivotButton="0" quotePrefix="0" xfId="0"/>
    <xf numFmtId="172" fontId="32" fillId="0" borderId="0" pivotButton="0" quotePrefix="0" xfId="2"/>
    <xf numFmtId="0" fontId="10" fillId="2" borderId="2" applyAlignment="1" pivotButton="0" quotePrefix="0" xfId="0">
      <alignment horizontal="right"/>
    </xf>
    <xf numFmtId="172" fontId="10" fillId="2" borderId="2" pivotButton="0" quotePrefix="0" xfId="2"/>
    <xf numFmtId="172" fontId="0" fillId="0" borderId="0" pivotButton="0" quotePrefix="0" xfId="2"/>
    <xf numFmtId="0" fontId="34" fillId="0" borderId="0" applyAlignment="1" pivotButton="0" quotePrefix="0" xfId="0">
      <alignment horizontal="right"/>
    </xf>
    <xf numFmtId="174" fontId="34" fillId="0" borderId="0" pivotButton="0" quotePrefix="0" xfId="0"/>
    <xf numFmtId="0" fontId="7" fillId="4" borderId="4" applyAlignment="1" pivotButton="0" quotePrefix="0" xfId="0">
      <alignment horizontal="right"/>
    </xf>
    <xf numFmtId="165" fontId="7" fillId="4" borderId="4" applyAlignment="1" pivotButton="0" quotePrefix="0" xfId="2">
      <alignment horizontal="right"/>
    </xf>
    <xf numFmtId="0" fontId="7" fillId="4" borderId="9" applyAlignment="1" pivotButton="0" quotePrefix="0" xfId="0">
      <alignment horizontal="right"/>
    </xf>
    <xf numFmtId="165" fontId="7" fillId="4" borderId="9" applyAlignment="1" pivotButton="0" quotePrefix="0" xfId="0">
      <alignment horizontal="right"/>
    </xf>
    <xf numFmtId="172" fontId="31" fillId="10" borderId="2" applyAlignment="1" pivotButton="0" quotePrefix="0" xfId="2">
      <alignment horizontal="right"/>
    </xf>
    <xf numFmtId="172" fontId="31" fillId="10" borderId="2" pivotButton="0" quotePrefix="0" xfId="2"/>
    <xf numFmtId="0" fontId="33" fillId="10" borderId="0" applyAlignment="1" pivotButton="0" quotePrefix="0" xfId="0">
      <alignment horizontal="right"/>
    </xf>
    <xf numFmtId="174" fontId="33" fillId="10" borderId="0" applyAlignment="1" pivotButton="0" quotePrefix="0" xfId="0">
      <alignment horizontal="right"/>
    </xf>
    <xf numFmtId="14" fontId="9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7" fontId="0" fillId="0" borderId="0" pivotButton="0" quotePrefix="0" xfId="1"/>
    <xf numFmtId="172" fontId="16" fillId="2" borderId="2" pivotButton="0" quotePrefix="0" xfId="2"/>
    <xf numFmtId="0" fontId="32" fillId="0" borderId="7" pivotButton="0" quotePrefix="0" xfId="0"/>
    <xf numFmtId="0" fontId="32" fillId="0" borderId="8" pivotButton="0" quotePrefix="0" xfId="0"/>
    <xf numFmtId="0" fontId="32" fillId="0" borderId="0" pivotButton="0" quotePrefix="0" xfId="0"/>
    <xf numFmtId="0" fontId="0" fillId="0" borderId="9" pivotButton="0" quotePrefix="0" xfId="0"/>
    <xf numFmtId="0" fontId="0" fillId="0" borderId="10" applyAlignment="1" pivotButton="0" quotePrefix="0" xfId="0">
      <alignment horizontal="right"/>
    </xf>
    <xf numFmtId="0" fontId="0" fillId="0" borderId="10" pivotButton="0" quotePrefix="0" xfId="0"/>
    <xf numFmtId="0" fontId="0" fillId="0" borderId="11" pivotButton="0" quotePrefix="0" xfId="0"/>
    <xf numFmtId="43" fontId="16" fillId="2" borderId="0" applyAlignment="1" pivotButton="0" quotePrefix="0" xfId="0">
      <alignment horizontal="center" vertical="center"/>
    </xf>
    <xf numFmtId="169" fontId="18" fillId="3" borderId="0" applyAlignment="1" pivotButton="0" quotePrefix="0" xfId="1">
      <alignment horizontal="center" vertical="center"/>
    </xf>
    <xf numFmtId="43" fontId="0" fillId="0" borderId="0" pivotButton="0" quotePrefix="0" xfId="1"/>
    <xf numFmtId="43" fontId="4" fillId="0" borderId="0" applyAlignment="1" pivotButton="0" quotePrefix="0" xfId="1">
      <alignment horizontal="left" wrapText="1"/>
    </xf>
    <xf numFmtId="0" fontId="0" fillId="0" borderId="12" pivotButton="0" quotePrefix="0" xfId="0"/>
    <xf numFmtId="0" fontId="2" fillId="0" borderId="0" pivotButton="0" quotePrefix="0" xfId="6"/>
    <xf numFmtId="0" fontId="8" fillId="0" borderId="0" pivotButton="0" quotePrefix="0" xfId="6"/>
    <xf numFmtId="16" fontId="2" fillId="5" borderId="0" pivotButton="0" quotePrefix="0" xfId="6"/>
    <xf numFmtId="0" fontId="2" fillId="5" borderId="0" pivotButton="0" quotePrefix="0" xfId="6"/>
    <xf numFmtId="0" fontId="2" fillId="11" borderId="0" pivotButton="0" quotePrefix="0" xfId="6"/>
    <xf numFmtId="16" fontId="2" fillId="11" borderId="0" pivotButton="0" quotePrefix="0" xfId="6"/>
    <xf numFmtId="0" fontId="2" fillId="12" borderId="0" pivotButton="0" quotePrefix="0" xfId="6"/>
    <xf numFmtId="16" fontId="2" fillId="12" borderId="0" pivotButton="0" quotePrefix="0" xfId="6"/>
    <xf numFmtId="16" fontId="2" fillId="0" borderId="0" pivotButton="0" quotePrefix="0" xfId="6"/>
    <xf numFmtId="0" fontId="25" fillId="0" borderId="0" pivotButton="0" quotePrefix="0" xfId="6"/>
    <xf numFmtId="0" fontId="2" fillId="8" borderId="0" pivotButton="0" quotePrefix="0" xfId="6"/>
    <xf numFmtId="0" fontId="2" fillId="9" borderId="0" pivotButton="0" quotePrefix="0" xfId="6"/>
    <xf numFmtId="43" fontId="0" fillId="0" borderId="0" applyAlignment="1" pivotButton="0" quotePrefix="0" xfId="1">
      <alignment horizontal="right" vertical="center"/>
    </xf>
    <xf numFmtId="9" fontId="36" fillId="0" borderId="0" pivotButton="0" quotePrefix="0" xfId="3"/>
    <xf numFmtId="175" fontId="0" fillId="0" borderId="0" pivotButton="0" quotePrefix="0" xfId="3"/>
    <xf numFmtId="167" fontId="0" fillId="0" borderId="1" applyAlignment="1" pivotButton="0" quotePrefix="0" xfId="0">
      <alignment horizontal="right" vertical="center"/>
    </xf>
    <xf numFmtId="165" fontId="0" fillId="0" borderId="1" pivotButton="0" quotePrefix="0" xfId="0"/>
    <xf numFmtId="0" fontId="1" fillId="0" borderId="0" pivotButton="0" quotePrefix="0" xfId="7"/>
    <xf numFmtId="0" fontId="8" fillId="0" borderId="0" pivotButton="0" quotePrefix="0" xfId="7"/>
    <xf numFmtId="0" fontId="1" fillId="2" borderId="0" pivotButton="0" quotePrefix="0" xfId="7"/>
    <xf numFmtId="0" fontId="8" fillId="2" borderId="0" pivotButton="0" quotePrefix="0" xfId="7"/>
    <xf numFmtId="16" fontId="1" fillId="2" borderId="0" pivotButton="0" quotePrefix="0" xfId="7"/>
    <xf numFmtId="169" fontId="14" fillId="3" borderId="14" pivotButton="0" quotePrefix="0" xfId="1"/>
    <xf numFmtId="0" fontId="22" fillId="2" borderId="15" pivotButton="0" quotePrefix="0" xfId="0"/>
    <xf numFmtId="0" fontId="24" fillId="2" borderId="15" pivotButton="0" quotePrefix="0" xfId="0"/>
    <xf numFmtId="174" fontId="23" fillId="2" borderId="15" pivotButton="0" quotePrefix="0" xfId="0"/>
    <xf numFmtId="174" fontId="23" fillId="2" borderId="16" pivotButton="0" quotePrefix="0" xfId="0"/>
    <xf numFmtId="43" fontId="16" fillId="2" borderId="2" applyAlignment="1" pivotButton="0" quotePrefix="0" xfId="0">
      <alignment vertical="center"/>
    </xf>
    <xf numFmtId="167" fontId="18" fillId="0" borderId="2" pivotButton="0" quotePrefix="0" xfId="1"/>
    <xf numFmtId="167" fontId="19" fillId="3" borderId="2" pivotButton="0" quotePrefix="0" xfId="1"/>
    <xf numFmtId="167" fontId="17" fillId="2" borderId="2" pivotButton="0" quotePrefix="0" xfId="1"/>
    <xf numFmtId="167" fontId="17" fillId="2" borderId="17" pivotButton="0" quotePrefix="0" xfId="1"/>
    <xf numFmtId="170" fontId="31" fillId="4" borderId="12" applyAlignment="1" pivotButton="0" quotePrefix="0" xfId="0">
      <alignment horizontal="center" vertical="center"/>
    </xf>
    <xf numFmtId="14" fontId="9" fillId="0" borderId="12" pivotButton="0" quotePrefix="0" xfId="0"/>
    <xf numFmtId="167" fontId="0" fillId="0" borderId="12" applyAlignment="1" pivotButton="0" quotePrefix="0" xfId="0">
      <alignment horizontal="right" vertical="center"/>
    </xf>
    <xf numFmtId="172" fontId="16" fillId="2" borderId="13" applyAlignment="1" pivotButton="0" quotePrefix="0" xfId="2">
      <alignment horizontal="right"/>
    </xf>
    <xf numFmtId="173" fontId="0" fillId="0" borderId="12" pivotButton="0" quotePrefix="0" xfId="0"/>
    <xf numFmtId="172" fontId="31" fillId="10" borderId="13" pivotButton="0" quotePrefix="0" xfId="2"/>
    <xf numFmtId="174" fontId="33" fillId="10" borderId="12" applyAlignment="1" pivotButton="0" quotePrefix="0" xfId="0">
      <alignment horizontal="right"/>
    </xf>
    <xf numFmtId="172" fontId="10" fillId="2" borderId="13" pivotButton="0" quotePrefix="0" xfId="2"/>
    <xf numFmtId="174" fontId="34" fillId="0" borderId="12" pivotButton="0" quotePrefix="0" xfId="0"/>
    <xf numFmtId="43" fontId="0" fillId="0" borderId="12" applyAlignment="1" pivotButton="0" quotePrefix="0" xfId="1">
      <alignment horizontal="right" vertical="center"/>
    </xf>
    <xf numFmtId="165" fontId="7" fillId="4" borderId="18" applyAlignment="1" pivotButton="0" quotePrefix="0" xfId="2">
      <alignment horizontal="right"/>
    </xf>
    <xf numFmtId="165" fontId="7" fillId="4" borderId="19" applyAlignment="1" pivotButton="0" quotePrefix="0" xfId="0">
      <alignment horizontal="right"/>
    </xf>
    <xf numFmtId="165" fontId="7" fillId="4" borderId="5" applyAlignment="1" pivotButton="0" quotePrefix="0" xfId="2">
      <alignment horizontal="right"/>
    </xf>
    <xf numFmtId="165" fontId="7" fillId="4" borderId="10" applyAlignment="1" pivotButton="0" quotePrefix="0" xfId="0">
      <alignment horizontal="right"/>
    </xf>
    <xf numFmtId="14" fontId="7" fillId="4" borderId="10" applyAlignment="1" pivotButton="0" quotePrefix="0" xfId="0">
      <alignment horizontal="center"/>
    </xf>
    <xf numFmtId="43" fontId="0" fillId="0" borderId="0" pivotButton="0" quotePrefix="0" xfId="0"/>
    <xf numFmtId="0" fontId="9" fillId="4" borderId="0" applyAlignment="1" pivotButton="0" quotePrefix="0" xfId="0">
      <alignment horizontal="center"/>
    </xf>
    <xf numFmtId="43" fontId="10" fillId="0" borderId="0" applyAlignment="1" pivotButton="0" quotePrefix="0" xfId="1">
      <alignment horizontal="right" vertical="center"/>
    </xf>
    <xf numFmtId="0" fontId="0" fillId="2" borderId="0" pivotButton="0" quotePrefix="0" xfId="0"/>
    <xf numFmtId="14" fontId="0" fillId="0" borderId="0" pivotButton="0" quotePrefix="0" xfId="0"/>
    <xf numFmtId="165" fontId="0" fillId="0" borderId="0" pivotButton="0" quotePrefix="0" xfId="2"/>
    <xf numFmtId="165" fontId="0" fillId="0" borderId="22" pivotButton="0" quotePrefix="0" xfId="0"/>
    <xf numFmtId="165" fontId="0" fillId="0" borderId="28" pivotButton="0" quotePrefix="0" xfId="0"/>
    <xf numFmtId="0" fontId="0" fillId="0" borderId="29" pivotButton="0" quotePrefix="0" xfId="0"/>
    <xf numFmtId="175" fontId="17" fillId="0" borderId="0" pivotButton="0" quotePrefix="0" xfId="3"/>
    <xf numFmtId="10" fontId="17" fillId="0" borderId="0" pivotButton="0" quotePrefix="0" xfId="3"/>
    <xf numFmtId="169" fontId="14" fillId="3" borderId="2" pivotButton="0" quotePrefix="0" xfId="1"/>
    <xf numFmtId="169" fontId="14" fillId="3" borderId="17" pivotButton="0" quotePrefix="0" xfId="1"/>
    <xf numFmtId="2" fontId="0" fillId="0" borderId="0" pivotButton="0" quotePrefix="0" xfId="3"/>
    <xf numFmtId="176" fontId="0" fillId="0" borderId="0" pivotButton="0" quotePrefix="0" xfId="0"/>
    <xf numFmtId="1" fontId="17" fillId="0" borderId="0" pivotButton="0" quotePrefix="0" xfId="2"/>
    <xf numFmtId="1" fontId="17" fillId="2" borderId="0" pivotButton="0" quotePrefix="0" xfId="2"/>
    <xf numFmtId="1" fontId="17" fillId="2" borderId="8" pivotButton="0" quotePrefix="0" xfId="2"/>
    <xf numFmtId="175" fontId="17" fillId="2" borderId="0" pivotButton="0" quotePrefix="0" xfId="3"/>
    <xf numFmtId="175" fontId="17" fillId="2" borderId="8" pivotButton="0" quotePrefix="0" xfId="3"/>
    <xf numFmtId="177" fontId="17" fillId="0" borderId="0" pivotButton="0" quotePrefix="0" xfId="3"/>
    <xf numFmtId="177" fontId="17" fillId="0" borderId="0" pivotButton="0" quotePrefix="0" xfId="2"/>
    <xf numFmtId="177" fontId="17" fillId="2" borderId="0" pivotButton="0" quotePrefix="0" xfId="2"/>
    <xf numFmtId="177" fontId="17" fillId="2" borderId="8" pivotButton="0" quotePrefix="0" xfId="2"/>
    <xf numFmtId="178" fontId="17" fillId="0" borderId="0" pivotButton="0" quotePrefix="0" xfId="2"/>
    <xf numFmtId="178" fontId="17" fillId="2" borderId="0" pivotButton="0" quotePrefix="0" xfId="2"/>
    <xf numFmtId="178" fontId="17" fillId="2" borderId="8" pivotButton="0" quotePrefix="0" xfId="2"/>
    <xf numFmtId="175" fontId="40" fillId="0" borderId="0" pivotButton="0" quotePrefix="0" xfId="3"/>
    <xf numFmtId="175" fontId="40" fillId="2" borderId="0" pivotButton="0" quotePrefix="0" xfId="3"/>
    <xf numFmtId="175" fontId="40" fillId="2" borderId="8" pivotButton="0" quotePrefix="0" xfId="3"/>
    <xf numFmtId="170" fontId="31" fillId="4" borderId="32" applyAlignment="1" pivotButton="0" quotePrefix="0" xfId="0">
      <alignment horizontal="center" vertical="center"/>
    </xf>
    <xf numFmtId="14" fontId="9" fillId="0" borderId="32" pivotButton="0" quotePrefix="0" xfId="0"/>
    <xf numFmtId="167" fontId="0" fillId="0" borderId="32" applyAlignment="1" pivotButton="0" quotePrefix="0" xfId="0">
      <alignment horizontal="right" vertical="center"/>
    </xf>
    <xf numFmtId="172" fontId="16" fillId="2" borderId="33" applyAlignment="1" pivotButton="0" quotePrefix="0" xfId="2">
      <alignment horizontal="right"/>
    </xf>
    <xf numFmtId="173" fontId="0" fillId="0" borderId="32" pivotButton="0" quotePrefix="0" xfId="0"/>
    <xf numFmtId="172" fontId="31" fillId="10" borderId="33" pivotButton="0" quotePrefix="0" xfId="2"/>
    <xf numFmtId="174" fontId="33" fillId="10" borderId="32" applyAlignment="1" pivotButton="0" quotePrefix="0" xfId="0">
      <alignment horizontal="right"/>
    </xf>
    <xf numFmtId="0" fontId="0" fillId="0" borderId="32" pivotButton="0" quotePrefix="0" xfId="0"/>
    <xf numFmtId="172" fontId="10" fillId="2" borderId="33" pivotButton="0" quotePrefix="0" xfId="2"/>
    <xf numFmtId="174" fontId="34" fillId="0" borderId="32" pivotButton="0" quotePrefix="0" xfId="0"/>
    <xf numFmtId="43" fontId="0" fillId="0" borderId="32" applyAlignment="1" pivotButton="0" quotePrefix="0" xfId="1">
      <alignment horizontal="right" vertical="center"/>
    </xf>
    <xf numFmtId="165" fontId="7" fillId="4" borderId="35" applyAlignment="1" pivotButton="0" quotePrefix="0" xfId="2">
      <alignment horizontal="right"/>
    </xf>
    <xf numFmtId="165" fontId="7" fillId="4" borderId="34" applyAlignment="1" pivotButton="0" quotePrefix="0" xfId="0">
      <alignment horizontal="right"/>
    </xf>
    <xf numFmtId="0" fontId="29" fillId="3" borderId="0" pivotButton="0" quotePrefix="0" xfId="0"/>
    <xf numFmtId="43" fontId="0" fillId="2" borderId="22" pivotButton="0" quotePrefix="0" xfId="1"/>
    <xf numFmtId="0" fontId="20" fillId="0" borderId="32" pivotButton="0" quotePrefix="0" xfId="0"/>
    <xf numFmtId="0" fontId="30" fillId="4" borderId="7" applyAlignment="1" pivotButton="0" quotePrefix="0" xfId="0">
      <alignment horizontal="right" vertical="center"/>
    </xf>
    <xf numFmtId="0" fontId="0" fillId="0" borderId="7" applyAlignment="1" pivotButton="0" quotePrefix="0" xfId="0">
      <alignment horizontal="right"/>
    </xf>
    <xf numFmtId="0" fontId="0" fillId="0" borderId="7" applyAlignment="1" pivotButton="0" quotePrefix="0" xfId="0">
      <alignment horizontal="right" vertical="center"/>
    </xf>
    <xf numFmtId="172" fontId="16" fillId="2" borderId="36" applyAlignment="1" pivotButton="0" quotePrefix="0" xfId="2">
      <alignment horizontal="right"/>
    </xf>
    <xf numFmtId="172" fontId="16" fillId="2" borderId="38" applyAlignment="1" pivotButton="0" quotePrefix="0" xfId="2">
      <alignment horizontal="right"/>
    </xf>
    <xf numFmtId="167" fontId="16" fillId="2" borderId="3" applyAlignment="1" pivotButton="0" quotePrefix="0" xfId="1">
      <alignment horizontal="right"/>
    </xf>
    <xf numFmtId="172" fontId="16" fillId="2" borderId="7" applyAlignment="1" pivotButton="0" quotePrefix="0" xfId="2">
      <alignment horizontal="right"/>
    </xf>
    <xf numFmtId="172" fontId="16" fillId="2" borderId="3" applyAlignment="1" pivotButton="0" quotePrefix="0" xfId="2">
      <alignment horizontal="right"/>
    </xf>
    <xf numFmtId="172" fontId="16" fillId="2" borderId="0" applyAlignment="1" pivotButton="0" quotePrefix="0" xfId="2">
      <alignment horizontal="right"/>
    </xf>
    <xf numFmtId="173" fontId="0" fillId="0" borderId="8" pivotButton="0" quotePrefix="0" xfId="0"/>
    <xf numFmtId="172" fontId="31" fillId="10" borderId="36" applyAlignment="1" pivotButton="0" quotePrefix="0" xfId="2">
      <alignment horizontal="right"/>
    </xf>
    <xf numFmtId="172" fontId="31" fillId="10" borderId="37" pivotButton="0" quotePrefix="0" xfId="2"/>
    <xf numFmtId="0" fontId="33" fillId="10" borderId="7" applyAlignment="1" pivotButton="0" quotePrefix="0" xfId="0">
      <alignment horizontal="right"/>
    </xf>
    <xf numFmtId="174" fontId="33" fillId="10" borderId="8" applyAlignment="1" pivotButton="0" quotePrefix="0" xfId="0">
      <alignment horizontal="right"/>
    </xf>
    <xf numFmtId="0" fontId="10" fillId="2" borderId="36" applyAlignment="1" pivotButton="0" quotePrefix="0" xfId="0">
      <alignment horizontal="right"/>
    </xf>
    <xf numFmtId="0" fontId="34" fillId="0" borderId="7" applyAlignment="1" pivotButton="0" quotePrefix="0" xfId="0">
      <alignment horizontal="right"/>
    </xf>
    <xf numFmtId="174" fontId="34" fillId="0" borderId="8" pivotButton="0" quotePrefix="0" xfId="0"/>
    <xf numFmtId="0" fontId="16" fillId="13" borderId="41" applyAlignment="1" pivotButton="0" quotePrefix="0" xfId="0">
      <alignment horizontal="right"/>
    </xf>
    <xf numFmtId="165" fontId="42" fillId="13" borderId="42" applyAlignment="1" pivotButton="0" quotePrefix="0" xfId="2">
      <alignment horizontal="right"/>
    </xf>
    <xf numFmtId="165" fontId="42" fillId="13" borderId="43" applyAlignment="1" pivotButton="0" quotePrefix="0" xfId="2">
      <alignment horizontal="right"/>
    </xf>
    <xf numFmtId="165" fontId="42" fillId="13" borderId="41" applyAlignment="1" pivotButton="0" quotePrefix="0" xfId="2">
      <alignment horizontal="right"/>
    </xf>
    <xf numFmtId="0" fontId="16" fillId="13" borderId="44" applyAlignment="1" pivotButton="0" quotePrefix="0" xfId="0">
      <alignment horizontal="right"/>
    </xf>
    <xf numFmtId="0" fontId="7" fillId="4" borderId="7" applyAlignment="1" pivotButton="0" quotePrefix="0" xfId="0">
      <alignment horizontal="right"/>
    </xf>
    <xf numFmtId="165" fontId="43" fillId="4" borderId="9" applyAlignment="1" pivotButton="0" quotePrefix="0" xfId="0">
      <alignment horizontal="right"/>
    </xf>
    <xf numFmtId="165" fontId="43" fillId="4" borderId="0" applyAlignment="1" pivotButton="0" quotePrefix="0" xfId="0">
      <alignment horizontal="right"/>
    </xf>
    <xf numFmtId="165" fontId="7" fillId="4" borderId="0" applyAlignment="1" pivotButton="0" quotePrefix="0" xfId="0">
      <alignment horizontal="right"/>
    </xf>
    <xf numFmtId="178" fontId="7" fillId="4" borderId="5" applyAlignment="1" pivotButton="0" quotePrefix="0" xfId="0">
      <alignment horizontal="right"/>
    </xf>
    <xf numFmtId="178" fontId="7" fillId="4" borderId="0" applyAlignment="1" pivotButton="0" quotePrefix="0" xfId="0">
      <alignment horizontal="right"/>
    </xf>
    <xf numFmtId="165" fontId="10" fillId="0" borderId="2" applyAlignment="1" pivotButton="0" quotePrefix="0" xfId="0">
      <alignment horizontal="center"/>
    </xf>
    <xf numFmtId="0" fontId="0" fillId="7" borderId="0" pivotButton="0" quotePrefix="0" xfId="0"/>
    <xf numFmtId="0" fontId="4" fillId="7" borderId="0" applyAlignment="1" pivotButton="0" quotePrefix="0" xfId="0">
      <alignment horizontal="left" wrapText="1"/>
    </xf>
    <xf numFmtId="165" fontId="10" fillId="7" borderId="0" pivotButton="0" quotePrefix="0" xfId="0"/>
    <xf numFmtId="175" fontId="10" fillId="7" borderId="0" pivotButton="0" quotePrefix="0" xfId="3"/>
    <xf numFmtId="0" fontId="7" fillId="4" borderId="45" applyAlignment="1" pivotButton="0" quotePrefix="0" xfId="0">
      <alignment horizontal="center"/>
    </xf>
    <xf numFmtId="0" fontId="9" fillId="4" borderId="45" applyAlignment="1" pivotButton="0" quotePrefix="0" xfId="0">
      <alignment horizontal="center"/>
    </xf>
    <xf numFmtId="14" fontId="7" fillId="4" borderId="45" applyAlignment="1" pivotButton="0" quotePrefix="0" xfId="0">
      <alignment horizontal="center"/>
    </xf>
    <xf numFmtId="0" fontId="0" fillId="0" borderId="45" pivotButton="0" quotePrefix="0" xfId="0"/>
    <xf numFmtId="43" fontId="0" fillId="0" borderId="45" pivotButton="0" quotePrefix="0" xfId="1"/>
    <xf numFmtId="165" fontId="10" fillId="0" borderId="17" pivotButton="0" quotePrefix="0" xfId="0"/>
    <xf numFmtId="165" fontId="10" fillId="0" borderId="45" pivotButton="0" quotePrefix="0" xfId="0"/>
    <xf numFmtId="174" fontId="23" fillId="2" borderId="46" pivotButton="0" quotePrefix="0" xfId="0"/>
    <xf numFmtId="175" fontId="10" fillId="7" borderId="45" pivotButton="0" quotePrefix="0" xfId="3"/>
    <xf numFmtId="165" fontId="10" fillId="0" borderId="14" pivotButton="0" quotePrefix="0" xfId="0"/>
    <xf numFmtId="165" fontId="10" fillId="4" borderId="45" pivotButton="0" quotePrefix="0" xfId="0"/>
    <xf numFmtId="2" fontId="4" fillId="6" borderId="17" applyAlignment="1" pivotButton="0" quotePrefix="0" xfId="0">
      <alignment horizontal="right" wrapText="1"/>
    </xf>
    <xf numFmtId="0" fontId="0" fillId="4" borderId="45" pivotButton="0" quotePrefix="0" xfId="0"/>
    <xf numFmtId="165" fontId="0" fillId="0" borderId="17" pivotButton="0" quotePrefix="0" xfId="0"/>
    <xf numFmtId="165" fontId="0" fillId="0" borderId="45" pivotButton="0" quotePrefix="0" xfId="0"/>
    <xf numFmtId="165" fontId="40" fillId="0" borderId="0" pivotButton="0" quotePrefix="0" xfId="2"/>
    <xf numFmtId="165" fontId="40" fillId="2" borderId="0" pivotButton="0" quotePrefix="0" xfId="2"/>
    <xf numFmtId="165" fontId="40" fillId="2" borderId="8" pivotButton="0" quotePrefix="0" xfId="2"/>
    <xf numFmtId="175" fontId="18" fillId="3" borderId="0" pivotButton="0" quotePrefix="0" xfId="3"/>
    <xf numFmtId="175" fontId="43" fillId="0" borderId="0" pivotButton="0" quotePrefix="0" xfId="3"/>
    <xf numFmtId="175" fontId="44" fillId="2" borderId="0" pivotButton="0" quotePrefix="0" xfId="3"/>
    <xf numFmtId="165" fontId="28" fillId="0" borderId="17" pivotButton="0" quotePrefix="0" xfId="0"/>
    <xf numFmtId="175" fontId="44" fillId="2" borderId="45" pivotButton="0" quotePrefix="0" xfId="3"/>
    <xf numFmtId="167" fontId="17" fillId="2" borderId="45" pivotButton="0" quotePrefix="0" xfId="1"/>
    <xf numFmtId="167" fontId="20" fillId="2" borderId="45" pivotButton="0" quotePrefix="0" xfId="1"/>
    <xf numFmtId="43" fontId="20" fillId="2" borderId="45" pivotButton="0" quotePrefix="0" xfId="1"/>
    <xf numFmtId="165" fontId="17" fillId="2" borderId="45" pivotButton="0" quotePrefix="0" xfId="2"/>
    <xf numFmtId="175" fontId="17" fillId="2" borderId="45" pivotButton="0" quotePrefix="0" xfId="3"/>
    <xf numFmtId="1" fontId="17" fillId="2" borderId="45" pivotButton="0" quotePrefix="0" xfId="2"/>
    <xf numFmtId="175" fontId="40" fillId="2" borderId="45" pivotButton="0" quotePrefix="0" xfId="3"/>
    <xf numFmtId="165" fontId="40" fillId="2" borderId="45" pivotButton="0" quotePrefix="0" xfId="2"/>
    <xf numFmtId="177" fontId="17" fillId="2" borderId="45" pivotButton="0" quotePrefix="0" xfId="2"/>
    <xf numFmtId="178" fontId="17" fillId="2" borderId="45" pivotButton="0" quotePrefix="0" xfId="2"/>
    <xf numFmtId="43" fontId="40" fillId="0" borderId="0" pivotButton="0" quotePrefix="0" xfId="1"/>
    <xf numFmtId="43" fontId="40" fillId="0" borderId="45" pivotButton="0" quotePrefix="0" xfId="1"/>
    <xf numFmtId="0" fontId="4" fillId="2" borderId="0" applyAlignment="1" pivotButton="0" quotePrefix="0" xfId="0">
      <alignment horizontal="left" wrapText="1"/>
    </xf>
    <xf numFmtId="165" fontId="10" fillId="2" borderId="0" pivotButton="0" quotePrefix="0" xfId="0"/>
    <xf numFmtId="165" fontId="10" fillId="2" borderId="45" pivotButton="0" quotePrefix="0" xfId="0"/>
    <xf numFmtId="165" fontId="0" fillId="2" borderId="0" pivotButton="0" quotePrefix="0" xfId="0"/>
    <xf numFmtId="165" fontId="0" fillId="2" borderId="45" pivotButton="0" quotePrefix="0" xfId="0"/>
    <xf numFmtId="0" fontId="30" fillId="4" borderId="4" applyAlignment="1" pivotButton="0" quotePrefix="0" xfId="0">
      <alignment horizontal="right" vertical="center"/>
    </xf>
    <xf numFmtId="0" fontId="31" fillId="4" borderId="5" applyAlignment="1" pivotButton="0" quotePrefix="0" xfId="0">
      <alignment horizontal="center" vertical="center"/>
    </xf>
    <xf numFmtId="0" fontId="31" fillId="4" borderId="6" applyAlignment="1" pivotButton="0" quotePrefix="0" xfId="0">
      <alignment horizontal="center" vertical="center"/>
    </xf>
    <xf numFmtId="0" fontId="34" fillId="0" borderId="7" applyAlignment="1" pivotButton="0" quotePrefix="0" xfId="0">
      <alignment horizontal="left"/>
    </xf>
    <xf numFmtId="0" fontId="31" fillId="0" borderId="0" applyAlignment="1" pivotButton="0" quotePrefix="0" xfId="0">
      <alignment horizontal="center"/>
    </xf>
    <xf numFmtId="0" fontId="31" fillId="0" borderId="8" applyAlignment="1" pivotButton="0" quotePrefix="0" xfId="0">
      <alignment horizontal="center"/>
    </xf>
    <xf numFmtId="167" fontId="0" fillId="0" borderId="8" pivotButton="0" quotePrefix="0" xfId="1"/>
    <xf numFmtId="172" fontId="16" fillId="2" borderId="37" pivotButton="0" quotePrefix="0" xfId="2"/>
    <xf numFmtId="0" fontId="35" fillId="0" borderId="7" applyAlignment="1" pivotButton="0" quotePrefix="0" xfId="0">
      <alignment horizontal="right" vertical="top"/>
    </xf>
    <xf numFmtId="9" fontId="36" fillId="0" borderId="8" pivotButton="0" quotePrefix="0" xfId="3"/>
    <xf numFmtId="172" fontId="10" fillId="2" borderId="36" applyAlignment="1" pivotButton="0" quotePrefix="0" xfId="2">
      <alignment horizontal="right"/>
    </xf>
    <xf numFmtId="172" fontId="10" fillId="2" borderId="37" pivotButton="0" quotePrefix="0" xfId="2"/>
    <xf numFmtId="0" fontId="33" fillId="10" borderId="9" applyAlignment="1" pivotButton="0" quotePrefix="0" xfId="0">
      <alignment horizontal="right"/>
    </xf>
    <xf numFmtId="174" fontId="33" fillId="10" borderId="10" applyAlignment="1" pivotButton="0" quotePrefix="0" xfId="0">
      <alignment horizontal="right"/>
    </xf>
    <xf numFmtId="174" fontId="33" fillId="10" borderId="11" applyAlignment="1" pivotButton="0" quotePrefix="0" xfId="0">
      <alignment horizontal="right"/>
    </xf>
    <xf numFmtId="0" fontId="0" fillId="4" borderId="5" pivotButton="0" quotePrefix="0" xfId="0"/>
    <xf numFmtId="0" fontId="7" fillId="4" borderId="5" applyAlignment="1" pivotButton="0" quotePrefix="0" xfId="0">
      <alignment horizontal="center"/>
    </xf>
    <xf numFmtId="0" fontId="7" fillId="4" borderId="47" applyAlignment="1" pivotButton="0" quotePrefix="0" xfId="0">
      <alignment horizontal="center"/>
    </xf>
    <xf numFmtId="175" fontId="28" fillId="0" borderId="0" pivotButton="0" quotePrefix="0" xfId="3"/>
    <xf numFmtId="0" fontId="40" fillId="0" borderId="0" pivotButton="0" quotePrefix="0" xfId="0"/>
    <xf numFmtId="43" fontId="44" fillId="0" borderId="0" pivotButton="0" quotePrefix="0" xfId="1"/>
    <xf numFmtId="165" fontId="43" fillId="2" borderId="0" applyAlignment="1" pivotButton="0" quotePrefix="0" xfId="0">
      <alignment horizontal="center"/>
    </xf>
    <xf numFmtId="165" fontId="43" fillId="2" borderId="0" pivotButton="0" quotePrefix="0" xfId="0"/>
    <xf numFmtId="165" fontId="43" fillId="2" borderId="45" pivotButton="0" quotePrefix="0" xfId="0"/>
    <xf numFmtId="170" fontId="31" fillId="4" borderId="2" applyAlignment="1" pivotButton="0" quotePrefix="0" xfId="0">
      <alignment horizontal="center" vertical="center"/>
    </xf>
    <xf numFmtId="170" fontId="31" fillId="4" borderId="49" applyAlignment="1" pivotButton="0" quotePrefix="0" xfId="0">
      <alignment horizontal="center" vertical="center"/>
    </xf>
    <xf numFmtId="170" fontId="31" fillId="4" borderId="33" applyAlignment="1" pivotButton="0" quotePrefix="0" xfId="0">
      <alignment horizontal="center" vertical="center"/>
    </xf>
    <xf numFmtId="0" fontId="32" fillId="4" borderId="2" applyAlignment="1" pivotButton="0" quotePrefix="0" xfId="0">
      <alignment vertical="center"/>
    </xf>
    <xf numFmtId="14" fontId="9" fillId="0" borderId="50" pivotButton="0" quotePrefix="0" xfId="0"/>
    <xf numFmtId="167" fontId="10" fillId="7" borderId="50" applyAlignment="1" pivotButton="0" quotePrefix="0" xfId="0">
      <alignment horizontal="right" vertical="center"/>
    </xf>
    <xf numFmtId="172" fontId="16" fillId="7" borderId="49" applyAlignment="1" pivotButton="0" quotePrefix="0" xfId="2">
      <alignment horizontal="right"/>
    </xf>
    <xf numFmtId="172" fontId="16" fillId="2" borderId="17" applyAlignment="1" pivotButton="0" quotePrefix="0" xfId="2">
      <alignment horizontal="right"/>
    </xf>
    <xf numFmtId="167" fontId="16" fillId="2" borderId="0" applyAlignment="1" pivotButton="0" quotePrefix="0" xfId="1">
      <alignment horizontal="right"/>
    </xf>
    <xf numFmtId="167" fontId="16" fillId="7" borderId="50" applyAlignment="1" pivotButton="0" quotePrefix="0" xfId="1">
      <alignment horizontal="right"/>
    </xf>
    <xf numFmtId="173" fontId="10" fillId="7" borderId="50" pivotButton="0" quotePrefix="0" xfId="0"/>
    <xf numFmtId="172" fontId="38" fillId="7" borderId="49" pivotButton="0" quotePrefix="0" xfId="2"/>
    <xf numFmtId="172" fontId="31" fillId="10" borderId="17" pivotButton="0" quotePrefix="0" xfId="2"/>
    <xf numFmtId="174" fontId="39" fillId="7" borderId="50" applyAlignment="1" pivotButton="0" quotePrefix="0" xfId="0">
      <alignment horizontal="right"/>
    </xf>
    <xf numFmtId="174" fontId="33" fillId="10" borderId="45" applyAlignment="1" pivotButton="0" quotePrefix="0" xfId="0">
      <alignment horizontal="right"/>
    </xf>
    <xf numFmtId="0" fontId="16" fillId="7" borderId="50" pivotButton="0" quotePrefix="0" xfId="0"/>
    <xf numFmtId="167" fontId="16" fillId="7" borderId="50" applyAlignment="1" pivotButton="0" quotePrefix="0" xfId="0">
      <alignment horizontal="right" vertical="center"/>
    </xf>
    <xf numFmtId="172" fontId="16" fillId="7" borderId="49" pivotButton="0" quotePrefix="0" xfId="2"/>
    <xf numFmtId="172" fontId="10" fillId="2" borderId="17" pivotButton="0" quotePrefix="0" xfId="2"/>
    <xf numFmtId="174" fontId="39" fillId="7" borderId="50" pivotButton="0" quotePrefix="0" xfId="0"/>
    <xf numFmtId="43" fontId="16" fillId="7" borderId="50" applyAlignment="1" pivotButton="0" quotePrefix="0" xfId="1">
      <alignment horizontal="right" vertical="center"/>
    </xf>
    <xf numFmtId="174" fontId="14" fillId="7" borderId="50" applyAlignment="1" pivotButton="0" quotePrefix="0" xfId="0">
      <alignment horizontal="right"/>
    </xf>
    <xf numFmtId="0" fontId="0" fillId="0" borderId="50" pivotButton="0" quotePrefix="0" xfId="0"/>
    <xf numFmtId="165" fontId="28" fillId="4" borderId="51" applyAlignment="1" pivotButton="0" quotePrefix="0" xfId="2">
      <alignment horizontal="right"/>
    </xf>
    <xf numFmtId="165" fontId="7" fillId="4" borderId="52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165" fontId="7" fillId="4" borderId="54" applyAlignment="1" pivotButton="0" quotePrefix="0" xfId="0">
      <alignment horizontal="right"/>
    </xf>
    <xf numFmtId="0" fontId="0" fillId="0" borderId="1" pivotButton="0" quotePrefix="0" xfId="0"/>
    <xf numFmtId="0" fontId="46" fillId="0" borderId="0" pivotButton="0" quotePrefix="0" xfId="0"/>
    <xf numFmtId="0" fontId="47" fillId="4" borderId="21" applyAlignment="1" pivotButton="0" quotePrefix="0" xfId="0">
      <alignment vertical="center" wrapText="1"/>
    </xf>
    <xf numFmtId="0" fontId="48" fillId="4" borderId="20" applyAlignment="1" pivotButton="0" quotePrefix="0" xfId="0">
      <alignment horizontal="center"/>
    </xf>
    <xf numFmtId="14" fontId="48" fillId="4" borderId="20" applyAlignment="1" pivotButton="0" quotePrefix="0" xfId="0">
      <alignment horizontal="center"/>
    </xf>
    <xf numFmtId="0" fontId="48" fillId="4" borderId="57" applyAlignment="1" pivotButton="0" quotePrefix="0" xfId="0">
      <alignment horizontal="center"/>
    </xf>
    <xf numFmtId="165" fontId="0" fillId="0" borderId="12" pivotButton="0" quotePrefix="0" xfId="2"/>
    <xf numFmtId="165" fontId="0" fillId="0" borderId="22" pivotButton="0" quotePrefix="0" xfId="2"/>
    <xf numFmtId="1" fontId="0" fillId="2" borderId="13" pivotButton="0" quotePrefix="0" xfId="0"/>
    <xf numFmtId="1" fontId="0" fillId="2" borderId="24" pivotButton="0" quotePrefix="0" xfId="0"/>
    <xf numFmtId="1" fontId="0" fillId="2" borderId="12" pivotButton="0" quotePrefix="0" xfId="0"/>
    <xf numFmtId="1" fontId="0" fillId="2" borderId="22" pivotButton="0" quotePrefix="0" xfId="0"/>
    <xf numFmtId="43" fontId="50" fillId="2" borderId="21" applyAlignment="1" pivotButton="0" quotePrefix="0" xfId="0">
      <alignment horizontal="center" vertical="center" wrapText="1"/>
    </xf>
    <xf numFmtId="2" fontId="0" fillId="2" borderId="12" pivotButton="0" quotePrefix="0" xfId="0"/>
    <xf numFmtId="2" fontId="0" fillId="2" borderId="22" pivotButton="0" quotePrefix="0" xfId="0"/>
    <xf numFmtId="0" fontId="0" fillId="2" borderId="12" pivotButton="0" quotePrefix="0" xfId="0"/>
    <xf numFmtId="0" fontId="0" fillId="2" borderId="22" pivotButton="0" quotePrefix="0" xfId="0"/>
    <xf numFmtId="0" fontId="50" fillId="2" borderId="21" applyAlignment="1" pivotButton="0" quotePrefix="0" xfId="0">
      <alignment vertical="center"/>
    </xf>
    <xf numFmtId="0" fontId="53" fillId="2" borderId="25" pivotButton="0" quotePrefix="0" xfId="0"/>
    <xf numFmtId="10" fontId="0" fillId="2" borderId="60" pivotButton="0" quotePrefix="0" xfId="3"/>
    <xf numFmtId="10" fontId="0" fillId="2" borderId="26" pivotButton="0" quotePrefix="0" xfId="3"/>
    <xf numFmtId="165" fontId="0" fillId="0" borderId="39" pivotButton="0" quotePrefix="0" xfId="0"/>
    <xf numFmtId="165" fontId="0" fillId="0" borderId="12" pivotButton="0" quotePrefix="0" xfId="0"/>
    <xf numFmtId="165" fontId="20" fillId="0" borderId="58" applyAlignment="1" pivotButton="0" quotePrefix="0" xfId="0">
      <alignment horizontal="center"/>
    </xf>
    <xf numFmtId="175" fontId="0" fillId="2" borderId="13" pivotButton="0" quotePrefix="0" xfId="3"/>
    <xf numFmtId="175" fontId="0" fillId="2" borderId="24" pivotButton="0" quotePrefix="0" xfId="3"/>
    <xf numFmtId="165" fontId="0" fillId="0" borderId="13" pivotButton="0" quotePrefix="0" xfId="0"/>
    <xf numFmtId="165" fontId="0" fillId="0" borderId="24" pivotButton="0" quotePrefix="0" xfId="0"/>
    <xf numFmtId="165" fontId="0" fillId="2" borderId="39" pivotButton="0" quotePrefix="0" xfId="0"/>
    <xf numFmtId="165" fontId="0" fillId="2" borderId="28" pivotButton="0" quotePrefix="0" xfId="0"/>
    <xf numFmtId="165" fontId="0" fillId="0" borderId="63" pivotButton="0" quotePrefix="0" xfId="0"/>
    <xf numFmtId="0" fontId="49" fillId="0" borderId="0" applyAlignment="1" pivotButton="0" quotePrefix="0" xfId="0">
      <alignment horizontal="center" wrapText="1"/>
    </xf>
    <xf numFmtId="165" fontId="0" fillId="0" borderId="0" applyAlignment="1" pivotButton="0" quotePrefix="0" xfId="0">
      <alignment horizontal="center"/>
    </xf>
    <xf numFmtId="0" fontId="47" fillId="4" borderId="0" applyAlignment="1" pivotButton="0" quotePrefix="0" xfId="0">
      <alignment vertical="center" wrapText="1"/>
    </xf>
    <xf numFmtId="175" fontId="0" fillId="2" borderId="22" pivotButton="0" quotePrefix="0" xfId="3"/>
    <xf numFmtId="165" fontId="0" fillId="2" borderId="22" pivotButton="0" quotePrefix="0" xfId="2"/>
    <xf numFmtId="165" fontId="0" fillId="0" borderId="30" pivotButton="0" quotePrefix="0" xfId="2"/>
    <xf numFmtId="177" fontId="0" fillId="2" borderId="22" pivotButton="0" quotePrefix="0" xfId="0"/>
    <xf numFmtId="175" fontId="0" fillId="2" borderId="28" pivotButton="0" quotePrefix="0" xfId="3"/>
    <xf numFmtId="165" fontId="0" fillId="2" borderId="12" pivotButton="0" quotePrefix="0" xfId="2"/>
    <xf numFmtId="175" fontId="0" fillId="2" borderId="39" pivotButton="0" quotePrefix="0" xfId="3"/>
    <xf numFmtId="43" fontId="51" fillId="2" borderId="13" applyAlignment="1" pivotButton="0" quotePrefix="0" xfId="0">
      <alignment horizontal="right"/>
    </xf>
    <xf numFmtId="0" fontId="52" fillId="2" borderId="12" applyAlignment="1" pivotButton="0" quotePrefix="0" xfId="0">
      <alignment horizontal="right"/>
    </xf>
    <xf numFmtId="43" fontId="51" fillId="2" borderId="12" applyAlignment="1" pivotButton="0" quotePrefix="0" xfId="0">
      <alignment horizontal="right"/>
    </xf>
    <xf numFmtId="0" fontId="51" fillId="2" borderId="12" applyAlignment="1" pivotButton="0" quotePrefix="0" xfId="0">
      <alignment horizontal="right"/>
    </xf>
    <xf numFmtId="0" fontId="54" fillId="2" borderId="60" applyAlignment="1" pivotButton="0" quotePrefix="0" xfId="0">
      <alignment horizontal="right"/>
    </xf>
    <xf numFmtId="167" fontId="20" fillId="2" borderId="12" applyAlignment="1" pivotButton="0" quotePrefix="0" xfId="1">
      <alignment horizontal="center"/>
    </xf>
    <xf numFmtId="175" fontId="0" fillId="2" borderId="12" pivotButton="0" quotePrefix="0" xfId="3"/>
    <xf numFmtId="177" fontId="0" fillId="2" borderId="12" pivotButton="0" quotePrefix="0" xfId="0"/>
    <xf numFmtId="165" fontId="20" fillId="2" borderId="62" applyAlignment="1" pivotButton="0" quotePrefix="0" xfId="0">
      <alignment horizontal="center"/>
    </xf>
    <xf numFmtId="173" fontId="10" fillId="0" borderId="50" pivotButton="0" quotePrefix="0" xfId="0"/>
    <xf numFmtId="170" fontId="31" fillId="4" borderId="17" applyAlignment="1" pivotButton="0" quotePrefix="0" xfId="0">
      <alignment horizontal="center" vertical="center"/>
    </xf>
    <xf numFmtId="14" fontId="9" fillId="0" borderId="45" pivotButton="0" quotePrefix="0" xfId="0"/>
    <xf numFmtId="167" fontId="10" fillId="0" borderId="45" applyAlignment="1" pivotButton="0" quotePrefix="0" xfId="0">
      <alignment horizontal="right" vertical="center"/>
    </xf>
    <xf numFmtId="167" fontId="16" fillId="2" borderId="45" applyAlignment="1" pivotButton="0" quotePrefix="0" xfId="1">
      <alignment horizontal="right"/>
    </xf>
    <xf numFmtId="173" fontId="10" fillId="0" borderId="45" pivotButton="0" quotePrefix="0" xfId="0"/>
    <xf numFmtId="174" fontId="37" fillId="10" borderId="45" applyAlignment="1" pivotButton="0" quotePrefix="0" xfId="0">
      <alignment horizontal="right"/>
    </xf>
    <xf numFmtId="0" fontId="10" fillId="0" borderId="45" pivotButton="0" quotePrefix="0" xfId="0"/>
    <xf numFmtId="174" fontId="11" fillId="0" borderId="45" pivotButton="0" quotePrefix="0" xfId="0"/>
    <xf numFmtId="43" fontId="10" fillId="0" borderId="45" applyAlignment="1" pivotButton="0" quotePrefix="0" xfId="1">
      <alignment horizontal="right" vertical="center"/>
    </xf>
    <xf numFmtId="171" fontId="31" fillId="4" borderId="68" applyAlignment="1" pivotButton="0" quotePrefix="0" xfId="0">
      <alignment horizontal="center" vertical="center"/>
    </xf>
    <xf numFmtId="0" fontId="0" fillId="0" borderId="69" pivotButton="0" quotePrefix="0" xfId="0"/>
    <xf numFmtId="167" fontId="0" fillId="0" borderId="69" applyAlignment="1" pivotButton="0" quotePrefix="0" xfId="0">
      <alignment horizontal="right" vertical="center"/>
    </xf>
    <xf numFmtId="172" fontId="16" fillId="2" borderId="68" applyAlignment="1" pivotButton="0" quotePrefix="0" xfId="2">
      <alignment horizontal="right"/>
    </xf>
    <xf numFmtId="173" fontId="0" fillId="0" borderId="69" pivotButton="0" quotePrefix="0" xfId="0"/>
    <xf numFmtId="172" fontId="31" fillId="10" borderId="48" pivotButton="0" quotePrefix="0" xfId="2"/>
    <xf numFmtId="172" fontId="31" fillId="10" borderId="68" pivotButton="0" quotePrefix="0" xfId="2"/>
    <xf numFmtId="174" fontId="33" fillId="10" borderId="69" applyAlignment="1" pivotButton="0" quotePrefix="0" xfId="0">
      <alignment horizontal="right"/>
    </xf>
    <xf numFmtId="172" fontId="10" fillId="2" borderId="68" pivotButton="0" quotePrefix="0" xfId="2"/>
    <xf numFmtId="174" fontId="34" fillId="0" borderId="69" pivotButton="0" quotePrefix="0" xfId="0"/>
    <xf numFmtId="43" fontId="0" fillId="0" borderId="69" pivotButton="0" quotePrefix="0" xfId="1"/>
    <xf numFmtId="0" fontId="0" fillId="0" borderId="70" pivotButton="0" quotePrefix="0" xfId="0"/>
    <xf numFmtId="172" fontId="16" fillId="2" borderId="69" applyAlignment="1" pivotButton="0" quotePrefix="0" xfId="2">
      <alignment horizontal="right"/>
    </xf>
    <xf numFmtId="167" fontId="16" fillId="2" borderId="69" applyAlignment="1" pivotButton="0" quotePrefix="0" xfId="1">
      <alignment horizontal="right"/>
    </xf>
    <xf numFmtId="175" fontId="44" fillId="0" borderId="0" pivotButton="0" quotePrefix="0" xfId="3"/>
    <xf numFmtId="175" fontId="44" fillId="3" borderId="0" pivotButton="0" quotePrefix="0" xfId="3"/>
    <xf numFmtId="175" fontId="44" fillId="2" borderId="8" pivotButton="0" quotePrefix="0" xfId="3"/>
    <xf numFmtId="172" fontId="16" fillId="2" borderId="4" applyAlignment="1" pivotButton="0" quotePrefix="0" xfId="2">
      <alignment horizontal="right"/>
    </xf>
    <xf numFmtId="172" fontId="16" fillId="2" borderId="3" pivotButton="0" quotePrefix="0" xfId="2"/>
    <xf numFmtId="172" fontId="16" fillId="2" borderId="40" pivotButton="0" quotePrefix="0" xfId="2"/>
    <xf numFmtId="167" fontId="16" fillId="2" borderId="5" pivotButton="0" quotePrefix="0" xfId="1"/>
    <xf numFmtId="167" fontId="16" fillId="2" borderId="6" pivotButton="0" quotePrefix="0" xfId="1"/>
    <xf numFmtId="167" fontId="16" fillId="2" borderId="3" pivotButton="0" quotePrefix="0" xfId="1"/>
    <xf numFmtId="167" fontId="16" fillId="2" borderId="40" pivotButton="0" quotePrefix="0" xfId="1"/>
    <xf numFmtId="165" fontId="0" fillId="0" borderId="45" pivotButton="0" quotePrefix="0" xfId="2"/>
    <xf numFmtId="167" fontId="16" fillId="2" borderId="14" applyAlignment="1" pivotButton="0" quotePrefix="0" xfId="1">
      <alignment horizontal="right"/>
    </xf>
    <xf numFmtId="165" fontId="16" fillId="13" borderId="43" applyAlignment="1" pivotButton="0" quotePrefix="0" xfId="2">
      <alignment horizontal="right"/>
    </xf>
    <xf numFmtId="165" fontId="16" fillId="13" borderId="42" applyAlignment="1" pivotButton="0" quotePrefix="0" xfId="2">
      <alignment horizontal="right"/>
    </xf>
    <xf numFmtId="165" fontId="16" fillId="13" borderId="41" applyAlignment="1" pivotButton="0" quotePrefix="0" xfId="2">
      <alignment horizontal="right"/>
    </xf>
    <xf numFmtId="0" fontId="16" fillId="14" borderId="44" applyAlignment="1" pivotButton="0" quotePrefix="0" xfId="0">
      <alignment horizontal="right"/>
    </xf>
    <xf numFmtId="165" fontId="28" fillId="14" borderId="43" applyAlignment="1" pivotButton="0" quotePrefix="0" xfId="2">
      <alignment horizontal="right"/>
    </xf>
    <xf numFmtId="165" fontId="28" fillId="14" borderId="42" applyAlignment="1" pivotButton="0" quotePrefix="0" xfId="2">
      <alignment horizontal="right"/>
    </xf>
    <xf numFmtId="165" fontId="28" fillId="14" borderId="41" applyAlignment="1" pivotButton="0" quotePrefix="0" xfId="2">
      <alignment horizontal="right"/>
    </xf>
    <xf numFmtId="43" fontId="20" fillId="0" borderId="0" pivotButton="0" quotePrefix="0" xfId="1"/>
    <xf numFmtId="43" fontId="20" fillId="0" borderId="45" pivotButton="0" quotePrefix="0" xfId="1"/>
    <xf numFmtId="177" fontId="55" fillId="3" borderId="0" pivotButton="0" quotePrefix="0" xfId="1"/>
    <xf numFmtId="0" fontId="7" fillId="4" borderId="12" applyAlignment="1" pivotButton="0" quotePrefix="0" xfId="0">
      <alignment horizontal="center"/>
    </xf>
    <xf numFmtId="0" fontId="9" fillId="4" borderId="12" applyAlignment="1" pivotButton="0" quotePrefix="0" xfId="0">
      <alignment horizontal="center"/>
    </xf>
    <xf numFmtId="14" fontId="7" fillId="4" borderId="12" applyAlignment="1" pivotButton="0" quotePrefix="0" xfId="0">
      <alignment horizontal="center"/>
    </xf>
    <xf numFmtId="167" fontId="20" fillId="2" borderId="59" applyAlignment="1" pivotButton="0" quotePrefix="0" xfId="1">
      <alignment horizontal="center" vertical="center"/>
    </xf>
    <xf numFmtId="167" fontId="20" fillId="2" borderId="58" applyAlignment="1" pivotButton="0" quotePrefix="0" xfId="1">
      <alignment horizontal="center" vertical="center"/>
    </xf>
    <xf numFmtId="175" fontId="20" fillId="2" borderId="58" applyAlignment="1" pivotButton="0" quotePrefix="0" xfId="1">
      <alignment horizontal="right" vertical="center"/>
    </xf>
    <xf numFmtId="179" fontId="20" fillId="2" borderId="58" applyAlignment="1" pivotButton="0" quotePrefix="0" xfId="1">
      <alignment horizontal="center" vertical="center"/>
    </xf>
    <xf numFmtId="43" fontId="20" fillId="2" borderId="58" applyAlignment="1" pivotButton="0" quotePrefix="0" xfId="1">
      <alignment horizontal="center" vertical="center"/>
    </xf>
    <xf numFmtId="165" fontId="20" fillId="2" borderId="58" applyAlignment="1" pivotButton="0" quotePrefix="0" xfId="2">
      <alignment horizontal="center" vertical="center"/>
    </xf>
    <xf numFmtId="165" fontId="20" fillId="2" borderId="58" applyAlignment="1" pivotButton="0" quotePrefix="0" xfId="0">
      <alignment horizontal="center"/>
    </xf>
    <xf numFmtId="10" fontId="20" fillId="2" borderId="61" applyAlignment="1" pivotButton="0" quotePrefix="0" xfId="3">
      <alignment horizontal="center"/>
    </xf>
    <xf numFmtId="165" fontId="20" fillId="0" borderId="62" applyAlignment="1" pivotButton="0" quotePrefix="0" xfId="0">
      <alignment horizontal="center"/>
    </xf>
    <xf numFmtId="175" fontId="20" fillId="2" borderId="62" applyAlignment="1" pivotButton="0" quotePrefix="0" xfId="0">
      <alignment horizontal="center"/>
    </xf>
    <xf numFmtId="175" fontId="20" fillId="2" borderId="59" applyAlignment="1" pivotButton="0" quotePrefix="0" xfId="0">
      <alignment horizontal="center"/>
    </xf>
    <xf numFmtId="165" fontId="20" fillId="0" borderId="59" applyAlignment="1" pivotButton="0" quotePrefix="0" xfId="0">
      <alignment horizontal="center"/>
    </xf>
    <xf numFmtId="165" fontId="20" fillId="0" borderId="64" applyAlignment="1" pivotButton="0" quotePrefix="0" xfId="0">
      <alignment horizontal="center"/>
    </xf>
    <xf numFmtId="171" fontId="31" fillId="4" borderId="72" applyAlignment="1" pivotButton="0" quotePrefix="0" xfId="0">
      <alignment horizontal="center" vertical="center"/>
    </xf>
    <xf numFmtId="0" fontId="0" fillId="0" borderId="73" pivotButton="0" quotePrefix="0" xfId="0"/>
    <xf numFmtId="167" fontId="0" fillId="0" borderId="73" applyAlignment="1" pivotButton="0" quotePrefix="0" xfId="0">
      <alignment horizontal="right" vertical="center"/>
    </xf>
    <xf numFmtId="172" fontId="16" fillId="2" borderId="72" applyAlignment="1" pivotButton="0" quotePrefix="0" xfId="2">
      <alignment horizontal="right"/>
    </xf>
    <xf numFmtId="167" fontId="16" fillId="2" borderId="72" applyAlignment="1" pivotButton="0" quotePrefix="0" xfId="1">
      <alignment horizontal="center"/>
    </xf>
    <xf numFmtId="172" fontId="16" fillId="2" borderId="71" applyAlignment="1" pivotButton="0" quotePrefix="0" xfId="2">
      <alignment horizontal="center"/>
    </xf>
    <xf numFmtId="173" fontId="0" fillId="0" borderId="73" pivotButton="0" quotePrefix="0" xfId="0"/>
    <xf numFmtId="172" fontId="31" fillId="10" borderId="72" pivotButton="0" quotePrefix="0" xfId="2"/>
    <xf numFmtId="174" fontId="33" fillId="10" borderId="73" applyAlignment="1" pivotButton="0" quotePrefix="0" xfId="0">
      <alignment horizontal="right"/>
    </xf>
    <xf numFmtId="172" fontId="10" fillId="2" borderId="72" pivotButton="0" quotePrefix="0" xfId="2"/>
    <xf numFmtId="174" fontId="34" fillId="0" borderId="73" pivotButton="0" quotePrefix="0" xfId="0"/>
    <xf numFmtId="43" fontId="0" fillId="0" borderId="73" pivotButton="0" quotePrefix="0" xfId="1"/>
    <xf numFmtId="174" fontId="33" fillId="10" borderId="74" applyAlignment="1" pivotButton="0" quotePrefix="0" xfId="0">
      <alignment horizontal="right"/>
    </xf>
    <xf numFmtId="170" fontId="31" fillId="4" borderId="45" applyAlignment="1" pivotButton="0" quotePrefix="0" xfId="0">
      <alignment horizontal="center" vertical="center"/>
    </xf>
    <xf numFmtId="167" fontId="0" fillId="0" borderId="45" applyAlignment="1" pivotButton="0" quotePrefix="0" xfId="0">
      <alignment horizontal="right" vertical="center"/>
    </xf>
    <xf numFmtId="172" fontId="16" fillId="2" borderId="45" applyAlignment="1" pivotButton="0" quotePrefix="0" xfId="2">
      <alignment horizontal="right"/>
    </xf>
    <xf numFmtId="173" fontId="0" fillId="0" borderId="45" pivotButton="0" quotePrefix="0" xfId="0"/>
    <xf numFmtId="174" fontId="34" fillId="0" borderId="45" pivotButton="0" quotePrefix="0" xfId="0"/>
    <xf numFmtId="43" fontId="0" fillId="0" borderId="45" applyAlignment="1" pivotButton="0" quotePrefix="0" xfId="1">
      <alignment horizontal="right" vertical="center"/>
    </xf>
    <xf numFmtId="0" fontId="9" fillId="4" borderId="8" applyAlignment="1" pivotButton="0" quotePrefix="0" xfId="0">
      <alignment horizontal="center"/>
    </xf>
    <xf numFmtId="14" fontId="7" fillId="4" borderId="0" pivotButton="0" quotePrefix="0" xfId="0"/>
    <xf numFmtId="9" fontId="36" fillId="0" borderId="0" applyAlignment="1" pivotButton="0" quotePrefix="0" xfId="3">
      <alignment horizontal="center"/>
    </xf>
    <xf numFmtId="0" fontId="0" fillId="7" borderId="3" pivotButton="0" quotePrefix="0" xfId="0"/>
    <xf numFmtId="0" fontId="4" fillId="7" borderId="3" applyAlignment="1" pivotButton="0" quotePrefix="0" xfId="0">
      <alignment horizontal="left" wrapText="1"/>
    </xf>
    <xf numFmtId="165" fontId="10" fillId="7" borderId="3" pivotButton="0" quotePrefix="0" xfId="0"/>
    <xf numFmtId="175" fontId="10" fillId="7" borderId="3" pivotButton="0" quotePrefix="0" xfId="3"/>
    <xf numFmtId="175" fontId="10" fillId="7" borderId="14" pivotButton="0" quotePrefix="0" xfId="3"/>
    <xf numFmtId="165" fontId="28" fillId="0" borderId="45" pivotButton="0" quotePrefix="0" xfId="2"/>
    <xf numFmtId="165" fontId="28" fillId="0" borderId="0" pivotButton="0" quotePrefix="0" xfId="2"/>
    <xf numFmtId="172" fontId="29" fillId="0" borderId="0" pivotButton="0" quotePrefix="0" xfId="2"/>
    <xf numFmtId="0" fontId="0" fillId="0" borderId="67" pivotButton="0" quotePrefix="0" xfId="0"/>
    <xf numFmtId="172" fontId="0" fillId="0" borderId="3" pivotButton="0" quotePrefix="0" xfId="2"/>
    <xf numFmtId="172" fontId="0" fillId="0" borderId="14" pivotButton="0" quotePrefix="0" xfId="2"/>
    <xf numFmtId="167" fontId="0" fillId="2" borderId="22" pivotButton="0" quotePrefix="0" xfId="1"/>
    <xf numFmtId="167" fontId="0" fillId="2" borderId="75" pivotButton="0" quotePrefix="0" xfId="1"/>
    <xf numFmtId="167" fontId="16" fillId="2" borderId="1" applyAlignment="1" pivotButton="0" quotePrefix="0" xfId="1">
      <alignment horizontal="right"/>
    </xf>
    <xf numFmtId="167" fontId="16" fillId="7" borderId="53" applyAlignment="1" pivotButton="0" quotePrefix="0" xfId="1">
      <alignment horizontal="right"/>
    </xf>
    <xf numFmtId="167" fontId="16" fillId="2" borderId="76" applyAlignment="1" pivotButton="0" quotePrefix="0" xfId="1">
      <alignment horizontal="right"/>
    </xf>
    <xf numFmtId="165" fontId="7" fillId="4" borderId="53" applyAlignment="1" pivotButton="0" quotePrefix="0" xfId="0">
      <alignment horizontal="right"/>
    </xf>
    <xf numFmtId="0" fontId="0" fillId="0" borderId="77" pivotButton="0" quotePrefix="0" xfId="0"/>
    <xf numFmtId="0" fontId="0" fillId="0" borderId="20" pivotButton="0" quotePrefix="0" xfId="0"/>
    <xf numFmtId="0" fontId="0" fillId="0" borderId="78" pivotButton="0" quotePrefix="0" xfId="0"/>
    <xf numFmtId="0" fontId="0" fillId="0" borderId="21" pivotButton="0" quotePrefix="0" xfId="0"/>
    <xf numFmtId="0" fontId="0" fillId="0" borderId="22" pivotButton="0" quotePrefix="0" xfId="0"/>
    <xf numFmtId="0" fontId="9" fillId="0" borderId="0" pivotButton="0" quotePrefix="0" xfId="0"/>
    <xf numFmtId="0" fontId="30" fillId="4" borderId="23" applyAlignment="1" pivotButton="0" quotePrefix="0" xfId="0">
      <alignment horizontal="right" vertical="center"/>
    </xf>
    <xf numFmtId="0" fontId="0" fillId="0" borderId="21" applyAlignment="1" pivotButton="0" quotePrefix="0" xfId="0">
      <alignment horizontal="right"/>
    </xf>
    <xf numFmtId="0" fontId="0" fillId="0" borderId="21" applyAlignment="1" pivotButton="0" quotePrefix="0" xfId="0">
      <alignment horizontal="right" vertical="center"/>
    </xf>
    <xf numFmtId="167" fontId="10" fillId="0" borderId="0" applyAlignment="1" pivotButton="0" quotePrefix="0" xfId="0">
      <alignment horizontal="right" vertical="center"/>
    </xf>
    <xf numFmtId="172" fontId="16" fillId="2" borderId="23" applyAlignment="1" pivotButton="0" quotePrefix="0" xfId="2">
      <alignment horizontal="right"/>
    </xf>
    <xf numFmtId="172" fontId="16" fillId="2" borderId="21" applyAlignment="1" pivotButton="0" quotePrefix="0" xfId="2">
      <alignment horizontal="right"/>
    </xf>
    <xf numFmtId="172" fontId="16" fillId="2" borderId="31" applyAlignment="1" pivotButton="0" quotePrefix="0" xfId="2">
      <alignment horizontal="right"/>
    </xf>
    <xf numFmtId="173" fontId="10" fillId="0" borderId="0" pivotButton="0" quotePrefix="0" xfId="0"/>
    <xf numFmtId="172" fontId="31" fillId="10" borderId="23" applyAlignment="1" pivotButton="0" quotePrefix="0" xfId="2">
      <alignment horizontal="right"/>
    </xf>
    <xf numFmtId="172" fontId="31" fillId="0" borderId="27" applyAlignment="1" pivotButton="0" quotePrefix="0" xfId="2">
      <alignment horizontal="right"/>
    </xf>
    <xf numFmtId="0" fontId="33" fillId="10" borderId="21" applyAlignment="1" pivotButton="0" quotePrefix="0" xfId="0">
      <alignment horizontal="right"/>
    </xf>
    <xf numFmtId="174" fontId="37" fillId="10" borderId="0" applyAlignment="1" pivotButton="0" quotePrefix="0" xfId="0">
      <alignment horizontal="right"/>
    </xf>
    <xf numFmtId="0" fontId="10" fillId="0" borderId="0" pivotButton="0" quotePrefix="0" xfId="0"/>
    <xf numFmtId="0" fontId="10" fillId="2" borderId="23" applyAlignment="1" pivotButton="0" quotePrefix="0" xfId="0">
      <alignment horizontal="right"/>
    </xf>
    <xf numFmtId="0" fontId="34" fillId="0" borderId="21" applyAlignment="1" pivotButton="0" quotePrefix="0" xfId="0">
      <alignment horizontal="right"/>
    </xf>
    <xf numFmtId="174" fontId="11" fillId="0" borderId="0" pivotButton="0" quotePrefix="0" xfId="0"/>
    <xf numFmtId="172" fontId="0" fillId="0" borderId="0" pivotButton="0" quotePrefix="0" xfId="0"/>
    <xf numFmtId="0" fontId="7" fillId="4" borderId="79" applyAlignment="1" pivotButton="0" quotePrefix="0" xfId="0">
      <alignment horizontal="right"/>
    </xf>
    <xf numFmtId="0" fontId="7" fillId="4" borderId="31" applyAlignment="1" pivotButton="0" quotePrefix="0" xfId="0">
      <alignment horizontal="right"/>
    </xf>
    <xf numFmtId="0" fontId="0" fillId="0" borderId="80" pivotButton="0" quotePrefix="0" xfId="0"/>
    <xf numFmtId="0" fontId="0" fillId="0" borderId="30" pivotButton="0" quotePrefix="0" xfId="0"/>
    <xf numFmtId="167" fontId="0" fillId="0" borderId="0" pivotButton="0" quotePrefix="0" xfId="0"/>
    <xf numFmtId="172" fontId="18" fillId="3" borderId="0" pivotButton="0" quotePrefix="0" xfId="2"/>
    <xf numFmtId="165" fontId="33" fillId="10" borderId="0" applyAlignment="1" pivotButton="0" quotePrefix="0" xfId="2">
      <alignment horizontal="right"/>
    </xf>
    <xf numFmtId="172" fontId="33" fillId="10" borderId="0" applyAlignment="1" pivotButton="0" quotePrefix="0" xfId="2">
      <alignment horizontal="right"/>
    </xf>
    <xf numFmtId="172" fontId="33" fillId="10" borderId="6" applyAlignment="1" pivotButton="0" quotePrefix="0" xfId="2">
      <alignment horizontal="right"/>
    </xf>
    <xf numFmtId="172" fontId="33" fillId="10" borderId="4" applyAlignment="1" pivotButton="0" quotePrefix="0" xfId="2">
      <alignment horizontal="right"/>
    </xf>
    <xf numFmtId="0" fontId="23" fillId="0" borderId="9" applyAlignment="1" pivotButton="0" quotePrefix="0" xfId="0">
      <alignment horizontal="right"/>
    </xf>
    <xf numFmtId="172" fontId="22" fillId="0" borderId="10" pivotButton="0" quotePrefix="0" xfId="2"/>
    <xf numFmtId="172" fontId="22" fillId="0" borderId="11" pivotButton="0" quotePrefix="0" xfId="2"/>
    <xf numFmtId="172" fontId="22" fillId="0" borderId="9" pivotButton="0" quotePrefix="0" xfId="2"/>
    <xf numFmtId="175" fontId="42" fillId="3" borderId="3" pivotButton="0" quotePrefix="0" xfId="3"/>
    <xf numFmtId="175" fontId="43" fillId="3" borderId="0" pivotButton="0" quotePrefix="0" xfId="3"/>
    <xf numFmtId="175" fontId="55" fillId="3" borderId="0" pivotButton="0" quotePrefix="0" xfId="3"/>
    <xf numFmtId="43" fontId="19" fillId="3" borderId="0" pivotButton="0" quotePrefix="0" xfId="1"/>
    <xf numFmtId="165" fontId="19" fillId="3" borderId="0" pivotButton="0" quotePrefix="0" xfId="2"/>
    <xf numFmtId="175" fontId="20" fillId="2" borderId="0" pivotButton="0" quotePrefix="0" xfId="3"/>
    <xf numFmtId="1" fontId="17" fillId="2" borderId="0" pivotButton="0" quotePrefix="0" xfId="1"/>
    <xf numFmtId="177" fontId="17" fillId="2" borderId="0" pivotButton="0" quotePrefix="0" xfId="1"/>
    <xf numFmtId="175" fontId="16" fillId="7" borderId="0" pivotButton="0" quotePrefix="0" xfId="3"/>
    <xf numFmtId="165" fontId="28" fillId="0" borderId="3" pivotButton="0" quotePrefix="0" xfId="0"/>
    <xf numFmtId="14" fontId="48" fillId="4" borderId="0" applyAlignment="1" pivotButton="0" quotePrefix="0" xfId="0">
      <alignment horizontal="center"/>
    </xf>
    <xf numFmtId="0" fontId="0" fillId="0" borderId="81" pivotButton="0" quotePrefix="0" xfId="0"/>
    <xf numFmtId="167" fontId="56" fillId="0" borderId="0" pivotButton="0" quotePrefix="0" xfId="1"/>
    <xf numFmtId="43" fontId="9" fillId="0" borderId="8" pivotButton="0" quotePrefix="0" xfId="0"/>
    <xf numFmtId="165" fontId="0" fillId="0" borderId="83" pivotButton="0" quotePrefix="0" xfId="2"/>
    <xf numFmtId="1" fontId="0" fillId="2" borderId="84" pivotButton="0" quotePrefix="0" xfId="0"/>
    <xf numFmtId="167" fontId="20" fillId="2" borderId="83" applyAlignment="1" pivotButton="0" quotePrefix="0" xfId="1">
      <alignment horizontal="center"/>
    </xf>
    <xf numFmtId="1" fontId="0" fillId="2" borderId="83" pivotButton="0" quotePrefix="0" xfId="0"/>
    <xf numFmtId="167" fontId="0" fillId="2" borderId="83" pivotButton="0" quotePrefix="0" xfId="1"/>
    <xf numFmtId="175" fontId="0" fillId="2" borderId="83" pivotButton="0" quotePrefix="0" xfId="3"/>
    <xf numFmtId="177" fontId="0" fillId="2" borderId="83" pivotButton="0" quotePrefix="0" xfId="0"/>
    <xf numFmtId="2" fontId="0" fillId="2" borderId="83" pivotButton="0" quotePrefix="0" xfId="0"/>
    <xf numFmtId="165" fontId="0" fillId="2" borderId="83" pivotButton="0" quotePrefix="0" xfId="2"/>
    <xf numFmtId="0" fontId="0" fillId="2" borderId="83" pivotButton="0" quotePrefix="0" xfId="0"/>
    <xf numFmtId="10" fontId="0" fillId="2" borderId="85" pivotButton="0" quotePrefix="0" xfId="3"/>
    <xf numFmtId="165" fontId="0" fillId="0" borderId="86" pivotButton="0" quotePrefix="0" xfId="0"/>
    <xf numFmtId="165" fontId="0" fillId="0" borderId="83" pivotButton="0" quotePrefix="0" xfId="0"/>
    <xf numFmtId="175" fontId="0" fillId="2" borderId="86" pivotButton="0" quotePrefix="0" xfId="3"/>
    <xf numFmtId="175" fontId="0" fillId="2" borderId="84" pivotButton="0" quotePrefix="0" xfId="3"/>
    <xf numFmtId="165" fontId="0" fillId="0" borderId="84" pivotButton="0" quotePrefix="0" xfId="0"/>
    <xf numFmtId="165" fontId="0" fillId="2" borderId="86" pivotButton="0" quotePrefix="0" xfId="0"/>
    <xf numFmtId="165" fontId="0" fillId="0" borderId="82" pivotButton="0" quotePrefix="0" xfId="0"/>
    <xf numFmtId="167" fontId="20" fillId="2" borderId="22" applyAlignment="1" pivotButton="0" quotePrefix="0" xfId="1">
      <alignment horizontal="center"/>
    </xf>
    <xf numFmtId="165" fontId="0" fillId="0" borderId="30" pivotButton="0" quotePrefix="0" xfId="0"/>
    <xf numFmtId="14" fontId="57" fillId="4" borderId="0" applyAlignment="1" pivotButton="0" quotePrefix="0" xfId="0">
      <alignment horizontal="center"/>
    </xf>
    <xf numFmtId="14" fontId="57" fillId="4" borderId="20" applyAlignment="1" pivotButton="0" quotePrefix="0" xfId="0">
      <alignment horizontal="center"/>
    </xf>
    <xf numFmtId="167" fontId="19" fillId="3" borderId="17" pivotButton="0" quotePrefix="0" xfId="1"/>
    <xf numFmtId="167" fontId="19" fillId="3" borderId="45" pivotButton="0" quotePrefix="0" xfId="1"/>
    <xf numFmtId="167" fontId="3" fillId="0" borderId="45" pivotButton="0" quotePrefix="0" xfId="1"/>
    <xf numFmtId="167" fontId="56" fillId="0" borderId="45" pivotButton="0" quotePrefix="0" xfId="1"/>
    <xf numFmtId="175" fontId="43" fillId="0" borderId="45" pivotButton="0" quotePrefix="0" xfId="3"/>
    <xf numFmtId="175" fontId="28" fillId="0" borderId="45" pivotButton="0" quotePrefix="0" xfId="3"/>
    <xf numFmtId="177" fontId="17" fillId="0" borderId="45" pivotButton="0" quotePrefix="0" xfId="2"/>
    <xf numFmtId="167" fontId="18" fillId="0" borderId="45" pivotButton="0" quotePrefix="0" xfId="1"/>
    <xf numFmtId="167" fontId="20" fillId="0" borderId="45" pivotButton="0" quotePrefix="0" xfId="1"/>
    <xf numFmtId="43" fontId="17" fillId="0" borderId="45" pivotButton="0" quotePrefix="0" xfId="1"/>
    <xf numFmtId="165" fontId="17" fillId="0" borderId="45" pivotButton="0" quotePrefix="0" xfId="2"/>
    <xf numFmtId="175" fontId="44" fillId="0" borderId="45" pivotButton="0" quotePrefix="0" xfId="3"/>
    <xf numFmtId="175" fontId="17" fillId="0" borderId="45" pivotButton="0" quotePrefix="0" xfId="3"/>
    <xf numFmtId="1" fontId="17" fillId="0" borderId="45" pivotButton="0" quotePrefix="0" xfId="2"/>
    <xf numFmtId="175" fontId="40" fillId="0" borderId="45" pivotButton="0" quotePrefix="0" xfId="3"/>
    <xf numFmtId="165" fontId="40" fillId="0" borderId="45" pivotButton="0" quotePrefix="0" xfId="2"/>
    <xf numFmtId="178" fontId="17" fillId="0" borderId="45" pivotButton="0" quotePrefix="0" xfId="2"/>
    <xf numFmtId="176" fontId="0" fillId="0" borderId="45" pivotButton="0" quotePrefix="0" xfId="0"/>
    <xf numFmtId="2" fontId="0" fillId="0" borderId="45" pivotButton="0" quotePrefix="0" xfId="3"/>
    <xf numFmtId="164" fontId="5" fillId="0" borderId="45" applyAlignment="1" pivotButton="0" quotePrefix="0" xfId="0">
      <alignment wrapText="1"/>
    </xf>
    <xf numFmtId="168" fontId="4" fillId="0" borderId="45" applyAlignment="1" pivotButton="0" quotePrefix="0" xfId="0">
      <alignment horizontal="right" wrapText="1"/>
    </xf>
    <xf numFmtId="165" fontId="0" fillId="0" borderId="76" pivotButton="0" quotePrefix="0" xfId="0"/>
    <xf numFmtId="165" fontId="42" fillId="13" borderId="88" applyAlignment="1" pivotButton="0" quotePrefix="0" xfId="2">
      <alignment horizontal="right"/>
    </xf>
    <xf numFmtId="165" fontId="28" fillId="14" borderId="88" applyAlignment="1" pivotButton="0" quotePrefix="0" xfId="2">
      <alignment horizontal="right"/>
    </xf>
    <xf numFmtId="165" fontId="16" fillId="13" borderId="88" applyAlignment="1" pivotButton="0" quotePrefix="0" xfId="2">
      <alignment horizontal="right"/>
    </xf>
    <xf numFmtId="170" fontId="31" fillId="4" borderId="87" applyAlignment="1" pivotButton="0" quotePrefix="0" xfId="0">
      <alignment horizontal="center" vertical="center"/>
    </xf>
    <xf numFmtId="14" fontId="9" fillId="0" borderId="87" pivotButton="0" quotePrefix="0" xfId="0"/>
    <xf numFmtId="167" fontId="0" fillId="0" borderId="87" applyAlignment="1" pivotButton="0" quotePrefix="0" xfId="0">
      <alignment horizontal="right" vertical="center"/>
    </xf>
    <xf numFmtId="172" fontId="16" fillId="2" borderId="89" applyAlignment="1" pivotButton="0" quotePrefix="0" xfId="2">
      <alignment horizontal="right"/>
    </xf>
    <xf numFmtId="167" fontId="16" fillId="2" borderId="90" applyAlignment="1" pivotButton="0" quotePrefix="0" xfId="1">
      <alignment horizontal="right"/>
    </xf>
    <xf numFmtId="172" fontId="16" fillId="2" borderId="87" applyAlignment="1" pivotButton="0" quotePrefix="0" xfId="2">
      <alignment horizontal="right"/>
    </xf>
    <xf numFmtId="173" fontId="0" fillId="0" borderId="87" pivotButton="0" quotePrefix="0" xfId="0"/>
    <xf numFmtId="172" fontId="31" fillId="10" borderId="89" pivotButton="0" quotePrefix="0" xfId="2"/>
    <xf numFmtId="174" fontId="33" fillId="10" borderId="87" applyAlignment="1" pivotButton="0" quotePrefix="0" xfId="0">
      <alignment horizontal="right"/>
    </xf>
    <xf numFmtId="0" fontId="0" fillId="0" borderId="87" pivotButton="0" quotePrefix="0" xfId="0"/>
    <xf numFmtId="172" fontId="10" fillId="2" borderId="89" pivotButton="0" quotePrefix="0" xfId="2"/>
    <xf numFmtId="174" fontId="34" fillId="0" borderId="87" pivotButton="0" quotePrefix="0" xfId="0"/>
    <xf numFmtId="43" fontId="0" fillId="0" borderId="87" applyAlignment="1" pivotButton="0" quotePrefix="0" xfId="1">
      <alignment horizontal="right" vertical="center"/>
    </xf>
    <xf numFmtId="165" fontId="42" fillId="13" borderId="91" applyAlignment="1" pivotButton="0" quotePrefix="0" xfId="2">
      <alignment horizontal="right"/>
    </xf>
    <xf numFmtId="165" fontId="28" fillId="14" borderId="91" applyAlignment="1" pivotButton="0" quotePrefix="0" xfId="2">
      <alignment horizontal="right"/>
    </xf>
    <xf numFmtId="165" fontId="16" fillId="13" borderId="91" applyAlignment="1" pivotButton="0" quotePrefix="0" xfId="2">
      <alignment horizontal="right"/>
    </xf>
    <xf numFmtId="0" fontId="9" fillId="0" borderId="8" pivotButton="0" quotePrefix="0" xfId="0"/>
    <xf numFmtId="0" fontId="0" fillId="4" borderId="4" pivotButton="0" quotePrefix="0" xfId="0"/>
    <xf numFmtId="0" fontId="0" fillId="4" borderId="7" pivotButton="0" quotePrefix="0" xfId="0"/>
    <xf numFmtId="0" fontId="7" fillId="4" borderId="7" pivotButton="0" quotePrefix="0" xfId="0"/>
    <xf numFmtId="0" fontId="4" fillId="0" borderId="92" applyAlignment="1" pivotButton="0" quotePrefix="0" xfId="0">
      <alignment horizontal="left" wrapText="1"/>
    </xf>
    <xf numFmtId="0" fontId="4" fillId="0" borderId="93" applyAlignment="1" pivotButton="0" quotePrefix="0" xfId="0">
      <alignment horizontal="right" wrapText="1"/>
    </xf>
    <xf numFmtId="0" fontId="4" fillId="7" borderId="38" applyAlignment="1" pivotButton="0" quotePrefix="0" xfId="0">
      <alignment horizontal="left" wrapText="1"/>
    </xf>
    <xf numFmtId="43" fontId="4" fillId="0" borderId="92" applyAlignment="1" pivotButton="0" quotePrefix="0" xfId="1">
      <alignment horizontal="left" wrapText="1"/>
    </xf>
    <xf numFmtId="0" fontId="4" fillId="0" borderId="93" applyAlignment="1" pivotButton="0" quotePrefix="0" xfId="0">
      <alignment horizontal="left" wrapText="1"/>
    </xf>
    <xf numFmtId="43" fontId="17" fillId="2" borderId="93" applyAlignment="1" pivotButton="0" quotePrefix="0" xfId="0">
      <alignment horizontal="right"/>
    </xf>
    <xf numFmtId="43" fontId="17" fillId="2" borderId="92" applyAlignment="1" pivotButton="0" quotePrefix="0" xfId="0">
      <alignment horizontal="right"/>
    </xf>
    <xf numFmtId="0" fontId="13" fillId="2" borderId="92" applyAlignment="1" pivotButton="0" quotePrefix="0" xfId="0">
      <alignment horizontal="right"/>
    </xf>
    <xf numFmtId="0" fontId="17" fillId="2" borderId="92" applyAlignment="1" pivotButton="0" quotePrefix="0" xfId="0">
      <alignment horizontal="right"/>
    </xf>
    <xf numFmtId="0" fontId="23" fillId="2" borderId="94" applyAlignment="1" pivotButton="0" quotePrefix="0" xfId="0">
      <alignment horizontal="left"/>
    </xf>
    <xf numFmtId="164" fontId="45" fillId="3" borderId="0" applyAlignment="1" pivotButton="0" quotePrefix="0" xfId="0">
      <alignment horizontal="right" wrapText="1"/>
    </xf>
    <xf numFmtId="164" fontId="27" fillId="3" borderId="0" applyAlignment="1" pivotButton="0" quotePrefix="0" xfId="0">
      <alignment horizontal="right" wrapText="1"/>
    </xf>
    <xf numFmtId="165" fontId="29" fillId="3" borderId="0" pivotButton="0" quotePrefix="0" xfId="0"/>
    <xf numFmtId="0" fontId="7" fillId="4" borderId="6" applyAlignment="1" pivotButton="0" quotePrefix="0" xfId="0">
      <alignment horizontal="center"/>
    </xf>
    <xf numFmtId="165" fontId="28" fillId="0" borderId="8" pivotButton="0" quotePrefix="0" xfId="2"/>
    <xf numFmtId="43" fontId="0" fillId="0" borderId="8" pivotButton="0" quotePrefix="0" xfId="1"/>
    <xf numFmtId="165" fontId="28" fillId="0" borderId="37" pivotButton="0" quotePrefix="0" xfId="0"/>
    <xf numFmtId="175" fontId="10" fillId="7" borderId="40" pivotButton="0" quotePrefix="0" xfId="3"/>
    <xf numFmtId="165" fontId="10" fillId="0" borderId="37" pivotButton="0" quotePrefix="0" xfId="0"/>
    <xf numFmtId="165" fontId="10" fillId="0" borderId="8" pivotButton="0" quotePrefix="0" xfId="0"/>
    <xf numFmtId="167" fontId="17" fillId="2" borderId="37" pivotButton="0" quotePrefix="0" xfId="1"/>
    <xf numFmtId="169" fontId="14" fillId="3" borderId="40" pivotButton="0" quotePrefix="0" xfId="1"/>
    <xf numFmtId="169" fontId="14" fillId="3" borderId="37" pivotButton="0" quotePrefix="0" xfId="1"/>
    <xf numFmtId="0" fontId="41" fillId="0" borderId="95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0" pivotButton="0" quotePrefix="0" xfId="0"/>
    <xf numFmtId="0" fontId="0" fillId="0" borderId="8" pivotButton="0" quotePrefix="0" xfId="0"/>
    <xf numFmtId="0" fontId="49" fillId="0" borderId="96" applyAlignment="1" pivotButton="0" quotePrefix="0" xfId="0">
      <alignment horizontal="center" wrapText="1"/>
    </xf>
    <xf numFmtId="0" fontId="0" fillId="0" borderId="12" pivotButton="0" quotePrefix="0" xfId="0"/>
    <xf numFmtId="0" fontId="49" fillId="0" borderId="97" applyAlignment="1" pivotButton="0" quotePrefix="0" xfId="0">
      <alignment horizontal="center" vertical="center" wrapText="1"/>
    </xf>
    <xf numFmtId="0" fontId="0" fillId="0" borderId="65" pivotButton="0" quotePrefix="0" xfId="0"/>
    <xf numFmtId="0" fontId="49" fillId="2" borderId="100" applyAlignment="1" pivotButton="0" quotePrefix="0" xfId="0">
      <alignment horizontal="right" wrapText="1"/>
    </xf>
    <xf numFmtId="0" fontId="0" fillId="0" borderId="13" pivotButton="0" quotePrefix="0" xfId="0"/>
    <xf numFmtId="0" fontId="49" fillId="0" borderId="99" applyAlignment="1" pivotButton="0" quotePrefix="0" xfId="0">
      <alignment horizontal="center" wrapText="1"/>
    </xf>
    <xf numFmtId="0" fontId="0" fillId="0" borderId="66" pivotButton="0" quotePrefix="0" xfId="0"/>
    <xf numFmtId="0" fontId="49" fillId="0" borderId="98" applyAlignment="1" pivotButton="0" quotePrefix="0" xfId="0">
      <alignment horizontal="center" wrapText="1"/>
    </xf>
    <xf numFmtId="0" fontId="0" fillId="0" borderId="39" pivotButton="0" quotePrefix="0" xfId="0"/>
    <xf numFmtId="0" fontId="49" fillId="2" borderId="98" applyAlignment="1" pivotButton="0" quotePrefix="0" xfId="0">
      <alignment horizontal="right" wrapText="1"/>
    </xf>
    <xf numFmtId="0" fontId="49" fillId="0" borderId="97" applyAlignment="1" pivotButton="0" quotePrefix="0" xfId="0">
      <alignment horizontal="center" wrapText="1"/>
    </xf>
    <xf numFmtId="43" fontId="50" fillId="2" borderId="23" applyAlignment="1" pivotButton="0" quotePrefix="0" xfId="0">
      <alignment horizontal="right" vertical="center" textRotation="90"/>
    </xf>
    <xf numFmtId="0" fontId="0" fillId="0" borderId="21" pivotButton="0" quotePrefix="0" xfId="0"/>
    <xf numFmtId="180" fontId="31" fillId="4" borderId="101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167" fontId="0" fillId="0" borderId="0" pivotButton="0" quotePrefix="0" xfId="1"/>
    <xf numFmtId="167" fontId="0" fillId="0" borderId="8" pivotButton="0" quotePrefix="0" xfId="1"/>
    <xf numFmtId="172" fontId="16" fillId="2" borderId="36" applyAlignment="1" pivotButton="0" quotePrefix="0" xfId="2">
      <alignment horizontal="right"/>
    </xf>
    <xf numFmtId="172" fontId="16" fillId="2" borderId="2" pivotButton="0" quotePrefix="0" xfId="2"/>
    <xf numFmtId="172" fontId="16" fillId="2" borderId="37" pivotButton="0" quotePrefix="0" xfId="2"/>
    <xf numFmtId="172" fontId="16" fillId="2" borderId="4" applyAlignment="1" pivotButton="0" quotePrefix="0" xfId="2">
      <alignment horizontal="right"/>
    </xf>
    <xf numFmtId="167" fontId="16" fillId="2" borderId="5" pivotButton="0" quotePrefix="0" xfId="1"/>
    <xf numFmtId="167" fontId="16" fillId="2" borderId="6" pivotButton="0" quotePrefix="0" xfId="1"/>
    <xf numFmtId="172" fontId="16" fillId="2" borderId="38" applyAlignment="1" pivotButton="0" quotePrefix="0" xfId="2">
      <alignment horizontal="right"/>
    </xf>
    <xf numFmtId="172" fontId="16" fillId="2" borderId="3" pivotButton="0" quotePrefix="0" xfId="2"/>
    <xf numFmtId="172" fontId="16" fillId="2" borderId="40" pivotButton="0" quotePrefix="0" xfId="2"/>
    <xf numFmtId="167" fontId="16" fillId="2" borderId="3" pivotButton="0" quotePrefix="0" xfId="1"/>
    <xf numFmtId="167" fontId="16" fillId="2" borderId="40" pivotButton="0" quotePrefix="0" xfId="1"/>
    <xf numFmtId="172" fontId="31" fillId="10" borderId="36" applyAlignment="1" pivotButton="0" quotePrefix="0" xfId="2">
      <alignment horizontal="right"/>
    </xf>
    <xf numFmtId="172" fontId="31" fillId="10" borderId="2" pivotButton="0" quotePrefix="0" xfId="2"/>
    <xf numFmtId="172" fontId="31" fillId="10" borderId="37" pivotButton="0" quotePrefix="0" xfId="2"/>
    <xf numFmtId="174" fontId="33" fillId="10" borderId="0" applyAlignment="1" pivotButton="0" quotePrefix="0" xfId="0">
      <alignment horizontal="right"/>
    </xf>
    <xf numFmtId="174" fontId="33" fillId="10" borderId="8" applyAlignment="1" pivotButton="0" quotePrefix="0" xfId="0">
      <alignment horizontal="right"/>
    </xf>
    <xf numFmtId="173" fontId="0" fillId="0" borderId="0" pivotButton="0" quotePrefix="0" xfId="0"/>
    <xf numFmtId="173" fontId="0" fillId="0" borderId="8" pivotButton="0" quotePrefix="0" xfId="0"/>
    <xf numFmtId="172" fontId="10" fillId="2" borderId="36" applyAlignment="1" pivotButton="0" quotePrefix="0" xfId="2">
      <alignment horizontal="right"/>
    </xf>
    <xf numFmtId="172" fontId="10" fillId="2" borderId="2" pivotButton="0" quotePrefix="0" xfId="2"/>
    <xf numFmtId="172" fontId="10" fillId="2" borderId="37" pivotButton="0" quotePrefix="0" xfId="2"/>
    <xf numFmtId="174" fontId="34" fillId="0" borderId="0" pivotButton="0" quotePrefix="0" xfId="0"/>
    <xf numFmtId="174" fontId="34" fillId="0" borderId="8" pivotButton="0" quotePrefix="0" xfId="0"/>
    <xf numFmtId="174" fontId="33" fillId="10" borderId="10" applyAlignment="1" pivotButton="0" quotePrefix="0" xfId="0">
      <alignment horizontal="right"/>
    </xf>
    <xf numFmtId="174" fontId="33" fillId="10" borderId="11" applyAlignment="1" pivotButton="0" quotePrefix="0" xfId="0">
      <alignment horizontal="right"/>
    </xf>
    <xf numFmtId="165" fontId="33" fillId="10" borderId="0" applyAlignment="1" pivotButton="0" quotePrefix="0" xfId="2">
      <alignment horizontal="right"/>
    </xf>
    <xf numFmtId="172" fontId="33" fillId="10" borderId="0" applyAlignment="1" pivotButton="0" quotePrefix="0" xfId="2">
      <alignment horizontal="right"/>
    </xf>
    <xf numFmtId="172" fontId="33" fillId="10" borderId="6" applyAlignment="1" pivotButton="0" quotePrefix="0" xfId="2">
      <alignment horizontal="right"/>
    </xf>
    <xf numFmtId="172" fontId="33" fillId="10" borderId="4" applyAlignment="1" pivotButton="0" quotePrefix="0" xfId="2">
      <alignment horizontal="right"/>
    </xf>
    <xf numFmtId="172" fontId="22" fillId="0" borderId="10" pivotButton="0" quotePrefix="0" xfId="2"/>
    <xf numFmtId="172" fontId="22" fillId="0" borderId="11" pivotButton="0" quotePrefix="0" xfId="2"/>
    <xf numFmtId="172" fontId="22" fillId="0" borderId="9" pivotButton="0" quotePrefix="0" xfId="2"/>
    <xf numFmtId="170" fontId="31" fillId="4" borderId="0" applyAlignment="1" pivotButton="0" quotePrefix="0" xfId="0">
      <alignment horizontal="center" vertical="center"/>
    </xf>
    <xf numFmtId="170" fontId="31" fillId="4" borderId="32" applyAlignment="1" pivotButton="0" quotePrefix="0" xfId="0">
      <alignment horizontal="center" vertical="center"/>
    </xf>
    <xf numFmtId="171" fontId="31" fillId="4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right" vertical="center"/>
    </xf>
    <xf numFmtId="167" fontId="0" fillId="0" borderId="32" applyAlignment="1" pivotButton="0" quotePrefix="0" xfId="0">
      <alignment horizontal="right" vertical="center"/>
    </xf>
    <xf numFmtId="172" fontId="16" fillId="2" borderId="2" applyAlignment="1" pivotButton="0" quotePrefix="0" xfId="2">
      <alignment horizontal="right"/>
    </xf>
    <xf numFmtId="172" fontId="16" fillId="2" borderId="33" applyAlignment="1" pivotButton="0" quotePrefix="0" xfId="2">
      <alignment horizontal="right"/>
    </xf>
    <xf numFmtId="172" fontId="0" fillId="0" borderId="0" applyAlignment="1" pivotButton="0" quotePrefix="0" xfId="2">
      <alignment horizontal="right"/>
    </xf>
    <xf numFmtId="173" fontId="0" fillId="0" borderId="32" pivotButton="0" quotePrefix="0" xfId="0"/>
    <xf numFmtId="172" fontId="31" fillId="10" borderId="2" applyAlignment="1" pivotButton="0" quotePrefix="0" xfId="2">
      <alignment horizontal="right"/>
    </xf>
    <xf numFmtId="172" fontId="31" fillId="10" borderId="33" pivotButton="0" quotePrefix="0" xfId="2"/>
    <xf numFmtId="172" fontId="32" fillId="0" borderId="0" pivotButton="0" quotePrefix="0" xfId="2"/>
    <xf numFmtId="174" fontId="33" fillId="10" borderId="32" applyAlignment="1" pivotButton="0" quotePrefix="0" xfId="0">
      <alignment horizontal="right"/>
    </xf>
    <xf numFmtId="172" fontId="10" fillId="2" borderId="33" pivotButton="0" quotePrefix="0" xfId="2"/>
    <xf numFmtId="172" fontId="0" fillId="0" borderId="0" pivotButton="0" quotePrefix="0" xfId="2"/>
    <xf numFmtId="174" fontId="34" fillId="0" borderId="32" pivotButton="0" quotePrefix="0" xfId="0"/>
    <xf numFmtId="165" fontId="7" fillId="4" borderId="4" applyAlignment="1" pivotButton="0" quotePrefix="0" xfId="2">
      <alignment horizontal="right"/>
    </xf>
    <xf numFmtId="165" fontId="7" fillId="4" borderId="5" applyAlignment="1" pivotButton="0" quotePrefix="0" xfId="2">
      <alignment horizontal="right"/>
    </xf>
    <xf numFmtId="165" fontId="7" fillId="4" borderId="35" applyAlignment="1" pivotButton="0" quotePrefix="0" xfId="2">
      <alignment horizontal="right"/>
    </xf>
    <xf numFmtId="165" fontId="7" fillId="4" borderId="9" applyAlignment="1" pivotButton="0" quotePrefix="0" xfId="0">
      <alignment horizontal="right"/>
    </xf>
    <xf numFmtId="165" fontId="7" fillId="4" borderId="10" applyAlignment="1" pivotButton="0" quotePrefix="0" xfId="0">
      <alignment horizontal="right"/>
    </xf>
    <xf numFmtId="165" fontId="7" fillId="4" borderId="34" applyAlignment="1" pivotButton="0" quotePrefix="0" xfId="0">
      <alignment horizontal="right"/>
    </xf>
    <xf numFmtId="165" fontId="0" fillId="0" borderId="0" pivotButton="0" quotePrefix="0" xfId="0"/>
    <xf numFmtId="170" fontId="31" fillId="4" borderId="87" applyAlignment="1" pivotButton="0" quotePrefix="0" xfId="0">
      <alignment horizontal="center" vertical="center"/>
    </xf>
    <xf numFmtId="170" fontId="31" fillId="4" borderId="45" applyAlignment="1" pivotButton="0" quotePrefix="0" xfId="0">
      <alignment horizontal="center" vertical="center"/>
    </xf>
    <xf numFmtId="171" fontId="31" fillId="4" borderId="72" applyAlignment="1" pivotButton="0" quotePrefix="0" xfId="0">
      <alignment horizontal="center" vertical="center"/>
    </xf>
    <xf numFmtId="167" fontId="0" fillId="0" borderId="87" applyAlignment="1" pivotButton="0" quotePrefix="0" xfId="0">
      <alignment horizontal="right" vertical="center"/>
    </xf>
    <xf numFmtId="167" fontId="0" fillId="0" borderId="45" applyAlignment="1" pivotButton="0" quotePrefix="0" xfId="0">
      <alignment horizontal="right" vertical="center"/>
    </xf>
    <xf numFmtId="167" fontId="0" fillId="0" borderId="73" applyAlignment="1" pivotButton="0" quotePrefix="0" xfId="0">
      <alignment horizontal="right" vertical="center"/>
    </xf>
    <xf numFmtId="172" fontId="16" fillId="2" borderId="89" applyAlignment="1" pivotButton="0" quotePrefix="0" xfId="2">
      <alignment horizontal="right"/>
    </xf>
    <xf numFmtId="172" fontId="16" fillId="2" borderId="17" applyAlignment="1" pivotButton="0" quotePrefix="0" xfId="2">
      <alignment horizontal="right"/>
    </xf>
    <xf numFmtId="172" fontId="16" fillId="2" borderId="72" applyAlignment="1" pivotButton="0" quotePrefix="0" xfId="2">
      <alignment horizontal="right"/>
    </xf>
    <xf numFmtId="167" fontId="16" fillId="2" borderId="3" applyAlignment="1" pivotButton="0" quotePrefix="0" xfId="1">
      <alignment horizontal="right"/>
    </xf>
    <xf numFmtId="167" fontId="16" fillId="2" borderId="90" applyAlignment="1" pivotButton="0" quotePrefix="0" xfId="1">
      <alignment horizontal="right"/>
    </xf>
    <xf numFmtId="167" fontId="16" fillId="2" borderId="14" applyAlignment="1" pivotButton="0" quotePrefix="0" xfId="1">
      <alignment horizontal="right"/>
    </xf>
    <xf numFmtId="167" fontId="16" fillId="2" borderId="72" applyAlignment="1" pivotButton="0" quotePrefix="0" xfId="1">
      <alignment horizontal="center"/>
    </xf>
    <xf numFmtId="172" fontId="16" fillId="2" borderId="7" applyAlignment="1" pivotButton="0" quotePrefix="0" xfId="2">
      <alignment horizontal="right"/>
    </xf>
    <xf numFmtId="172" fontId="16" fillId="2" borderId="3" applyAlignment="1" pivotButton="0" quotePrefix="0" xfId="2">
      <alignment horizontal="right"/>
    </xf>
    <xf numFmtId="172" fontId="16" fillId="2" borderId="0" applyAlignment="1" pivotButton="0" quotePrefix="0" xfId="2">
      <alignment horizontal="right"/>
    </xf>
    <xf numFmtId="172" fontId="16" fillId="2" borderId="87" applyAlignment="1" pivotButton="0" quotePrefix="0" xfId="2">
      <alignment horizontal="right"/>
    </xf>
    <xf numFmtId="172" fontId="16" fillId="2" borderId="45" applyAlignment="1" pivotButton="0" quotePrefix="0" xfId="2">
      <alignment horizontal="right"/>
    </xf>
    <xf numFmtId="172" fontId="16" fillId="2" borderId="71" applyAlignment="1" pivotButton="0" quotePrefix="0" xfId="2">
      <alignment horizontal="center"/>
    </xf>
    <xf numFmtId="173" fontId="0" fillId="0" borderId="73" pivotButton="0" quotePrefix="0" xfId="0"/>
    <xf numFmtId="173" fontId="0" fillId="0" borderId="87" pivotButton="0" quotePrefix="0" xfId="0"/>
    <xf numFmtId="173" fontId="0" fillId="0" borderId="45" pivotButton="0" quotePrefix="0" xfId="0"/>
    <xf numFmtId="172" fontId="31" fillId="10" borderId="89" pivotButton="0" quotePrefix="0" xfId="2"/>
    <xf numFmtId="172" fontId="31" fillId="10" borderId="17" pivotButton="0" quotePrefix="0" xfId="2"/>
    <xf numFmtId="172" fontId="31" fillId="10" borderId="72" pivotButton="0" quotePrefix="0" xfId="2"/>
    <xf numFmtId="174" fontId="33" fillId="10" borderId="87" applyAlignment="1" pivotButton="0" quotePrefix="0" xfId="0">
      <alignment horizontal="right"/>
    </xf>
    <xf numFmtId="174" fontId="33" fillId="10" borderId="45" applyAlignment="1" pivotButton="0" quotePrefix="0" xfId="0">
      <alignment horizontal="right"/>
    </xf>
    <xf numFmtId="174" fontId="33" fillId="10" borderId="73" applyAlignment="1" pivotButton="0" quotePrefix="0" xfId="0">
      <alignment horizontal="right"/>
    </xf>
    <xf numFmtId="172" fontId="10" fillId="2" borderId="89" pivotButton="0" quotePrefix="0" xfId="2"/>
    <xf numFmtId="172" fontId="10" fillId="2" borderId="17" pivotButton="0" quotePrefix="0" xfId="2"/>
    <xf numFmtId="172" fontId="10" fillId="2" borderId="72" pivotButton="0" quotePrefix="0" xfId="2"/>
    <xf numFmtId="174" fontId="34" fillId="0" borderId="87" pivotButton="0" quotePrefix="0" xfId="0"/>
    <xf numFmtId="174" fontId="34" fillId="0" borderId="45" pivotButton="0" quotePrefix="0" xfId="0"/>
    <xf numFmtId="174" fontId="34" fillId="0" borderId="73" pivotButton="0" quotePrefix="0" xfId="0"/>
    <xf numFmtId="174" fontId="33" fillId="10" borderId="74" applyAlignment="1" pivotButton="0" quotePrefix="0" xfId="0">
      <alignment horizontal="right"/>
    </xf>
    <xf numFmtId="165" fontId="42" fillId="13" borderId="88" applyAlignment="1" pivotButton="0" quotePrefix="0" xfId="2">
      <alignment horizontal="right"/>
    </xf>
    <xf numFmtId="165" fontId="42" fillId="13" borderId="91" applyAlignment="1" pivotButton="0" quotePrefix="0" xfId="2">
      <alignment horizontal="right"/>
    </xf>
    <xf numFmtId="165" fontId="42" fillId="13" borderId="42" applyAlignment="1" pivotButton="0" quotePrefix="0" xfId="2">
      <alignment horizontal="right"/>
    </xf>
    <xf numFmtId="165" fontId="42" fillId="13" borderId="41" applyAlignment="1" pivotButton="0" quotePrefix="0" xfId="2">
      <alignment horizontal="right"/>
    </xf>
    <xf numFmtId="165" fontId="28" fillId="14" borderId="88" applyAlignment="1" pivotButton="0" quotePrefix="0" xfId="2">
      <alignment horizontal="right"/>
    </xf>
    <xf numFmtId="165" fontId="28" fillId="14" borderId="91" applyAlignment="1" pivotButton="0" quotePrefix="0" xfId="2">
      <alignment horizontal="right"/>
    </xf>
    <xf numFmtId="165" fontId="28" fillId="14" borderId="42" applyAlignment="1" pivotButton="0" quotePrefix="0" xfId="2">
      <alignment horizontal="right"/>
    </xf>
    <xf numFmtId="165" fontId="28" fillId="14" borderId="41" applyAlignment="1" pivotButton="0" quotePrefix="0" xfId="2">
      <alignment horizontal="right"/>
    </xf>
    <xf numFmtId="165" fontId="16" fillId="13" borderId="88" applyAlignment="1" pivotButton="0" quotePrefix="0" xfId="2">
      <alignment horizontal="right"/>
    </xf>
    <xf numFmtId="165" fontId="16" fillId="13" borderId="91" applyAlignment="1" pivotButton="0" quotePrefix="0" xfId="2">
      <alignment horizontal="right"/>
    </xf>
    <xf numFmtId="165" fontId="16" fillId="13" borderId="42" applyAlignment="1" pivotButton="0" quotePrefix="0" xfId="2">
      <alignment horizontal="right"/>
    </xf>
    <xf numFmtId="165" fontId="16" fillId="13" borderId="41" applyAlignment="1" pivotButton="0" quotePrefix="0" xfId="2">
      <alignment horizontal="right"/>
    </xf>
    <xf numFmtId="165" fontId="43" fillId="4" borderId="9" applyAlignment="1" pivotButton="0" quotePrefix="0" xfId="0">
      <alignment horizontal="right"/>
    </xf>
    <xf numFmtId="165" fontId="43" fillId="4" borderId="0" applyAlignment="1" pivotButton="0" quotePrefix="0" xfId="0">
      <alignment horizontal="right"/>
    </xf>
    <xf numFmtId="165" fontId="7" fillId="4" borderId="0" applyAlignment="1" pivotButton="0" quotePrefix="0" xfId="0">
      <alignment horizontal="right"/>
    </xf>
    <xf numFmtId="178" fontId="7" fillId="4" borderId="5" applyAlignment="1" pivotButton="0" quotePrefix="0" xfId="0">
      <alignment horizontal="right"/>
    </xf>
    <xf numFmtId="178" fontId="7" fillId="4" borderId="0" applyAlignment="1" pivotButton="0" quotePrefix="0" xfId="0">
      <alignment horizontal="right"/>
    </xf>
    <xf numFmtId="165" fontId="42" fillId="13" borderId="43" applyAlignment="1" pivotButton="0" quotePrefix="0" xfId="2">
      <alignment horizontal="right"/>
    </xf>
    <xf numFmtId="165" fontId="28" fillId="14" borderId="43" applyAlignment="1" pivotButton="0" quotePrefix="0" xfId="2">
      <alignment horizontal="right"/>
    </xf>
    <xf numFmtId="165" fontId="16" fillId="13" borderId="43" applyAlignment="1" pivotButton="0" quotePrefix="0" xfId="2">
      <alignment horizontal="right"/>
    </xf>
    <xf numFmtId="170" fontId="31" fillId="4" borderId="12" applyAlignment="1" pivotButton="0" quotePrefix="0" xfId="0">
      <alignment horizontal="center" vertical="center"/>
    </xf>
    <xf numFmtId="167" fontId="0" fillId="0" borderId="12" applyAlignment="1" pivotButton="0" quotePrefix="0" xfId="0">
      <alignment horizontal="right" vertical="center"/>
    </xf>
    <xf numFmtId="167" fontId="0" fillId="0" borderId="1" applyAlignment="1" pivotButton="0" quotePrefix="0" xfId="0">
      <alignment horizontal="right" vertical="center"/>
    </xf>
    <xf numFmtId="172" fontId="16" fillId="2" borderId="13" applyAlignment="1" pivotButton="0" quotePrefix="0" xfId="2">
      <alignment horizontal="right"/>
    </xf>
    <xf numFmtId="173" fontId="0" fillId="0" borderId="12" pivotButton="0" quotePrefix="0" xfId="0"/>
    <xf numFmtId="172" fontId="31" fillId="10" borderId="13" pivotButton="0" quotePrefix="0" xfId="2"/>
    <xf numFmtId="174" fontId="33" fillId="10" borderId="12" applyAlignment="1" pivotButton="0" quotePrefix="0" xfId="0">
      <alignment horizontal="right"/>
    </xf>
    <xf numFmtId="172" fontId="10" fillId="2" borderId="13" pivotButton="0" quotePrefix="0" xfId="2"/>
    <xf numFmtId="174" fontId="34" fillId="0" borderId="12" pivotButton="0" quotePrefix="0" xfId="0"/>
    <xf numFmtId="165" fontId="7" fillId="4" borderId="18" applyAlignment="1" pivotButton="0" quotePrefix="0" xfId="2">
      <alignment horizontal="right"/>
    </xf>
    <xf numFmtId="165" fontId="7" fillId="4" borderId="19" applyAlignment="1" pivotButton="0" quotePrefix="0" xfId="0">
      <alignment horizontal="right"/>
    </xf>
    <xf numFmtId="170" fontId="31" fillId="4" borderId="2" applyAlignment="1" pivotButton="0" quotePrefix="0" xfId="0">
      <alignment horizontal="center" vertical="center"/>
    </xf>
    <xf numFmtId="170" fontId="31" fillId="4" borderId="49" applyAlignment="1" pivotButton="0" quotePrefix="0" xfId="0">
      <alignment horizontal="center" vertical="center"/>
    </xf>
    <xf numFmtId="170" fontId="31" fillId="4" borderId="17" applyAlignment="1" pivotButton="0" quotePrefix="0" xfId="0">
      <alignment horizontal="center" vertical="center"/>
    </xf>
    <xf numFmtId="170" fontId="31" fillId="4" borderId="33" applyAlignment="1" pivotButton="0" quotePrefix="0" xfId="0">
      <alignment horizontal="center" vertical="center"/>
    </xf>
    <xf numFmtId="171" fontId="31" fillId="4" borderId="68" applyAlignment="1" pivotButton="0" quotePrefix="0" xfId="0">
      <alignment horizontal="center" vertical="center"/>
    </xf>
    <xf numFmtId="167" fontId="10" fillId="0" borderId="0" applyAlignment="1" pivotButton="0" quotePrefix="0" xfId="0">
      <alignment horizontal="right" vertical="center"/>
    </xf>
    <xf numFmtId="167" fontId="10" fillId="7" borderId="50" applyAlignment="1" pivotButton="0" quotePrefix="0" xfId="0">
      <alignment horizontal="right" vertical="center"/>
    </xf>
    <xf numFmtId="167" fontId="10" fillId="0" borderId="45" applyAlignment="1" pivotButton="0" quotePrefix="0" xfId="0">
      <alignment horizontal="right" vertical="center"/>
    </xf>
    <xf numFmtId="167" fontId="0" fillId="0" borderId="69" applyAlignment="1" pivotButton="0" quotePrefix="0" xfId="0">
      <alignment horizontal="right" vertical="center"/>
    </xf>
    <xf numFmtId="172" fontId="16" fillId="2" borderId="23" applyAlignment="1" pivotButton="0" quotePrefix="0" xfId="2">
      <alignment horizontal="right"/>
    </xf>
    <xf numFmtId="172" fontId="16" fillId="7" borderId="49" applyAlignment="1" pivotButton="0" quotePrefix="0" xfId="2">
      <alignment horizontal="right"/>
    </xf>
    <xf numFmtId="172" fontId="16" fillId="2" borderId="68" applyAlignment="1" pivotButton="0" quotePrefix="0" xfId="2">
      <alignment horizontal="right"/>
    </xf>
    <xf numFmtId="172" fontId="16" fillId="2" borderId="21" applyAlignment="1" pivotButton="0" quotePrefix="0" xfId="2">
      <alignment horizontal="right"/>
    </xf>
    <xf numFmtId="167" fontId="16" fillId="2" borderId="0" applyAlignment="1" pivotButton="0" quotePrefix="0" xfId="1">
      <alignment horizontal="right"/>
    </xf>
    <xf numFmtId="167" fontId="16" fillId="7" borderId="50" applyAlignment="1" pivotButton="0" quotePrefix="0" xfId="1">
      <alignment horizontal="right"/>
    </xf>
    <xf numFmtId="167" fontId="16" fillId="2" borderId="45" applyAlignment="1" pivotButton="0" quotePrefix="0" xfId="1">
      <alignment horizontal="right"/>
    </xf>
    <xf numFmtId="167" fontId="16" fillId="2" borderId="69" applyAlignment="1" pivotButton="0" quotePrefix="0" xfId="1">
      <alignment horizontal="right"/>
    </xf>
    <xf numFmtId="172" fontId="16" fillId="2" borderId="69" applyAlignment="1" pivotButton="0" quotePrefix="0" xfId="2">
      <alignment horizontal="right"/>
    </xf>
    <xf numFmtId="172" fontId="16" fillId="2" borderId="31" applyAlignment="1" pivotButton="0" quotePrefix="0" xfId="2">
      <alignment horizontal="right"/>
    </xf>
    <xf numFmtId="167" fontId="16" fillId="2" borderId="1" applyAlignment="1" pivotButton="0" quotePrefix="0" xfId="1">
      <alignment horizontal="right"/>
    </xf>
    <xf numFmtId="167" fontId="16" fillId="7" borderId="53" applyAlignment="1" pivotButton="0" quotePrefix="0" xfId="1">
      <alignment horizontal="right"/>
    </xf>
    <xf numFmtId="167" fontId="16" fillId="2" borderId="76" applyAlignment="1" pivotButton="0" quotePrefix="0" xfId="1">
      <alignment horizontal="right"/>
    </xf>
    <xf numFmtId="173" fontId="10" fillId="0" borderId="0" pivotButton="0" quotePrefix="0" xfId="0"/>
    <xf numFmtId="173" fontId="10" fillId="7" borderId="50" pivotButton="0" quotePrefix="0" xfId="0"/>
    <xf numFmtId="173" fontId="10" fillId="0" borderId="45" pivotButton="0" quotePrefix="0" xfId="0"/>
    <xf numFmtId="173" fontId="0" fillId="0" borderId="69" pivotButton="0" quotePrefix="0" xfId="0"/>
    <xf numFmtId="172" fontId="31" fillId="10" borderId="23" applyAlignment="1" pivotButton="0" quotePrefix="0" xfId="2">
      <alignment horizontal="right"/>
    </xf>
    <xf numFmtId="172" fontId="16" fillId="7" borderId="49" pivotButton="0" quotePrefix="0" xfId="2"/>
    <xf numFmtId="172" fontId="31" fillId="10" borderId="48" pivotButton="0" quotePrefix="0" xfId="2"/>
    <xf numFmtId="172" fontId="31" fillId="0" borderId="27" applyAlignment="1" pivotButton="0" quotePrefix="0" xfId="2">
      <alignment horizontal="right"/>
    </xf>
    <xf numFmtId="173" fontId="10" fillId="0" borderId="50" pivotButton="0" quotePrefix="0" xfId="0"/>
    <xf numFmtId="172" fontId="38" fillId="7" borderId="49" pivotButton="0" quotePrefix="0" xfId="2"/>
    <xf numFmtId="172" fontId="31" fillId="10" borderId="68" pivotButton="0" quotePrefix="0" xfId="2"/>
    <xf numFmtId="174" fontId="37" fillId="10" borderId="0" applyAlignment="1" pivotButton="0" quotePrefix="0" xfId="0">
      <alignment horizontal="right"/>
    </xf>
    <xf numFmtId="174" fontId="39" fillId="7" borderId="50" applyAlignment="1" pivotButton="0" quotePrefix="0" xfId="0">
      <alignment horizontal="right"/>
    </xf>
    <xf numFmtId="174" fontId="37" fillId="10" borderId="45" applyAlignment="1" pivotButton="0" quotePrefix="0" xfId="0">
      <alignment horizontal="right"/>
    </xf>
    <xf numFmtId="174" fontId="33" fillId="10" borderId="69" applyAlignment="1" pivotButton="0" quotePrefix="0" xfId="0">
      <alignment horizontal="right"/>
    </xf>
    <xf numFmtId="167" fontId="16" fillId="7" borderId="50" applyAlignment="1" pivotButton="0" quotePrefix="0" xfId="0">
      <alignment horizontal="right" vertical="center"/>
    </xf>
    <xf numFmtId="172" fontId="10" fillId="2" borderId="68" pivotButton="0" quotePrefix="0" xfId="2"/>
    <xf numFmtId="174" fontId="11" fillId="0" borderId="0" pivotButton="0" quotePrefix="0" xfId="0"/>
    <xf numFmtId="174" fontId="39" fillId="7" borderId="50" pivotButton="0" quotePrefix="0" xfId="0"/>
    <xf numFmtId="174" fontId="11" fillId="0" borderId="45" pivotButton="0" quotePrefix="0" xfId="0"/>
    <xf numFmtId="174" fontId="34" fillId="0" borderId="69" pivotButton="0" quotePrefix="0" xfId="0"/>
    <xf numFmtId="172" fontId="0" fillId="0" borderId="0" pivotButton="0" quotePrefix="0" xfId="0"/>
    <xf numFmtId="174" fontId="14" fillId="7" borderId="50" applyAlignment="1" pivotButton="0" quotePrefix="0" xfId="0">
      <alignment horizontal="right"/>
    </xf>
    <xf numFmtId="165" fontId="28" fillId="4" borderId="51" applyAlignment="1" pivotButton="0" quotePrefix="0" xfId="2">
      <alignment horizontal="right"/>
    </xf>
    <xf numFmtId="165" fontId="7" fillId="4" borderId="52" applyAlignment="1" pivotButton="0" quotePrefix="0" xfId="0">
      <alignment horizontal="right"/>
    </xf>
    <xf numFmtId="165" fontId="7" fillId="4" borderId="53" applyAlignment="1" pivotButton="0" quotePrefix="0" xfId="0">
      <alignment horizontal="right"/>
    </xf>
    <xf numFmtId="165" fontId="7" fillId="4" borderId="1" applyAlignment="1" pivotButton="0" quotePrefix="0" xfId="0">
      <alignment horizontal="right"/>
    </xf>
    <xf numFmtId="165" fontId="7" fillId="4" borderId="54" applyAlignment="1" pivotButton="0" quotePrefix="0" xfId="0">
      <alignment horizontal="right"/>
    </xf>
    <xf numFmtId="165" fontId="0" fillId="0" borderId="0" pivotButton="0" quotePrefix="0" xfId="2"/>
    <xf numFmtId="165" fontId="28" fillId="0" borderId="0" pivotButton="0" quotePrefix="0" xfId="2"/>
    <xf numFmtId="165" fontId="28" fillId="0" borderId="8" pivotButton="0" quotePrefix="0" xfId="2"/>
    <xf numFmtId="165" fontId="28" fillId="0" borderId="45" pivotButton="0" quotePrefix="0" xfId="2"/>
    <xf numFmtId="165" fontId="10" fillId="0" borderId="2" pivotButton="0" quotePrefix="0" xfId="0"/>
    <xf numFmtId="165" fontId="10" fillId="0" borderId="3" pivotButton="0" quotePrefix="0" xfId="0"/>
    <xf numFmtId="165" fontId="10" fillId="0" borderId="14" pivotButton="0" quotePrefix="0" xfId="0"/>
    <xf numFmtId="165" fontId="28" fillId="0" borderId="3" pivotButton="0" quotePrefix="0" xfId="0"/>
    <xf numFmtId="165" fontId="28" fillId="0" borderId="37" pivotButton="0" quotePrefix="0" xfId="0"/>
    <xf numFmtId="165" fontId="28" fillId="0" borderId="2" pivotButton="0" quotePrefix="0" xfId="0"/>
    <xf numFmtId="165" fontId="28" fillId="0" borderId="17" pivotButton="0" quotePrefix="0" xfId="0"/>
    <xf numFmtId="165" fontId="0" fillId="0" borderId="2" pivotButton="0" quotePrefix="0" xfId="0"/>
    <xf numFmtId="165" fontId="10" fillId="7" borderId="3" pivotButton="0" quotePrefix="0" xfId="0"/>
    <xf numFmtId="175" fontId="10" fillId="7" borderId="3" pivotButton="0" quotePrefix="0" xfId="3"/>
    <xf numFmtId="175" fontId="10" fillId="7" borderId="14" pivotButton="0" quotePrefix="0" xfId="3"/>
    <xf numFmtId="175" fontId="42" fillId="3" borderId="3" pivotButton="0" quotePrefix="0" xfId="3"/>
    <xf numFmtId="175" fontId="10" fillId="7" borderId="40" pivotButton="0" quotePrefix="0" xfId="3"/>
    <xf numFmtId="165" fontId="10" fillId="0" borderId="17" pivotButton="0" quotePrefix="0" xfId="0"/>
    <xf numFmtId="165" fontId="10" fillId="0" borderId="37" pivotButton="0" quotePrefix="0" xfId="0"/>
    <xf numFmtId="165" fontId="10" fillId="0" borderId="0" pivotButton="0" quotePrefix="0" xfId="0"/>
    <xf numFmtId="165" fontId="10" fillId="0" borderId="45" pivotButton="0" quotePrefix="0" xfId="0"/>
    <xf numFmtId="165" fontId="10" fillId="0" borderId="8" pivotButton="0" quotePrefix="0" xfId="0"/>
    <xf numFmtId="167" fontId="18" fillId="0" borderId="2" pivotButton="0" quotePrefix="0" xfId="1"/>
    <xf numFmtId="167" fontId="19" fillId="3" borderId="2" pivotButton="0" quotePrefix="0" xfId="1"/>
    <xf numFmtId="167" fontId="19" fillId="3" borderId="17" pivotButton="0" quotePrefix="0" xfId="1"/>
    <xf numFmtId="167" fontId="17" fillId="2" borderId="2" pivotButton="0" quotePrefix="0" xfId="1"/>
    <xf numFmtId="167" fontId="17" fillId="2" borderId="37" pivotButton="0" quotePrefix="0" xfId="1"/>
    <xf numFmtId="167" fontId="17" fillId="2" borderId="17" pivotButton="0" quotePrefix="0" xfId="1"/>
    <xf numFmtId="167" fontId="18" fillId="0" borderId="0" pivotButton="0" quotePrefix="0" xfId="1"/>
    <xf numFmtId="167" fontId="19" fillId="3" borderId="0" pivotButton="0" quotePrefix="0" xfId="1"/>
    <xf numFmtId="167" fontId="19" fillId="3" borderId="45" pivotButton="0" quotePrefix="0" xfId="1"/>
    <xf numFmtId="167" fontId="3" fillId="0" borderId="0" pivotButton="0" quotePrefix="0" xfId="1"/>
    <xf numFmtId="167" fontId="3" fillId="0" borderId="45" pivotButton="0" quotePrefix="0" xfId="1"/>
    <xf numFmtId="169" fontId="14" fillId="3" borderId="3" pivotButton="0" quotePrefix="0" xfId="1"/>
    <xf numFmtId="169" fontId="14" fillId="3" borderId="40" pivotButton="0" quotePrefix="0" xfId="1"/>
    <xf numFmtId="169" fontId="14" fillId="3" borderId="14" pivotButton="0" quotePrefix="0" xfId="1"/>
    <xf numFmtId="167" fontId="56" fillId="0" borderId="0" pivotButton="0" quotePrefix="0" xfId="1"/>
    <xf numFmtId="167" fontId="56" fillId="0" borderId="45" pivotButton="0" quotePrefix="0" xfId="1"/>
    <xf numFmtId="169" fontId="14" fillId="3" borderId="2" pivotButton="0" quotePrefix="0" xfId="1"/>
    <xf numFmtId="169" fontId="14" fillId="3" borderId="37" pivotButton="0" quotePrefix="0" xfId="1"/>
    <xf numFmtId="169" fontId="14" fillId="3" borderId="17" pivotButton="0" quotePrefix="0" xfId="1"/>
    <xf numFmtId="167" fontId="17" fillId="2" borderId="0" pivotButton="0" quotePrefix="0" xfId="1"/>
    <xf numFmtId="167" fontId="17" fillId="2" borderId="8" pivotButton="0" quotePrefix="0" xfId="1"/>
    <xf numFmtId="167" fontId="17" fillId="2" borderId="45" pivotButton="0" quotePrefix="0" xfId="1"/>
    <xf numFmtId="175" fontId="43" fillId="0" borderId="0" pivotButton="0" quotePrefix="0" xfId="3"/>
    <xf numFmtId="175" fontId="43" fillId="0" borderId="45" pivotButton="0" quotePrefix="0" xfId="3"/>
    <xf numFmtId="175" fontId="43" fillId="3" borderId="0" pivotButton="0" quotePrefix="0" xfId="3"/>
    <xf numFmtId="175" fontId="44" fillId="2" borderId="8" pivotButton="0" quotePrefix="0" xfId="3"/>
    <xf numFmtId="175" fontId="18" fillId="3" borderId="0" pivotButton="0" quotePrefix="0" xfId="3"/>
    <xf numFmtId="175" fontId="44" fillId="2" borderId="0" pivotButton="0" quotePrefix="0" xfId="3"/>
    <xf numFmtId="175" fontId="44" fillId="2" borderId="45" pivotButton="0" quotePrefix="0" xfId="3"/>
    <xf numFmtId="175" fontId="28" fillId="0" borderId="0" pivotButton="0" quotePrefix="0" xfId="3"/>
    <xf numFmtId="175" fontId="28" fillId="0" borderId="45" pivotButton="0" quotePrefix="0" xfId="3"/>
    <xf numFmtId="175" fontId="40" fillId="2" borderId="0" pivotButton="0" quotePrefix="0" xfId="3"/>
    <xf numFmtId="175" fontId="40" fillId="2" borderId="8" pivotButton="0" quotePrefix="0" xfId="3"/>
    <xf numFmtId="175" fontId="40" fillId="2" borderId="45" pivotButton="0" quotePrefix="0" xfId="3"/>
    <xf numFmtId="175" fontId="55" fillId="3" borderId="0" pivotButton="0" quotePrefix="0" xfId="3"/>
    <xf numFmtId="165" fontId="17" fillId="0" borderId="0" pivotButton="0" quotePrefix="0" xfId="2"/>
    <xf numFmtId="177" fontId="17" fillId="0" borderId="0" pivotButton="0" quotePrefix="0" xfId="3"/>
    <xf numFmtId="177" fontId="17" fillId="0" borderId="0" pivotButton="0" quotePrefix="0" xfId="2"/>
    <xf numFmtId="178" fontId="17" fillId="0" borderId="0" pivotButton="0" quotePrefix="0" xfId="2"/>
    <xf numFmtId="177" fontId="17" fillId="0" borderId="45" pivotButton="0" quotePrefix="0" xfId="2"/>
    <xf numFmtId="177" fontId="55" fillId="3" borderId="0" pivotButton="0" quotePrefix="0" xfId="1"/>
    <xf numFmtId="177" fontId="17" fillId="2" borderId="8" pivotButton="0" quotePrefix="0" xfId="2"/>
    <xf numFmtId="177" fontId="17" fillId="2" borderId="0" pivotButton="0" quotePrefix="0" xfId="2"/>
    <xf numFmtId="177" fontId="17" fillId="2" borderId="45" pivotButton="0" quotePrefix="0" xfId="2"/>
    <xf numFmtId="167" fontId="18" fillId="0" borderId="45" pivotButton="0" quotePrefix="0" xfId="1"/>
    <xf numFmtId="169" fontId="18" fillId="3" borderId="0" applyAlignment="1" pivotButton="0" quotePrefix="0" xfId="1">
      <alignment horizontal="center" vertical="center"/>
    </xf>
    <xf numFmtId="167" fontId="20" fillId="0" borderId="0" pivotButton="0" quotePrefix="0" xfId="1"/>
    <xf numFmtId="167" fontId="20" fillId="0" borderId="45" pivotButton="0" quotePrefix="0" xfId="1"/>
    <xf numFmtId="167" fontId="20" fillId="2" borderId="0" pivotButton="0" quotePrefix="0" xfId="1"/>
    <xf numFmtId="167" fontId="20" fillId="2" borderId="8" pivotButton="0" quotePrefix="0" xfId="1"/>
    <xf numFmtId="167" fontId="20" fillId="2" borderId="45" pivotButton="0" quotePrefix="0" xfId="1"/>
    <xf numFmtId="165" fontId="17" fillId="0" borderId="45" pivotButton="0" quotePrefix="0" xfId="2"/>
    <xf numFmtId="165" fontId="19" fillId="3" borderId="0" pivotButton="0" quotePrefix="0" xfId="2"/>
    <xf numFmtId="165" fontId="17" fillId="2" borderId="8" pivotButton="0" quotePrefix="0" xfId="2"/>
    <xf numFmtId="165" fontId="17" fillId="2" borderId="0" pivotButton="0" quotePrefix="0" xfId="2"/>
    <xf numFmtId="165" fontId="17" fillId="2" borderId="45" pivotButton="0" quotePrefix="0" xfId="2"/>
    <xf numFmtId="175" fontId="44" fillId="0" borderId="0" pivotButton="0" quotePrefix="0" xfId="3"/>
    <xf numFmtId="175" fontId="44" fillId="0" borderId="45" pivotButton="0" quotePrefix="0" xfId="3"/>
    <xf numFmtId="175" fontId="44" fillId="3" borderId="0" pivotButton="0" quotePrefix="0" xfId="3"/>
    <xf numFmtId="175" fontId="17" fillId="0" borderId="0" pivotButton="0" quotePrefix="0" xfId="3"/>
    <xf numFmtId="175" fontId="17" fillId="0" borderId="45" pivotButton="0" quotePrefix="0" xfId="3"/>
    <xf numFmtId="175" fontId="20" fillId="2" borderId="0" pivotButton="0" quotePrefix="0" xfId="3"/>
    <xf numFmtId="175" fontId="17" fillId="2" borderId="8" pivotButton="0" quotePrefix="0" xfId="3"/>
    <xf numFmtId="175" fontId="17" fillId="2" borderId="0" pivotButton="0" quotePrefix="0" xfId="3"/>
    <xf numFmtId="175" fontId="17" fillId="2" borderId="45" pivotButton="0" quotePrefix="0" xfId="3"/>
    <xf numFmtId="175" fontId="40" fillId="0" borderId="0" pivotButton="0" quotePrefix="0" xfId="3"/>
    <xf numFmtId="175" fontId="40" fillId="0" borderId="45" pivotButton="0" quotePrefix="0" xfId="3"/>
    <xf numFmtId="165" fontId="40" fillId="0" borderId="0" pivotButton="0" quotePrefix="0" xfId="2"/>
    <xf numFmtId="165" fontId="40" fillId="0" borderId="45" pivotButton="0" quotePrefix="0" xfId="2"/>
    <xf numFmtId="165" fontId="40" fillId="2" borderId="0" pivotButton="0" quotePrefix="0" xfId="2"/>
    <xf numFmtId="165" fontId="40" fillId="2" borderId="8" pivotButton="0" quotePrefix="0" xfId="2"/>
    <xf numFmtId="165" fontId="40" fillId="2" borderId="45" pivotButton="0" quotePrefix="0" xfId="2"/>
    <xf numFmtId="177" fontId="17" fillId="2" borderId="0" pivotButton="0" quotePrefix="0" xfId="1"/>
    <xf numFmtId="178" fontId="17" fillId="0" borderId="45" pivotButton="0" quotePrefix="0" xfId="2"/>
    <xf numFmtId="178" fontId="17" fillId="2" borderId="0" pivotButton="0" quotePrefix="0" xfId="2"/>
    <xf numFmtId="178" fontId="17" fillId="2" borderId="8" pivotButton="0" quotePrefix="0" xfId="2"/>
    <xf numFmtId="178" fontId="17" fillId="2" borderId="45" pivotButton="0" quotePrefix="0" xfId="2"/>
    <xf numFmtId="174" fontId="23" fillId="2" borderId="15" pivotButton="0" quotePrefix="0" xfId="0"/>
    <xf numFmtId="174" fontId="23" fillId="2" borderId="46" pivotButton="0" quotePrefix="0" xfId="0"/>
    <xf numFmtId="174" fontId="23" fillId="2" borderId="16" pivotButton="0" quotePrefix="0" xfId="0"/>
    <xf numFmtId="176" fontId="0" fillId="0" borderId="0" pivotButton="0" quotePrefix="0" xfId="0"/>
    <xf numFmtId="176" fontId="0" fillId="0" borderId="45" pivotButton="0" quotePrefix="0" xfId="0"/>
    <xf numFmtId="167" fontId="0" fillId="0" borderId="0" pivotButton="0" quotePrefix="0" xfId="0"/>
    <xf numFmtId="175" fontId="0" fillId="0" borderId="0" pivotButton="0" quotePrefix="0" xfId="3"/>
    <xf numFmtId="165" fontId="10" fillId="7" borderId="0" pivotButton="0" quotePrefix="0" xfId="0"/>
    <xf numFmtId="175" fontId="10" fillId="7" borderId="0" pivotButton="0" quotePrefix="0" xfId="3"/>
    <xf numFmtId="175" fontId="10" fillId="7" borderId="45" pivotButton="0" quotePrefix="0" xfId="3"/>
    <xf numFmtId="175" fontId="16" fillId="7" borderId="0" pivotButton="0" quotePrefix="0" xfId="3"/>
    <xf numFmtId="165" fontId="10" fillId="0" borderId="2" applyAlignment="1" pivotButton="0" quotePrefix="0" xfId="0">
      <alignment horizontal="center"/>
    </xf>
    <xf numFmtId="165" fontId="10" fillId="2" borderId="0" pivotButton="0" quotePrefix="0" xfId="0"/>
    <xf numFmtId="165" fontId="43" fillId="2" borderId="0" applyAlignment="1" pivotButton="0" quotePrefix="0" xfId="0">
      <alignment horizontal="center"/>
    </xf>
    <xf numFmtId="165" fontId="43" fillId="2" borderId="0" pivotButton="0" quotePrefix="0" xfId="0"/>
    <xf numFmtId="165" fontId="43" fillId="2" borderId="45" pivotButton="0" quotePrefix="0" xfId="0"/>
    <xf numFmtId="165" fontId="10" fillId="4" borderId="0" pivotButton="0" quotePrefix="0" xfId="0"/>
    <xf numFmtId="165" fontId="10" fillId="4" borderId="45" pivotButton="0" quotePrefix="0" xfId="0"/>
    <xf numFmtId="165" fontId="0" fillId="0" borderId="45" pivotButton="0" quotePrefix="0" xfId="2"/>
    <xf numFmtId="165" fontId="0" fillId="0" borderId="17" pivotButton="0" quotePrefix="0" xfId="0"/>
    <xf numFmtId="165" fontId="10" fillId="2" borderId="45" pivotButton="0" quotePrefix="0" xfId="0"/>
    <xf numFmtId="165" fontId="0" fillId="2" borderId="0" pivotButton="0" quotePrefix="0" xfId="0"/>
    <xf numFmtId="165" fontId="0" fillId="2" borderId="45" pivotButton="0" quotePrefix="0" xfId="0"/>
    <xf numFmtId="168" fontId="4" fillId="0" borderId="0" applyAlignment="1" pivotButton="0" quotePrefix="0" xfId="0">
      <alignment horizontal="right" wrapText="1"/>
    </xf>
    <xf numFmtId="168" fontId="4" fillId="0" borderId="45" applyAlignment="1" pivotButton="0" quotePrefix="0" xfId="0">
      <alignment horizontal="right" wrapText="1"/>
    </xf>
    <xf numFmtId="165" fontId="29" fillId="3" borderId="0" pivotButton="0" quotePrefix="0" xfId="0"/>
    <xf numFmtId="165" fontId="10" fillId="0" borderId="1" pivotButton="0" quotePrefix="0" xfId="0"/>
    <xf numFmtId="165" fontId="0" fillId="0" borderId="45" pivotButton="0" quotePrefix="0" xfId="0"/>
    <xf numFmtId="165" fontId="0" fillId="0" borderId="1" pivotButton="0" quotePrefix="0" xfId="0"/>
    <xf numFmtId="165" fontId="0" fillId="0" borderId="76" pivotButton="0" quotePrefix="0" xfId="0"/>
    <xf numFmtId="180" fontId="31" fillId="4" borderId="101" applyAlignment="1" pivotButton="0" quotePrefix="0" xfId="0">
      <alignment horizontal="center"/>
    </xf>
    <xf numFmtId="165" fontId="0" fillId="0" borderId="12" pivotButton="0" quotePrefix="0" xfId="2"/>
    <xf numFmtId="165" fontId="0" fillId="0" borderId="83" pivotButton="0" quotePrefix="0" xfId="2"/>
    <xf numFmtId="165" fontId="0" fillId="0" borderId="22" pivotButton="0" quotePrefix="0" xfId="2"/>
    <xf numFmtId="165" fontId="20" fillId="0" borderId="58" applyAlignment="1" pivotButton="0" quotePrefix="0" xfId="0">
      <alignment horizontal="center"/>
    </xf>
    <xf numFmtId="167" fontId="20" fillId="2" borderId="59" applyAlignment="1" pivotButton="0" quotePrefix="0" xfId="1">
      <alignment horizontal="center" vertical="center"/>
    </xf>
    <xf numFmtId="167" fontId="20" fillId="2" borderId="12" applyAlignment="1" pivotButton="0" quotePrefix="0" xfId="1">
      <alignment horizontal="center"/>
    </xf>
    <xf numFmtId="167" fontId="20" fillId="2" borderId="83" applyAlignment="1" pivotButton="0" quotePrefix="0" xfId="1">
      <alignment horizontal="center"/>
    </xf>
    <xf numFmtId="167" fontId="20" fillId="2" borderId="22" applyAlignment="1" pivotButton="0" quotePrefix="0" xfId="1">
      <alignment horizontal="center"/>
    </xf>
    <xf numFmtId="167" fontId="20" fillId="2" borderId="58" applyAlignment="1" pivotButton="0" quotePrefix="0" xfId="1">
      <alignment horizontal="center" vertical="center"/>
    </xf>
    <xf numFmtId="167" fontId="0" fillId="2" borderId="75" pivotButton="0" quotePrefix="0" xfId="1"/>
    <xf numFmtId="167" fontId="0" fillId="2" borderId="83" pivotButton="0" quotePrefix="0" xfId="1"/>
    <xf numFmtId="167" fontId="0" fillId="2" borderId="22" pivotButton="0" quotePrefix="0" xfId="1"/>
    <xf numFmtId="175" fontId="0" fillId="2" borderId="12" pivotButton="0" quotePrefix="0" xfId="3"/>
    <xf numFmtId="175" fontId="0" fillId="2" borderId="83" pivotButton="0" quotePrefix="0" xfId="3"/>
    <xf numFmtId="175" fontId="0" fillId="2" borderId="22" pivotButton="0" quotePrefix="0" xfId="3"/>
    <xf numFmtId="175" fontId="20" fillId="2" borderId="58" applyAlignment="1" pivotButton="0" quotePrefix="0" xfId="1">
      <alignment horizontal="right" vertical="center"/>
    </xf>
    <xf numFmtId="177" fontId="0" fillId="2" borderId="12" pivotButton="0" quotePrefix="0" xfId="0"/>
    <xf numFmtId="177" fontId="0" fillId="2" borderId="83" pivotButton="0" quotePrefix="0" xfId="0"/>
    <xf numFmtId="177" fontId="0" fillId="2" borderId="22" pivotButton="0" quotePrefix="0" xfId="0"/>
    <xf numFmtId="179" fontId="20" fillId="2" borderId="58" applyAlignment="1" pivotButton="0" quotePrefix="0" xfId="1">
      <alignment horizontal="center" vertical="center"/>
    </xf>
    <xf numFmtId="165" fontId="0" fillId="2" borderId="12" pivotButton="0" quotePrefix="0" xfId="2"/>
    <xf numFmtId="165" fontId="0" fillId="2" borderId="83" pivotButton="0" quotePrefix="0" xfId="2"/>
    <xf numFmtId="165" fontId="0" fillId="2" borderId="22" pivotButton="0" quotePrefix="0" xfId="2"/>
    <xf numFmtId="165" fontId="20" fillId="2" borderId="58" applyAlignment="1" pivotButton="0" quotePrefix="0" xfId="2">
      <alignment horizontal="center" vertical="center"/>
    </xf>
    <xf numFmtId="165" fontId="20" fillId="2" borderId="58" applyAlignment="1" pivotButton="0" quotePrefix="0" xfId="0">
      <alignment horizontal="center"/>
    </xf>
    <xf numFmtId="165" fontId="0" fillId="0" borderId="39" pivotButton="0" quotePrefix="0" xfId="0"/>
    <xf numFmtId="165" fontId="0" fillId="0" borderId="86" pivotButton="0" quotePrefix="0" xfId="0"/>
    <xf numFmtId="165" fontId="0" fillId="0" borderId="28" pivotButton="0" quotePrefix="0" xfId="0"/>
    <xf numFmtId="165" fontId="20" fillId="0" borderId="62" applyAlignment="1" pivotButton="0" quotePrefix="0" xfId="0">
      <alignment horizontal="center"/>
    </xf>
    <xf numFmtId="165" fontId="0" fillId="0" borderId="12" pivotButton="0" quotePrefix="0" xfId="0"/>
    <xf numFmtId="165" fontId="0" fillId="0" borderId="83" pivotButton="0" quotePrefix="0" xfId="0"/>
    <xf numFmtId="165" fontId="0" fillId="0" borderId="22" pivotButton="0" quotePrefix="0" xfId="0"/>
    <xf numFmtId="175" fontId="0" fillId="2" borderId="39" pivotButton="0" quotePrefix="0" xfId="3"/>
    <xf numFmtId="175" fontId="0" fillId="2" borderId="86" pivotButton="0" quotePrefix="0" xfId="3"/>
    <xf numFmtId="175" fontId="0" fillId="2" borderId="28" pivotButton="0" quotePrefix="0" xfId="3"/>
    <xf numFmtId="175" fontId="20" fillId="2" borderId="62" applyAlignment="1" pivotButton="0" quotePrefix="0" xfId="0">
      <alignment horizontal="center"/>
    </xf>
    <xf numFmtId="175" fontId="0" fillId="2" borderId="13" pivotButton="0" quotePrefix="0" xfId="3"/>
    <xf numFmtId="175" fontId="0" fillId="2" borderId="84" pivotButton="0" quotePrefix="0" xfId="3"/>
    <xf numFmtId="175" fontId="0" fillId="2" borderId="24" pivotButton="0" quotePrefix="0" xfId="3"/>
    <xf numFmtId="175" fontId="20" fillId="2" borderId="59" applyAlignment="1" pivotButton="0" quotePrefix="0" xfId="0">
      <alignment horizontal="center"/>
    </xf>
    <xf numFmtId="165" fontId="0" fillId="0" borderId="13" pivotButton="0" quotePrefix="0" xfId="0"/>
    <xf numFmtId="165" fontId="0" fillId="0" borderId="84" pivotButton="0" quotePrefix="0" xfId="0"/>
    <xf numFmtId="165" fontId="0" fillId="0" borderId="24" pivotButton="0" quotePrefix="0" xfId="0"/>
    <xf numFmtId="165" fontId="20" fillId="0" borderId="59" applyAlignment="1" pivotButton="0" quotePrefix="0" xfId="0">
      <alignment horizontal="center"/>
    </xf>
    <xf numFmtId="165" fontId="0" fillId="2" borderId="39" pivotButton="0" quotePrefix="0" xfId="0"/>
    <xf numFmtId="165" fontId="0" fillId="2" borderId="86" pivotButton="0" quotePrefix="0" xfId="0"/>
    <xf numFmtId="165" fontId="0" fillId="2" borderId="28" pivotButton="0" quotePrefix="0" xfId="0"/>
    <xf numFmtId="165" fontId="20" fillId="2" borderId="62" applyAlignment="1" pivotButton="0" quotePrefix="0" xfId="0">
      <alignment horizontal="center"/>
    </xf>
    <xf numFmtId="165" fontId="0" fillId="0" borderId="63" pivotButton="0" quotePrefix="0" xfId="0"/>
    <xf numFmtId="165" fontId="0" fillId="0" borderId="82" pivotButton="0" quotePrefix="0" xfId="0"/>
    <xf numFmtId="165" fontId="0" fillId="0" borderId="30" pivotButton="0" quotePrefix="0" xfId="0"/>
    <xf numFmtId="165" fontId="0" fillId="0" borderId="30" pivotButton="0" quotePrefix="0" xfId="2"/>
    <xf numFmtId="165" fontId="20" fillId="0" borderId="64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72" fontId="29" fillId="0" borderId="0" pivotButton="0" quotePrefix="0" xfId="2"/>
    <xf numFmtId="172" fontId="0" fillId="0" borderId="3" pivotButton="0" quotePrefix="0" xfId="2"/>
    <xf numFmtId="172" fontId="0" fillId="0" borderId="14" pivotButton="0" quotePrefix="0" xfId="2"/>
    <xf numFmtId="172" fontId="18" fillId="3" borderId="0" pivotButton="0" quotePrefix="0" xfId="2"/>
    <xf numFmtId="166" fontId="8" fillId="2" borderId="0" applyAlignment="1" pivotButton="0" quotePrefix="0" xfId="0">
      <alignment horizontal="centerContinuous"/>
    </xf>
    <xf numFmtId="166" fontId="0" fillId="0" borderId="0" applyAlignment="1" pivotButton="0" quotePrefix="0" xfId="0">
      <alignment horizontal="left"/>
    </xf>
  </cellXfs>
  <cellStyles count="8">
    <cellStyle name="Normal" xfId="0" builtinId="0"/>
    <cellStyle name="Comma" xfId="1" builtinId="3"/>
    <cellStyle name="Currency" xfId="2" builtinId="4"/>
    <cellStyle name="Percent" xfId="3" builtinId="5"/>
    <cellStyle name="Normal 2" xfId="4"/>
    <cellStyle name="Normal 3" xfId="5"/>
    <cellStyle name="Normal 4" xfId="6"/>
    <cellStyle name="Normal 5" xfId="7"/>
  </cellStyles>
  <dxfs count="5">
    <dxf>
      <fill>
        <patternFill>
          <bgColor rgb="FFFF0000"/>
        </patternFill>
      </fill>
    </dxf>
    <dxf>
      <font>
        <color theme="9"/>
      </font>
    </dxf>
    <dxf>
      <font>
        <color theme="9"/>
      </font>
    </dxf>
    <dxf>
      <font>
        <color theme="9"/>
      </font>
    </dxf>
    <dxf>
      <font>
        <color theme="9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pivotCacheDefinition" Target="/xl/pivotCache/pivotCacheDefinition1.xml" Id="rId22"/><Relationship Type="http://schemas.openxmlformats.org/officeDocument/2006/relationships/pivotCacheDefinition" Target="/xl/pivotCache/pivotCacheDefinition2.xml" Id="rId23"/><Relationship Type="http://schemas.openxmlformats.org/officeDocument/2006/relationships/pivotCacheDefinition" Target="/xl/pivotCache/pivotCacheDefinition3.xml" Id="rId24"/><Relationship Type="http://schemas.openxmlformats.org/officeDocument/2006/relationships/pivotCacheDefinition" Target="/xl/pivotCache/pivotCacheDefinition4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 b="0"/>
              <a:t>Cash</a:t>
            </a:r>
            <a:r>
              <a:rPr lang="en-US" b="0" baseline="0"/>
              <a:t xml:space="preserve"> Position 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09158659356062168"/>
          <y val="0.07888291551053785"/>
          <w val="0.8911934589547024"/>
          <h val="0.6867044373709305"/>
        </manualLayout>
      </layout>
      <areaChart>
        <grouping val="standard"/>
        <varyColors val="0"/>
        <ser>
          <idx val="0"/>
          <order val="0"/>
          <tx>
            <v>Cash Balance</v>
          </tx>
          <spPr>
            <a:solidFill xmlns:a="http://schemas.openxmlformats.org/drawingml/2006/main">
              <a:schemeClr val="accent2">
                <a:lumMod val="20000"/>
                <a:lumOff val="80000"/>
              </a:schemeClr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cat>
            <numRef>
              <f>'Monthly Detail'!$AH$4:$BE$4</f>
              <numCache>
                <formatCode>m/d/yyyy</formatCode>
                <ptCount val="15"/>
                <pt idx="0">
                  <v>45777</v>
                </pt>
                <pt idx="1">
                  <v>45808</v>
                </pt>
                <pt idx="2">
                  <v>45838</v>
                </pt>
                <pt idx="3">
                  <v>45869</v>
                </pt>
                <pt idx="4">
                  <v>45900</v>
                </pt>
                <pt idx="5">
                  <v>45930</v>
                </pt>
                <pt idx="6">
                  <v>45961</v>
                </pt>
                <pt idx="7">
                  <v>45991</v>
                </pt>
                <pt idx="8">
                  <v>46022</v>
                </pt>
                <pt idx="9">
                  <v>46053</v>
                </pt>
                <pt idx="10">
                  <v>46081</v>
                </pt>
                <pt idx="11">
                  <v>46112</v>
                </pt>
                <pt idx="12">
                  <v>46142</v>
                </pt>
                <pt idx="13">
                  <v>46173</v>
                </pt>
                <pt idx="14">
                  <v>46203</v>
                </pt>
              </numCache>
            </numRef>
          </cat>
          <val>
            <numRef>
              <f>'Monthly Detail'!$AH$173:$BE$173</f>
              <numCache>
                <formatCode>_("$"* #,##0.00_);_("$"* \(#,##0.00\);_("$"* "-"??_);_(@_)</formatCode>
                <ptCount val="15"/>
                <pt idx="0">
                  <v>4308.260000000002</v>
                </pt>
                <pt idx="1">
                  <v>6543.940000000001</v>
                </pt>
                <pt idx="2">
                  <v>6711.030000000002</v>
                </pt>
                <pt idx="3">
                  <v>6634.240000000001</v>
                </pt>
                <pt idx="4">
                  <v>7155.09</v>
                </pt>
                <pt idx="5">
                  <v>6407.650000000004</v>
                </pt>
                <pt idx="6">
                  <v>5875.620000000006</v>
                </pt>
                <pt idx="7">
                  <v>6709.384926385479</v>
                </pt>
                <pt idx="8">
                  <v>6984.844339239268</v>
                </pt>
                <pt idx="9">
                  <v>6862.047110987552</v>
                </pt>
                <pt idx="10">
                  <v>7406.811647766692</v>
                </pt>
                <pt idx="11">
                  <v>8495.149011975311</v>
                </pt>
                <pt idx="12">
                  <v>10625.2306037352</v>
                </pt>
                <pt idx="13">
                  <v>12363.36429682156</v>
                </pt>
                <pt idx="14">
                  <v>14273.66557568206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100"/>
      </areaChart>
      <barChart>
        <barDir val="col"/>
        <grouping val="clustered"/>
        <varyColors val="0"/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2026245648"/>
        <axId val="2026246064"/>
      </barChart>
      <barChart>
        <barDir val="col"/>
        <grouping val="stacked"/>
        <varyColors val="0"/>
        <ser>
          <idx val="1"/>
          <order val="1"/>
          <tx>
            <v>Total Income</v>
          </tx>
          <spPr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2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cat>
            <numRef>
              <f>'Monthly Detail'!$AB$4:$AY$4</f>
              <numCache>
                <formatCode>m/d/yyyy</formatCode>
                <ptCount val="9"/>
                <pt idx="0">
                  <v>45777</v>
                </pt>
                <pt idx="1">
                  <v>45808</v>
                </pt>
                <pt idx="2">
                  <v>45838</v>
                </pt>
                <pt idx="3">
                  <v>45869</v>
                </pt>
                <pt idx="4">
                  <v>45900</v>
                </pt>
                <pt idx="5">
                  <v>45930</v>
                </pt>
                <pt idx="6">
                  <v>45961</v>
                </pt>
                <pt idx="7">
                  <v>45991</v>
                </pt>
                <pt idx="8">
                  <v>46022</v>
                </pt>
              </numCache>
            </numRef>
          </cat>
          <val>
            <numRef>
              <f>'Monthly Detail'!$AB$13:$BE$13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26245648"/>
        <axId val="2026246064"/>
      </barChart>
      <barChart>
        <barDir val="col"/>
        <grouping val="stacked"/>
        <varyColors val="0"/>
        <ser>
          <idx val="2"/>
          <order val="2"/>
          <tx>
            <v>EBITDA</v>
          </tx>
          <spPr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1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2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3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4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5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cat>
            <numRef>
              <f>'Monthly Detail'!$AH$4:$AY$4</f>
              <numCache>
                <formatCode>m/d/yyyy</formatCode>
                <ptCount val="9"/>
                <pt idx="0">
                  <v>45777</v>
                </pt>
                <pt idx="1">
                  <v>45808</v>
                </pt>
                <pt idx="2">
                  <v>45838</v>
                </pt>
                <pt idx="3">
                  <v>45869</v>
                </pt>
                <pt idx="4">
                  <v>45900</v>
                </pt>
                <pt idx="5">
                  <v>45930</v>
                </pt>
                <pt idx="6">
                  <v>45961</v>
                </pt>
                <pt idx="7">
                  <v>45991</v>
                </pt>
                <pt idx="8">
                  <v>46022</v>
                </pt>
              </numCache>
            </numRef>
          </cat>
          <val>
            <numRef>
              <f>'Monthly Detail'!$AH$92:$BE$92</f>
              <numCache>
                <formatCode>_("$"* #,##0.00_);_("$"* \(#,##0.00\);_("$"* "-"??_);_(@_)</formatCode>
                <ptCount val="15"/>
                <pt idx="0">
                  <v>2096.980000000001</v>
                </pt>
                <pt idx="1">
                  <v>2264.099999999999</v>
                </pt>
                <pt idx="2">
                  <v>2846.11</v>
                </pt>
                <pt idx="3">
                  <v>2933.43</v>
                </pt>
                <pt idx="4">
                  <v>3070.380000000001</v>
                </pt>
                <pt idx="5">
                  <v>1881.12</v>
                </pt>
                <pt idx="6">
                  <v>2290</v>
                </pt>
                <pt idx="7">
                  <v>-710.2653041234598</v>
                </pt>
                <pt idx="8">
                  <v>495.5837797041922</v>
                </pt>
                <pt idx="9">
                  <v>11.84995624148996</v>
                </pt>
                <pt idx="10">
                  <v>732.9791469350021</v>
                </pt>
                <pt idx="11">
                  <v>1266.126285033259</v>
                </pt>
                <pt idx="12">
                  <v>2339.495658685247</v>
                </pt>
                <pt idx="13">
                  <v>1864.180038014264</v>
                </pt>
                <pt idx="14">
                  <v>2063.737239037562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26245648"/>
        <axId val="2026246064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  <dateAx>
        <axId val="2026245648"/>
        <scaling>
          <orientation val="minMax"/>
        </scaling>
        <delete val="0"/>
        <axPos val="b"/>
        <numFmt formatCode="[$-409]mmm\-yy;@" sourceLinked="0"/>
        <majorTickMark val="out"/>
        <minorTickMark val="none"/>
        <tickLblPos val="low"/>
        <spPr>
          <a:noFill xmlns:a="http://schemas.openxmlformats.org/drawingml/2006/main"/>
          <a:ln xmlns:a="http://schemas.openxmlformats.org/drawingml/2006/main" w="25400" cap="flat" cmpd="sng" algn="ctr">
            <a:solidFill>
              <a:schemeClr val="tx1"/>
            </a:solidFill>
            <a:prstDash val="solid"/>
            <a:round/>
          </a:ln>
        </spPr>
        <txPr>
          <a:bodyPr xmlns:a="http://schemas.openxmlformats.org/drawingml/2006/main" rot="-18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10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6246064"/>
        <crosses val="autoZero"/>
        <lblOffset val="100"/>
        <baseTimeUnit val="months"/>
        <majorUnit val="3"/>
      </dateAx>
      <valAx>
        <axId val="2026246064"/>
        <scaling>
          <orientation val="minMax"/>
        </scaling>
        <delete val="0"/>
        <axPos val="l"/>
        <numFmt formatCode="&quot;$&quot;* #,##0_€;[Red]\(&quot;$&quot;* #,##0_€\)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26245648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19050" cap="flat" cmpd="sng" algn="ctr">
      <a:solidFill>
        <a:sysClr val="windowText" lastClr="000000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Position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'2023 Overview'!$B$29</f>
              <strCache>
                <ptCount val="1"/>
                <pt idx="0">
                  <v>Operating Cash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solidFill>
                <a:schemeClr val="accent6"/>
              </a:solidFill>
              <a:prstDash val="solid"/>
            </a:ln>
          </spPr>
          <invertIfNegative val="0"/>
          <dLbls>
            <dLbl>
              <idx val="0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2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3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4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5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6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7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8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0"/>
              <showLegendKey val="1"/>
              <showVal val="1"/>
              <showCatName val="1"/>
              <showSerName val="1"/>
              <showPercent val="1"/>
              <showBubbleSize val="1"/>
            </dLbl>
            <dLbl>
              <idx val="11"/>
              <showLegendKey val="1"/>
              <showVal val="1"/>
              <showCatName val="1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'2023 Overview'!$C$10:$N$10</f>
              <strCache>
                <ptCount val="5"/>
                <pt idx="0">
                  <v>August</v>
                </pt>
                <pt idx="1">
                  <v>September</v>
                </pt>
                <pt idx="2">
                  <v>October</v>
                </pt>
                <pt idx="3">
                  <v>November</v>
                </pt>
                <pt idx="4">
                  <v>December</v>
                </pt>
              </strCache>
            </strRef>
          </cat>
          <val>
            <numRef>
              <f>'2023 Overview'!$C$29:$N$29</f>
              <numCache>
                <formatCode>_("$"* #,##0.00_);_("$"* \(#,##0.00\);_("$"* "-"??_);_(@_)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83418911"/>
        <axId val="1908237535"/>
      </barChart>
      <lineChart>
        <grouping val="standard"/>
        <varyColors val="0"/>
        <ser>
          <idx val="1"/>
          <order val="1"/>
          <tx>
            <strRef>
              <f>'2023 Overview'!$B$30</f>
              <strCache>
                <ptCount val="1"/>
                <pt idx="0">
                  <v>Cash Inflow (Outflow)</v>
                </pt>
              </strCache>
            </strRef>
          </tx>
          <spPr>
            <a:ln xmlns:a="http://schemas.openxmlformats.org/drawingml/2006/main"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elete val="1"/>
          </dLbls>
          <val>
            <numRef>
              <f>'2023 Overview'!$C$30:$N$30</f>
              <numCache>
                <formatCode>_("$"* #,##0.00_);_("$"* \(#,##0.00\);_("$"* "-"??_);_(@_)</formatCode>
                <ptCount val="5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83418911"/>
        <axId val="1908237535"/>
      </lineChart>
      <catAx>
        <axId val="183418911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908237535"/>
        <crosses val="autoZero"/>
        <auto val="1"/>
        <lblAlgn val="ctr"/>
        <lblOffset val="100"/>
        <noMultiLvlLbl val="0"/>
      </catAx>
      <valAx>
        <axId val="190823753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&quot;$&quot;* #,##0.00_);_(&quot;$&quot;* \(#,##0.0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8341891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Condensed</a:t>
            </a:r>
            <a:r>
              <a:rPr lang="en-US" baseline="0"/>
              <a:t> </a:t>
            </a:r>
            <a:r>
              <a:rPr lang="en-US"/>
              <a:t>Rolling Forecast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2"/>
          <order val="0"/>
          <tx>
            <v>Rolling Forecast Net Operating Income</v>
          </tx>
          <spPr>
            <a:solidFill xmlns:a="http://schemas.openxmlformats.org/drawingml/2006/main">
              <a:schemeClr val="accent2">
                <a:lumMod val="20000"/>
                <a:lumOff val="80000"/>
              </a:schemeClr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2">
                  <a:lumMod val="20000"/>
                  <a:lumOff val="8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cat>
            <strRef>
              <f>('Quarterly Overview'!$C$41,'Quarterly Overview'!$D$41,'Quarterly Overview'!$F$41,'Quarterly Overview'!$H$41)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('Quarterly Overview'!$C$29,'Quarterly Overview'!$D$29,'Quarterly Overview'!$F$29,'Quarterly Overview'!$H$29)</f>
              <numCache>
                <formatCode>_("$"* #,##0_);_("$"* \(#,##0\);_("$"* "-"??_);_(@_)</formatCode>
                <ptCount val="4"/>
                <pt idx="0">
                  <v>8639.27</v>
                </pt>
                <pt idx="1">
                  <v>7207.190000000001</v>
                </pt>
                <pt idx="2">
                  <v>7884.93</v>
                </pt>
                <pt idx="3">
                  <v>2091.448475580735</v>
                </pt>
              </numCache>
            </numRef>
          </val>
        </ser>
        <ser>
          <idx val="3"/>
          <order val="1"/>
          <tx>
            <v>Rolling Forecast MRR</v>
          </tx>
          <spPr>
            <a:solidFill xmlns:a="http://schemas.openxmlformats.org/drawingml/2006/main">
              <a:schemeClr val="accent2">
                <a:lumMod val="50000"/>
              </a:schemeClr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val>
            <numRef>
              <f>('Quarterly Overview'!$C$15,'Quarterly Overview'!$D$15,'Quarterly Overview'!$F$15,'Quarterly Overview'!$H$15)</f>
              <numCache>
                <formatCode>_(* #,##0_);_(* \(#,##0\);_(* "-"??_);_(@_)</formatCode>
                <ptCount val="4"/>
                <pt idx="0">
                  <v>4119.740142978234</v>
                </pt>
                <pt idx="1">
                  <v>4306.392287480506</v>
                </pt>
                <pt idx="2">
                  <v>4653.189711534459</v>
                </pt>
                <pt idx="3">
                  <v>4334.85424262668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93793967"/>
        <axId val="493786287"/>
      </barChart>
      <lineChart>
        <grouping val="standard"/>
        <varyColors val="0"/>
        <ser>
          <idx val="4"/>
          <order val="2"/>
          <tx>
            <v>Rolling Forecast Recurring Client Base</v>
          </tx>
          <spPr>
            <a:ln xmlns:a="http://schemas.openxmlformats.org/drawingml/2006/main" w="28575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('Quarterly Overview'!$C$16,'Quarterly Overview'!$D$16,'Quarterly Overview'!$F$16,'Quarterly Overview'!$H$16)</f>
              <numCache>
                <formatCode>_(* #,##0_);_(* \(#,##0\);_(* "-"??_);_(@_)</formatCode>
                <ptCount val="4"/>
                <pt idx="0">
                  <v>32.66666666666666</v>
                </pt>
                <pt idx="1">
                  <v>35</v>
                </pt>
                <pt idx="2">
                  <v>34</v>
                </pt>
                <pt idx="3">
                  <v>29.4709984975133</v>
                </pt>
              </numCache>
            </numRef>
          </val>
          <smooth val="0"/>
        </ser>
        <ser>
          <idx val="5"/>
          <order val="3"/>
          <tx>
            <v>Rolling Forecast # of Appointments</v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('Quarterly Overview'!$C$41,'Quarterly Overview'!$D$41,'Quarterly Overview'!$F$41,'Quarterly Overview'!$H$41)</f>
              <strCache>
                <ptCount val="4"/>
                <pt idx="0">
                  <v>Q1</v>
                </pt>
                <pt idx="1">
                  <v>Q2</v>
                </pt>
                <pt idx="2">
                  <v>Q3</v>
                </pt>
                <pt idx="3">
                  <v>Q4</v>
                </pt>
              </strCache>
            </strRef>
          </cat>
          <val>
            <numRef>
              <f>('Quarterly Overview'!$C$14,'Quarterly Overview'!$D$14,'Quarterly Overview'!$F$14,'Quarterly Overview'!$H$14)</f>
              <numCache>
                <formatCode>_(* #,##0_);_(* \(#,##0\);_(* "-"??_);_(@_)</formatCode>
                <ptCount val="4"/>
                <pt idx="0">
                  <v>203</v>
                </pt>
                <pt idx="1">
                  <v>237</v>
                </pt>
                <pt idx="2">
                  <v>211</v>
                </pt>
                <pt idx="3">
                  <v>180.121049632352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93798287"/>
        <axId val="493784847"/>
      </lineChart>
      <catAx>
        <axId val="4937939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3786287"/>
        <crosses val="autoZero"/>
        <auto val="1"/>
        <lblAlgn val="ctr"/>
        <lblOffset val="100"/>
        <noMultiLvlLbl val="0"/>
      </catAx>
      <valAx>
        <axId val="493786287"/>
        <scaling>
          <orientation val="minMax"/>
        </scaling>
        <delete val="0"/>
        <axPos val="l"/>
        <numFmt formatCode="_(&quot;$&quot;* #,##0_);_(&quot;$&quot;* \(#,##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3793967"/>
        <crosses val="autoZero"/>
        <crossBetween val="between"/>
      </valAx>
      <catAx>
        <axId val="493798287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93784847"/>
        <crosses val="autoZero"/>
        <auto val="1"/>
        <lblAlgn val="ctr"/>
        <lblOffset val="100"/>
        <noMultiLvlLbl val="0"/>
      </catAx>
      <valAx>
        <axId val="493784847"/>
        <scaling>
          <orientation val="minMax"/>
        </scaling>
        <delete val="0"/>
        <axPos val="r"/>
        <numFmt formatCode="_(* #,##0_);_(* \(#,##0\);_(* &quot;-&quot;??_);_(@_)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3798287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  <a:r>
              <a:rPr lang="en-US" baseline="0"/>
              <a:t> </a:t>
            </a:r>
            <a:r>
              <a:rPr lang="en-US"/>
              <a:t>Rolling</a:t>
            </a:r>
            <a:r>
              <a:rPr lang="en-US" baseline="0"/>
              <a:t> </a:t>
            </a:r>
            <a:r>
              <a:rPr lang="en-US"/>
              <a:t xml:space="preserve">Forecast </a:t>
            </a:r>
            <a:r>
              <a:rPr lang="en-US" baseline="0"/>
              <a:t xml:space="preserve"> - Recurring Client Base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Rolling Forecast - Net Operating Income</v>
          </tx>
          <spPr>
            <a:solidFill xmlns:a="http://schemas.openxmlformats.org/drawingml/2006/main">
              <a:schemeClr val="accent2">
                <a:lumMod val="20000"/>
                <a:lumOff val="80000"/>
              </a:schemeClr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val>
            <numRef>
              <f>'2025 Overview'!$C$39:$N$39</f>
              <numCache>
                <formatCode>_("$"* #,##0_);_("$"* \(#,##0\);_("$"* "-"??_);_(@_)</formatCode>
                <ptCount val="12"/>
                <pt idx="0">
                  <v>4061.87</v>
                </pt>
                <pt idx="1">
                  <v>2138.420000000001</v>
                </pt>
                <pt idx="2">
                  <v>2438.98</v>
                </pt>
                <pt idx="3">
                  <v>2096.980000000001</v>
                </pt>
                <pt idx="4">
                  <v>2264.099999999999</v>
                </pt>
                <pt idx="5">
                  <v>2846.11</v>
                </pt>
                <pt idx="6">
                  <v>2933.43</v>
                </pt>
                <pt idx="7">
                  <v>3070.380000000001</v>
                </pt>
                <pt idx="8">
                  <v>1881.12</v>
                </pt>
                <pt idx="9">
                  <v>2290</v>
                </pt>
                <pt idx="10">
                  <v>-710.2653041234598</v>
                </pt>
                <pt idx="11">
                  <v>495.5837797041922</v>
                </pt>
              </numCache>
            </numRef>
          </val>
        </ser>
        <ser>
          <idx val="1"/>
          <order val="1"/>
          <tx>
            <v>Rolling Forecast MRR</v>
          </tx>
          <spPr>
            <a:solidFill xmlns:a="http://schemas.openxmlformats.org/drawingml/2006/main">
              <a:schemeClr val="accent2">
                <a:lumMod val="50000"/>
              </a:schemeClr>
            </a:soli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chemeClr val="accent6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2">
                  <a:lumMod val="50000"/>
                </a:schemeClr>
              </a:solidFill>
              <a:ln xmlns:a="http://schemas.openxmlformats.org/drawingml/2006/main">
                <a:solidFill>
                  <a:schemeClr val="accent2">
                    <a:lumMod val="50000"/>
                  </a:schemeClr>
                </a:solidFill>
                <a:prstDash val="solid"/>
              </a:ln>
            </spPr>
          </dPt>
          <dPt>
            <idx val="10"/>
            <invertIfNegative val="0"/>
            <bubble3D val="0"/>
            <spPr>
              <a:ln xmlns:a="http://schemas.openxmlformats.org/drawingml/2006/main">
                <a:prstDash val="solid"/>
              </a:ln>
            </spPr>
          </dPt>
          <cat>
            <strLit>
              <ptCount val="12"/>
              <pt idx="0">
                <v>January</v>
              </pt>
              <pt idx="1">
                <v>February</v>
              </pt>
              <pt idx="2">
                <v>March</v>
              </pt>
              <pt idx="3">
                <v>April</v>
              </pt>
              <pt idx="4">
                <v>May</v>
              </pt>
              <pt idx="5">
                <v>June</v>
              </pt>
              <pt idx="6">
                <v>July</v>
              </pt>
              <pt idx="7">
                <v>August</v>
              </pt>
              <pt idx="8">
                <v>September</v>
              </pt>
              <pt idx="9">
                <v>October</v>
              </pt>
              <pt idx="10">
                <v>November</v>
              </pt>
              <pt idx="11">
                <v>December</v>
              </pt>
            </strLit>
          </cat>
          <val>
            <numRef>
              <f>'2025 Overview'!$C$24:$N$24</f>
              <numCache>
                <formatCode>_("$"* #,##0_);_("$"* \(#,##0\);_("$"* "-"??_);_(@_)</formatCode>
                <ptCount val="12"/>
                <pt idx="0">
                  <v>4460.104998563631</v>
                </pt>
                <pt idx="1">
                  <v>4123.676276931917</v>
                </pt>
                <pt idx="2">
                  <v>3775.439153439153</v>
                </pt>
                <pt idx="3">
                  <v>4062.151858853182</v>
                </pt>
                <pt idx="4">
                  <v>4083.828645627877</v>
                </pt>
                <pt idx="5">
                  <v>4773.196357960458</v>
                </pt>
                <pt idx="6">
                  <v>4270.33486299844</v>
                </pt>
                <pt idx="7">
                  <v>4966.173777777778</v>
                </pt>
                <pt idx="8">
                  <v>4723.060493827161</v>
                </pt>
                <pt idx="9">
                  <v>4942.878121284186</v>
                </pt>
                <pt idx="10">
                  <v>3263.558491424545</v>
                </pt>
                <pt idx="11">
                  <v>4798.12611517131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93793967"/>
        <axId val="493786287"/>
      </barChart>
      <lineChart>
        <grouping val="standard"/>
        <varyColors val="0"/>
        <ser>
          <idx val="2"/>
          <order val="2"/>
          <tx>
            <v>Rolling Forecast # of Recurring Client Base</v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12"/>
              <pt idx="0">
                <v>January</v>
              </pt>
              <pt idx="1">
                <v>February</v>
              </pt>
              <pt idx="2">
                <v>March</v>
              </pt>
              <pt idx="3">
                <v>April</v>
              </pt>
              <pt idx="4">
                <v>May</v>
              </pt>
              <pt idx="5">
                <v>June</v>
              </pt>
              <pt idx="6">
                <v>July</v>
              </pt>
              <pt idx="7">
                <v>August</v>
              </pt>
              <pt idx="8">
                <v>September</v>
              </pt>
              <pt idx="9">
                <v>October</v>
              </pt>
              <pt idx="10">
                <v>November</v>
              </pt>
              <pt idx="11">
                <v>December</v>
              </pt>
            </strLit>
          </cat>
          <val>
            <numRef>
              <f>'2025 Overview'!$C$25:$N$25</f>
              <numCache>
                <formatCode>_(* #,##0_);_(* \(#,##0\);_(* "-"??_);_(@_)</formatCode>
                <ptCount val="12"/>
                <pt idx="0">
                  <v>35</v>
                </pt>
                <pt idx="1">
                  <v>32</v>
                </pt>
                <pt idx="2">
                  <v>31</v>
                </pt>
                <pt idx="3">
                  <v>30</v>
                </pt>
                <pt idx="4">
                  <v>38</v>
                </pt>
                <pt idx="5">
                  <v>37</v>
                </pt>
                <pt idx="6">
                  <v>34</v>
                </pt>
                <pt idx="7">
                  <v>32</v>
                </pt>
                <pt idx="8">
                  <v>36</v>
                </pt>
                <pt idx="9">
                  <v>33</v>
                </pt>
                <pt idx="10">
                  <v>25.28554163251821</v>
                </pt>
                <pt idx="11">
                  <v>30.1274538600217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93798287"/>
        <axId val="493784847"/>
      </lineChart>
      <catAx>
        <axId val="4937939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3786287"/>
        <crosses val="autoZero"/>
        <auto val="1"/>
        <lblAlgn val="ctr"/>
        <lblOffset val="100"/>
        <noMultiLvlLbl val="0"/>
      </catAx>
      <valAx>
        <axId val="493786287"/>
        <scaling>
          <orientation val="minMax"/>
        </scaling>
        <delete val="0"/>
        <axPos val="l"/>
        <numFmt formatCode="_(&quot;$&quot;* #,##0_);_(&quot;$&quot;* \(#,##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3793967"/>
        <crosses val="autoZero"/>
        <crossBetween val="between"/>
      </valAx>
      <catAx>
        <axId val="493798287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93784847"/>
        <crosses val="autoZero"/>
        <auto val="1"/>
        <lblAlgn val="ctr"/>
        <lblOffset val="100"/>
        <noMultiLvlLbl val="0"/>
      </catAx>
      <valAx>
        <axId val="493784847"/>
        <scaling>
          <orientation val="minMax"/>
        </scaling>
        <delete val="0"/>
        <axPos val="r"/>
        <numFmt formatCode="_(* #,##0_);_(* \(#,##0\);_(* &quot;-&quot;??_);_(@_)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3798287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Rolling</a:t>
            </a:r>
            <a:r>
              <a:rPr lang="en-US" baseline="0"/>
              <a:t> </a:t>
            </a:r>
            <a:r>
              <a:rPr lang="en-US"/>
              <a:t>Forecast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v>2025 AOP Total Income</v>
          </tx>
          <spPr>
            <a:solidFill xmlns:a="http://schemas.openxmlformats.org/drawingml/2006/main">
              <a:schemeClr val="tx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Lit>
              <ptCount val="12"/>
              <pt idx="0">
                <v>January</v>
              </pt>
              <pt idx="1">
                <v>February</v>
              </pt>
              <pt idx="2">
                <v>March</v>
              </pt>
              <pt idx="3">
                <v>April</v>
              </pt>
              <pt idx="4">
                <v>May</v>
              </pt>
              <pt idx="5">
                <v>June</v>
              </pt>
              <pt idx="6">
                <v>July</v>
              </pt>
              <pt idx="7">
                <v>August</v>
              </pt>
              <pt idx="8">
                <v>September</v>
              </pt>
              <pt idx="9">
                <v>October</v>
              </pt>
              <pt idx="10">
                <v>November</v>
              </pt>
              <pt idx="11">
                <v>December</v>
              </pt>
            </strLit>
          </cat>
          <val>
            <numRef>
              <f>'2025 Overview'!$C$22:$N$22</f>
              <numCache>
                <formatCode>_("$"* #,##0_);_("$"* \(#,##0\);_("$"* "-"??_);_(@_)</formatCode>
                <ptCount val="12"/>
                <pt idx="0">
                  <v>6721.05</v>
                </pt>
                <pt idx="1">
                  <v>6501.14</v>
                </pt>
                <pt idx="2">
                  <v>7108.5</v>
                </pt>
                <pt idx="3">
                  <v>7861.75</v>
                </pt>
                <pt idx="4">
                  <v>7877.62</v>
                </pt>
                <pt idx="5">
                  <v>6887.45</v>
                </pt>
                <pt idx="6">
                  <v>7418.55</v>
                </pt>
                <pt idx="7">
                  <v>7653.35</v>
                </pt>
                <pt idx="8">
                  <v>6170.45</v>
                </pt>
                <pt idx="9">
                  <v>6998.25</v>
                </pt>
                <pt idx="10">
                  <v>5277.075184921628</v>
                </pt>
                <pt idx="11">
                  <v>7465.340781279952</v>
                </pt>
              </numCache>
            </numRef>
          </val>
        </ser>
        <ser>
          <idx val="1"/>
          <order val="1"/>
          <tx>
            <v>Rolling Forecast Total Income</v>
          </tx>
          <spPr>
            <a:solidFill xmlns:a="http://schemas.openxmlformats.org/drawingml/2006/main">
              <a:schemeClr val="bg2">
                <a:lumMod val="90000"/>
              </a:schemeClr>
            </a:solidFill>
            <a:ln xmlns:a="http://schemas.openxmlformats.org/drawingml/2006/main">
              <a:solidFill>
                <a:sysClr val="windowText" lastClr="000000"/>
              </a:solidFill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4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5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6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7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8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9"/>
            <invertIfNegative val="0"/>
            <bubble3D val="0"/>
            <spPr>
              <a:solidFill xmlns:a="http://schemas.openxmlformats.org/drawingml/2006/main">
                <a:schemeClr val="accent6"/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dPt>
            <idx val="10"/>
            <invertIfNegative val="0"/>
            <bubble3D val="0"/>
            <spPr>
              <a:solidFill xmlns:a="http://schemas.openxmlformats.org/drawingml/2006/main">
                <a:schemeClr val="bg2">
                  <a:lumMod val="90000"/>
                </a:schemeClr>
              </a:solidFill>
              <a:ln xmlns:a="http://schemas.openxmlformats.org/drawingml/2006/main">
                <a:solidFill>
                  <a:sysClr val="windowText" lastClr="000000"/>
                </a:solidFill>
                <a:prstDash val="solid"/>
              </a:ln>
            </spPr>
          </dPt>
          <cat>
            <strLit>
              <ptCount val="12"/>
              <pt idx="0">
                <v>January</v>
              </pt>
              <pt idx="1">
                <v>February</v>
              </pt>
              <pt idx="2">
                <v>March</v>
              </pt>
              <pt idx="3">
                <v>April</v>
              </pt>
              <pt idx="4">
                <v>May</v>
              </pt>
              <pt idx="5">
                <v>June</v>
              </pt>
              <pt idx="6">
                <v>July</v>
              </pt>
              <pt idx="7">
                <v>August</v>
              </pt>
              <pt idx="8">
                <v>September</v>
              </pt>
              <pt idx="9">
                <v>October</v>
              </pt>
              <pt idx="10">
                <v>November</v>
              </pt>
              <pt idx="11">
                <v>December</v>
              </pt>
            </strLit>
          </cat>
          <val>
            <numRef>
              <f>'2025 Overview'!$C$22:$N$22</f>
              <numCache>
                <formatCode>_("$"* #,##0_);_("$"* \(#,##0\);_("$"* "-"??_);_(@_)</formatCode>
                <ptCount val="12"/>
                <pt idx="0">
                  <v>6721.05</v>
                </pt>
                <pt idx="1">
                  <v>6501.14</v>
                </pt>
                <pt idx="2">
                  <v>7108.5</v>
                </pt>
                <pt idx="3">
                  <v>7861.75</v>
                </pt>
                <pt idx="4">
                  <v>7877.62</v>
                </pt>
                <pt idx="5">
                  <v>6887.45</v>
                </pt>
                <pt idx="6">
                  <v>7418.55</v>
                </pt>
                <pt idx="7">
                  <v>7653.35</v>
                </pt>
                <pt idx="8">
                  <v>6170.45</v>
                </pt>
                <pt idx="9">
                  <v>6998.25</v>
                </pt>
                <pt idx="10">
                  <v>5277.075184921628</v>
                </pt>
                <pt idx="11">
                  <v>7465.340781279952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93793967"/>
        <axId val="493786287"/>
      </barChart>
      <lineChart>
        <grouping val="standard"/>
        <varyColors val="0"/>
        <ser>
          <idx val="2"/>
          <order val="2"/>
          <tx>
            <v>2025 AOP # of Clients</v>
          </tx>
          <spPr>
            <a:ln xmlns:a="http://schemas.openxmlformats.org/drawingml/2006/main" w="28575" cap="rnd">
              <a:solidFill>
                <a:schemeClr val="tx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12"/>
              <pt idx="0">
                <v>January</v>
              </pt>
              <pt idx="1">
                <v>February</v>
              </pt>
              <pt idx="2">
                <v>March</v>
              </pt>
              <pt idx="3">
                <v>April</v>
              </pt>
              <pt idx="4">
                <v>May</v>
              </pt>
              <pt idx="5">
                <v>June</v>
              </pt>
              <pt idx="6">
                <v>July</v>
              </pt>
              <pt idx="7">
                <v>August</v>
              </pt>
              <pt idx="8">
                <v>September</v>
              </pt>
              <pt idx="9">
                <v>October</v>
              </pt>
              <pt idx="10">
                <v>November</v>
              </pt>
              <pt idx="11">
                <v>December</v>
              </pt>
            </strLit>
          </cat>
          <val>
            <numRef>
              <f>'2025 AOP'!$C$25:$N$25</f>
              <numCache>
                <formatCode>_(* #,##0_);_(* \(#,##0\);_(* "-"??_);_(@_)</formatCode>
                <ptCount val="12"/>
                <pt idx="0">
                  <v>40.15894892839746</v>
                </pt>
                <pt idx="1">
                  <v>33.93713993949081</v>
                </pt>
                <pt idx="2">
                  <v>40.72456792738898</v>
                </pt>
                <pt idx="3">
                  <v>55.99628090015985</v>
                </pt>
                <pt idx="4">
                  <v>66.7430418809986</v>
                </pt>
                <pt idx="5">
                  <v>59.95561389310043</v>
                </pt>
                <pt idx="6">
                  <v>47.51199591528713</v>
                </pt>
                <pt idx="7">
                  <v>49.20885291226168</v>
                </pt>
                <pt idx="8">
                  <v>40.72456792738897</v>
                </pt>
                <pt idx="9">
                  <v>45.24951991932109</v>
                </pt>
                <pt idx="10">
                  <v>48.07761491427866</v>
                </pt>
                <pt idx="11">
                  <v>49.20885291226168</v>
                </pt>
              </numCache>
            </numRef>
          </val>
          <smooth val="0"/>
        </ser>
        <ser>
          <idx val="3"/>
          <order val="3"/>
          <tx>
            <v>Rolling Forecast # of Clients</v>
          </tx>
          <spPr>
            <a:ln xmlns:a="http://schemas.openxmlformats.org/drawingml/2006/main" w="28575" cap="rnd">
              <a:solidFill>
                <a:schemeClr val="bg2">
                  <a:lumMod val="75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1"/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2"/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3"/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4"/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5"/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6"/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7"/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8"/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9"/>
            <bubble3D val="0"/>
            <spPr>
              <a:ln xmlns:a="http://schemas.openxmlformats.org/drawingml/2006/main" w="28575" cap="rnd">
                <a:solidFill>
                  <a:schemeClr val="accent6"/>
                </a:solidFill>
                <a:prstDash val="solid"/>
                <a:round/>
              </a:ln>
            </spPr>
          </dPt>
          <dPt>
            <idx val="10"/>
            <bubble3D val="0"/>
            <spPr>
              <a:ln xmlns:a="http://schemas.openxmlformats.org/drawingml/2006/main"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Lit>
              <ptCount val="12"/>
              <pt idx="0">
                <v>January</v>
              </pt>
              <pt idx="1">
                <v>February</v>
              </pt>
              <pt idx="2">
                <v>March</v>
              </pt>
              <pt idx="3">
                <v>April</v>
              </pt>
              <pt idx="4">
                <v>May</v>
              </pt>
              <pt idx="5">
                <v>June</v>
              </pt>
              <pt idx="6">
                <v>July</v>
              </pt>
              <pt idx="7">
                <v>August</v>
              </pt>
              <pt idx="8">
                <v>September</v>
              </pt>
              <pt idx="9">
                <v>October</v>
              </pt>
              <pt idx="10">
                <v>November</v>
              </pt>
              <pt idx="11">
                <v>December</v>
              </pt>
            </strLit>
          </cat>
          <val>
            <numRef>
              <f>'2025 Overview'!$C$25:$N$25</f>
              <numCache>
                <formatCode>_(* #,##0_);_(* \(#,##0\);_(* "-"??_);_(@_)</formatCode>
                <ptCount val="12"/>
                <pt idx="0">
                  <v>35</v>
                </pt>
                <pt idx="1">
                  <v>32</v>
                </pt>
                <pt idx="2">
                  <v>31</v>
                </pt>
                <pt idx="3">
                  <v>30</v>
                </pt>
                <pt idx="4">
                  <v>38</v>
                </pt>
                <pt idx="5">
                  <v>37</v>
                </pt>
                <pt idx="6">
                  <v>34</v>
                </pt>
                <pt idx="7">
                  <v>32</v>
                </pt>
                <pt idx="8">
                  <v>36</v>
                </pt>
                <pt idx="9">
                  <v>33</v>
                </pt>
                <pt idx="10">
                  <v>25.28554163251821</v>
                </pt>
                <pt idx="11">
                  <v>30.1274538600217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93798287"/>
        <axId val="493784847"/>
      </lineChart>
      <catAx>
        <axId val="49379396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3786287"/>
        <crosses val="autoZero"/>
        <auto val="1"/>
        <lblAlgn val="ctr"/>
        <lblOffset val="100"/>
        <noMultiLvlLbl val="0"/>
      </catAx>
      <valAx>
        <axId val="493786287"/>
        <scaling>
          <orientation val="minMax"/>
        </scaling>
        <delete val="0"/>
        <axPos val="l"/>
        <numFmt formatCode="_(&quot;$&quot;* #,##0_);_(&quot;$&quot;* \(#,##0\);_(&quot;$&quot;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3793967"/>
        <crosses val="autoZero"/>
        <crossBetween val="between"/>
      </valAx>
      <catAx>
        <axId val="493798287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493784847"/>
        <crosses val="autoZero"/>
        <auto val="1"/>
        <lblAlgn val="ctr"/>
        <lblOffset val="100"/>
        <noMultiLvlLbl val="0"/>
      </catAx>
      <valAx>
        <axId val="493784847"/>
        <scaling>
          <orientation val="minMax"/>
        </scaling>
        <delete val="0"/>
        <axPos val="r"/>
        <numFmt formatCode="_(* #,##0_);_(* \(#,##0\);_(* &quot;-&quot;??_);_(@_)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493798287"/>
        <crosses val="max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ysClr val="windowText" lastClr="000000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image" Target="/xl/media/image3.png" Id="rId3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twoCellAnchor>
    <from>
      <col>12</col>
      <colOff>197255</colOff>
      <row>15</row>
      <rowOff>132542</rowOff>
    </from>
    <to>
      <col>23</col>
      <colOff>432954</colOff>
      <row>45</row>
      <rowOff>28864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1</col>
      <colOff>117232</colOff>
      <row>8</row>
      <rowOff>89389</rowOff>
    </from>
    <to>
      <col>2</col>
      <colOff>2133600</colOff>
      <row>15</row>
      <rowOff>53637</rowOff>
    </to>
    <pic>
      <nvPicPr>
        <cNvPr id="4" name="Picture 3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886" t="25500" r="4356" b="2844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6832" y="1601666"/>
          <a:ext cx="2625968" cy="12772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0</col>
      <colOff>594360</colOff>
      <row>30</row>
      <rowOff>64770</rowOff>
    </from>
    <to>
      <col>14</col>
      <colOff>15240</colOff>
      <row>47</row>
      <rowOff>60960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5</col>
      <colOff>180976</colOff>
      <row>0</row>
      <rowOff>76201</rowOff>
    </from>
    <to>
      <col>11</col>
      <colOff>173354</colOff>
      <row>8</row>
      <rowOff>104775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62576" y="76201"/>
          <a:ext cx="1552574" cy="15525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>
    <from>
      <col>11</col>
      <colOff>243839</colOff>
      <row>8</row>
      <rowOff>173874</rowOff>
    </from>
    <to>
      <col>21</col>
      <colOff>540152</colOff>
      <row>37</row>
      <rowOff>66675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28816</colOff>
      <row>37</row>
      <rowOff>158406</rowOff>
    </from>
    <to>
      <col>21</col>
      <colOff>559443</colOff>
      <row>58</row>
      <rowOff>171570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5</col>
      <colOff>160165</colOff>
      <row>3</row>
      <rowOff>52525</rowOff>
    </from>
    <to>
      <col>11</col>
      <colOff>519361</colOff>
      <row>8</row>
      <rowOff>54531</rowOff>
    </to>
    <pic>
      <nvPicPr>
        <cNvPr id="4" name="Picture 3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l="1886" t="25500" r="4356" b="2844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44950" y="631259"/>
          <a:ext cx="4280607" cy="208354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>
    <from>
      <col>48</col>
      <colOff>276407</colOff>
      <row>12</row>
      <rowOff>188412</rowOff>
    </from>
    <to>
      <col>61</col>
      <colOff>149961</colOff>
      <row>59</row>
      <rowOff>44002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41</col>
      <colOff>503687</colOff>
      <row>0</row>
      <rowOff>63500</rowOff>
    </from>
    <to>
      <col>50</col>
      <colOff>425874</colOff>
      <row>12</row>
      <rowOff>128535</rowOff>
    </to>
    <pic>
      <nvPicPr>
        <cNvPr id="3" name="Picture 1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886" t="25500" r="4356" b="2844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619487" y="63500"/>
          <a:ext cx="5370793" cy="23510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3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_rels/pivotCacheDefinition4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jordan lee" refreshedDate="44895.9301931713" createdVersion="8" refreshedVersion="8" minRefreshableVersion="3" recordCount="40" r:id="rId1">
  <cacheSource type="worksheet">
    <worksheetSource ref="A1:K41" sheet="October"/>
  </cacheSource>
  <cacheFields count="11">
    <cacheField name="Student" uniqueList="1" numFmtId="0" sqlType="0" hierarchy="0" level="0" databaseField="1">
      <sharedItems count="17">
        <s v="Abby Owen"/>
        <s v="Addison O'Connor"/>
        <s v="Caroline Frey"/>
        <s v="Claire Cecotti"/>
        <s v="Elle Mishler"/>
        <s v="Gabby Bagot"/>
        <s v="Julia Cecotti"/>
        <s v="Kathryn Oakford"/>
        <s v="Kaylie Thompson"/>
        <s v="Maddie Wilson"/>
        <s v="Maddox Rogers"/>
        <s v="Naura Peters"/>
        <s v="Nicolette Batori"/>
        <s v="Rohan Skanda"/>
        <s v="Sienna Cormier"/>
        <s v="Sophia Gonzales"/>
        <s v="Sujay Penugonda"/>
      </sharedItems>
    </cacheField>
    <cacheField name="Date" uniqueList="1" numFmtId="16" sqlType="0" hierarchy="0" level="0" databaseField="1">
      <sharedItems count="0" containsDate="1" containsNonDate="0" containsSemiMixedTypes="0" containsString="0" minDate="2022-10-02T00:00:00" maxDate="2022-11-01T00:00:00"/>
    </cacheField>
    <cacheField name="Hours" uniqueList="1" numFmtId="0" sqlType="0" hierarchy="0" level="0" databaseField="1">
      <sharedItems count="0" containsNumber="1" containsSemiMixedTypes="0" containsString="0" minValue="0.5" maxValue="5"/>
    </cacheField>
    <cacheField name="Rate ($/hr)" uniqueList="1" numFmtId="0" sqlType="0" hierarchy="0" level="0" databaseField="1">
      <sharedItems count="0" containsInteger="1" containsNumber="1" containsSemiMixedTypes="0" containsString="0" minValue="50" maxValue="60"/>
    </cacheField>
    <cacheField name="Coin" uniqueList="1" numFmtId="0" sqlType="0" hierarchy="0" level="0" databaseField="1">
      <sharedItems count="0" containsNumber="1" containsSemiMixedTypes="0" containsString="0" minValue="25" maxValue="175"/>
    </cacheField>
    <cacheField name="Billed?" uniqueList="1" numFmtId="0" sqlType="0" hierarchy="0" level="0" databaseField="1">
      <sharedItems count="0"/>
    </cacheField>
    <cacheField name="Received payment?" uniqueList="1" numFmtId="0" sqlType="0" hierarchy="0" level="0" databaseField="1">
      <sharedItems count="0"/>
    </cacheField>
    <cacheField name="Topic" uniqueList="1" numFmtId="0" sqlType="0" hierarchy="0" level="0" databaseField="1">
      <sharedItems count="0"/>
    </cacheField>
    <cacheField name="Tip?" uniqueList="1" numFmtId="0" sqlType="0" hierarchy="0" level="0" databaseField="1">
      <sharedItems count="0"/>
    </cacheField>
    <cacheField name="Paid via invoice?" uniqueList="1" numFmtId="0" sqlType="0" hierarchy="0" level="0" databaseField="1">
      <sharedItems count="0"/>
    </cacheField>
    <cacheField name="Totals" uniqueList="1" numFmtId="0" sqlType="0" hierarchy="0" level="0" databaseField="1">
      <sharedItems count="0" containsNumber="1" containsSemiMixedTypes="0" containsString="0" minValue="25" maxValue="250"/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jordan lee" refreshedDate="44895.92983055556" createdVersion="8" refreshedVersion="8" minRefreshableVersion="3" recordCount="15" r:id="rId1">
  <cacheSource type="worksheet">
    <worksheetSource ref="A1:J16" sheet="September"/>
  </cacheSource>
  <cacheFields count="10">
    <cacheField name="Student" uniqueList="1" numFmtId="0" sqlType="0" hierarchy="0" level="0" databaseField="1">
      <sharedItems count="9">
        <s v="Rohan Skanda"/>
        <s v="Maddie Wilson"/>
        <s v="Caroline Frey"/>
        <s v="Kathryn Oakford"/>
        <s v="Kaylie Thompson"/>
        <s v="Abby Owen"/>
        <s v="Mckenzie Frey"/>
        <s v="Claire Cecotti"/>
        <s v="Sam Cormier"/>
      </sharedItems>
    </cacheField>
    <cacheField name="Date" uniqueList="1" numFmtId="16" sqlType="0" hierarchy="0" level="0" databaseField="1">
      <sharedItems count="0" containsDate="1" containsNonDate="0" containsSemiMixedTypes="0" containsString="0" minDate="2022-09-18T00:00:00" maxDate="2022-09-29T00:00:00"/>
    </cacheField>
    <cacheField name="Hours" uniqueList="1" numFmtId="0" sqlType="0" hierarchy="0" level="0" databaseField="1">
      <sharedItems count="0" containsNumber="1" containsSemiMixedTypes="0" containsString="0" minValue="0.5" maxValue="2"/>
    </cacheField>
    <cacheField name="Rate ($/hr)" uniqueList="1" numFmtId="0" sqlType="0" hierarchy="0" level="0" databaseField="1">
      <sharedItems count="0" containsInteger="1" containsNumber="1" containsSemiMixedTypes="0" containsString="0" minValue="50" maxValue="100"/>
    </cacheField>
    <cacheField name="Coin" uniqueList="1" numFmtId="0" sqlType="0" hierarchy="0" level="0" databaseField="1">
      <sharedItems count="0" containsInteger="1" containsNumber="1" containsSemiMixedTypes="0" containsString="0" minValue="25" maxValue="100"/>
    </cacheField>
    <cacheField name="Billed?" uniqueList="1" numFmtId="0" sqlType="0" hierarchy="0" level="0" databaseField="1">
      <sharedItems count="0"/>
    </cacheField>
    <cacheField name="Received payment?" uniqueList="1" numFmtId="0" sqlType="0" hierarchy="0" level="0" databaseField="1">
      <sharedItems count="0"/>
    </cacheField>
    <cacheField name="Topic" uniqueList="1" numFmtId="0" sqlType="0" hierarchy="0" level="0" databaseField="1">
      <sharedItems count="0"/>
    </cacheField>
    <cacheField name="Tip?" uniqueList="1" numFmtId="0" sqlType="0" hierarchy="0" level="0" databaseField="1">
      <sharedItems count="0" containsBlank="1" containsInteger="1" containsMixedTypes="1" containsNumber="1" minValue="25" maxValue="25"/>
    </cacheField>
    <cacheField name="Totals" uniqueList="1" numFmtId="0" sqlType="0" hierarchy="0" level="0" databaseField="1">
      <sharedItems count="0" containsBlank="1" containsInteger="1" containsNumber="1" containsString="0" minValue="50" maxValue="100"/>
    </cacheField>
  </cacheFields>
</pivotCacheDefinition>
</file>

<file path=xl/pivotCache/pivotCacheDefinition3.xml><?xml version="1.0" encoding="utf-8"?>
<pivotCacheDefinition xmlns:r="http://schemas.openxmlformats.org/officeDocument/2006/relationships" xmlns="http://schemas.openxmlformats.org/spreadsheetml/2006/main" refreshedBy="jordan lee" refreshedDate="44895.92856608796" createdVersion="8" refreshedVersion="8" minRefreshableVersion="3" recordCount="6" r:id="rId1">
  <cacheSource type="worksheet">
    <worksheetSource ref="A1:J7" sheet="August"/>
  </cacheSource>
  <cacheFields count="10">
    <cacheField name="Student" uniqueList="1" numFmtId="0" sqlType="0" hierarchy="0" level="0" databaseField="1">
      <sharedItems count="5">
        <s v="Caroline Frey"/>
        <s v="Nicolette Batori"/>
        <s v="Maddie Wilson"/>
        <s v="Sujay Penugonda"/>
        <s v="Matthew Aasen"/>
      </sharedItems>
    </cacheField>
    <cacheField name="Date" uniqueList="1" numFmtId="14" sqlType="0" hierarchy="0" level="0" databaseField="1">
      <sharedItems count="0" containsDate="1" containsNonDate="0" containsSemiMixedTypes="0" containsString="0" minDate="2022-08-20T00:00:00" maxDate="2022-08-24T00:00:00"/>
    </cacheField>
    <cacheField name="Hours" uniqueList="1" numFmtId="0" sqlType="0" hierarchy="0" level="0" databaseField="1">
      <sharedItems count="0" containsNumber="1" containsSemiMixedTypes="0" containsString="0" minValue="0.5" maxValue="2"/>
    </cacheField>
    <cacheField name="Rate ($/hr)" uniqueList="1" numFmtId="0" sqlType="0" hierarchy="0" level="0" databaseField="1">
      <sharedItems count="0" containsInteger="1" containsNumber="1" containsSemiMixedTypes="0" containsString="0" minValue="50" maxValue="50"/>
    </cacheField>
    <cacheField name="Coin" uniqueList="1" numFmtId="0" sqlType="0" hierarchy="0" level="0" databaseField="1">
      <sharedItems count="0" containsInteger="1" containsNumber="1" containsSemiMixedTypes="0" containsString="0" minValue="25" maxValue="100"/>
    </cacheField>
    <cacheField name="Billed?" uniqueList="1" numFmtId="0" sqlType="0" hierarchy="0" level="0" databaseField="1">
      <sharedItems count="0"/>
    </cacheField>
    <cacheField name="Received payment?" uniqueList="1" numFmtId="0" sqlType="0" hierarchy="0" level="0" databaseField="1">
      <sharedItems count="0"/>
    </cacheField>
    <cacheField name="Topic" uniqueList="1" numFmtId="0" sqlType="0" hierarchy="0" level="0" databaseField="1">
      <sharedItems count="0"/>
    </cacheField>
    <cacheField name="Tip?" uniqueList="1" numFmtId="0" sqlType="0" hierarchy="0" level="0" databaseField="1">
      <sharedItems count="0" containsBlank="1" containsInteger="1" containsNumber="1" containsString="0" minValue="0" maxValue="10"/>
    </cacheField>
    <cacheField name="Totals" uniqueList="1" numFmtId="0" sqlType="0" hierarchy="0" level="0" databaseField="1">
      <sharedItems count="0" containsInteger="1" containsNumber="1" containsSemiMixedTypes="0" containsString="0" minValue="25" maxValue="100"/>
    </cacheField>
  </cacheFields>
</pivotCacheDefinition>
</file>

<file path=xl/pivotCache/pivotCacheDefinition4.xml><?xml version="1.0" encoding="utf-8"?>
<pivotCacheDefinition xmlns:r="http://schemas.openxmlformats.org/officeDocument/2006/relationships" xmlns="http://schemas.openxmlformats.org/spreadsheetml/2006/main" refreshedBy="jordan lee" refreshedDate="44910.78434560185" createdVersion="8" refreshedVersion="8" minRefreshableVersion="3" recordCount="24" r:id="rId1">
  <cacheSource type="worksheet">
    <worksheetSource ref="A1:K25" sheet="November"/>
  </cacheSource>
  <cacheFields count="11">
    <cacheField name="Student" uniqueList="1" numFmtId="0" sqlType="0" hierarchy="0" level="0" databaseField="1">
      <sharedItems count="11">
        <s v="Abby Owen"/>
        <s v="Brayden Wulff"/>
        <s v="Elle Mishler"/>
        <s v="Emma Thacker"/>
        <s v="Julia Cecotti"/>
        <s v="Kathryn Oakford"/>
        <s v="Naura Peters"/>
        <s v="Nicolette Batori"/>
        <s v="Rohan Skanda"/>
        <s v="Sienna Cormier"/>
        <s v="Sophia Gonzales"/>
      </sharedItems>
    </cacheField>
    <cacheField name="Date" uniqueList="1" numFmtId="16" sqlType="0" hierarchy="0" level="0" databaseField="1">
      <sharedItems count="0" containsDate="1" containsNonDate="0" containsSemiMixedTypes="0" containsString="0" minDate="2022-11-03T00:00:00" maxDate="2022-12-01T00:00:00"/>
    </cacheField>
    <cacheField name="Hours" uniqueList="1" numFmtId="0" sqlType="0" hierarchy="0" level="0" databaseField="1">
      <sharedItems count="0" containsNumber="1" containsSemiMixedTypes="0" containsString="0" minValue="0.5" maxValue="2"/>
    </cacheField>
    <cacheField name="Rate ($/hr)" uniqueList="1" numFmtId="0" sqlType="0" hierarchy="0" level="0" databaseField="1">
      <sharedItems count="0" containsInteger="1" containsNumber="1" containsSemiMixedTypes="0" containsString="0" minValue="50" maxValue="60"/>
    </cacheField>
    <cacheField name="Coin" uniqueList="1" numFmtId="0" sqlType="0" hierarchy="0" level="0" databaseField="1">
      <sharedItems count="0" containsNumber="1" containsSemiMixedTypes="0" containsString="0" minValue="30" maxValue="100"/>
    </cacheField>
    <cacheField name="Billed?" uniqueList="1" numFmtId="0" sqlType="0" hierarchy="0" level="0" databaseField="1">
      <sharedItems count="0"/>
    </cacheField>
    <cacheField name="Received payment?" uniqueList="1" numFmtId="0" sqlType="0" hierarchy="0" level="0" databaseField="1">
      <sharedItems count="0"/>
    </cacheField>
    <cacheField name="Topic" uniqueList="1" numFmtId="0" sqlType="0" hierarchy="0" level="0" databaseField="1">
      <sharedItems count="0"/>
    </cacheField>
    <cacheField name="Tip?" uniqueList="1" numFmtId="0" sqlType="0" hierarchy="0" level="0" databaseField="1">
      <sharedItems count="0" containsBlank="1"/>
    </cacheField>
    <cacheField name="Paid via invoice?" uniqueList="1" numFmtId="0" sqlType="0" hierarchy="0" level="0" databaseField="1">
      <sharedItems count="0"/>
    </cacheField>
    <cacheField name="Totals" uniqueList="1" numFmtId="0" sqlType="0" hierarchy="0" level="0" databaseField="1">
      <sharedItems count="0" containsNumber="1" containsSemiMixedTypes="0" containsString="0" minValue="30" maxValue="100"/>
    </cacheField>
  </cacheFields>
</pivotCacheDefinition>
</file>

<file path=xl/pivotCache/pivotCacheRecords1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2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3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Cache/pivotCacheRecords4.xml><?xml version="1.0" encoding="utf-8"?>
<pivotCacheRecords xmlns="http://schemas.openxmlformats.org/spreadsheetml/2006/main" count="40">
  <r>
    <x v="0"/>
    <d v="2022-10-02T00:00:00"/>
    <n v="1"/>
    <n v="50"/>
    <n v="50"/>
    <s v="Yes"/>
    <s v="Yes"/>
    <s v="Math (general homework)"/>
    <s v="No"/>
    <s v="No"/>
    <n v="50"/>
  </r>
  <r>
    <x v="0"/>
    <d v="2022-10-12T00:00:00"/>
    <n v="2"/>
    <n v="50"/>
    <n v="100"/>
    <s v="Yes"/>
    <s v="Yes"/>
    <s v="Algebra 2"/>
    <s v="No"/>
    <s v="YES"/>
    <n v="100"/>
  </r>
  <r>
    <x v="0"/>
    <d v="2022-10-24T00:00:00"/>
    <n v="1"/>
    <n v="50"/>
    <n v="50"/>
    <s v="Yes"/>
    <s v="Yes"/>
    <s v="Emergency Math Lab"/>
    <s v="No"/>
    <s v="YES"/>
    <n v="50"/>
  </r>
  <r>
    <x v="0"/>
    <d v="2022-10-25T00:00:00"/>
    <n v="0.75"/>
    <n v="50"/>
    <n v="37.5"/>
    <s v="Yes"/>
    <s v="Yes"/>
    <s v="Logarithmic Functions Review"/>
    <s v="No"/>
    <s v="YES"/>
    <n v="37.5"/>
  </r>
  <r>
    <x v="0"/>
    <d v="2022-10-27T00:00:00"/>
    <n v="1"/>
    <n v="50"/>
    <n v="50"/>
    <s v="Yes"/>
    <s v="Yes"/>
    <s v="Precalc - Exponentials and Logs"/>
    <s v="No"/>
    <s v="YES"/>
    <n v="50"/>
  </r>
  <r>
    <x v="1"/>
    <d v="2022-10-15T00:00:00"/>
    <n v="1"/>
    <n v="60"/>
    <n v="60"/>
    <s v="Yes"/>
    <s v="Yes"/>
    <s v="Choreography Review"/>
    <s v="No"/>
    <s v="YES"/>
    <n v="60"/>
  </r>
  <r>
    <x v="2"/>
    <d v="2022-10-18T00:00:00"/>
    <n v="3.5"/>
    <n v="50"/>
    <n v="175"/>
    <s v="Yes"/>
    <s v="Yes"/>
    <s v="TN and CoC Essay Supplement Finalization"/>
    <s v="Yes"/>
    <s v="No - Venmo b/c tip; sent to personal account but transferred accordingly (sent to Eric and Eric venmo'd business acc)"/>
    <n v="200"/>
  </r>
  <r>
    <x v="2"/>
    <d v="2022-10-23T00:00:00"/>
    <n v="1"/>
    <n v="50"/>
    <n v="50"/>
    <s v="Yes"/>
    <s v="Yes"/>
    <s v="Bama Honors Appliation"/>
    <s v="No"/>
    <s v="No - venmo b/c tip"/>
    <n v="50"/>
  </r>
  <r>
    <x v="3"/>
    <d v="2022-10-03T00:00:00"/>
    <n v="1"/>
    <n v="50"/>
    <n v="50"/>
    <s v="Yes"/>
    <s v="Yes"/>
    <s v="SAT Math, Piecewise Functions Test"/>
    <s v="No"/>
    <s v="YES"/>
    <n v="50"/>
  </r>
  <r>
    <x v="4"/>
    <d v="2022-10-08T00:00:00"/>
    <n v="1"/>
    <n v="60"/>
    <n v="60"/>
    <s v="Yes"/>
    <s v="Yes"/>
    <s v="Algebra 1"/>
    <s v="No"/>
    <s v="YES"/>
    <n v="60"/>
  </r>
  <r>
    <x v="4"/>
    <d v="2022-10-12T00:00:00"/>
    <n v="1"/>
    <n v="60"/>
    <n v="60"/>
    <s v="Yes"/>
    <s v="Yes"/>
    <s v="Algebra 1"/>
    <s v="No"/>
    <s v="YES"/>
    <n v="60"/>
  </r>
  <r>
    <x v="4"/>
    <d v="2022-10-19T00:00:00"/>
    <n v="1.25"/>
    <n v="60"/>
    <n v="75"/>
    <s v="Yes"/>
    <s v="Yes"/>
    <s v="Algebra 1 Review"/>
    <s v="No"/>
    <s v="YES"/>
    <n v="75"/>
  </r>
  <r>
    <x v="5"/>
    <d v="2022-10-22T00:00:00"/>
    <n v="1"/>
    <n v="60"/>
    <n v="60"/>
    <s v="Yes"/>
    <s v="Yes"/>
    <s v="Algebra 1"/>
    <s v="No"/>
    <s v="YES"/>
    <n v="60"/>
  </r>
  <r>
    <x v="6"/>
    <d v="2022-10-11T00:00:00"/>
    <n v="1"/>
    <n v="50"/>
    <n v="50"/>
    <s v="Yes"/>
    <s v="Yes"/>
    <s v="Precalc - piecewise functions"/>
    <s v="No"/>
    <s v="YES"/>
    <n v="50"/>
  </r>
  <r>
    <x v="6"/>
    <d v="2022-10-17T00:00:00"/>
    <n v="1.5"/>
    <n v="50"/>
    <n v="75"/>
    <s v="Yes"/>
    <s v="Yes"/>
    <s v="Limits and Discontinuity"/>
    <s v="No"/>
    <s v="YES"/>
    <n v="75"/>
  </r>
  <r>
    <x v="7"/>
    <d v="2022-10-17T00:00:00"/>
    <n v="1.5"/>
    <n v="50"/>
    <n v="75"/>
    <s v="Yes"/>
    <s v="Yes"/>
    <s v="Business Calculus"/>
    <s v="No"/>
    <s v="YES"/>
    <n v="75"/>
  </r>
  <r>
    <x v="7"/>
    <d v="2022-10-23T00:00:00"/>
    <n v="1.5"/>
    <n v="50"/>
    <n v="75"/>
    <s v="Yes"/>
    <s v="Yes"/>
    <s v="Business Calculus"/>
    <s v="No"/>
    <s v="YES"/>
    <n v="75"/>
  </r>
  <r>
    <x v="8"/>
    <d v="2022-10-02T00:00:00"/>
    <n v="1.5"/>
    <n v="50"/>
    <n v="75"/>
    <s v="Yes"/>
    <s v="Yes"/>
    <s v="Common App Finalizaiton"/>
    <s v="No"/>
    <s v="No"/>
    <n v="75"/>
  </r>
  <r>
    <x v="9"/>
    <d v="2022-10-02T00:00:00"/>
    <n v="2"/>
    <n v="50"/>
    <n v="100"/>
    <s v="Yes"/>
    <s v="Yes"/>
    <s v="ACT Math"/>
    <s v="No"/>
    <s v="No"/>
    <n v="100"/>
  </r>
  <r>
    <x v="9"/>
    <d v="2022-10-20T00:00:00"/>
    <n v="1.5"/>
    <n v="50"/>
    <n v="75"/>
    <s v="Yes"/>
    <s v="Yes"/>
    <s v="ACT Math"/>
    <s v="No"/>
    <s v="No - received via PayPal and Transferred"/>
    <n v="75"/>
  </r>
  <r>
    <x v="10"/>
    <d v="2022-10-13T00:00:00"/>
    <n v="2"/>
    <n v="50"/>
    <n v="100"/>
    <s v="Yes"/>
    <s v="Yes"/>
    <s v="College Essay"/>
    <s v="No"/>
    <s v="YES"/>
    <n v="100"/>
  </r>
  <r>
    <x v="11"/>
    <d v="2022-10-22T00:00:00"/>
    <n v="0.5"/>
    <n v="60"/>
    <n v="30"/>
    <s v="Yes"/>
    <s v="Yes"/>
    <s v="Private lesson"/>
    <s v="No"/>
    <s v="YES"/>
    <n v="30"/>
  </r>
  <r>
    <x v="12"/>
    <d v="2022-10-23T00:00:00"/>
    <n v="2"/>
    <n v="50"/>
    <n v="100"/>
    <s v="Yes"/>
    <s v="Yes"/>
    <s v="AP Test Advice, Volunteering advice, SAT Math"/>
    <s v="No"/>
    <s v="YES"/>
    <n v="100"/>
  </r>
  <r>
    <x v="12"/>
    <d v="2022-10-29T00:00:00"/>
    <n v="1"/>
    <n v="50"/>
    <n v="50"/>
    <s v="Yes"/>
    <s v="Yes"/>
    <s v="SAT Math"/>
    <s v="No"/>
    <s v="YES"/>
    <n v="50"/>
  </r>
  <r>
    <x v="12"/>
    <d v="2022-10-31T00:00:00"/>
    <n v="1"/>
    <n v="50"/>
    <n v="50"/>
    <s v="Yes"/>
    <s v="Yes"/>
    <s v="SAT Math"/>
    <s v="No"/>
    <s v="YES"/>
    <n v="50"/>
  </r>
  <r>
    <x v="13"/>
    <d v="2022-10-04T00:00:00"/>
    <n v="1"/>
    <n v="50"/>
    <n v="50"/>
    <s v="Yes"/>
    <s v="Yes"/>
    <s v="AOS Integrated Math + Science"/>
    <s v="No"/>
    <s v="YES"/>
    <n v="50"/>
  </r>
  <r>
    <x v="13"/>
    <d v="2022-10-06T00:00:00"/>
    <n v="2"/>
    <n v="50"/>
    <n v="100"/>
    <s v="Yes"/>
    <s v="Yes"/>
    <s v="AOS Integrated Math + Science"/>
    <s v="No"/>
    <s v="YES"/>
    <n v="100"/>
  </r>
  <r>
    <x v="13"/>
    <d v="2022-10-17T00:00:00"/>
    <n v="1.5"/>
    <n v="50"/>
    <n v="75"/>
    <s v="Yes"/>
    <s v="Yes"/>
    <s v="Math and Physics Review"/>
    <s v="No"/>
    <s v="YES"/>
    <n v="75"/>
  </r>
  <r>
    <x v="13"/>
    <d v="2022-10-23T00:00:00"/>
    <n v="1"/>
    <n v="50"/>
    <n v="75"/>
    <s v="Yes"/>
    <s v="Yes"/>
    <s v="AOS Integrated Math + Science"/>
    <s v="No"/>
    <s v="YES"/>
    <n v="75"/>
  </r>
  <r>
    <x v="13"/>
    <d v="2022-10-24T00:00:00"/>
    <n v="1"/>
    <n v="50"/>
    <n v="50"/>
    <s v="Yes"/>
    <s v="Yes"/>
    <s v="AOS Integrated Math + Science"/>
    <s v="No"/>
    <s v="YES"/>
    <n v="50"/>
  </r>
  <r>
    <x v="13"/>
    <d v="2022-10-25T00:00:00"/>
    <n v="1"/>
    <n v="50"/>
    <n v="50"/>
    <s v="Yes"/>
    <s v="Yes"/>
    <s v="AOS Integrated Math + Science"/>
    <s v="No"/>
    <s v="YES"/>
    <n v="50"/>
  </r>
  <r>
    <x v="13"/>
    <d v="2022-10-26T00:00:00"/>
    <n v="1.25"/>
    <n v="50"/>
    <n v="62.5"/>
    <s v="Yes"/>
    <s v="Yes"/>
    <s v="AOS Integrated Math + Science"/>
    <s v="No"/>
    <s v="YES"/>
    <n v="62.5"/>
  </r>
  <r>
    <x v="14"/>
    <d v="2022-10-12T00:00:00"/>
    <n v="1.5"/>
    <n v="50"/>
    <n v="75"/>
    <s v="Yes"/>
    <s v="Yes"/>
    <s v="Geometry"/>
    <s v="No"/>
    <s v="YES"/>
    <n v="75"/>
  </r>
  <r>
    <x v="15"/>
    <d v="2022-10-26T00:00:00"/>
    <n v="1"/>
    <n v="60"/>
    <n v="60"/>
    <s v="Yes (folded into next-day invoice)"/>
    <s v="Yes"/>
    <s v="Physics"/>
    <s v="No"/>
    <s v="YES"/>
    <n v="60"/>
  </r>
  <r>
    <x v="15"/>
    <d v="2022-10-27T00:00:00"/>
    <n v="1"/>
    <n v="60"/>
    <n v="60"/>
    <s v="Yes"/>
    <s v="Yes"/>
    <s v="Physics"/>
    <s v="No"/>
    <s v="YES"/>
    <n v="60"/>
  </r>
  <r>
    <x v="16"/>
    <d v="2022-10-06T00:00:00"/>
    <n v="1.5"/>
    <n v="50"/>
    <n v="75"/>
    <s v="Yes"/>
    <s v="Yes"/>
    <s v="Supplemental Essays"/>
    <s v="No"/>
    <s v="YES"/>
    <n v="75"/>
  </r>
  <r>
    <x v="16"/>
    <d v="2022-10-21T00:00:00"/>
    <n v="2"/>
    <n v="50"/>
    <n v="100"/>
    <s v="Yes"/>
    <s v="Yes"/>
    <s v="College Essay"/>
    <s v="No"/>
    <s v="YES"/>
    <n v="100"/>
  </r>
  <r>
    <x v="16"/>
    <d v="2022-10-23T00:00:00"/>
    <n v="0.5"/>
    <n v="50"/>
    <n v="25"/>
    <s v="No"/>
    <s v="Yes"/>
    <s v="College Essay"/>
    <s v="No"/>
    <s v="YES"/>
    <n v="25"/>
  </r>
  <r>
    <x v="16"/>
    <d v="2022-10-29T00:00:00"/>
    <n v="5"/>
    <n v="50"/>
    <n v="125"/>
    <s v="Yes"/>
    <s v="Yes"/>
    <s v="College Essay"/>
    <s v="No"/>
    <s v="YES"/>
    <n v="250"/>
  </r>
  <r>
    <x v="16"/>
    <d v="2022-10-30T00:00:00"/>
    <n v="2.5"/>
    <n v="50"/>
    <n v="125"/>
    <s v="Yes"/>
    <s v="Yes"/>
    <s v="College Essay"/>
    <s v="No"/>
    <s v="No - asked to send via Zelle. Transferred from personal to biz immediately."/>
    <n v="12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3" cacheId="3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O18:Q36" firstHeaderRow="0" firstDataRow="1" firstDataCol="1"/>
  <pivotFields count="11">
    <pivotField axis="axisRow" showDropDowns="1" compact="1" outline="1" subtotalTop="1" dragToRow="1" dragToCol="1" dragToPage="1" dragToData="1" dragOff="1" showAll="0" topAutoShow="1" itemPageCount="10" sortType="manual" defaultSubtotal="1">
      <items count="1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efault" sd="1"/>
      </items>
    </pivotField>
    <pivotField showDropDowns="1" compact="1" numFmtId="16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Hours" fld="2" subtotal="sum" showDataAs="normal" baseField="0" baseItem="0"/>
    <dataField name="Sum of Coin" fld="4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2" cacheId="37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O10:Q20" firstHeaderRow="0" firstDataRow="1" firstDataCol="1"/>
  <pivotFields count="10">
    <pivotField axis="axisRow" showDropDowns="1" compact="1" outline="1" subtotalTop="1" dragToRow="1" dragToCol="1" dragToPage="1" dragToData="1" dragOff="1" showAll="0" topAutoShow="1" itemPageCount="10" sortType="manual" defaultSubtotal="1">
      <items count="10">
        <item t="data" sd="1" x="5"/>
        <item t="data" sd="1" x="2"/>
        <item t="data" sd="1" x="7"/>
        <item t="data" sd="1" x="3"/>
        <item t="data" sd="1" x="4"/>
        <item t="data" sd="1" x="1"/>
        <item t="data" sd="1" x="6"/>
        <item t="data" sd="1" x="0"/>
        <item t="data" sd="1" x="8"/>
        <item t="default" sd="1"/>
      </items>
    </pivotField>
    <pivotField showDropDowns="1" compact="1" numFmtId="16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Hours" fld="2" subtotal="sum" showDataAs="normal" baseField="0" baseItem="0"/>
    <dataField name="Sum of Coin" fld="4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" cacheId="38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O5:Q11" firstHeaderRow="0" firstDataRow="1" firstDataCol="1"/>
  <pivotFields count="10"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0"/>
        <item t="data" sd="1" x="2"/>
        <item t="data" sd="1" x="4"/>
        <item t="data" sd="1" x="1"/>
        <item t="data" sd="1" x="3"/>
        <item t="default" sd="1"/>
      </items>
    </pivotField>
    <pivotField showDropDowns="1" compact="1" numFmtId="14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Hours" fld="2" subtotal="sum" showDataAs="normal" baseField="0" baseItem="0"/>
    <dataField name="Sum of Coin" fld="4" subtotal="sum" showDataAs="normal" baseField="0" baseItem="0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3" cacheId="39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R2:T14" firstHeaderRow="0" firstDataRow="1" firstDataCol="1"/>
  <pivotFields count="11">
    <pivotField axis="axisRow" showDropDowns="1" compact="1" outline="1" subtotalTop="1" dragToRow="1" dragToCol="1" dragToPage="1" dragToData="1" dragOff="1" showAll="0" topAutoShow="1" itemPageCount="10" sortType="manual" defaultSubtotal="1">
      <items count="1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efault" sd="1"/>
      </items>
    </pivotField>
    <pivotField showDropDowns="1" compact="1" numFmtId="16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dataFields count="2">
    <dataField name="Sum of Hours" fld="2" subtotal="sum" showDataAs="normal" baseField="0" baseItem="0"/>
    <dataField name="Sum of Coin" fld="4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3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14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15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topLeftCell="A2" workbookViewId="0">
      <selection activeCell="B2" sqref="B2"/>
    </sheetView>
  </sheetViews>
  <sheetFormatPr baseColWidth="8" defaultColWidth="8.7109375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 fitToPage="1"/>
  </sheetPr>
  <dimension ref="B9:X48"/>
  <sheetViews>
    <sheetView showGridLines="0" topLeftCell="A6" zoomScale="50" zoomScaleNormal="70" workbookViewId="0">
      <selection activeCell="A8" sqref="A8:Y49"/>
    </sheetView>
  </sheetViews>
  <sheetFormatPr baseColWidth="8" defaultColWidth="8.7109375" defaultRowHeight="15"/>
  <cols>
    <col width="48.42578125" customWidth="1" style="627" min="3" max="3"/>
    <col hidden="1" outlineLevel="1" width="10" customWidth="1" style="627" min="4" max="4"/>
    <col collapsed="1" width="14.28515625" bestFit="1" customWidth="1" style="627" min="5" max="5"/>
    <col width="13.7109375" bestFit="1" customWidth="1" style="627" min="6" max="6"/>
    <col width="14.7109375" bestFit="1" customWidth="1" style="627" min="7" max="7"/>
    <col width="14.7109375" customWidth="1" style="627" min="8" max="9"/>
    <col hidden="1" outlineLevel="1" width="14.7109375" customWidth="1" style="627" min="10" max="11"/>
    <col collapsed="1" width="8.7109375" customWidth="1" style="627" min="12" max="12"/>
  </cols>
  <sheetData>
    <row r="8" ht="15.75" customHeight="1" s="627" thickBot="1"/>
    <row r="9">
      <c r="B9" s="91" t="n"/>
      <c r="C9" s="92" t="n"/>
      <c r="D9" s="624" t="n"/>
      <c r="E9" s="624" t="n"/>
      <c r="F9" s="624" t="n"/>
      <c r="G9" s="624" t="n"/>
      <c r="H9" s="624" t="n"/>
      <c r="I9" s="624" t="n"/>
      <c r="J9" s="624" t="n"/>
      <c r="K9" s="624" t="n"/>
      <c r="L9" s="625" t="n"/>
      <c r="M9" s="91" t="n"/>
      <c r="N9" s="624" t="n"/>
      <c r="O9" s="624" t="n"/>
      <c r="P9" s="624" t="n"/>
      <c r="Q9" s="624" t="n"/>
      <c r="R9" s="624" t="n"/>
      <c r="S9" s="624" t="n"/>
      <c r="T9" s="624" t="n"/>
      <c r="U9" s="624" t="n"/>
      <c r="V9" s="624" t="n"/>
      <c r="W9" s="624" t="n"/>
      <c r="X9" s="625" t="n"/>
    </row>
    <row r="10">
      <c r="B10" s="626" t="n"/>
      <c r="C10" s="7" t="n"/>
      <c r="L10" s="628" t="n"/>
      <c r="M10" s="626" t="n"/>
      <c r="X10" s="628" t="n"/>
    </row>
    <row r="11">
      <c r="B11" s="626" t="n"/>
      <c r="C11" s="7" t="n"/>
      <c r="L11" s="628" t="n"/>
      <c r="M11" s="626" t="n"/>
      <c r="X11" s="628" t="n"/>
    </row>
    <row r="12">
      <c r="B12" s="626" t="n"/>
      <c r="C12" s="7" t="n"/>
      <c r="L12" s="628" t="n"/>
      <c r="M12" s="626" t="n"/>
      <c r="X12" s="628" t="n"/>
    </row>
    <row r="13">
      <c r="B13" s="626" t="n"/>
      <c r="C13" s="7" t="n"/>
      <c r="L13" s="628" t="n"/>
      <c r="M13" s="626" t="n"/>
      <c r="X13" s="628" t="n"/>
    </row>
    <row r="14">
      <c r="B14" s="626" t="n"/>
      <c r="C14" s="7" t="n"/>
      <c r="L14" s="628" t="n"/>
      <c r="M14" s="626" t="n"/>
      <c r="X14" s="628" t="n"/>
    </row>
    <row r="15">
      <c r="B15" s="626" t="n"/>
      <c r="C15" s="7" t="n"/>
      <c r="L15" s="628" t="n"/>
      <c r="M15" s="626" t="n"/>
      <c r="X15" s="628" t="n"/>
    </row>
    <row r="16" ht="15.75" customHeight="1" s="627" thickBot="1">
      <c r="B16" s="626" t="n"/>
      <c r="C16" s="7" t="n"/>
      <c r="L16" s="628" t="n"/>
      <c r="M16" s="626" t="n"/>
      <c r="X16" s="628" t="n"/>
    </row>
    <row r="17" ht="15.75" customHeight="1" s="627">
      <c r="B17" s="97" t="n"/>
      <c r="C17" s="280" t="n"/>
      <c r="D17" s="281" t="n">
        <v>2023</v>
      </c>
      <c r="E17" s="281">
        <f>+D17+1</f>
        <v/>
      </c>
      <c r="F17" s="281">
        <f>+E17+1</f>
        <v/>
      </c>
      <c r="G17" s="281">
        <f>+F17+1</f>
        <v/>
      </c>
      <c r="H17" s="281">
        <f>+G17+1</f>
        <v/>
      </c>
      <c r="I17" s="281">
        <f>+H17+1</f>
        <v/>
      </c>
      <c r="J17" s="281">
        <f>+I17+1</f>
        <v/>
      </c>
      <c r="K17" s="282">
        <f>+J17+1</f>
        <v/>
      </c>
      <c r="L17" s="98" t="n"/>
      <c r="M17" s="97" t="n"/>
      <c r="N17" s="99" t="n"/>
      <c r="O17" s="99" t="n"/>
      <c r="P17" s="99" t="n"/>
      <c r="Q17" s="99" t="n"/>
      <c r="R17" s="99" t="n"/>
      <c r="S17" s="99" t="n"/>
      <c r="T17" s="99" t="n"/>
      <c r="U17" s="99" t="n"/>
      <c r="V17" s="99" t="n"/>
      <c r="W17" s="99" t="n"/>
      <c r="X17" s="98" t="n"/>
    </row>
    <row r="18" ht="6.4" customHeight="1" s="627">
      <c r="B18" s="626" t="n"/>
      <c r="C18" s="283" t="n"/>
      <c r="D18" s="284" t="n"/>
      <c r="E18" s="284" t="n"/>
      <c r="F18" s="284" t="n"/>
      <c r="G18" s="284" t="n"/>
      <c r="H18" s="284" t="n"/>
      <c r="I18" s="285" t="n"/>
      <c r="J18" s="284" t="n"/>
      <c r="K18" s="285" t="n"/>
      <c r="L18" s="628" t="n"/>
      <c r="M18" s="626" t="n"/>
      <c r="X18" s="628" t="n"/>
    </row>
    <row r="19">
      <c r="B19" s="626" t="n"/>
      <c r="C19" s="209" t="inlineStr">
        <is>
          <t>Service Income</t>
        </is>
      </c>
      <c r="D19" s="646">
        <f>SUMIF('Monthly Detail'!$1:$1,'Annual Summary'!D$17, 'Monthly Detail'!9:9)</f>
        <v/>
      </c>
      <c r="E19" s="646">
        <f>SUMIF('Monthly Detail'!$1:$1,'Annual Summary'!E$17, 'Monthly Detail'!9:9)</f>
        <v/>
      </c>
      <c r="F19" s="646">
        <f>SUMIF('Monthly Detail'!$1:$1,'Annual Summary'!F$17, 'Monthly Detail'!9:9)</f>
        <v/>
      </c>
      <c r="G19" s="646">
        <f>SUMIF('Monthly Detail'!$1:$1,'Annual Summary'!G$17, 'Monthly Detail'!9:9)</f>
        <v/>
      </c>
      <c r="H19" s="646">
        <f>SUMIF('Monthly Detail'!$1:$1,'Annual Summary'!H$17, 'Monthly Detail'!9:9)</f>
        <v/>
      </c>
      <c r="I19" s="647">
        <f>SUMIF('Monthly Detail'!$1:$1,'Annual Summary'!I$17, 'Monthly Detail'!9:9)</f>
        <v/>
      </c>
      <c r="J19" s="646">
        <f>SUMIF('Monthly Detail'!$1:$1,'Annual Summary'!J$17, 'Monthly Detail'!9:9)</f>
        <v/>
      </c>
      <c r="K19" s="647">
        <f>SUMIF('Monthly Detail'!$1:$1,'Annual Summary'!K$17, 'Monthly Detail'!9:9)</f>
        <v/>
      </c>
      <c r="L19" s="628" t="n"/>
      <c r="M19" s="626" t="n"/>
      <c r="X19" s="628" t="n"/>
    </row>
    <row r="20">
      <c r="B20" s="626" t="n"/>
      <c r="C20" s="209" t="inlineStr">
        <is>
          <t>Misc</t>
        </is>
      </c>
      <c r="D20" s="646">
        <f>SUMIF('Monthly Detail'!$1:$1,'Annual Summary'!D$17, 'Monthly Detail'!12:12)</f>
        <v/>
      </c>
      <c r="E20" s="646">
        <f>SUMIF('Monthly Detail'!$1:$1,'Annual Summary'!E$17, 'Monthly Detail'!12:12)</f>
        <v/>
      </c>
      <c r="F20" s="646">
        <f>SUMIF('Monthly Detail'!$1:$1,'Annual Summary'!F$17, 'Monthly Detail'!12:12)</f>
        <v/>
      </c>
      <c r="G20" s="646">
        <f>SUMIF('Monthly Detail'!$1:$1,'Annual Summary'!G$17, 'Monthly Detail'!12:12)</f>
        <v/>
      </c>
      <c r="H20" s="646">
        <f>SUMIF('Monthly Detail'!$1:$1,'Annual Summary'!H$17, 'Monthly Detail'!12:12)</f>
        <v/>
      </c>
      <c r="I20" s="647">
        <f>SUMIF('Monthly Detail'!$1:$1,'Annual Summary'!I$17, 'Monthly Detail'!12:12)</f>
        <v/>
      </c>
      <c r="J20" s="646">
        <f>SUMIF('Monthly Detail'!$1:$1,'Annual Summary'!J$17, 'Monthly Detail'!12:12)</f>
        <v/>
      </c>
      <c r="K20" s="647">
        <f>SUMIF('Monthly Detail'!$1:$1,'Annual Summary'!K$17, 'Monthly Detail'!12:12)</f>
        <v/>
      </c>
      <c r="L20" s="628" t="n"/>
      <c r="M20" s="626" t="n"/>
      <c r="X20" s="628" t="n"/>
    </row>
    <row r="21" ht="15.75" customHeight="1" s="627" thickBot="1">
      <c r="B21" s="626" t="n"/>
      <c r="C21" s="648" t="inlineStr">
        <is>
          <t>Total Income</t>
        </is>
      </c>
      <c r="D21" s="649">
        <f>SUM(D19:D20)</f>
        <v/>
      </c>
      <c r="E21" s="649">
        <f>SUM(E19:E20)</f>
        <v/>
      </c>
      <c r="F21" s="649">
        <f>SUM(F19:F20)</f>
        <v/>
      </c>
      <c r="G21" s="649">
        <f>SUM(G19:G20)</f>
        <v/>
      </c>
      <c r="H21" s="649">
        <f>SUM(H19:H20)</f>
        <v/>
      </c>
      <c r="I21" s="650">
        <f>SUM(I19:I20)</f>
        <v/>
      </c>
      <c r="J21" s="649">
        <f>SUM(J19:J20)</f>
        <v/>
      </c>
      <c r="K21" s="650">
        <f>SUM(K19:K20)</f>
        <v/>
      </c>
      <c r="L21" s="628" t="n"/>
      <c r="M21" s="626" t="n"/>
      <c r="X21" s="628" t="n"/>
    </row>
    <row r="22">
      <c r="B22" s="626" t="n"/>
      <c r="C22" s="651" t="inlineStr">
        <is>
          <t># of Appointments</t>
        </is>
      </c>
      <c r="D22" s="652">
        <f>SUMIF('Monthly Detail'!$1:$1,'Annual Summary'!D$17, 'Monthly Detail'!15:15)</f>
        <v/>
      </c>
      <c r="E22" s="652">
        <f>SUMIF('Monthly Detail'!$1:$1,'Annual Summary'!E$17, 'Monthly Detail'!15:15)</f>
        <v/>
      </c>
      <c r="F22" s="652">
        <f>SUMIF('Monthly Detail'!$1:$1,'Annual Summary'!F$17, 'Monthly Detail'!15:15)</f>
        <v/>
      </c>
      <c r="G22" s="652">
        <f>SUMIF('Monthly Detail'!$1:$1,'Annual Summary'!G$17, 'Monthly Detail'!15:15)</f>
        <v/>
      </c>
      <c r="H22" s="652">
        <f>SUMIF('Monthly Detail'!$1:$1,'Annual Summary'!H$17, 'Monthly Detail'!15:15)</f>
        <v/>
      </c>
      <c r="I22" s="653">
        <f>SUMIF('Monthly Detail'!$1:$1,'Annual Summary'!I$17, 'Monthly Detail'!15:15)</f>
        <v/>
      </c>
      <c r="J22" s="652">
        <f>SUMIF('Monthly Detail'!$1:$1,'Annual Summary'!J$17, 'Monthly Detail'!15:15)</f>
        <v/>
      </c>
      <c r="K22" s="653">
        <f>SUMIF('Monthly Detail'!$1:$1,'Annual Summary'!K$17, 'Monthly Detail'!15:15)</f>
        <v/>
      </c>
      <c r="L22" s="628" t="n"/>
      <c r="M22" s="626" t="n"/>
      <c r="X22" s="628" t="n"/>
    </row>
    <row r="23">
      <c r="B23" s="626" t="n"/>
      <c r="C23" s="654" t="inlineStr">
        <is>
          <t>MRR</t>
        </is>
      </c>
      <c r="D23" s="655">
        <f>AVERAGEIF('Monthly Detail'!$1:$1,'Annual Summary'!D$17, 'Monthly Detail'!41:41)</f>
        <v/>
      </c>
      <c r="E23" s="655">
        <f>AVERAGEIF('Monthly Detail'!$1:$1,'Annual Summary'!E$17, 'Monthly Detail'!41:41)</f>
        <v/>
      </c>
      <c r="F23" s="655">
        <f>AVERAGEIF('Monthly Detail'!$1:$1,'Annual Summary'!F$17, 'Monthly Detail'!41:41)</f>
        <v/>
      </c>
      <c r="G23" s="655">
        <f>AVERAGEIF('Monthly Detail'!$1:$1,'Annual Summary'!G$17, 'Monthly Detail'!41:41)</f>
        <v/>
      </c>
      <c r="H23" s="655">
        <f>AVERAGEIF('Monthly Detail'!$1:$1,'Annual Summary'!H$17, 'Monthly Detail'!41:41)</f>
        <v/>
      </c>
      <c r="I23" s="656">
        <f>AVERAGEIF('Monthly Detail'!$1:$1,'Annual Summary'!I$17, 'Monthly Detail'!41:41)</f>
        <v/>
      </c>
      <c r="J23" s="655">
        <f>AVERAGEIF('Monthly Detail'!$1:$1,'Annual Summary'!J$17, 'Monthly Detail'!41:41)</f>
        <v/>
      </c>
      <c r="K23" s="656">
        <f>AVERAGEIF('Monthly Detail'!$1:$1,'Annual Summary'!K$17, 'Monthly Detail'!41:41)</f>
        <v/>
      </c>
      <c r="L23" s="628" t="n"/>
      <c r="M23" s="626" t="n"/>
      <c r="X23" s="628" t="n"/>
    </row>
    <row r="24">
      <c r="B24" s="626" t="n"/>
      <c r="C24" s="654" t="inlineStr">
        <is>
          <t>Recurring Client Base</t>
        </is>
      </c>
      <c r="D24" s="657">
        <f>AVERAGEIF('Monthly Detail'!$1:$1,'Annual Summary'!D$17, 'Monthly Detail'!17:17)</f>
        <v/>
      </c>
      <c r="E24" s="657">
        <f>AVERAGEIF('Monthly Detail'!$1:$1,'Annual Summary'!E$17, 'Monthly Detail'!17:17)</f>
        <v/>
      </c>
      <c r="F24" s="657">
        <f>AVERAGEIF('Monthly Detail'!$1:$1,'Annual Summary'!F$17, 'Monthly Detail'!17:17)</f>
        <v/>
      </c>
      <c r="G24" s="657">
        <f>AVERAGEIF('Monthly Detail'!$1:$1,'Annual Summary'!G$17, 'Monthly Detail'!17:17)</f>
        <v/>
      </c>
      <c r="H24" s="657">
        <f>AVERAGEIF('Monthly Detail'!$1:$1,'Annual Summary'!H$17, 'Monthly Detail'!17:17)</f>
        <v/>
      </c>
      <c r="I24" s="658">
        <f>AVERAGEIF('Monthly Detail'!$1:$1,'Annual Summary'!I$17, 'Monthly Detail'!17:17)</f>
        <v/>
      </c>
      <c r="J24" s="657">
        <f>AVERAGEIF('Monthly Detail'!$1:$1,'Annual Summary'!J$17, 'Monthly Detail'!17:17)</f>
        <v/>
      </c>
      <c r="K24" s="658">
        <f>AVERAGEIF('Monthly Detail'!$1:$1,'Annual Summary'!K$17, 'Monthly Detail'!17:17)</f>
        <v/>
      </c>
      <c r="L24" s="628" t="n"/>
      <c r="M24" s="626" t="n"/>
      <c r="X24" s="628" t="n"/>
    </row>
    <row r="25" ht="10.9" customHeight="1" s="627">
      <c r="B25" s="626" t="n"/>
      <c r="C25" s="288" t="inlineStr">
        <is>
          <t>YOY Compounded Growth %</t>
        </is>
      </c>
      <c r="D25" s="127" t="n"/>
      <c r="E25" s="464" t="inlineStr">
        <is>
          <t>-</t>
        </is>
      </c>
      <c r="F25" s="127">
        <f>(F21/E21)-1</f>
        <v/>
      </c>
      <c r="G25" s="127">
        <f>(G21/F21)-1</f>
        <v/>
      </c>
      <c r="H25" s="127">
        <f>(H21/G21)-1</f>
        <v/>
      </c>
      <c r="I25" s="289">
        <f>(I21/H21)-1</f>
        <v/>
      </c>
      <c r="J25" s="127">
        <f>(J21/I21)-1</f>
        <v/>
      </c>
      <c r="K25" s="289">
        <f>(K21/J21)-1</f>
        <v/>
      </c>
      <c r="L25" s="628" t="n"/>
      <c r="M25" s="626" t="n"/>
      <c r="X25" s="628" t="n"/>
    </row>
    <row r="26" ht="4.9" customHeight="1" s="627">
      <c r="B26" s="626" t="n"/>
      <c r="C26" s="208" t="n"/>
      <c r="I26" s="628" t="n"/>
      <c r="K26" s="628" t="n"/>
      <c r="L26" s="628" t="n"/>
      <c r="M26" s="626" t="n"/>
      <c r="X26" s="628" t="n"/>
    </row>
    <row r="27">
      <c r="B27" s="626" t="n"/>
      <c r="C27" s="208" t="inlineStr">
        <is>
          <t xml:space="preserve">   Materials - COGS</t>
        </is>
      </c>
      <c r="D27" s="646">
        <f>SUMIF('Monthly Detail'!$1:$1,'Annual Summary'!D$17, 'Monthly Detail'!58:58)</f>
        <v/>
      </c>
      <c r="E27" s="646">
        <f>SUMIF('Monthly Detail'!$1:$1,'Annual Summary'!E$17, 'Monthly Detail'!58:58)</f>
        <v/>
      </c>
      <c r="F27" s="646">
        <f>SUMIF('Monthly Detail'!$1:$1,'Annual Summary'!F$17, 'Monthly Detail'!58:58)</f>
        <v/>
      </c>
      <c r="G27" s="646">
        <f>SUMIF('Monthly Detail'!$1:$1,'Annual Summary'!G$17, 'Monthly Detail'!58:58)</f>
        <v/>
      </c>
      <c r="H27" s="646">
        <f>SUMIF('Monthly Detail'!$1:$1,'Annual Summary'!H$17, 'Monthly Detail'!58:58)</f>
        <v/>
      </c>
      <c r="I27" s="647">
        <f>SUMIF('Monthly Detail'!$1:$1,'Annual Summary'!I$17, 'Monthly Detail'!58:58)</f>
        <v/>
      </c>
      <c r="J27" s="646">
        <f>SUMIF('Monthly Detail'!$1:$1,'Annual Summary'!J$17, 'Monthly Detail'!58:58)</f>
        <v/>
      </c>
      <c r="K27" s="647">
        <f>SUMIF('Monthly Detail'!$1:$1,'Annual Summary'!K$17, 'Monthly Detail'!58:58)</f>
        <v/>
      </c>
      <c r="L27" s="628" t="n"/>
      <c r="M27" s="626" t="n"/>
      <c r="X27" s="628" t="n"/>
    </row>
    <row r="28">
      <c r="B28" s="626" t="n"/>
      <c r="C28" s="208" t="inlineStr">
        <is>
          <t xml:space="preserve">   Software - COS</t>
        </is>
      </c>
      <c r="D28" s="646">
        <f>SUMIF('Monthly Detail'!$1:$1,'Annual Summary'!D$17, 'Monthly Detail'!59:59)</f>
        <v/>
      </c>
      <c r="E28" s="646">
        <f>SUMIF('Monthly Detail'!$1:$1,'Annual Summary'!E$17, 'Monthly Detail'!59:59)</f>
        <v/>
      </c>
      <c r="F28" s="646">
        <f>SUMIF('Monthly Detail'!$1:$1,'Annual Summary'!F$17, 'Monthly Detail'!59:59)</f>
        <v/>
      </c>
      <c r="G28" s="646">
        <f>SUMIF('Monthly Detail'!$1:$1,'Annual Summary'!G$17, 'Monthly Detail'!59:59)</f>
        <v/>
      </c>
      <c r="H28" s="646">
        <f>SUMIF('Monthly Detail'!$1:$1,'Annual Summary'!H$17, 'Monthly Detail'!59:59)</f>
        <v/>
      </c>
      <c r="I28" s="647">
        <f>SUMIF('Monthly Detail'!$1:$1,'Annual Summary'!I$17, 'Monthly Detail'!59:59)</f>
        <v/>
      </c>
      <c r="J28" s="646">
        <f>SUMIF('Monthly Detail'!$1:$1,'Annual Summary'!J$17, 'Monthly Detail'!59:59)</f>
        <v/>
      </c>
      <c r="K28" s="647">
        <f>SUMIF('Monthly Detail'!$1:$1,'Annual Summary'!K$17, 'Monthly Detail'!59:59)</f>
        <v/>
      </c>
      <c r="L28" s="628" t="n"/>
      <c r="M28" s="626" t="n"/>
      <c r="X28" s="628" t="n"/>
    </row>
    <row r="29">
      <c r="B29" s="626" t="n"/>
      <c r="C29" s="208" t="inlineStr">
        <is>
          <t xml:space="preserve">   Contractors - COS</t>
        </is>
      </c>
      <c r="D29" s="646">
        <f>SUMIF('Monthly Detail'!$1:$1,'Annual Summary'!D$17, 'Monthly Detail'!60:60)</f>
        <v/>
      </c>
      <c r="E29" s="646">
        <f>SUMIF('Monthly Detail'!$1:$1,'Annual Summary'!E$17, 'Monthly Detail'!60:60)</f>
        <v/>
      </c>
      <c r="F29" s="646">
        <f>SUMIF('Monthly Detail'!$1:$1,'Annual Summary'!F$17, 'Monthly Detail'!60:60)</f>
        <v/>
      </c>
      <c r="G29" s="646">
        <f>SUMIF('Monthly Detail'!$1:$1,'Annual Summary'!G$17, 'Monthly Detail'!60:60)</f>
        <v/>
      </c>
      <c r="H29" s="646">
        <f>SUMIF('Monthly Detail'!$1:$1,'Annual Summary'!H$17, 'Monthly Detail'!60:60)</f>
        <v/>
      </c>
      <c r="I29" s="647">
        <f>SUMIF('Monthly Detail'!$1:$1,'Annual Summary'!I$17, 'Monthly Detail'!60:60)</f>
        <v/>
      </c>
      <c r="J29" s="646">
        <f>SUMIF('Monthly Detail'!$1:$1,'Annual Summary'!J$17, 'Monthly Detail'!60:60)</f>
        <v/>
      </c>
      <c r="K29" s="647">
        <f>SUMIF('Monthly Detail'!$1:$1,'Annual Summary'!K$17, 'Monthly Detail'!60:60)</f>
        <v/>
      </c>
      <c r="L29" s="628" t="n"/>
      <c r="M29" s="626" t="n"/>
      <c r="X29" s="628" t="n"/>
    </row>
    <row r="30" ht="15.75" customHeight="1" s="627">
      <c r="B30" s="102" t="n"/>
      <c r="C30" s="659" t="inlineStr">
        <is>
          <t>Total Cost of Goods Sold (COGS)</t>
        </is>
      </c>
      <c r="D30" s="660">
        <f>SUM(D27:D29)</f>
        <v/>
      </c>
      <c r="E30" s="660">
        <f>SUM(E27:E29)</f>
        <v/>
      </c>
      <c r="F30" s="660">
        <f>SUM(F27:F29)</f>
        <v/>
      </c>
      <c r="G30" s="660">
        <f>SUM(G27:G29)</f>
        <v/>
      </c>
      <c r="H30" s="660">
        <f>SUM(H27:H29)</f>
        <v/>
      </c>
      <c r="I30" s="661">
        <f>SUM(I27:I29)</f>
        <v/>
      </c>
      <c r="J30" s="660">
        <f>SUM(J27:J29)</f>
        <v/>
      </c>
      <c r="K30" s="661">
        <f>SUM(K27:K29)</f>
        <v/>
      </c>
      <c r="L30" s="103" t="n"/>
      <c r="M30" s="102" t="n"/>
      <c r="N30" s="104" t="n"/>
      <c r="O30" s="104" t="n"/>
      <c r="P30" s="104" t="n"/>
      <c r="Q30" s="104" t="n"/>
      <c r="R30" s="104" t="n"/>
      <c r="S30" s="104" t="n"/>
      <c r="T30" s="104" t="n"/>
      <c r="U30" s="104" t="n"/>
      <c r="V30" s="104" t="n"/>
      <c r="W30" s="104" t="n"/>
      <c r="X30" s="103" t="n"/>
    </row>
    <row r="31" ht="3" customHeight="1" s="627">
      <c r="B31" s="626" t="n"/>
      <c r="C31" s="208" t="n"/>
      <c r="I31" s="628" t="n"/>
      <c r="K31" s="628" t="n"/>
      <c r="L31" s="628" t="n"/>
      <c r="M31" s="626" t="n"/>
      <c r="X31" s="628" t="n"/>
    </row>
    <row r="32" ht="15.75" customHeight="1" s="627">
      <c r="B32" s="102" t="n"/>
      <c r="C32" s="659" t="inlineStr">
        <is>
          <t>Gross Margin</t>
        </is>
      </c>
      <c r="D32" s="660">
        <f>D21-D30</f>
        <v/>
      </c>
      <c r="E32" s="660">
        <f>E21-E30</f>
        <v/>
      </c>
      <c r="F32" s="660">
        <f>F21-F30</f>
        <v/>
      </c>
      <c r="G32" s="660">
        <f>G21-G30</f>
        <v/>
      </c>
      <c r="H32" s="660">
        <f>H21-H30</f>
        <v/>
      </c>
      <c r="I32" s="661">
        <f>I21-I30</f>
        <v/>
      </c>
      <c r="J32" s="660">
        <f>J21-J30</f>
        <v/>
      </c>
      <c r="K32" s="661">
        <f>K21-K30</f>
        <v/>
      </c>
      <c r="L32" s="103" t="n"/>
      <c r="M32" s="102" t="n"/>
      <c r="N32" s="104" t="n"/>
      <c r="O32" s="104" t="n"/>
      <c r="P32" s="104" t="n"/>
      <c r="Q32" s="104" t="n"/>
      <c r="R32" s="104" t="n"/>
      <c r="S32" s="104" t="n"/>
      <c r="T32" s="104" t="n"/>
      <c r="U32" s="104" t="n"/>
      <c r="V32" s="104" t="n"/>
      <c r="W32" s="104" t="n"/>
      <c r="X32" s="103" t="n"/>
    </row>
    <row r="33">
      <c r="B33" s="626" t="n"/>
      <c r="C33" s="219" t="inlineStr">
        <is>
          <t>GM %</t>
        </is>
      </c>
      <c r="D33" s="662">
        <f>+D32/D21</f>
        <v/>
      </c>
      <c r="E33" s="662">
        <f>+E32/E21</f>
        <v/>
      </c>
      <c r="F33" s="662">
        <f>+F32/F21</f>
        <v/>
      </c>
      <c r="G33" s="662">
        <f>+G32/G21</f>
        <v/>
      </c>
      <c r="H33" s="662">
        <f>+H32/H21</f>
        <v/>
      </c>
      <c r="I33" s="663">
        <f>+I32/I21</f>
        <v/>
      </c>
      <c r="J33" s="662">
        <f>+J32/J21</f>
        <v/>
      </c>
      <c r="K33" s="663">
        <f>+K32/K21</f>
        <v/>
      </c>
      <c r="L33" s="628" t="n"/>
      <c r="M33" s="626" t="n"/>
      <c r="X33" s="628" t="n"/>
    </row>
    <row r="34" ht="3.4" customHeight="1" s="627">
      <c r="B34" s="626" t="n"/>
      <c r="C34" s="208" t="n"/>
      <c r="I34" s="628" t="n"/>
      <c r="K34" s="628" t="n"/>
      <c r="L34" s="628" t="n"/>
      <c r="M34" s="626" t="n"/>
      <c r="X34" s="628" t="n"/>
    </row>
    <row r="35">
      <c r="B35" s="626" t="n"/>
      <c r="C35" s="208" t="inlineStr">
        <is>
          <t>General &amp; Admintrative Expenses</t>
        </is>
      </c>
      <c r="D35" s="664">
        <f>SUMIF('Monthly Detail'!$1:$1,'Annual Summary'!D$17, 'Monthly Detail'!$89:$89)</f>
        <v/>
      </c>
      <c r="E35" s="664">
        <f>SUMIF('Monthly Detail'!$1:$1,'Annual Summary'!E$17, 'Monthly Detail'!$89:$89)+SUMIF('Monthly Detail'!$1:$1,'Annual Summary'!E$17, 'Monthly Detail'!$90:$90)</f>
        <v/>
      </c>
      <c r="F35" s="664">
        <f>SUMIF('Monthly Detail'!$1:$1,'Annual Summary'!F$17, 'Monthly Detail'!$89:$89)+SUMIF('Monthly Detail'!$1:$1,'Annual Summary'!F$17, 'Monthly Detail'!$90:$90)</f>
        <v/>
      </c>
      <c r="G35" s="664">
        <f>SUMIF('Monthly Detail'!$1:$1,'Annual Summary'!G$17, 'Monthly Detail'!$89:$89)+SUMIF('Monthly Detail'!$1:$1,'Annual Summary'!G$17, 'Monthly Detail'!$90:$90)</f>
        <v/>
      </c>
      <c r="H35" s="664">
        <f>SUMIF('Monthly Detail'!$1:$1,'Annual Summary'!H$17, 'Monthly Detail'!$89:$89)+SUMIF('Monthly Detail'!$1:$1,'Annual Summary'!H$17, 'Monthly Detail'!$90:$90)</f>
        <v/>
      </c>
      <c r="I35" s="665">
        <f>SUMIF('Monthly Detail'!$1:$1,'Annual Summary'!I$17, 'Monthly Detail'!$89:$89)+SUMIF('Monthly Detail'!$1:$1,'Annual Summary'!I$17, 'Monthly Detail'!$90:$90)</f>
        <v/>
      </c>
      <c r="J35" s="664">
        <f>SUMIF('Monthly Detail'!$1:$1,'Annual Summary'!J$17, 'Monthly Detail'!$89:$89)</f>
        <v/>
      </c>
      <c r="K35" s="665">
        <f>SUMIF('Monthly Detail'!$1:$1,'Annual Summary'!K$17, 'Monthly Detail'!$89:$89)</f>
        <v/>
      </c>
      <c r="L35" s="628" t="n"/>
      <c r="M35" s="626" t="n"/>
      <c r="X35" s="628" t="n"/>
    </row>
    <row r="36">
      <c r="B36" s="626" t="n"/>
      <c r="C36" s="666" t="inlineStr">
        <is>
          <t>Operating Expense</t>
        </is>
      </c>
      <c r="D36" s="667">
        <f>SUM(D35:D35)</f>
        <v/>
      </c>
      <c r="E36" s="667">
        <f>SUM(E35:E35)</f>
        <v/>
      </c>
      <c r="F36" s="667">
        <f>SUM(F35:F35)</f>
        <v/>
      </c>
      <c r="G36" s="667">
        <f>SUM(G35:G35)</f>
        <v/>
      </c>
      <c r="H36" s="667">
        <f>SUM(H35:H35)</f>
        <v/>
      </c>
      <c r="I36" s="668">
        <f>SUM(I35:I35)</f>
        <v/>
      </c>
      <c r="J36" s="667">
        <f>SUM(J35:J35)</f>
        <v/>
      </c>
      <c r="K36" s="668">
        <f>SUM(K35:K35)</f>
        <v/>
      </c>
      <c r="L36" s="628" t="n"/>
      <c r="M36" s="626" t="n"/>
      <c r="X36" s="628" t="n"/>
    </row>
    <row r="37" ht="3" customHeight="1" s="627">
      <c r="B37" s="626" t="n"/>
      <c r="C37" s="208" t="n"/>
      <c r="I37" s="628" t="n"/>
      <c r="K37" s="628" t="n"/>
      <c r="L37" s="628" t="n"/>
      <c r="M37" s="626" t="n"/>
      <c r="X37" s="628" t="n"/>
    </row>
    <row r="38" ht="15.75" customHeight="1" s="627">
      <c r="B38" s="102" t="n"/>
      <c r="C38" s="659" t="inlineStr">
        <is>
          <t>Net Operating Income (EBITDA)</t>
        </is>
      </c>
      <c r="D38" s="660">
        <f>D32-D36</f>
        <v/>
      </c>
      <c r="E38" s="660">
        <f>E32-E36</f>
        <v/>
      </c>
      <c r="F38" s="660">
        <f>F32-F36</f>
        <v/>
      </c>
      <c r="G38" s="660">
        <f>G32-G36</f>
        <v/>
      </c>
      <c r="H38" s="660">
        <f>H32-H36</f>
        <v/>
      </c>
      <c r="I38" s="661">
        <f>I32-I36</f>
        <v/>
      </c>
      <c r="J38" s="660">
        <f>J32-J36</f>
        <v/>
      </c>
      <c r="K38" s="661">
        <f>K32-K36</f>
        <v/>
      </c>
      <c r="L38" s="103" t="n"/>
      <c r="M38" s="102" t="n"/>
      <c r="N38" s="104" t="n"/>
      <c r="O38" s="104" t="n"/>
      <c r="P38" s="104" t="n"/>
      <c r="Q38" s="104" t="n"/>
      <c r="R38" s="104" t="n"/>
      <c r="S38" s="104" t="n"/>
      <c r="T38" s="104" t="n"/>
      <c r="U38" s="104" t="n"/>
      <c r="V38" s="104" t="n"/>
      <c r="W38" s="104" t="n"/>
      <c r="X38" s="103" t="n"/>
    </row>
    <row r="39">
      <c r="B39" s="626" t="n"/>
      <c r="C39" s="219" t="inlineStr">
        <is>
          <t>EBITDA %</t>
        </is>
      </c>
      <c r="D39" s="662">
        <f>D38/D21</f>
        <v/>
      </c>
      <c r="E39" s="662">
        <f>E38/E21</f>
        <v/>
      </c>
      <c r="F39" s="662">
        <f>F38/F21</f>
        <v/>
      </c>
      <c r="G39" s="662">
        <f>G38/G21</f>
        <v/>
      </c>
      <c r="H39" s="662">
        <f>H38/H21</f>
        <v/>
      </c>
      <c r="I39" s="663">
        <f>I38/I21</f>
        <v/>
      </c>
      <c r="J39" s="662">
        <f>J38/J21</f>
        <v/>
      </c>
      <c r="K39" s="663">
        <f>K38/K21</f>
        <v/>
      </c>
      <c r="L39" s="628" t="n"/>
      <c r="M39" s="626" t="n"/>
      <c r="X39" s="628" t="n"/>
    </row>
    <row r="40" ht="3" customHeight="1" s="627">
      <c r="B40" s="626" t="n"/>
      <c r="C40" s="222" t="n"/>
      <c r="D40" s="669" t="n"/>
      <c r="E40" s="669" t="n"/>
      <c r="F40" s="669" t="n"/>
      <c r="G40" s="669" t="n"/>
      <c r="H40" s="669" t="n"/>
      <c r="I40" s="670" t="n"/>
      <c r="J40" s="669" t="n"/>
      <c r="K40" s="670" t="n"/>
      <c r="L40" s="628" t="n"/>
      <c r="M40" s="626" t="n"/>
      <c r="X40" s="628" t="n"/>
    </row>
    <row r="41">
      <c r="B41" s="626" t="n"/>
      <c r="C41" s="208" t="inlineStr">
        <is>
          <t>Other Income / (Expense)</t>
        </is>
      </c>
      <c r="D41" s="664">
        <f>SUMIF('Monthly Detail'!$1:$1,'Annual Summary'!D$17, 'Monthly Detail'!95:95)</f>
        <v/>
      </c>
      <c r="E41" s="664">
        <f>SUMIF('Monthly Detail'!$1:$1,'Annual Summary'!E$17, 'Monthly Detail'!95:95)</f>
        <v/>
      </c>
      <c r="F41" s="664">
        <f>SUMIF('Monthly Detail'!$1:$1,'Annual Summary'!F$17, 'Monthly Detail'!95:95)</f>
        <v/>
      </c>
      <c r="G41" s="664">
        <f>SUMIF('Monthly Detail'!$1:$1,'Annual Summary'!G$17, 'Monthly Detail'!95:95)</f>
        <v/>
      </c>
      <c r="H41" s="664">
        <f>SUMIF('Monthly Detail'!$1:$1,'Annual Summary'!H$17, 'Monthly Detail'!95:95)</f>
        <v/>
      </c>
      <c r="I41" s="665">
        <f>SUMIF('Monthly Detail'!$1:$1,'Annual Summary'!I$17, 'Monthly Detail'!95:95)</f>
        <v/>
      </c>
      <c r="J41" s="664">
        <f>SUMIF('Monthly Detail'!$1:$1,'Annual Summary'!J$17, 'Monthly Detail'!95:95)</f>
        <v/>
      </c>
      <c r="K41" s="665">
        <f>SUMIF('Monthly Detail'!$1:$1,'Annual Summary'!K$17, 'Monthly Detail'!95:95)</f>
        <v/>
      </c>
      <c r="L41" s="628" t="n"/>
      <c r="M41" s="626" t="n"/>
      <c r="X41" s="628" t="n"/>
    </row>
    <row r="42" ht="15.75" customHeight="1" s="627">
      <c r="B42" s="102" t="n"/>
      <c r="C42" s="659" t="inlineStr">
        <is>
          <t>Net Income</t>
        </is>
      </c>
      <c r="D42" s="660">
        <f>D38+D41</f>
        <v/>
      </c>
      <c r="E42" s="660">
        <f>E38+E41</f>
        <v/>
      </c>
      <c r="F42" s="660">
        <f>F38+F41</f>
        <v/>
      </c>
      <c r="G42" s="660">
        <f>G38+G41</f>
        <v/>
      </c>
      <c r="H42" s="660">
        <f>H38+H41</f>
        <v/>
      </c>
      <c r="I42" s="661">
        <f>I38+I41</f>
        <v/>
      </c>
      <c r="J42" s="660">
        <f>J38+J41</f>
        <v/>
      </c>
      <c r="K42" s="661">
        <f>K38+K41</f>
        <v/>
      </c>
      <c r="L42" s="103" t="n"/>
      <c r="M42" s="102" t="n"/>
      <c r="N42" s="104" t="n"/>
      <c r="O42" s="104" t="n"/>
      <c r="P42" s="104" t="n"/>
      <c r="Q42" s="104" t="n"/>
      <c r="R42" s="104" t="n"/>
      <c r="S42" s="104" t="n"/>
      <c r="T42" s="104" t="n"/>
      <c r="U42" s="104" t="n"/>
      <c r="V42" s="104" t="n"/>
      <c r="W42" s="104" t="n"/>
      <c r="X42" s="103" t="n"/>
    </row>
    <row r="43" ht="15.75" customHeight="1" s="627" thickBot="1">
      <c r="B43" s="626" t="n"/>
      <c r="C43" s="292" t="inlineStr">
        <is>
          <t>NI %</t>
        </is>
      </c>
      <c r="D43" s="671">
        <f>D42/D21</f>
        <v/>
      </c>
      <c r="E43" s="671">
        <f>E42/E21</f>
        <v/>
      </c>
      <c r="F43" s="671">
        <f>F42/F21</f>
        <v/>
      </c>
      <c r="G43" s="671">
        <f>G42/G21</f>
        <v/>
      </c>
      <c r="H43" s="671">
        <f>H42/H21</f>
        <v/>
      </c>
      <c r="I43" s="672">
        <f>I42/I21</f>
        <v/>
      </c>
      <c r="J43" s="671">
        <f>J42/J21</f>
        <v/>
      </c>
      <c r="K43" s="672">
        <f>K42/K21</f>
        <v/>
      </c>
      <c r="L43" s="628" t="n"/>
      <c r="M43" s="626" t="n"/>
      <c r="X43" s="628" t="n"/>
    </row>
    <row r="44">
      <c r="B44" s="626" t="n"/>
      <c r="C44" s="219" t="inlineStr">
        <is>
          <t>Estimated Tax Burden</t>
        </is>
      </c>
      <c r="D44" s="673">
        <f>+IF(D42&gt;0, D42*0.25, 0)</f>
        <v/>
      </c>
      <c r="E44" s="674">
        <f>+IF(E42&gt;0, E42*0.25, 0)</f>
        <v/>
      </c>
      <c r="F44" s="674">
        <f>+IF(F42&gt;0, F42*0.25, 0)</f>
        <v/>
      </c>
      <c r="G44" s="674">
        <f>+IF(G42&gt;0, G42*0.25, 0)</f>
        <v/>
      </c>
      <c r="H44" s="674">
        <f>+IF(H42&gt;0, H42*0.25, 0)</f>
        <v/>
      </c>
      <c r="I44" s="675">
        <f>+IF(I42&gt;0, I42*0.25, 0)</f>
        <v/>
      </c>
      <c r="J44" s="676">
        <f>+IF(J42&gt;0, J42*0.25, 0)</f>
        <v/>
      </c>
      <c r="K44" s="675">
        <f>+IF(K42&gt;0, K42*0.25, 0)</f>
        <v/>
      </c>
      <c r="L44" s="628" t="n"/>
      <c r="M44" s="628" t="n"/>
      <c r="N44" s="626" t="n"/>
      <c r="X44" s="628" t="n"/>
    </row>
    <row r="45" ht="15.75" customHeight="1" s="627" thickBot="1">
      <c r="B45" s="626" t="n"/>
      <c r="C45" s="515" t="inlineStr">
        <is>
          <t>Cash Balance</t>
        </is>
      </c>
      <c r="D45" s="677" t="e">
        <v>#VALUE!</v>
      </c>
      <c r="E45" s="677">
        <f>+SUMIF('Monthly Detail'!$4:$4, DATE(E17, 12, 31),'Monthly Detail'!$173:$173)</f>
        <v/>
      </c>
      <c r="F45" s="677">
        <f>+SUMIF('Monthly Detail'!$4:$4, DATE(F17, 12, 31),'Monthly Detail'!$173:$173)</f>
        <v/>
      </c>
      <c r="G45" s="677">
        <f>+SUMIF('Monthly Detail'!$4:$4, DATE(G17, 12, 31),'Monthly Detail'!$173:$173)</f>
        <v/>
      </c>
      <c r="H45" s="677">
        <f>+SUMIF('Monthly Detail'!$4:$4, DATE(H17, 12, 31),'Monthly Detail'!$173:$173)</f>
        <v/>
      </c>
      <c r="I45" s="678">
        <f>+SUMIF('Monthly Detail'!$4:$4, DATE(I17, 12, 31),'Monthly Detail'!$173:$173)</f>
        <v/>
      </c>
      <c r="J45" s="679">
        <f>+SUMIF('Monthly Detail'!$4:$4, DATE(J17, 12, 31),'Monthly Detail'!$173:$173)</f>
        <v/>
      </c>
      <c r="K45" s="678">
        <f>+SUMIF('Monthly Detail'!$4:$4, DATE(K17, 12, 31),'Monthly Detail'!$173:$173)</f>
        <v/>
      </c>
      <c r="L45" s="628" t="n"/>
      <c r="M45" s="628" t="n"/>
      <c r="N45" s="626" t="n"/>
      <c r="X45" s="628" t="n"/>
    </row>
    <row r="46">
      <c r="B46" s="626" t="n"/>
      <c r="C46" s="7" t="n"/>
      <c r="L46" s="628" t="n"/>
      <c r="M46" s="626" t="n"/>
      <c r="X46" s="628" t="n"/>
    </row>
    <row r="47">
      <c r="B47" s="626" t="n"/>
      <c r="C47" s="7" t="n"/>
      <c r="L47" s="628" t="n"/>
      <c r="M47" s="626" t="n"/>
      <c r="X47" s="628" t="n"/>
    </row>
    <row r="48" ht="15.75" customHeight="1" s="627" thickBot="1">
      <c r="B48" s="105" t="n"/>
      <c r="C48" s="106" t="n"/>
      <c r="D48" s="107" t="n"/>
      <c r="E48" s="107" t="n"/>
      <c r="F48" s="107" t="n"/>
      <c r="G48" s="107" t="n"/>
      <c r="H48" s="107" t="n"/>
      <c r="I48" s="107" t="n"/>
      <c r="J48" s="107" t="n"/>
      <c r="K48" s="107" t="n"/>
      <c r="L48" s="108" t="n"/>
      <c r="M48" s="105" t="n"/>
      <c r="N48" s="107" t="n"/>
      <c r="O48" s="107" t="n"/>
      <c r="P48" s="107" t="n"/>
      <c r="Q48" s="107" t="n"/>
      <c r="R48" s="107" t="n"/>
      <c r="S48" s="107" t="n"/>
      <c r="T48" s="107" t="n"/>
      <c r="U48" s="107" t="n"/>
      <c r="V48" s="107" t="n"/>
      <c r="W48" s="107" t="n"/>
      <c r="X48" s="108" t="n"/>
    </row>
  </sheetData>
  <printOptions horizontalCentered="1" verticalCentered="1"/>
  <pageMargins left="0.7" right="0.7" top="0.75" bottom="0.75" header="0.3" footer="0.3"/>
  <pageSetup orientation="landscape" scale="50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1"/>
    <outlinePr summaryBelow="1" summaryRight="1"/>
    <pageSetUpPr fitToPage="1"/>
  </sheetPr>
  <dimension ref="B10:T31"/>
  <sheetViews>
    <sheetView showGridLines="0" topLeftCell="A26" workbookViewId="0">
      <selection activeCell="M23" sqref="M23"/>
    </sheetView>
  </sheetViews>
  <sheetFormatPr baseColWidth="8" defaultColWidth="8.7109375" defaultRowHeight="15"/>
  <cols>
    <col width="34" bestFit="1" customWidth="1" style="627" min="2" max="2"/>
    <col hidden="1" width="11.42578125" customWidth="1" style="627" min="3" max="9"/>
    <col width="11.42578125" bestFit="1" customWidth="1" style="627" min="10" max="10"/>
    <col width="11.7109375" bestFit="1" customWidth="1" style="627" min="11" max="11"/>
    <col width="11.42578125" bestFit="1" customWidth="1" style="627" min="12" max="14"/>
    <col width="2.7109375" customWidth="1" style="627" min="15" max="15"/>
    <col width="9.7109375" bestFit="1" customWidth="1" style="627" min="16" max="16"/>
  </cols>
  <sheetData>
    <row r="10" ht="15.75" customHeight="1" s="627">
      <c r="B10" s="67" t="n"/>
      <c r="C10" s="680">
        <f>TEXT('Monthly Detail'!D4,"mmmm")</f>
        <v/>
      </c>
      <c r="D10" s="680">
        <f>TEXT('Monthly Detail'!E4,"mmmm")</f>
        <v/>
      </c>
      <c r="E10" s="680">
        <f>TEXT('Monthly Detail'!F4,"mmmm")</f>
        <v/>
      </c>
      <c r="F10" s="680">
        <f>TEXT('Monthly Detail'!G4,"mmmm")</f>
        <v/>
      </c>
      <c r="G10" s="680">
        <f>TEXT('Monthly Detail'!H4,"mmmm")</f>
        <v/>
      </c>
      <c r="H10" s="680">
        <f>TEXT('Monthly Detail'!I4,"mmmm")</f>
        <v/>
      </c>
      <c r="I10" s="680">
        <f>TEXT('Monthly Detail'!J4,"mmmm")</f>
        <v/>
      </c>
      <c r="J10" s="680">
        <f>TEXT('Monthly Detail'!K4,"mmmm")</f>
        <v/>
      </c>
      <c r="K10" s="680">
        <f>TEXT('Monthly Detail'!L4,"mmmm")</f>
        <v/>
      </c>
      <c r="L10" s="680">
        <f>TEXT('Monthly Detail'!M4,"mmmm")</f>
        <v/>
      </c>
      <c r="M10" s="681">
        <f>TEXT('Monthly Detail'!N4,"mmmm")</f>
        <v/>
      </c>
      <c r="N10" s="680">
        <f>TEXT('Monthly Detail'!O4,"mmmm")</f>
        <v/>
      </c>
      <c r="O10" s="69" t="n"/>
      <c r="P10" s="682" t="inlineStr">
        <is>
          <t>Total</t>
        </is>
      </c>
    </row>
    <row r="11" ht="6.4" customHeight="1" s="627">
      <c r="B11" s="7" t="n"/>
      <c r="C11" s="90" t="n">
        <v>44957</v>
      </c>
      <c r="D11" s="90" t="n">
        <v>44985</v>
      </c>
      <c r="E11" s="90" t="n">
        <v>45016</v>
      </c>
      <c r="F11" s="90" t="n">
        <v>45046</v>
      </c>
      <c r="G11" s="90" t="n">
        <v>45077</v>
      </c>
      <c r="H11" s="90" t="n">
        <v>45107</v>
      </c>
      <c r="I11" s="90" t="n">
        <v>45138</v>
      </c>
      <c r="J11" s="90" t="n">
        <v>45169</v>
      </c>
      <c r="K11" s="90" t="n">
        <v>45199</v>
      </c>
      <c r="L11" s="90" t="n">
        <v>45230</v>
      </c>
      <c r="M11" s="192" t="n">
        <v>45260</v>
      </c>
      <c r="N11" s="90" t="n">
        <v>45291</v>
      </c>
      <c r="O11" s="90" t="n">
        <v>45322</v>
      </c>
    </row>
    <row r="12">
      <c r="B12" s="71" t="inlineStr">
        <is>
          <t>Service Income</t>
        </is>
      </c>
      <c r="C12" s="683">
        <f>SUMIF('Monthly Detail'!$4:$4, '2023 Overview'!C$11, 'Monthly Detail'!9:9)</f>
        <v/>
      </c>
      <c r="D12" s="683">
        <f>SUMIF('Monthly Detail'!$4:$4, '2023 Overview'!D$11, 'Monthly Detail'!9:9)</f>
        <v/>
      </c>
      <c r="E12" s="683">
        <f>SUMIF('Monthly Detail'!$4:$4, '2023 Overview'!E$11, 'Monthly Detail'!9:9)</f>
        <v/>
      </c>
      <c r="F12" s="683">
        <f>SUMIF('Monthly Detail'!$4:$4, '2023 Overview'!F$11, 'Monthly Detail'!9:9)</f>
        <v/>
      </c>
      <c r="G12" s="683">
        <f>SUMIF('Monthly Detail'!$4:$4, '2023 Overview'!G$11, 'Monthly Detail'!9:9)</f>
        <v/>
      </c>
      <c r="H12" s="683">
        <f>SUMIF('Monthly Detail'!$4:$4, '2023 Overview'!H$11, 'Monthly Detail'!9:9)</f>
        <v/>
      </c>
      <c r="I12" s="683">
        <f>SUMIF('Monthly Detail'!$4:$4, '2023 Overview'!I$11, 'Monthly Detail'!9:9)</f>
        <v/>
      </c>
      <c r="J12" s="683">
        <f>SUMIF('Monthly Detail'!$4:$4, '2023 Overview'!J$11, 'Monthly Detail'!9:9)</f>
        <v/>
      </c>
      <c r="K12" s="683">
        <f>SUMIF('Monthly Detail'!$4:$4, '2023 Overview'!K$11, 'Monthly Detail'!9:9)</f>
        <v/>
      </c>
      <c r="L12" s="683">
        <f>SUMIF('Monthly Detail'!$4:$4, '2023 Overview'!L$11, 'Monthly Detail'!9:9)</f>
        <v/>
      </c>
      <c r="M12" s="684">
        <f>SUMIF('Monthly Detail'!$4:$4, '2023 Overview'!M$11, 'Monthly Detail'!9:9)</f>
        <v/>
      </c>
      <c r="N12" s="683">
        <f>SUMIF('Monthly Detail'!$4:$4, '2023 Overview'!N$11, 'Monthly Detail'!9:9)</f>
        <v/>
      </c>
      <c r="O12" s="683" t="n"/>
      <c r="P12" s="683">
        <f>SUM(C12:O12)</f>
        <v/>
      </c>
    </row>
    <row r="13">
      <c r="B13" s="71" t="inlineStr">
        <is>
          <t>Misc.</t>
        </is>
      </c>
      <c r="C13" s="683">
        <f>SUMIF('Monthly Detail'!$4:$4, '2023 Overview'!C$11, 'Monthly Detail'!12:12)</f>
        <v/>
      </c>
      <c r="D13" s="683">
        <f>SUMIF('Monthly Detail'!$4:$4, '2023 Overview'!D$11, 'Monthly Detail'!12:12)</f>
        <v/>
      </c>
      <c r="E13" s="683">
        <f>SUMIF('Monthly Detail'!$4:$4, '2023 Overview'!E$11, 'Monthly Detail'!12:12)</f>
        <v/>
      </c>
      <c r="F13" s="683">
        <f>SUMIF('Monthly Detail'!$4:$4, '2023 Overview'!F$11, 'Monthly Detail'!12:12)</f>
        <v/>
      </c>
      <c r="G13" s="683">
        <f>SUMIF('Monthly Detail'!$4:$4, '2023 Overview'!G$11, 'Monthly Detail'!12:12)</f>
        <v/>
      </c>
      <c r="H13" s="683">
        <f>SUMIF('Monthly Detail'!$4:$4, '2023 Overview'!H$11, 'Monthly Detail'!12:12)</f>
        <v/>
      </c>
      <c r="I13" s="683">
        <f>SUMIF('Monthly Detail'!$4:$4, '2023 Overview'!I$11, 'Monthly Detail'!12:12)</f>
        <v/>
      </c>
      <c r="J13" s="683">
        <f>SUMIF('Monthly Detail'!$4:$4, '2023 Overview'!J$11, 'Monthly Detail'!12:12)</f>
        <v/>
      </c>
      <c r="K13" s="683">
        <f>SUMIF('Monthly Detail'!$4:$4, '2023 Overview'!K$11, 'Monthly Detail'!12:12)</f>
        <v/>
      </c>
      <c r="L13" s="683">
        <f>SUMIF('Monthly Detail'!$4:$4, '2023 Overview'!L$11, 'Monthly Detail'!12:12)</f>
        <v/>
      </c>
      <c r="M13" s="684">
        <f>SUMIF('Monthly Detail'!$4:$4, '2023 Overview'!M$11, 'Monthly Detail'!12:12)</f>
        <v/>
      </c>
      <c r="N13" s="683">
        <f>SUMIF('Monthly Detail'!$4:$4, '2023 Overview'!N$11, 'Monthly Detail'!12:12)</f>
        <v/>
      </c>
      <c r="O13" s="683" t="n"/>
      <c r="P13" s="683" t="n"/>
    </row>
    <row r="14">
      <c r="B14" s="685" t="inlineStr">
        <is>
          <t>Total Income</t>
        </is>
      </c>
      <c r="C14" s="685">
        <f>SUM(C12:C13)</f>
        <v/>
      </c>
      <c r="D14" s="685">
        <f>SUM(D12:D13)</f>
        <v/>
      </c>
      <c r="E14" s="685">
        <f>SUM(E12:E13)</f>
        <v/>
      </c>
      <c r="F14" s="685">
        <f>SUM(F12:F13)</f>
        <v/>
      </c>
      <c r="G14" s="685">
        <f>SUM(G12:G13)</f>
        <v/>
      </c>
      <c r="H14" s="685">
        <f>SUM(H12:H13)</f>
        <v/>
      </c>
      <c r="I14" s="685">
        <f>SUM(I12:I13)</f>
        <v/>
      </c>
      <c r="J14" s="685">
        <f>SUM(J12:J13)</f>
        <v/>
      </c>
      <c r="K14" s="685">
        <f>SUM(K12:K13)</f>
        <v/>
      </c>
      <c r="L14" s="685">
        <f>SUM(L12:L13)</f>
        <v/>
      </c>
      <c r="M14" s="686">
        <f>SUM(M12:M13)</f>
        <v/>
      </c>
      <c r="N14" s="685">
        <f>SUM(N12:N13)</f>
        <v/>
      </c>
      <c r="O14" s="687" t="n"/>
      <c r="P14" s="685">
        <f>SUM(P12:P12)</f>
        <v/>
      </c>
    </row>
    <row r="15" ht="3" customHeight="1" s="627">
      <c r="B15" s="7" t="n"/>
      <c r="C15" s="664" t="n"/>
      <c r="D15" s="664" t="n"/>
      <c r="E15" s="664" t="n"/>
      <c r="F15" s="664" t="n"/>
      <c r="G15" s="664" t="n"/>
      <c r="H15" s="664" t="n"/>
      <c r="I15" s="664" t="n"/>
      <c r="J15" s="664" t="n"/>
      <c r="K15" s="664" t="n"/>
      <c r="L15" s="664" t="n"/>
      <c r="M15" s="688" t="n"/>
      <c r="N15" s="664" t="n"/>
      <c r="P15" s="664" t="n"/>
    </row>
    <row r="16" ht="15.75" customHeight="1" s="627">
      <c r="B16" s="689" t="inlineStr">
        <is>
          <t>Gross Margin</t>
        </is>
      </c>
      <c r="C16" s="660">
        <f>C14</f>
        <v/>
      </c>
      <c r="D16" s="660">
        <f>D14</f>
        <v/>
      </c>
      <c r="E16" s="660">
        <f>E14</f>
        <v/>
      </c>
      <c r="F16" s="660">
        <f>F14</f>
        <v/>
      </c>
      <c r="G16" s="660">
        <f>G14</f>
        <v/>
      </c>
      <c r="H16" s="660">
        <f>H14</f>
        <v/>
      </c>
      <c r="I16" s="660">
        <f>I14</f>
        <v/>
      </c>
      <c r="J16" s="660">
        <f>J14</f>
        <v/>
      </c>
      <c r="K16" s="660">
        <f>K14</f>
        <v/>
      </c>
      <c r="L16" s="660">
        <f>L14</f>
        <v/>
      </c>
      <c r="M16" s="690">
        <f>M14</f>
        <v/>
      </c>
      <c r="N16" s="660">
        <f>N14</f>
        <v/>
      </c>
      <c r="O16" s="691" t="n"/>
      <c r="P16" s="660">
        <f>P14</f>
        <v/>
      </c>
    </row>
    <row r="17">
      <c r="B17" s="88" t="inlineStr">
        <is>
          <t>GM %</t>
        </is>
      </c>
      <c r="C17" s="662">
        <f>C16/C14</f>
        <v/>
      </c>
      <c r="D17" s="662">
        <f>D16/D14</f>
        <v/>
      </c>
      <c r="E17" s="662">
        <f>E16/E14</f>
        <v/>
      </c>
      <c r="F17" s="662">
        <f>F16/F14</f>
        <v/>
      </c>
      <c r="G17" s="662">
        <f>G16/G14</f>
        <v/>
      </c>
      <c r="H17" s="662">
        <f>H16/H14</f>
        <v/>
      </c>
      <c r="I17" s="662">
        <f>I16/I14</f>
        <v/>
      </c>
      <c r="J17" s="662">
        <f>J16/J14</f>
        <v/>
      </c>
      <c r="K17" s="662">
        <f>K16/K14</f>
        <v/>
      </c>
      <c r="L17" s="662">
        <f>L16/L14</f>
        <v/>
      </c>
      <c r="M17" s="692">
        <f>M16/M14</f>
        <v/>
      </c>
      <c r="N17" s="662">
        <f>N16/N14</f>
        <v/>
      </c>
      <c r="O17" s="7" t="n"/>
      <c r="P17" s="662">
        <f>P16/P14</f>
        <v/>
      </c>
    </row>
    <row r="18" ht="3" customHeight="1" s="627">
      <c r="B18" s="7" t="n"/>
      <c r="M18" s="198" t="n"/>
    </row>
    <row r="19">
      <c r="B19" s="7" t="inlineStr">
        <is>
          <t>General &amp; Admintrative Expenses</t>
        </is>
      </c>
      <c r="C19" s="683">
        <f>SUMIF('Monthly Detail'!$4:$4, '2023 Overview'!C$11, 'Monthly Detail'!$89:$89)</f>
        <v/>
      </c>
      <c r="D19" s="683">
        <f>SUMIF('Monthly Detail'!$4:$4, '2023 Overview'!D$11, 'Monthly Detail'!$89:$89)</f>
        <v/>
      </c>
      <c r="E19" s="683">
        <f>SUMIF('Monthly Detail'!$4:$4, '2023 Overview'!E$11, 'Monthly Detail'!$89:$89)</f>
        <v/>
      </c>
      <c r="F19" s="683">
        <f>SUMIF('Monthly Detail'!$4:$4, '2023 Overview'!F$11, 'Monthly Detail'!$89:$89)</f>
        <v/>
      </c>
      <c r="G19" s="683">
        <f>SUMIF('Monthly Detail'!$4:$4, '2023 Overview'!G$11, 'Monthly Detail'!$89:$89)</f>
        <v/>
      </c>
      <c r="H19" s="683">
        <f>SUMIF('Monthly Detail'!$4:$4, '2023 Overview'!H$11, 'Monthly Detail'!$89:$89)</f>
        <v/>
      </c>
      <c r="I19" s="683">
        <f>SUMIF('Monthly Detail'!$4:$4, '2023 Overview'!I$11, 'Monthly Detail'!$89:$89)</f>
        <v/>
      </c>
      <c r="J19" s="683">
        <f>SUMIF('Monthly Detail'!$4:$4, '2023 Overview'!J$11, 'Monthly Detail'!$89:$89)</f>
        <v/>
      </c>
      <c r="K19" s="683">
        <f>SUMIF('Monthly Detail'!$4:$4, '2023 Overview'!K$11, 'Monthly Detail'!$89:$89)</f>
        <v/>
      </c>
      <c r="L19" s="683">
        <f>SUMIF('Monthly Detail'!$4:$4, '2023 Overview'!L$11, 'Monthly Detail'!$89:$89)</f>
        <v/>
      </c>
      <c r="M19" s="684">
        <f>SUMIF('Monthly Detail'!$4:$4, '2023 Overview'!M$11, 'Monthly Detail'!$89:$89)</f>
        <v/>
      </c>
      <c r="N19" s="683">
        <f>SUMIF('Monthly Detail'!$4:$4, '2023 Overview'!N$11, 'Monthly Detail'!$89:$89)</f>
        <v/>
      </c>
      <c r="P19" s="683">
        <f>SUM(C19:O19)</f>
        <v/>
      </c>
      <c r="T19" s="1" t="n"/>
    </row>
    <row r="20">
      <c r="B20" s="77" t="inlineStr">
        <is>
          <t>Operating Expenses</t>
        </is>
      </c>
      <c r="C20" s="667">
        <f>SUM(C19:C19)</f>
        <v/>
      </c>
      <c r="D20" s="667">
        <f>SUM(D19:D19)</f>
        <v/>
      </c>
      <c r="E20" s="667">
        <f>SUM(E19:E19)</f>
        <v/>
      </c>
      <c r="F20" s="667">
        <f>SUM(F19:F19)</f>
        <v/>
      </c>
      <c r="G20" s="667">
        <f>SUM(G19:G19)</f>
        <v/>
      </c>
      <c r="H20" s="667">
        <f>SUM(H19:H19)</f>
        <v/>
      </c>
      <c r="I20" s="667">
        <f>SUM(I19:I19)</f>
        <v/>
      </c>
      <c r="J20" s="667">
        <f>SUM(J19:J19)</f>
        <v/>
      </c>
      <c r="K20" s="667">
        <f>SUM(K19:K19)</f>
        <v/>
      </c>
      <c r="L20" s="667">
        <f>SUM(L19:L19)</f>
        <v/>
      </c>
      <c r="M20" s="693">
        <f>SUM(M19:M19)</f>
        <v/>
      </c>
      <c r="N20" s="667">
        <f>SUM(N19:N19)</f>
        <v/>
      </c>
      <c r="O20" s="694" t="n"/>
      <c r="P20" s="667">
        <f>SUM(P19:P19)</f>
        <v/>
      </c>
    </row>
    <row r="21" ht="4.15" customHeight="1" s="627">
      <c r="B21" s="7" t="n"/>
      <c r="M21" s="198" t="n"/>
    </row>
    <row r="22" ht="15.75" customHeight="1" s="627">
      <c r="B22" s="689" t="inlineStr">
        <is>
          <t>Net Operating Income (EBITDA)</t>
        </is>
      </c>
      <c r="C22" s="660">
        <f>C16-C20</f>
        <v/>
      </c>
      <c r="D22" s="660">
        <f>D16-D20</f>
        <v/>
      </c>
      <c r="E22" s="660">
        <f>E16-E20</f>
        <v/>
      </c>
      <c r="F22" s="660">
        <f>F16-F20</f>
        <v/>
      </c>
      <c r="G22" s="660">
        <f>G16-G20</f>
        <v/>
      </c>
      <c r="H22" s="660">
        <f>H16-H20</f>
        <v/>
      </c>
      <c r="I22" s="660">
        <f>I16-I20</f>
        <v/>
      </c>
      <c r="J22" s="660">
        <f>J16-J20</f>
        <v/>
      </c>
      <c r="K22" s="660">
        <f>K16-K20</f>
        <v/>
      </c>
      <c r="L22" s="660">
        <f>L16-L20</f>
        <v/>
      </c>
      <c r="M22" s="690">
        <f>M16-M20</f>
        <v/>
      </c>
      <c r="N22" s="660">
        <f>N16-N20</f>
        <v/>
      </c>
      <c r="O22" s="691" t="n"/>
      <c r="P22" s="660">
        <f>P16-P20</f>
        <v/>
      </c>
    </row>
    <row r="23">
      <c r="B23" s="88" t="inlineStr">
        <is>
          <t>EBITDA %</t>
        </is>
      </c>
      <c r="C23" s="662">
        <f>C22/C14</f>
        <v/>
      </c>
      <c r="D23" s="662">
        <f>D22/D14</f>
        <v/>
      </c>
      <c r="E23" s="662">
        <f>E22/E14</f>
        <v/>
      </c>
      <c r="F23" s="662">
        <f>F22/F14</f>
        <v/>
      </c>
      <c r="G23" s="662">
        <f>G22/G14</f>
        <v/>
      </c>
      <c r="H23" s="662">
        <f>H22/H14</f>
        <v/>
      </c>
      <c r="I23" s="662">
        <f>I22/I14</f>
        <v/>
      </c>
      <c r="J23" s="662">
        <f>J22/J14</f>
        <v/>
      </c>
      <c r="K23" s="662">
        <f>K22/K14</f>
        <v/>
      </c>
      <c r="L23" s="662">
        <f>L22/L14</f>
        <v/>
      </c>
      <c r="M23" s="692">
        <f>M22/M14</f>
        <v/>
      </c>
      <c r="N23" s="662">
        <f>N22/N14</f>
        <v/>
      </c>
      <c r="O23" s="7" t="n"/>
      <c r="P23" s="662">
        <f>P22/P14</f>
        <v/>
      </c>
    </row>
    <row r="24" ht="4.9" customHeight="1" s="627">
      <c r="B24" s="80" t="n"/>
      <c r="C24" s="669" t="n"/>
      <c r="D24" s="669" t="n"/>
      <c r="E24" s="669" t="n"/>
      <c r="F24" s="669" t="n"/>
      <c r="G24" s="669" t="n"/>
      <c r="H24" s="669" t="n"/>
      <c r="I24" s="669" t="n"/>
      <c r="J24" s="669" t="n"/>
      <c r="K24" s="669" t="n"/>
      <c r="L24" s="669" t="n"/>
      <c r="M24" s="695" t="n"/>
      <c r="N24" s="669" t="n"/>
      <c r="P24" s="669" t="n"/>
    </row>
    <row r="25">
      <c r="B25" s="7" t="inlineStr">
        <is>
          <t>Other Income / (Expense)</t>
        </is>
      </c>
      <c r="C25" s="126">
        <f>SUMIF('Monthly Detail'!$4:$4, '2023 Overview'!C$11, 'Monthly Detail'!95:95)</f>
        <v/>
      </c>
      <c r="D25" s="126">
        <f>SUMIF('Monthly Detail'!$4:$4, '2023 Overview'!D$11, 'Monthly Detail'!95:95)</f>
        <v/>
      </c>
      <c r="E25" s="126">
        <f>SUMIF('Monthly Detail'!$4:$4, '2023 Overview'!E$11, 'Monthly Detail'!95:95)</f>
        <v/>
      </c>
      <c r="F25" s="126">
        <f>SUMIF('Monthly Detail'!$4:$4, '2023 Overview'!F$11, 'Monthly Detail'!95:95)</f>
        <v/>
      </c>
      <c r="G25" s="126">
        <f>SUMIF('Monthly Detail'!$4:$4, '2023 Overview'!G$11, 'Monthly Detail'!95:95)</f>
        <v/>
      </c>
      <c r="H25" s="126">
        <f>SUMIF('Monthly Detail'!$4:$4, '2023 Overview'!H$11, 'Monthly Detail'!95:95)</f>
        <v/>
      </c>
      <c r="I25" s="126">
        <f>SUMIF('Monthly Detail'!$4:$4, '2023 Overview'!I$11, 'Monthly Detail'!95:95)</f>
        <v/>
      </c>
      <c r="J25" s="126">
        <f>SUMIF('Monthly Detail'!$4:$4, '2023 Overview'!J$11, 'Monthly Detail'!95:95)</f>
        <v/>
      </c>
      <c r="K25" s="126">
        <f>SUMIF('Monthly Detail'!$4:$4, '2023 Overview'!K$11, 'Monthly Detail'!95:95)</f>
        <v/>
      </c>
      <c r="L25" s="126">
        <f>SUMIF('Monthly Detail'!$4:$4, '2023 Overview'!L$11, 'Monthly Detail'!95:95)</f>
        <v/>
      </c>
      <c r="M25" s="201">
        <f>SUMIF('Monthly Detail'!$4:$4, '2023 Overview'!M$11, 'Monthly Detail'!95:95)</f>
        <v/>
      </c>
      <c r="N25" s="126">
        <f>SUMIF('Monthly Detail'!$4:$4, '2023 Overview'!N$11, 'Monthly Detail'!95:95)</f>
        <v/>
      </c>
      <c r="O25" s="126" t="n"/>
      <c r="P25" s="111">
        <f>SUM(C25:O25)</f>
        <v/>
      </c>
    </row>
    <row r="26" ht="15.75" customHeight="1" s="627">
      <c r="B26" s="689" t="inlineStr">
        <is>
          <t>Net Income</t>
        </is>
      </c>
      <c r="C26" s="660">
        <f>C22+SUM(C25:C25)</f>
        <v/>
      </c>
      <c r="D26" s="660">
        <f>D22+SUM(D25:D25)</f>
        <v/>
      </c>
      <c r="E26" s="660">
        <f>E22+SUM(E25:E25)</f>
        <v/>
      </c>
      <c r="F26" s="660">
        <f>F22+SUM(F25:F25)</f>
        <v/>
      </c>
      <c r="G26" s="660">
        <f>G22+SUM(G25:G25)</f>
        <v/>
      </c>
      <c r="H26" s="660">
        <f>H22+SUM(H25:H25)</f>
        <v/>
      </c>
      <c r="I26" s="660">
        <f>I22+SUM(I25:I25)</f>
        <v/>
      </c>
      <c r="J26" s="660">
        <f>J22+SUM(J25:J25)</f>
        <v/>
      </c>
      <c r="K26" s="660">
        <f>K22+SUM(K25:K25)</f>
        <v/>
      </c>
      <c r="L26" s="660">
        <f>L22+SUM(L25:L25)</f>
        <v/>
      </c>
      <c r="M26" s="690">
        <f>M22+SUM(M25:M25)</f>
        <v/>
      </c>
      <c r="N26" s="660">
        <f>N22+SUM(N25:N25)</f>
        <v/>
      </c>
      <c r="O26" s="691" t="n"/>
      <c r="P26" s="660">
        <f>P22+SUM(P25:P25)</f>
        <v/>
      </c>
    </row>
    <row r="27">
      <c r="B27" s="88" t="inlineStr">
        <is>
          <t>NI %</t>
        </is>
      </c>
      <c r="C27" s="662">
        <f>C26/C14</f>
        <v/>
      </c>
      <c r="D27" s="662">
        <f>D26/D14</f>
        <v/>
      </c>
      <c r="E27" s="662">
        <f>E26/E14</f>
        <v/>
      </c>
      <c r="F27" s="662">
        <f>F26/F14</f>
        <v/>
      </c>
      <c r="G27" s="662">
        <f>G26/G14</f>
        <v/>
      </c>
      <c r="H27" s="662">
        <f>H26/H14</f>
        <v/>
      </c>
      <c r="I27" s="662">
        <f>I26/I14</f>
        <v/>
      </c>
      <c r="J27" s="662">
        <f>J26/J14</f>
        <v/>
      </c>
      <c r="K27" s="662">
        <f>K26/K14</f>
        <v/>
      </c>
      <c r="L27" s="662">
        <f>L26/L14</f>
        <v/>
      </c>
      <c r="M27" s="692">
        <f>M26/M14</f>
        <v/>
      </c>
      <c r="N27" s="662">
        <f>N26/N14</f>
        <v/>
      </c>
      <c r="O27" s="7" t="n"/>
      <c r="P27" s="662">
        <f>P26/P14</f>
        <v/>
      </c>
    </row>
    <row r="28" ht="4.9" customHeight="1" s="627" thickBot="1">
      <c r="B28" s="7" t="n"/>
      <c r="M28" s="198" t="n"/>
    </row>
    <row r="29">
      <c r="B29" s="82" t="inlineStr">
        <is>
          <t>Operating Cash</t>
        </is>
      </c>
      <c r="C29" s="696">
        <f>SUMIF('Monthly Detail'!$4:$4, '2023 Overview'!C$11, 'Monthly Detail'!173:173)</f>
        <v/>
      </c>
      <c r="D29" s="697">
        <f>SUMIF('Monthly Detail'!$4:$4, '2023 Overview'!D$11, 'Monthly Detail'!173:173)</f>
        <v/>
      </c>
      <c r="E29" s="696">
        <f>SUMIF('Monthly Detail'!$4:$4, '2023 Overview'!E$11, 'Monthly Detail'!173:173)</f>
        <v/>
      </c>
      <c r="F29" s="697">
        <f>SUMIF('Monthly Detail'!$4:$4, '2023 Overview'!F$11, 'Monthly Detail'!173:173)</f>
        <v/>
      </c>
      <c r="G29" s="696">
        <f>SUMIF('Monthly Detail'!$4:$4, '2023 Overview'!G$11, 'Monthly Detail'!173:173)</f>
        <v/>
      </c>
      <c r="H29" s="696">
        <f>SUMIF('Monthly Detail'!$4:$4, '2023 Overview'!H$11, 'Monthly Detail'!173:173)</f>
        <v/>
      </c>
      <c r="I29" s="697">
        <f>SUMIF('Monthly Detail'!$4:$4, '2023 Overview'!I$11, 'Monthly Detail'!173:173)</f>
        <v/>
      </c>
      <c r="J29" s="697">
        <f>SUMIF('Monthly Detail'!$4:$4, '2023 Overview'!J$11, 'Monthly Detail'!173:173)</f>
        <v/>
      </c>
      <c r="K29" s="697">
        <f>SUMIF('Monthly Detail'!$4:$4, '2023 Overview'!K$11, 'Monthly Detail'!173:173)</f>
        <v/>
      </c>
      <c r="L29" s="697">
        <f>SUMIF('Monthly Detail'!$4:$4, '2023 Overview'!L$11, 'Monthly Detail'!173:173)</f>
        <v/>
      </c>
      <c r="M29" s="698">
        <f>SUMIF('Monthly Detail'!$4:$4, '2023 Overview'!M$11, 'Monthly Detail'!173:173)</f>
        <v/>
      </c>
      <c r="N29" s="697">
        <f>SUMIF('Monthly Detail'!$4:$4, '2023 Overview'!N$11, 'Monthly Detail'!173:173)</f>
        <v/>
      </c>
    </row>
    <row r="30" ht="15.75" customHeight="1" s="627" thickBot="1">
      <c r="B30" s="84" t="inlineStr">
        <is>
          <t>Cash Inflow (Outflow)</t>
        </is>
      </c>
      <c r="C30" s="699">
        <f>SUMIF('Monthly Detail'!$4:$4, '2023 Overview'!C$11, 'Monthly Detail'!170:170)</f>
        <v/>
      </c>
      <c r="D30" s="700">
        <f>SUMIF('Monthly Detail'!$4:$4, '2023 Overview'!D$11, 'Monthly Detail'!170:170)</f>
        <v/>
      </c>
      <c r="E30" s="699">
        <f>SUMIF('Monthly Detail'!$4:$4, '2023 Overview'!E$11, 'Monthly Detail'!170:170)</f>
        <v/>
      </c>
      <c r="F30" s="700">
        <f>SUMIF('Monthly Detail'!$4:$4, '2023 Overview'!F$11, 'Monthly Detail'!170:170)</f>
        <v/>
      </c>
      <c r="G30" s="699">
        <f>SUMIF('Monthly Detail'!$4:$4, '2023 Overview'!G$11, 'Monthly Detail'!170:170)</f>
        <v/>
      </c>
      <c r="H30" s="699">
        <f>SUMIF('Monthly Detail'!$4:$4, '2023 Overview'!H$11, 'Monthly Detail'!170:170)</f>
        <v/>
      </c>
      <c r="I30" s="700">
        <f>SUMIF('Monthly Detail'!$4:$4, '2023 Overview'!I$11, 'Monthly Detail'!170:170)</f>
        <v/>
      </c>
      <c r="J30" s="700">
        <f>SUMIF('Monthly Detail'!$4:$4, '2023 Overview'!J$11, 'Monthly Detail'!170:170)</f>
        <v/>
      </c>
      <c r="K30" s="700">
        <f>SUMIF('Monthly Detail'!$4:$4, '2023 Overview'!K$11, 'Monthly Detail'!170:170)</f>
        <v/>
      </c>
      <c r="L30" s="700">
        <f>SUMIF('Monthly Detail'!$4:$4, '2023 Overview'!L$11, 'Monthly Detail'!170:170)</f>
        <v/>
      </c>
      <c r="M30" s="701">
        <f>SUMIF('Monthly Detail'!$4:$4, '2023 Overview'!M$11, 'Monthly Detail'!170:170)</f>
        <v/>
      </c>
      <c r="N30" s="700">
        <f>SUMIF('Monthly Detail'!$4:$4, '2023 Overview'!N$11, 'Monthly Detail'!170:170)</f>
        <v/>
      </c>
    </row>
    <row r="31">
      <c r="E31" s="702" t="n"/>
    </row>
  </sheetData>
  <pageMargins left="0.25" right="0.25" top="0.75" bottom="0.75" header="0.3" footer="0.3"/>
  <pageSetup orientation="landscape" scale="69" horizontalDpi="1200" verticalDpi="120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1"/>
    <outlinePr summaryBelow="1" summaryRight="1"/>
    <pageSetUpPr fitToPage="1"/>
  </sheetPr>
  <dimension ref="B15:T73"/>
  <sheetViews>
    <sheetView showGridLines="0" topLeftCell="A22" zoomScale="44" zoomScaleNormal="32" workbookViewId="0">
      <selection activeCell="B4" sqref="B4:P73"/>
    </sheetView>
  </sheetViews>
  <sheetFormatPr baseColWidth="8" defaultColWidth="8.7109375" defaultRowHeight="15"/>
  <cols>
    <col width="48.28515625" bestFit="1" customWidth="1" style="627" min="2" max="2"/>
    <col width="16.7109375" bestFit="1" customWidth="1" style="627" min="3" max="7"/>
    <col width="17.7109375" bestFit="1" customWidth="1" style="627" min="8" max="8"/>
    <col width="17.28515625" bestFit="1" customWidth="1" style="627" min="9" max="9"/>
    <col width="17.7109375" bestFit="1" customWidth="1" style="627" min="10" max="14"/>
    <col width="0.28515625" customWidth="1" style="627" min="15" max="15"/>
    <col width="17.28515625" bestFit="1" customWidth="1" style="627" min="16" max="16"/>
  </cols>
  <sheetData>
    <row r="14" ht="15.75" customHeight="1" s="627" thickBot="1"/>
    <row r="15" ht="15" customHeight="1" s="627">
      <c r="B15" s="623" t="inlineStr">
        <is>
          <t>2025 Overview (Annual Operating Plan)</t>
        </is>
      </c>
      <c r="C15" s="624" t="n"/>
      <c r="D15" s="624" t="n"/>
      <c r="E15" s="624" t="n"/>
      <c r="F15" s="624" t="n"/>
      <c r="G15" s="624" t="n"/>
      <c r="H15" s="624" t="n"/>
      <c r="I15" s="624" t="n"/>
      <c r="J15" s="624" t="n"/>
      <c r="K15" s="624" t="n"/>
      <c r="L15" s="624" t="n"/>
      <c r="M15" s="624" t="n"/>
      <c r="N15" s="624" t="n"/>
      <c r="O15" s="624" t="n"/>
      <c r="P15" s="625" t="n"/>
    </row>
    <row r="16" ht="15" customHeight="1" s="627">
      <c r="B16" s="626" t="n"/>
      <c r="P16" s="628" t="n"/>
    </row>
    <row r="17">
      <c r="B17" s="626" t="n"/>
      <c r="P17" s="628" t="n"/>
    </row>
    <row r="18" ht="15.75" customHeight="1" s="627">
      <c r="B18" s="207" t="n"/>
      <c r="C18" s="680" t="inlineStr">
        <is>
          <t>January</t>
        </is>
      </c>
      <c r="D18" s="680" t="inlineStr">
        <is>
          <t>February</t>
        </is>
      </c>
      <c r="E18" s="680" t="inlineStr">
        <is>
          <t>March</t>
        </is>
      </c>
      <c r="F18" s="680" t="inlineStr">
        <is>
          <t>April</t>
        </is>
      </c>
      <c r="G18" s="680" t="inlineStr">
        <is>
          <t>May</t>
        </is>
      </c>
      <c r="H18" s="680" t="inlineStr">
        <is>
          <t>June</t>
        </is>
      </c>
      <c r="I18" s="680" t="inlineStr">
        <is>
          <t>July</t>
        </is>
      </c>
      <c r="J18" s="680" t="inlineStr">
        <is>
          <t>August</t>
        </is>
      </c>
      <c r="K18" s="680" t="inlineStr">
        <is>
          <t>September</t>
        </is>
      </c>
      <c r="L18" s="703" t="inlineStr">
        <is>
          <t>October</t>
        </is>
      </c>
      <c r="M18" s="680" t="inlineStr">
        <is>
          <t>November</t>
        </is>
      </c>
      <c r="N18" s="704" t="inlineStr">
        <is>
          <t>December</t>
        </is>
      </c>
      <c r="O18" s="69" t="n"/>
      <c r="P18" s="705" t="inlineStr">
        <is>
          <t>Total</t>
        </is>
      </c>
    </row>
    <row r="19">
      <c r="B19" s="208" t="n"/>
      <c r="C19" s="90" t="n">
        <v>45688</v>
      </c>
      <c r="D19" s="90" t="n">
        <v>45716</v>
      </c>
      <c r="E19" s="90" t="n">
        <v>45747</v>
      </c>
      <c r="F19" s="90" t="n">
        <v>45777</v>
      </c>
      <c r="G19" s="90" t="n">
        <v>45808</v>
      </c>
      <c r="H19" s="90" t="n">
        <v>45838</v>
      </c>
      <c r="I19" s="90" t="n">
        <v>45869</v>
      </c>
      <c r="J19" s="90" t="n">
        <v>45900</v>
      </c>
      <c r="K19" s="90" t="n">
        <v>45930</v>
      </c>
      <c r="L19" s="581" t="n">
        <v>45961</v>
      </c>
      <c r="M19" s="90" t="n">
        <v>45991</v>
      </c>
      <c r="N19" s="383" t="n">
        <v>46022</v>
      </c>
      <c r="O19" s="90" t="n">
        <v>45322</v>
      </c>
      <c r="P19" s="444" t="n"/>
    </row>
    <row r="20">
      <c r="B20" s="209" t="inlineStr">
        <is>
          <t>Service Income</t>
        </is>
      </c>
      <c r="C20" s="683">
        <f>SUMIF('Monthly Detail'!$4:$4, '2025 Overview (Budget)'!C$19, 'Monthly Detail'!13:13)</f>
        <v/>
      </c>
      <c r="D20" s="683">
        <f>SUMIF('Monthly Detail'!$4:$4, '2025 Overview (Budget)'!D$19, 'Monthly Detail'!13:13)</f>
        <v/>
      </c>
      <c r="E20" s="683">
        <f>SUMIF('Monthly Detail'!$4:$4, '2025 Overview (Budget)'!E$19, 'Monthly Detail'!13:13)</f>
        <v/>
      </c>
      <c r="F20" s="683">
        <f>SUMIF('Monthly Detail'!$4:$4, '2025 Overview (Budget)'!F$19, 'Monthly Detail'!13:13)</f>
        <v/>
      </c>
      <c r="G20" s="683">
        <f>SUMIF('Monthly Detail'!$4:$4, '2025 Overview (Budget)'!G$19, 'Monthly Detail'!13:13)</f>
        <v/>
      </c>
      <c r="H20" s="683">
        <f>SUMIF('Monthly Detail'!$4:$4, '2025 Overview (Budget)'!H$19, 'Monthly Detail'!13:13)</f>
        <v/>
      </c>
      <c r="I20" s="683">
        <f>SUMIF('Monthly Detail'!$4:$4, '2025 Overview (Budget)'!I$19, 'Monthly Detail'!13:13)</f>
        <v/>
      </c>
      <c r="J20" s="683">
        <f>SUMIF('Monthly Detail'!$4:$4, '2025 Overview (Budget)'!J$19, 'Monthly Detail'!13:13)</f>
        <v/>
      </c>
      <c r="K20" s="683">
        <f>SUMIF('Monthly Detail'!$4:$4, '2025 Overview (Budget)'!K$19, 'Monthly Detail'!13:13)</f>
        <v/>
      </c>
      <c r="L20" s="706">
        <f>SUMIF('Monthly Detail'!$4:$4, '2025 Overview (Budget)'!L$19, 'Monthly Detail'!13:13)</f>
        <v/>
      </c>
      <c r="M20" s="683">
        <f>+'2025 AOP'!M20</f>
        <v/>
      </c>
      <c r="N20" s="707">
        <f>+'2025 AOP'!N20</f>
        <v/>
      </c>
      <c r="O20" s="683" t="n"/>
      <c r="P20" s="708">
        <f>SUM(C20:O20)</f>
        <v/>
      </c>
    </row>
    <row r="21">
      <c r="B21" s="209" t="inlineStr">
        <is>
          <t>Misc.</t>
        </is>
      </c>
      <c r="C21" s="683">
        <f>SUMIF('Monthly Detail'!$4:$4, '2025 Overview (Budget)'!C$19, 'Monthly Detail'!12:12)</f>
        <v/>
      </c>
      <c r="D21" s="683">
        <f>SUMIF('Monthly Detail'!$4:$4, '2025 Overview (Budget)'!D$19, 'Monthly Detail'!12:12)</f>
        <v/>
      </c>
      <c r="E21" s="683">
        <f>SUMIF('Monthly Detail'!$4:$4, '2025 Overview (Budget)'!E$19, 'Monthly Detail'!12:12)</f>
        <v/>
      </c>
      <c r="F21" s="683">
        <f>SUMIF('Monthly Detail'!$4:$4, '2025 Overview (Budget)'!F$19, 'Monthly Detail'!12:12)</f>
        <v/>
      </c>
      <c r="G21" s="683">
        <f>SUMIF('Monthly Detail'!$4:$4, '2025 Overview (Budget)'!G$19, 'Monthly Detail'!12:12)</f>
        <v/>
      </c>
      <c r="H21" s="683">
        <f>SUMIF('Monthly Detail'!$4:$4, '2025 Overview (Budget)'!H$19, 'Monthly Detail'!12:12)</f>
        <v/>
      </c>
      <c r="I21" s="683">
        <f>SUMIF('Monthly Detail'!$4:$4, '2025 Overview (Budget)'!I$19, 'Monthly Detail'!12:12)</f>
        <v/>
      </c>
      <c r="J21" s="683">
        <f>SUMIF('Monthly Detail'!$4:$4, '2025 Overview (Budget)'!J$19, 'Monthly Detail'!12:12)</f>
        <v/>
      </c>
      <c r="K21" s="683">
        <f>SUMIF('Monthly Detail'!$4:$4, '2025 Overview (Budget)'!K$19, 'Monthly Detail'!12:12)</f>
        <v/>
      </c>
      <c r="L21" s="706">
        <f>SUMIF('Monthly Detail'!$4:$4, '2025 Overview (Budget)'!L$19, 'Monthly Detail'!12:12)</f>
        <v/>
      </c>
      <c r="M21" s="683">
        <f>+'2025 AOP'!M21</f>
        <v/>
      </c>
      <c r="N21" s="707">
        <f>+'2025 AOP'!N21</f>
        <v/>
      </c>
      <c r="O21" s="683" t="n"/>
      <c r="P21" s="708">
        <f>SUM(C21:O21)</f>
        <v/>
      </c>
    </row>
    <row r="22">
      <c r="B22" s="648" t="inlineStr">
        <is>
          <t>Total Income</t>
        </is>
      </c>
      <c r="C22" s="685">
        <f>SUM(C20:C21)</f>
        <v/>
      </c>
      <c r="D22" s="685">
        <f>SUM(D20:D21)</f>
        <v/>
      </c>
      <c r="E22" s="685">
        <f>SUM(E20:E21)</f>
        <v/>
      </c>
      <c r="F22" s="685">
        <f>SUM(F20:F21)</f>
        <v/>
      </c>
      <c r="G22" s="685">
        <f>SUM(G20:G21)</f>
        <v/>
      </c>
      <c r="H22" s="685">
        <f>SUM(H20:H21)</f>
        <v/>
      </c>
      <c r="I22" s="685">
        <f>SUM(I20:I21)</f>
        <v/>
      </c>
      <c r="J22" s="685">
        <f>SUM(J20:J21)</f>
        <v/>
      </c>
      <c r="K22" s="685">
        <f>SUM(K20:K21)</f>
        <v/>
      </c>
      <c r="L22" s="709">
        <f>SUM(L20:L21)</f>
        <v/>
      </c>
      <c r="M22" s="685">
        <f>+'2025 AOP'!M22</f>
        <v/>
      </c>
      <c r="N22" s="710">
        <f>+'2025 AOP'!N22</f>
        <v/>
      </c>
      <c r="O22" s="687" t="n"/>
      <c r="P22" s="711">
        <f>SUM(P20:P20)</f>
        <v/>
      </c>
    </row>
    <row r="23">
      <c r="B23" s="654" t="inlineStr">
        <is>
          <t># of Appointments</t>
        </is>
      </c>
      <c r="C23" s="712">
        <f>SUMIF('Monthly Detail'!$4:$4, '2025 Overview (Budget)'!C$19, 'Monthly Detail'!15:15)</f>
        <v/>
      </c>
      <c r="D23" s="712">
        <f>SUMIF('Monthly Detail'!$4:$4, '2025 Overview (Budget)'!D$19, 'Monthly Detail'!15:15)</f>
        <v/>
      </c>
      <c r="E23" s="712">
        <f>SUMIF('Monthly Detail'!$4:$4, '2025 Overview (Budget)'!E$19, 'Monthly Detail'!15:15)</f>
        <v/>
      </c>
      <c r="F23" s="712">
        <f>SUMIF('Monthly Detail'!$4:$4, '2025 Overview (Budget)'!F$19, 'Monthly Detail'!15:15)</f>
        <v/>
      </c>
      <c r="G23" s="712">
        <f>SUMIF('Monthly Detail'!$4:$4, '2025 Overview (Budget)'!G$19, 'Monthly Detail'!15:15)</f>
        <v/>
      </c>
      <c r="H23" s="712">
        <f>SUMIF('Monthly Detail'!$4:$4, '2025 Overview (Budget)'!H$19, 'Monthly Detail'!15:15)</f>
        <v/>
      </c>
      <c r="I23" s="712">
        <f>SUMIF('Monthly Detail'!$4:$4, '2025 Overview (Budget)'!I$19, 'Monthly Detail'!15:15)</f>
        <v/>
      </c>
      <c r="J23" s="712">
        <f>SUMIF('Monthly Detail'!$4:$4, '2025 Overview (Budget)'!J$19, 'Monthly Detail'!15:15)</f>
        <v/>
      </c>
      <c r="K23" s="712">
        <f>SUMIF('Monthly Detail'!$4:$4, '2025 Overview (Budget)'!K$19, 'Monthly Detail'!15:15)</f>
        <v/>
      </c>
      <c r="L23" s="713">
        <f>SUMIF('Monthly Detail'!$4:$4, '2025 Overview (Budget)'!L$19, 'Monthly Detail'!15:15)</f>
        <v/>
      </c>
      <c r="M23" s="712">
        <f>+'2025 AOP'!M23</f>
        <v/>
      </c>
      <c r="N23" s="714">
        <f>+'2025 AOP'!N23</f>
        <v/>
      </c>
      <c r="O23" s="687" t="n"/>
      <c r="P23" s="715">
        <f>+SUM(C23:N23)</f>
        <v/>
      </c>
      <c r="Q23" s="161" t="n"/>
    </row>
    <row r="24">
      <c r="B24" s="716" t="inlineStr">
        <is>
          <t>MRR</t>
        </is>
      </c>
      <c r="C24" s="717">
        <f>SUMIF('Monthly Detail'!$4:$4, '2025 Overview (Budget)'!C$19, 'Monthly Detail'!41:41)</f>
        <v/>
      </c>
      <c r="D24" s="718">
        <f>SUMIF('Monthly Detail'!$4:$4, '2025 Overview (Budget)'!D$19, 'Monthly Detail'!41:41)</f>
        <v/>
      </c>
      <c r="E24" s="718">
        <f>SUMIF('Monthly Detail'!$4:$4, '2025 Overview (Budget)'!E$19, 'Monthly Detail'!41:41)</f>
        <v/>
      </c>
      <c r="F24" s="718">
        <f>SUMIF('Monthly Detail'!$4:$4, '2025 Overview (Budget)'!F$19, 'Monthly Detail'!41:41)</f>
        <v/>
      </c>
      <c r="G24" s="718">
        <f>SUMIF('Monthly Detail'!$4:$4, '2025 Overview (Budget)'!G$19, 'Monthly Detail'!41:41)</f>
        <v/>
      </c>
      <c r="H24" s="718">
        <f>SUMIF('Monthly Detail'!$4:$4, '2025 Overview (Budget)'!H$19, 'Monthly Detail'!41:41)</f>
        <v/>
      </c>
      <c r="I24" s="718">
        <f>SUMIF('Monthly Detail'!$4:$4, '2025 Overview (Budget)'!I$19, 'Monthly Detail'!41:41)</f>
        <v/>
      </c>
      <c r="J24" s="718">
        <f>SUMIF('Monthly Detail'!$4:$4, '2025 Overview (Budget)'!J$19, 'Monthly Detail'!41:41)</f>
        <v/>
      </c>
      <c r="K24" s="718">
        <f>SUMIF('Monthly Detail'!$4:$4, '2025 Overview (Budget)'!K$19, 'Monthly Detail'!41:41)</f>
        <v/>
      </c>
      <c r="L24" s="719">
        <f>SUMIF('Monthly Detail'!$4:$4, '2025 Overview (Budget)'!L$19, 'Monthly Detail'!41:41)</f>
        <v/>
      </c>
      <c r="M24" s="718">
        <f>+'2025 AOP'!M24</f>
        <v/>
      </c>
      <c r="N24" s="720">
        <f>+'2025 AOP'!N24</f>
        <v/>
      </c>
      <c r="O24" s="687" t="n"/>
      <c r="P24" s="721">
        <f>+AVERAGE(C24:N24)</f>
        <v/>
      </c>
    </row>
    <row r="25">
      <c r="B25" s="654" t="inlineStr">
        <is>
          <t>Recurring Client Base</t>
        </is>
      </c>
      <c r="C25" s="712">
        <f>SUMIF('Monthly Detail'!$4:$4, '2025 Overview (Budget)'!C$19, 'Monthly Detail'!17:17)</f>
        <v/>
      </c>
      <c r="D25" s="712">
        <f>SUMIF('Monthly Detail'!$4:$4, '2025 Overview (Budget)'!D$19, 'Monthly Detail'!17:17)</f>
        <v/>
      </c>
      <c r="E25" s="712">
        <f>SUMIF('Monthly Detail'!$4:$4, '2025 Overview (Budget)'!E$19, 'Monthly Detail'!17:17)</f>
        <v/>
      </c>
      <c r="F25" s="712">
        <f>SUMIF('Monthly Detail'!$4:$4, '2025 Overview (Budget)'!F$19, 'Monthly Detail'!17:17)</f>
        <v/>
      </c>
      <c r="G25" s="712">
        <f>SUMIF('Monthly Detail'!$4:$4, '2025 Overview (Budget)'!G$19, 'Monthly Detail'!17:17)</f>
        <v/>
      </c>
      <c r="H25" s="712">
        <f>SUMIF('Monthly Detail'!$4:$4, '2025 Overview (Budget)'!H$19, 'Monthly Detail'!17:17)</f>
        <v/>
      </c>
      <c r="I25" s="712">
        <f>SUMIF('Monthly Detail'!$4:$4, '2025 Overview (Budget)'!I$19, 'Monthly Detail'!17:17)</f>
        <v/>
      </c>
      <c r="J25" s="712">
        <f>SUMIF('Monthly Detail'!$4:$4, '2025 Overview (Budget)'!J$19, 'Monthly Detail'!17:17)</f>
        <v/>
      </c>
      <c r="K25" s="712">
        <f>SUMIF('Monthly Detail'!$4:$4, '2025 Overview (Budget)'!K$19, 'Monthly Detail'!17:17)</f>
        <v/>
      </c>
      <c r="L25" s="713">
        <f>SUMIF('Monthly Detail'!$4:$4, '2025 Overview (Budget)'!L$19, 'Monthly Detail'!17:17)</f>
        <v/>
      </c>
      <c r="M25" s="712">
        <f>+'2025 AOP'!M25</f>
        <v/>
      </c>
      <c r="N25" s="714">
        <f>+'2025 AOP'!N25</f>
        <v/>
      </c>
      <c r="P25" s="722" t="n"/>
    </row>
    <row r="26" hidden="1" s="627">
      <c r="B26" s="208" t="n"/>
      <c r="C26" s="664" t="n"/>
      <c r="D26" s="664" t="n"/>
      <c r="E26" s="664" t="n"/>
      <c r="F26" s="664" t="n"/>
      <c r="G26" s="664" t="n"/>
      <c r="H26" s="664" t="n"/>
      <c r="I26" s="664" t="n"/>
      <c r="J26" s="664" t="n"/>
      <c r="K26" s="664" t="n"/>
      <c r="L26" s="723" t="n"/>
      <c r="M26" s="664" t="n"/>
      <c r="N26" s="724" t="n"/>
      <c r="O26" s="7" t="n"/>
      <c r="P26" s="722" t="n"/>
    </row>
    <row r="27">
      <c r="B27" s="208" t="n"/>
      <c r="C27" s="664" t="n"/>
      <c r="D27" s="664" t="n"/>
      <c r="E27" s="664" t="n"/>
      <c r="F27" s="664" t="n"/>
      <c r="G27" s="664" t="n"/>
      <c r="H27" s="664" t="n"/>
      <c r="I27" s="664" t="n"/>
      <c r="J27" s="664" t="n"/>
      <c r="K27" s="664" t="n"/>
      <c r="L27" s="723" t="n"/>
      <c r="M27" s="664" t="n"/>
      <c r="N27" s="724" t="n"/>
      <c r="O27" s="7" t="n"/>
      <c r="P27" s="722" t="n"/>
    </row>
    <row r="28">
      <c r="B28" s="208" t="inlineStr">
        <is>
          <t xml:space="preserve">   Software - COS</t>
        </is>
      </c>
      <c r="C28" s="683">
        <f>SUMIF('Monthly Detail'!$4:$4, '2025 Overview (Budget)'!C$19, 'Monthly Detail'!58:58)</f>
        <v/>
      </c>
      <c r="D28" s="664">
        <f>SUMIF('Monthly Detail'!$4:$4, '2025 Overview (Budget)'!D$19, 'Monthly Detail'!58:58)</f>
        <v/>
      </c>
      <c r="E28" s="664">
        <f>SUMIF('Monthly Detail'!$4:$4, '2025 Overview (Budget)'!E$19, 'Monthly Detail'!58:58)</f>
        <v/>
      </c>
      <c r="F28" s="664">
        <f>SUMIF('Monthly Detail'!$4:$4, '2025 Overview (Budget)'!F$19, 'Monthly Detail'!58:58)</f>
        <v/>
      </c>
      <c r="G28" s="664">
        <f>SUMIF('Monthly Detail'!$4:$4, '2025 Overview (Budget)'!G$19, 'Monthly Detail'!58:58)</f>
        <v/>
      </c>
      <c r="H28" s="664">
        <f>SUMIF('Monthly Detail'!$4:$4, '2025 Overview (Budget)'!H$19, 'Monthly Detail'!58:58)</f>
        <v/>
      </c>
      <c r="I28" s="664">
        <f>SUMIF('Monthly Detail'!$4:$4, '2025 Overview (Budget)'!I$19, 'Monthly Detail'!58:58)</f>
        <v/>
      </c>
      <c r="J28" s="664">
        <f>SUMIF('Monthly Detail'!$4:$4, '2025 Overview (Budget)'!J$19, 'Monthly Detail'!58:58)</f>
        <v/>
      </c>
      <c r="K28" s="664">
        <f>SUMIF('Monthly Detail'!$4:$4, '2025 Overview (Budget)'!K$19, 'Monthly Detail'!58:58)</f>
        <v/>
      </c>
      <c r="L28" s="723">
        <f>SUMIF('Monthly Detail'!$4:$4, '2025 Overview (Budget)'!L$19, 'Monthly Detail'!58:58)</f>
        <v/>
      </c>
      <c r="M28" s="664">
        <f>+'2025 AOP'!M28</f>
        <v/>
      </c>
      <c r="N28" s="724">
        <f>+'2025 AOP'!N28</f>
        <v/>
      </c>
      <c r="O28" s="7" t="n"/>
      <c r="P28" s="722">
        <f>+SUM(C28:N28)</f>
        <v/>
      </c>
    </row>
    <row r="29">
      <c r="B29" s="208" t="inlineStr">
        <is>
          <t xml:space="preserve">   Materials - COGS</t>
        </is>
      </c>
      <c r="C29" s="683">
        <f>SUMIF('Monthly Detail'!$4:$4, '2025 Overview (Budget)'!C$19, 'Monthly Detail'!59:59)</f>
        <v/>
      </c>
      <c r="D29" s="664">
        <f>SUMIF('Monthly Detail'!$4:$4, '2025 Overview (Budget)'!D$19, 'Monthly Detail'!59:59)</f>
        <v/>
      </c>
      <c r="E29" s="664">
        <f>SUMIF('Monthly Detail'!$4:$4, '2025 Overview (Budget)'!E$19, 'Monthly Detail'!59:59)</f>
        <v/>
      </c>
      <c r="F29" s="664">
        <f>SUMIF('Monthly Detail'!$4:$4, '2025 Overview (Budget)'!F$19, 'Monthly Detail'!59:59)</f>
        <v/>
      </c>
      <c r="G29" s="664">
        <f>SUMIF('Monthly Detail'!$4:$4, '2025 Overview (Budget)'!G$19, 'Monthly Detail'!59:59)</f>
        <v/>
      </c>
      <c r="H29" s="664">
        <f>SUMIF('Monthly Detail'!$4:$4, '2025 Overview (Budget)'!H$19, 'Monthly Detail'!59:59)</f>
        <v/>
      </c>
      <c r="I29" s="664">
        <f>SUMIF('Monthly Detail'!$4:$4, '2025 Overview (Budget)'!I$19, 'Monthly Detail'!59:59)</f>
        <v/>
      </c>
      <c r="J29" s="664">
        <f>SUMIF('Monthly Detail'!$4:$4, '2025 Overview (Budget)'!J$19, 'Monthly Detail'!59:59)</f>
        <v/>
      </c>
      <c r="K29" s="664">
        <f>SUMIF('Monthly Detail'!$4:$4, '2025 Overview (Budget)'!K$19, 'Monthly Detail'!59:59)</f>
        <v/>
      </c>
      <c r="L29" s="723">
        <f>SUMIF('Monthly Detail'!$4:$4, '2025 Overview (Budget)'!L$19, 'Monthly Detail'!59:59)</f>
        <v/>
      </c>
      <c r="M29" s="664">
        <f>+'2025 AOP'!M29</f>
        <v/>
      </c>
      <c r="N29" s="724">
        <f>+'2025 AOP'!N29</f>
        <v/>
      </c>
      <c r="O29" s="7" t="n"/>
      <c r="P29" s="722">
        <f>+SUM(C29:N29)</f>
        <v/>
      </c>
    </row>
    <row r="30">
      <c r="B30" s="208" t="inlineStr">
        <is>
          <t xml:space="preserve">   Contractors - COS</t>
        </is>
      </c>
      <c r="C30" s="683">
        <f>SUMIF('Monthly Detail'!$4:$4, '2025 Overview (Budget)'!C$19, 'Monthly Detail'!60:60)</f>
        <v/>
      </c>
      <c r="D30" s="664">
        <f>SUMIF('Monthly Detail'!$4:$4, '2025 Overview (Budget)'!D$19, 'Monthly Detail'!60:60)</f>
        <v/>
      </c>
      <c r="E30" s="664">
        <f>SUMIF('Monthly Detail'!$4:$4, '2025 Overview (Budget)'!E$19, 'Monthly Detail'!60:60)</f>
        <v/>
      </c>
      <c r="F30" s="664">
        <f>SUMIF('Monthly Detail'!$4:$4, '2025 Overview (Budget)'!F$19, 'Monthly Detail'!60:60)</f>
        <v/>
      </c>
      <c r="G30" s="664">
        <f>SUMIF('Monthly Detail'!$4:$4, '2025 Overview (Budget)'!G$19, 'Monthly Detail'!60:60)</f>
        <v/>
      </c>
      <c r="H30" s="664">
        <f>SUMIF('Monthly Detail'!$4:$4, '2025 Overview (Budget)'!H$19, 'Monthly Detail'!60:60)</f>
        <v/>
      </c>
      <c r="I30" s="664">
        <f>SUMIF('Monthly Detail'!$4:$4, '2025 Overview (Budget)'!I$19, 'Monthly Detail'!60:60)</f>
        <v/>
      </c>
      <c r="J30" s="664">
        <f>SUMIF('Monthly Detail'!$4:$4, '2025 Overview (Budget)'!J$19, 'Monthly Detail'!60:60)</f>
        <v/>
      </c>
      <c r="K30" s="664">
        <f>SUMIF('Monthly Detail'!$4:$4, '2025 Overview (Budget)'!K$19, 'Monthly Detail'!60:60)</f>
        <v/>
      </c>
      <c r="L30" s="723">
        <f>SUMIF('Monthly Detail'!$4:$4, '2025 Overview (Budget)'!L$19, 'Monthly Detail'!60:60)</f>
        <v/>
      </c>
      <c r="M30" s="664">
        <f>+'2025 AOP'!M30</f>
        <v/>
      </c>
      <c r="N30" s="724">
        <f>+'2025 AOP'!N30</f>
        <v/>
      </c>
      <c r="O30" s="7" t="n"/>
      <c r="P30" s="722">
        <f>+SUM(C30:N30)</f>
        <v/>
      </c>
    </row>
    <row r="31" ht="15.75" customHeight="1" s="627">
      <c r="B31" s="659" t="inlineStr">
        <is>
          <t>Total Cost of Goods Sold (COGS)</t>
        </is>
      </c>
      <c r="C31" s="660">
        <f>SUM(C28:C30)</f>
        <v/>
      </c>
      <c r="D31" s="660">
        <f>SUM(D28:D30)</f>
        <v/>
      </c>
      <c r="E31" s="660">
        <f>SUM(E28:E30)</f>
        <v/>
      </c>
      <c r="F31" s="660">
        <f>SUM(F28:F30)</f>
        <v/>
      </c>
      <c r="G31" s="660">
        <f>SUM(G28:G30)</f>
        <v/>
      </c>
      <c r="H31" s="660">
        <f>SUM(H28:H30)</f>
        <v/>
      </c>
      <c r="I31" s="660">
        <f>SUM(I28:I30)</f>
        <v/>
      </c>
      <c r="J31" s="660">
        <f>SUM(J28:J30)</f>
        <v/>
      </c>
      <c r="K31" s="660">
        <f>SUM(K28:K30)</f>
        <v/>
      </c>
      <c r="L31" s="725">
        <f>SUM(L28:L30)</f>
        <v/>
      </c>
      <c r="M31" s="660">
        <f>SUM(M28:M30)</f>
        <v/>
      </c>
      <c r="N31" s="726">
        <f>SUM(N28:N30)</f>
        <v/>
      </c>
      <c r="P31" s="727">
        <f>SUM(P28:P30)</f>
        <v/>
      </c>
    </row>
    <row r="32" ht="5.65" customHeight="1" s="627">
      <c r="B32" s="208" t="n"/>
      <c r="C32" s="664" t="n"/>
      <c r="D32" s="664" t="n"/>
      <c r="E32" s="664" t="n"/>
      <c r="F32" s="664" t="n"/>
      <c r="G32" s="664" t="n"/>
      <c r="H32" s="664" t="n"/>
      <c r="I32" s="664" t="n"/>
      <c r="J32" s="664" t="n"/>
      <c r="K32" s="664" t="n"/>
      <c r="L32" s="723" t="n"/>
      <c r="M32" s="664" t="n"/>
      <c r="N32" s="724" t="n"/>
      <c r="O32" s="7" t="n"/>
      <c r="P32" s="722" t="n"/>
    </row>
    <row r="33" ht="15.75" customHeight="1" s="627">
      <c r="B33" s="659" t="inlineStr">
        <is>
          <t>Gross Margin</t>
        </is>
      </c>
      <c r="C33" s="660">
        <f>+C22-C31</f>
        <v/>
      </c>
      <c r="D33" s="660">
        <f>+D22-D31</f>
        <v/>
      </c>
      <c r="E33" s="660">
        <f>+E22-E31</f>
        <v/>
      </c>
      <c r="F33" s="660">
        <f>+F22-F31</f>
        <v/>
      </c>
      <c r="G33" s="660">
        <f>+G22-G31</f>
        <v/>
      </c>
      <c r="H33" s="660">
        <f>+H22-H31</f>
        <v/>
      </c>
      <c r="I33" s="660">
        <f>+I22-I31</f>
        <v/>
      </c>
      <c r="J33" s="660">
        <f>+J22-J31</f>
        <v/>
      </c>
      <c r="K33" s="660">
        <f>+K22-K31</f>
        <v/>
      </c>
      <c r="L33" s="725">
        <f>+L22-L31</f>
        <v/>
      </c>
      <c r="M33" s="660">
        <f>+M22-M31</f>
        <v/>
      </c>
      <c r="N33" s="726">
        <f>+N22-N31</f>
        <v/>
      </c>
      <c r="P33" s="727">
        <f>+SUM(C33:N33)</f>
        <v/>
      </c>
    </row>
    <row r="34">
      <c r="B34" s="219" t="inlineStr">
        <is>
          <t>GM %</t>
        </is>
      </c>
      <c r="C34" s="662">
        <f>IFERROR(C33/C22, 0)</f>
        <v/>
      </c>
      <c r="D34" s="662">
        <f>IFERROR(D33/D22, 0)</f>
        <v/>
      </c>
      <c r="E34" s="662">
        <f>IFERROR(E33/E22, 0)</f>
        <v/>
      </c>
      <c r="F34" s="662">
        <f>IFERROR(F33/F22, 0)</f>
        <v/>
      </c>
      <c r="G34" s="662">
        <f>IFERROR(G33/G22, 0)</f>
        <v/>
      </c>
      <c r="H34" s="662">
        <f>IFERROR(H33/H22, 0)</f>
        <v/>
      </c>
      <c r="I34" s="662">
        <f>IFERROR(I33/I22, 0)</f>
        <v/>
      </c>
      <c r="J34" s="662">
        <f>IFERROR(J33/J22, 0)</f>
        <v/>
      </c>
      <c r="K34" s="662">
        <f>IFERROR(K33/K22, 0)</f>
        <v/>
      </c>
      <c r="L34" s="728">
        <f>IFERROR(L33/L22, 0)</f>
        <v/>
      </c>
      <c r="M34" s="662">
        <f>IFERROR(M33/M22, 0)</f>
        <v/>
      </c>
      <c r="N34" s="729">
        <f>IFERROR(N33/N22, 0)</f>
        <v/>
      </c>
      <c r="P34" s="730">
        <f>P33/P22</f>
        <v/>
      </c>
      <c r="T34" s="1" t="n"/>
    </row>
    <row r="35" ht="3" customHeight="1" s="627">
      <c r="B35" s="208" t="n"/>
      <c r="L35" s="589" t="n"/>
      <c r="N35" s="243" t="n"/>
      <c r="O35" s="694" t="n"/>
      <c r="P35" s="444" t="n"/>
    </row>
    <row r="36">
      <c r="B36" s="208" t="inlineStr">
        <is>
          <t>General &amp; Admintrative Expenses</t>
        </is>
      </c>
      <c r="C36" s="683">
        <f>SUMIF('Monthly Detail'!$4:$4, '2025 Overview (Budget)'!C$19, 'Monthly Detail'!$89:$89)</f>
        <v/>
      </c>
      <c r="D36" s="683">
        <f>SUMIF('Monthly Detail'!$4:$4, '2025 Overview (Budget)'!D$19, 'Monthly Detail'!$89:$89)</f>
        <v/>
      </c>
      <c r="E36" s="683">
        <f>SUMIF('Monthly Detail'!$4:$4, '2025 Overview (Budget)'!E$19, 'Monthly Detail'!$89:$89)</f>
        <v/>
      </c>
      <c r="F36" s="683">
        <f>SUMIF('Monthly Detail'!$4:$4, '2025 Overview (Budget)'!F$19, 'Monthly Detail'!$89:$89)</f>
        <v/>
      </c>
      <c r="G36" s="683">
        <f>SUMIF('Monthly Detail'!$4:$4, '2025 Overview (Budget)'!G$19, 'Monthly Detail'!$89:$89)</f>
        <v/>
      </c>
      <c r="H36" s="683">
        <f>SUMIF('Monthly Detail'!$4:$4, '2025 Overview (Budget)'!H$19, 'Monthly Detail'!$89:$89)</f>
        <v/>
      </c>
      <c r="I36" s="683">
        <f>SUMIF('Monthly Detail'!$4:$4, '2025 Overview (Budget)'!I$19, 'Monthly Detail'!$89:$89)</f>
        <v/>
      </c>
      <c r="J36" s="683">
        <f>SUMIF('Monthly Detail'!$4:$4, '2025 Overview (Budget)'!J$19, 'Monthly Detail'!$89:$89)</f>
        <v/>
      </c>
      <c r="K36" s="683">
        <f>SUMIF('Monthly Detail'!$4:$4, '2025 Overview (Budget)'!K$19, 'Monthly Detail'!$89:$89)</f>
        <v/>
      </c>
      <c r="L36" s="706">
        <f>SUMIF('Monthly Detail'!$4:$4, '2025 Overview'!L$19, 'Monthly Detail'!$89:$89)+SUMIF('Monthly Detail'!$4:$4, '2025 Overview'!L$19, 'Monthly Detail'!$90:$90)</f>
        <v/>
      </c>
      <c r="M36" s="683">
        <f>+'2025 AOP'!M36</f>
        <v/>
      </c>
      <c r="N36" s="707">
        <f>+'2025 AOP'!N36</f>
        <v/>
      </c>
      <c r="P36" s="708">
        <f>SUM(C36:O36)</f>
        <v/>
      </c>
    </row>
    <row r="37" ht="15.75" customHeight="1" s="627">
      <c r="B37" s="221" t="inlineStr">
        <is>
          <t>Operating Expenses</t>
        </is>
      </c>
      <c r="C37" s="667">
        <f>SUM(C36:C36)</f>
        <v/>
      </c>
      <c r="D37" s="667">
        <f>SUM(D36:D36)</f>
        <v/>
      </c>
      <c r="E37" s="667">
        <f>SUM(E36:E36)</f>
        <v/>
      </c>
      <c r="F37" s="667">
        <f>SUM(F36:F36)</f>
        <v/>
      </c>
      <c r="G37" s="667">
        <f>SUM(G36:G36)</f>
        <v/>
      </c>
      <c r="H37" s="667">
        <f>SUM(H36:H36)</f>
        <v/>
      </c>
      <c r="I37" s="667">
        <f>SUM(I36:I36)</f>
        <v/>
      </c>
      <c r="J37" s="667">
        <f>SUM(J36:J36)</f>
        <v/>
      </c>
      <c r="K37" s="667">
        <f>SUM(K36:K36)</f>
        <v/>
      </c>
      <c r="L37" s="731">
        <f>SUM(L36:L36)</f>
        <v/>
      </c>
      <c r="M37" s="667">
        <f>SUM(M36:M36)</f>
        <v/>
      </c>
      <c r="N37" s="732">
        <f>SUM(N36:N36)</f>
        <v/>
      </c>
      <c r="O37" s="691" t="n"/>
      <c r="P37" s="733">
        <f>SUM(P36:P36)</f>
        <v/>
      </c>
    </row>
    <row r="38" ht="4.9" customHeight="1" s="627">
      <c r="B38" s="208" t="n"/>
      <c r="L38" s="589" t="n"/>
      <c r="N38" s="243" t="n"/>
      <c r="O38" s="7" t="n"/>
      <c r="P38" s="444" t="n"/>
    </row>
    <row r="39" ht="15.75" customHeight="1" s="627">
      <c r="B39" s="659" t="inlineStr">
        <is>
          <t>Net Operating Income (EBITDA)</t>
        </is>
      </c>
      <c r="C39" s="660">
        <f>C33-C37</f>
        <v/>
      </c>
      <c r="D39" s="660">
        <f>D33-D37</f>
        <v/>
      </c>
      <c r="E39" s="660">
        <f>E33-E37</f>
        <v/>
      </c>
      <c r="F39" s="660">
        <f>F33-F37</f>
        <v/>
      </c>
      <c r="G39" s="660">
        <f>G33-G37</f>
        <v/>
      </c>
      <c r="H39" s="660">
        <f>H33-H37</f>
        <v/>
      </c>
      <c r="I39" s="660">
        <f>I33-I37</f>
        <v/>
      </c>
      <c r="J39" s="660">
        <f>J33-J37</f>
        <v/>
      </c>
      <c r="K39" s="660">
        <f>K33-K37</f>
        <v/>
      </c>
      <c r="L39" s="725">
        <f>L33-L37</f>
        <v/>
      </c>
      <c r="M39" s="660">
        <f>M33-M37</f>
        <v/>
      </c>
      <c r="N39" s="726">
        <f>N33-N37</f>
        <v/>
      </c>
      <c r="P39" s="727">
        <f>P33-P37</f>
        <v/>
      </c>
    </row>
    <row r="40">
      <c r="B40" s="219" t="inlineStr">
        <is>
          <t>EBITDA %</t>
        </is>
      </c>
      <c r="C40" s="662">
        <f>IFERROR(C39/C22, 0)</f>
        <v/>
      </c>
      <c r="D40" s="662">
        <f>IFERROR(D39/D22, 0)</f>
        <v/>
      </c>
      <c r="E40" s="662">
        <f>IFERROR(E39/E22, 0)</f>
        <v/>
      </c>
      <c r="F40" s="662">
        <f>IFERROR(F39/F22, 0)</f>
        <v/>
      </c>
      <c r="G40" s="662">
        <f>IFERROR(G39/G22, 0)</f>
        <v/>
      </c>
      <c r="H40" s="662">
        <f>IFERROR(H39/H22, 0)</f>
        <v/>
      </c>
      <c r="I40" s="662">
        <f>IFERROR(I39/I22, 0)</f>
        <v/>
      </c>
      <c r="J40" s="662">
        <f>IFERROR(J39/J22, 0)</f>
        <v/>
      </c>
      <c r="K40" s="662">
        <f>IFERROR(K39/K22, 0)</f>
        <v/>
      </c>
      <c r="L40" s="728">
        <f>IFERROR(L39/L22, 0)</f>
        <v/>
      </c>
      <c r="M40" s="662">
        <f>IFERROR(M39/M22, 0)</f>
        <v/>
      </c>
      <c r="N40" s="729">
        <f>IFERROR(N39/N22, 0)</f>
        <v/>
      </c>
      <c r="O40" s="126" t="n"/>
      <c r="P40" s="730">
        <f>P39/P22</f>
        <v/>
      </c>
    </row>
    <row r="41" ht="5.65" customHeight="1" s="627">
      <c r="B41" s="222" t="n"/>
      <c r="C41" s="669" t="n"/>
      <c r="D41" s="669" t="n"/>
      <c r="E41" s="669" t="n"/>
      <c r="F41" s="669" t="n"/>
      <c r="G41" s="669" t="n"/>
      <c r="H41" s="669" t="n"/>
      <c r="I41" s="669" t="n"/>
      <c r="J41" s="669" t="n"/>
      <c r="K41" s="669" t="n"/>
      <c r="L41" s="734" t="n"/>
      <c r="M41" s="669" t="n"/>
      <c r="N41" s="735" t="n"/>
      <c r="O41" s="691" t="n"/>
      <c r="P41" s="736" t="n"/>
    </row>
    <row r="42">
      <c r="B42" s="208" t="inlineStr">
        <is>
          <t>Other Income / (Expense)</t>
        </is>
      </c>
      <c r="C42" s="126">
        <f>SUMIF('Monthly Detail'!$4:$4, '2025 Overview (Budget)'!C$19, 'Monthly Detail'!95:95)</f>
        <v/>
      </c>
      <c r="D42" s="126">
        <f>SUMIF('Monthly Detail'!$4:$4, '2025 Overview (Budget)'!D$19, 'Monthly Detail'!95:95)</f>
        <v/>
      </c>
      <c r="E42" s="126">
        <f>SUMIF('Monthly Detail'!$4:$4, '2025 Overview (Budget)'!E$19, 'Monthly Detail'!95:95)</f>
        <v/>
      </c>
      <c r="F42" s="126">
        <f>SUMIF('Monthly Detail'!$4:$4, '2025 Overview (Budget)'!F$19, 'Monthly Detail'!95:95)</f>
        <v/>
      </c>
      <c r="G42" s="126">
        <f>SUMIF('Monthly Detail'!$4:$4, '2025 Overview (Budget)'!G$19, 'Monthly Detail'!95:95)</f>
        <v/>
      </c>
      <c r="H42" s="126">
        <f>SUMIF('Monthly Detail'!$4:$4, '2025 Overview (Budget)'!H$19, 'Monthly Detail'!95:95)</f>
        <v/>
      </c>
      <c r="I42" s="126">
        <f>SUMIF('Monthly Detail'!$4:$4, '2025 Overview (Budget)'!I$19, 'Monthly Detail'!95:95)</f>
        <v/>
      </c>
      <c r="J42" s="126">
        <f>SUMIF('Monthly Detail'!$4:$4, '2025 Overview (Budget)'!J$19, 'Monthly Detail'!95:95)</f>
        <v/>
      </c>
      <c r="K42" s="126">
        <f>SUMIF('Monthly Detail'!$4:$4, '2025 Overview (Budget)'!K$19, 'Monthly Detail'!95:95)</f>
        <v/>
      </c>
      <c r="L42" s="592">
        <f>SUMIF('Monthly Detail'!$4:$4, '2025 Overview (Budget)'!L$19, 'Monthly Detail'!95:95)</f>
        <v/>
      </c>
      <c r="M42" s="126">
        <f>SUMIF('Monthly Detail'!$4:$4, '2025 Overview (Budget)'!M$19, 'Monthly Detail'!130:130)</f>
        <v/>
      </c>
      <c r="N42" s="461">
        <f>SUMIF('Monthly Detail'!$4:$4, '2025 Overview (Budget)'!N$19, 'Monthly Detail'!130:130)</f>
        <v/>
      </c>
      <c r="O42" s="7" t="n"/>
      <c r="P42" s="454">
        <f>SUM(C42:O42)</f>
        <v/>
      </c>
    </row>
    <row r="43" ht="15.75" customHeight="1" s="627">
      <c r="B43" s="659" t="inlineStr">
        <is>
          <t>Net Income</t>
        </is>
      </c>
      <c r="C43" s="660">
        <f>C39+SUM(C42:C42)</f>
        <v/>
      </c>
      <c r="D43" s="660">
        <f>D39+SUM(D42:D42)</f>
        <v/>
      </c>
      <c r="E43" s="660">
        <f>E39+SUM(E42:E42)</f>
        <v/>
      </c>
      <c r="F43" s="660">
        <f>F39+SUM(F42:F42)</f>
        <v/>
      </c>
      <c r="G43" s="660">
        <f>G39+SUM(G42:G42)</f>
        <v/>
      </c>
      <c r="H43" s="660">
        <f>H39+SUM(H42:H42)</f>
        <v/>
      </c>
      <c r="I43" s="660">
        <f>I39+SUM(I42:I42)</f>
        <v/>
      </c>
      <c r="J43" s="660">
        <f>J39+SUM(J42:J42)</f>
        <v/>
      </c>
      <c r="K43" s="660">
        <f>K39+SUM(K42:K42)</f>
        <v/>
      </c>
      <c r="L43" s="725">
        <f>L39+SUM(L42:L42)</f>
        <v/>
      </c>
      <c r="M43" s="660">
        <f>M39+SUM(M42:M42)</f>
        <v/>
      </c>
      <c r="N43" s="726">
        <f>N39+SUM(N42:N42)</f>
        <v/>
      </c>
      <c r="P43" s="727">
        <f>P39+SUM(P42:P42)</f>
        <v/>
      </c>
    </row>
    <row r="44">
      <c r="B44" s="219" t="inlineStr">
        <is>
          <t>NI %</t>
        </is>
      </c>
      <c r="C44" s="662">
        <f>IFERROR(C43/C22, 0)</f>
        <v/>
      </c>
      <c r="D44" s="662">
        <f>IFERROR(D43/D22, 0)</f>
        <v/>
      </c>
      <c r="E44" s="662">
        <f>IFERROR(E43/E22, 0)</f>
        <v/>
      </c>
      <c r="F44" s="662">
        <f>IFERROR(F43/F22, 0)</f>
        <v/>
      </c>
      <c r="G44" s="662">
        <f>IFERROR(G43/G22, 0)</f>
        <v/>
      </c>
      <c r="H44" s="662">
        <f>IFERROR(H43/H22, 0)</f>
        <v/>
      </c>
      <c r="I44" s="662">
        <f>IFERROR(I43/I22, 0)</f>
        <v/>
      </c>
      <c r="J44" s="662">
        <f>IFERROR(J43/J22, 0)</f>
        <v/>
      </c>
      <c r="K44" s="662">
        <f>IFERROR(K43/K22, 0)</f>
        <v/>
      </c>
      <c r="L44" s="728">
        <f>IFERROR(L43/L22, 0)</f>
        <v/>
      </c>
      <c r="M44" s="662">
        <f>IFERROR(M43/M22, 0)</f>
        <v/>
      </c>
      <c r="N44" s="729">
        <f>IFERROR(N43/N22, 0)</f>
        <v/>
      </c>
      <c r="P44" s="737">
        <f>P43/P22</f>
        <v/>
      </c>
    </row>
    <row r="45" ht="6" customHeight="1" s="627" thickBot="1">
      <c r="B45" s="208" t="n"/>
      <c r="L45" s="589" t="n"/>
      <c r="P45" s="628" t="n"/>
    </row>
    <row r="46" ht="15.75" customHeight="1" s="627" thickBot="1">
      <c r="B46" s="224" t="inlineStr">
        <is>
          <t>Operating (Business) Cash</t>
        </is>
      </c>
      <c r="C46" s="738">
        <f>SUMIF('Monthly Detail'!$4:$4, '2025 Overview (Budget)'!C$19, 'Monthly Detail'!112:112)</f>
        <v/>
      </c>
      <c r="D46" s="738">
        <f>SUMIF('Monthly Detail'!$4:$4, '2025 Overview (Budget)'!D$19, 'Monthly Detail'!112:112)</f>
        <v/>
      </c>
      <c r="E46" s="738">
        <f>SUMIF('Monthly Detail'!$4:$4, '2025 Overview (Budget)'!E$19, 'Monthly Detail'!112:112)</f>
        <v/>
      </c>
      <c r="F46" s="738">
        <f>SUMIF('Monthly Detail'!$4:$4, '2025 Overview (Budget)'!F$19, 'Monthly Detail'!112:112)</f>
        <v/>
      </c>
      <c r="G46" s="738">
        <f>SUMIF('Monthly Detail'!$4:$4, '2025 Overview (Budget)'!G$19, 'Monthly Detail'!112:112)</f>
        <v/>
      </c>
      <c r="H46" s="738">
        <f>SUMIF('Monthly Detail'!$4:$4, '2025 Overview (Budget)'!H$19, 'Monthly Detail'!112:112)</f>
        <v/>
      </c>
      <c r="I46" s="738">
        <f>SUMIF('Monthly Detail'!$4:$4, '2025 Overview (Budget)'!I$19, 'Monthly Detail'!112:112)</f>
        <v/>
      </c>
      <c r="J46" s="738">
        <f>SUMIF('Monthly Detail'!$4:$4, '2025 Overview (Budget)'!J$19, 'Monthly Detail'!112:112)</f>
        <v/>
      </c>
      <c r="K46" s="738">
        <f>SUMIF('Monthly Detail'!$4:$4, '2025 Overview (Budget)'!K$19, 'Monthly Detail'!112:112)</f>
        <v/>
      </c>
      <c r="L46" s="739">
        <f>SUMIF('Monthly Detail'!$4:$4, '2025 Overview (Budget)'!L$19, 'Monthly Detail'!112:112)</f>
        <v/>
      </c>
      <c r="M46" s="740">
        <f>+'2025 AOP'!M46</f>
        <v/>
      </c>
      <c r="N46" s="741">
        <f>+'2025 AOP'!N46</f>
        <v/>
      </c>
      <c r="P46" s="628" t="n"/>
    </row>
    <row r="47" ht="15.75" customHeight="1" s="627" thickBot="1">
      <c r="B47" s="420" t="inlineStr">
        <is>
          <t>Savings Cash</t>
        </is>
      </c>
      <c r="C47" s="742">
        <f>SUMIF('Monthly Detail'!$4:$4, '2025 Overview (Budget)'!C$19, 'Monthly Detail'!106:106)</f>
        <v/>
      </c>
      <c r="D47" s="742">
        <f>SUMIF('Monthly Detail'!$4:$4, '2025 Overview (Budget)'!D$19, 'Monthly Detail'!106:106)</f>
        <v/>
      </c>
      <c r="E47" s="742">
        <f>SUMIF('Monthly Detail'!$4:$4, '2025 Overview (Budget)'!E$19, 'Monthly Detail'!106:106)</f>
        <v/>
      </c>
      <c r="F47" s="742">
        <f>SUMIF('Monthly Detail'!$4:$4, '2025 Overview (Budget)'!F$19, 'Monthly Detail'!106:106)</f>
        <v/>
      </c>
      <c r="G47" s="742">
        <f>SUMIF('Monthly Detail'!$4:$4, '2025 Overview (Budget)'!G$19, 'Monthly Detail'!106:106)</f>
        <v/>
      </c>
      <c r="H47" s="742">
        <f>SUMIF('Monthly Detail'!$4:$4, '2025 Overview (Budget)'!H$19, 'Monthly Detail'!106:106)</f>
        <v/>
      </c>
      <c r="I47" s="742">
        <f>SUMIF('Monthly Detail'!$4:$4, '2025 Overview (Budget)'!I$19, 'Monthly Detail'!106:106)</f>
        <v/>
      </c>
      <c r="J47" s="742">
        <f>SUMIF('Monthly Detail'!$4:$4, '2025 Overview (Budget)'!J$19, 'Monthly Detail'!106:106)</f>
        <v/>
      </c>
      <c r="K47" s="742">
        <f>SUMIF('Monthly Detail'!$4:$4, '2025 Overview (Budget)'!K$19, 'Monthly Detail'!106:106)</f>
        <v/>
      </c>
      <c r="L47" s="743">
        <f>SUMIF('Monthly Detail'!$4:$4, '2025 Overview (Budget)'!L$19, 'Monthly Detail'!106:106)</f>
        <v/>
      </c>
      <c r="M47" s="744">
        <f>+'2025 AOP'!M47</f>
        <v/>
      </c>
      <c r="N47" s="745">
        <f>+'2025 AOP'!N47</f>
        <v/>
      </c>
      <c r="P47" s="628" t="n"/>
    </row>
    <row r="48" ht="15.75" customHeight="1" s="627" thickBot="1">
      <c r="B48" s="228" t="inlineStr">
        <is>
          <t>Total Cash Balance</t>
        </is>
      </c>
      <c r="C48" s="746">
        <f>SUMIF('Monthly Detail'!$4:$4, '2025 Overview (Budget)'!C$19, 'Monthly Detail'!173:173)</f>
        <v/>
      </c>
      <c r="D48" s="746">
        <f>SUMIF('Monthly Detail'!$4:$4, '2025 Overview (Budget)'!D$19, 'Monthly Detail'!173:173)</f>
        <v/>
      </c>
      <c r="E48" s="746">
        <f>SUMIF('Monthly Detail'!$4:$4, '2025 Overview (Budget)'!E$19, 'Monthly Detail'!173:173)</f>
        <v/>
      </c>
      <c r="F48" s="746">
        <f>SUMIF('Monthly Detail'!$4:$4, '2025 Overview (Budget)'!F$19, 'Monthly Detail'!173:173)</f>
        <v/>
      </c>
      <c r="G48" s="746">
        <f>SUMIF('Monthly Detail'!$4:$4, '2025 Overview (Budget)'!G$19, 'Monthly Detail'!173:173)</f>
        <v/>
      </c>
      <c r="H48" s="746">
        <f>SUMIF('Monthly Detail'!$4:$4, '2025 Overview (Budget)'!H$19, 'Monthly Detail'!173:173)</f>
        <v/>
      </c>
      <c r="I48" s="746">
        <f>SUMIF('Monthly Detail'!$4:$4, '2025 Overview (Budget)'!I$19, 'Monthly Detail'!173:173)</f>
        <v/>
      </c>
      <c r="J48" s="746">
        <f>SUMIF('Monthly Detail'!$4:$4, '2025 Overview (Budget)'!J$19, 'Monthly Detail'!173:173)</f>
        <v/>
      </c>
      <c r="K48" s="746">
        <f>SUMIF('Monthly Detail'!$4:$4, '2025 Overview (Budget)'!K$19, 'Monthly Detail'!173:173)</f>
        <v/>
      </c>
      <c r="L48" s="747">
        <f>SUMIF('Monthly Detail'!$4:$4, '2025 Overview (Budget)'!L$19, 'Monthly Detail'!173:173)</f>
        <v/>
      </c>
      <c r="M48" s="748">
        <f>+'2025 AOP'!M48</f>
        <v/>
      </c>
      <c r="N48" s="749">
        <f>+'2025 AOP'!N48</f>
        <v/>
      </c>
      <c r="P48" s="628" t="n"/>
    </row>
    <row r="49" ht="15.75" customHeight="1" s="627" thickBot="1">
      <c r="B49" s="84" t="inlineStr">
        <is>
          <t>Total Cash Inflow (Outflow)</t>
        </is>
      </c>
      <c r="C49" s="699">
        <f>SUMIF('Monthly Detail'!$4:$4, '2025 Overview (Budget)'!C$19, 'Monthly Detail'!170:170)</f>
        <v/>
      </c>
      <c r="D49" s="700">
        <f>SUMIF('Monthly Detail'!$4:$4, '2025 Overview (Budget)'!D$19, 'Monthly Detail'!170:170)</f>
        <v/>
      </c>
      <c r="E49" s="700">
        <f>SUMIF('Monthly Detail'!$4:$4, '2025 Overview (Budget)'!E$19, 'Monthly Detail'!170:170)</f>
        <v/>
      </c>
      <c r="F49" s="700">
        <f>SUMIF('Monthly Detail'!$4:$4, '2025 Overview (Budget)'!F$19, 'Monthly Detail'!170:170)</f>
        <v/>
      </c>
      <c r="G49" s="700">
        <f>SUMIF('Monthly Detail'!$4:$4, '2025 Overview (Budget)'!G$19, 'Monthly Detail'!170:170)</f>
        <v/>
      </c>
      <c r="H49" s="700">
        <f>SUMIF('Monthly Detail'!$4:$4, '2025 Overview (Budget)'!H$19, 'Monthly Detail'!170:170)</f>
        <v/>
      </c>
      <c r="I49" s="700">
        <f>SUMIF('Monthly Detail'!$4:$4, '2025 Overview (Budget)'!I$19, 'Monthly Detail'!170:170)</f>
        <v/>
      </c>
      <c r="J49" s="700">
        <f>SUMIF('Monthly Detail'!$4:$4, '2025 Overview (Budget)'!J$19, 'Monthly Detail'!170:170)</f>
        <v/>
      </c>
      <c r="K49" s="700">
        <f>SUMIF('Monthly Detail'!$4:$4, '2025 Overview (Budget)'!K$19, 'Monthly Detail'!170:170)</f>
        <v/>
      </c>
      <c r="L49" s="700">
        <f>SUMIF('Monthly Detail'!$4:$4, '2025 Overview (Budget)'!L$19, 'Monthly Detail'!170:170)</f>
        <v/>
      </c>
      <c r="M49" s="699">
        <f>+'2025 AOP'!M49</f>
        <v/>
      </c>
      <c r="N49" s="699">
        <f>+'2025 AOP'!N49</f>
        <v/>
      </c>
      <c r="P49" s="628" t="n"/>
    </row>
    <row r="50" ht="15.75" customHeight="1" s="627" thickBot="1">
      <c r="B50" s="229" t="inlineStr">
        <is>
          <t>Operating Cash Burn</t>
        </is>
      </c>
      <c r="C50" s="750">
        <f>-SUMIF('Monthly Detail'!$4:$4, '2025 Overview (Budget)'!C$19, 'Monthly Detail'!89:89)</f>
        <v/>
      </c>
      <c r="D50" s="751">
        <f>-SUMIF('Monthly Detail'!$4:$4, '2025 Overview (Budget)'!D$19, 'Monthly Detail'!89:89)</f>
        <v/>
      </c>
      <c r="E50" s="751">
        <f>-SUMIF('Monthly Detail'!$4:$4, '2025 Overview (Budget)'!E$19, 'Monthly Detail'!89:89)</f>
        <v/>
      </c>
      <c r="F50" s="751">
        <f>-SUMIF('Monthly Detail'!$4:$4, '2025 Overview (Budget)'!F$19, 'Monthly Detail'!89:89)</f>
        <v/>
      </c>
      <c r="G50" s="751">
        <f>-SUMIF('Monthly Detail'!$4:$4, '2025 Overview (Budget)'!G$19, 'Monthly Detail'!89:89)</f>
        <v/>
      </c>
      <c r="H50" s="751">
        <f>-SUMIF('Monthly Detail'!$4:$4, '2025 Overview (Budget)'!H$19, 'Monthly Detail'!89:89)</f>
        <v/>
      </c>
      <c r="I50" s="751">
        <f>-SUMIF('Monthly Detail'!$4:$4, '2025 Overview (Budget)'!I$19, 'Monthly Detail'!89:89)</f>
        <v/>
      </c>
      <c r="J50" s="751">
        <f>-SUMIF('Monthly Detail'!$4:$4, '2025 Overview (Budget)'!J$19, 'Monthly Detail'!89:89)</f>
        <v/>
      </c>
      <c r="K50" s="751">
        <f>-SUMIF('Monthly Detail'!$4:$4, '2025 Overview (Budget)'!K$19, 'Monthly Detail'!89:89)</f>
        <v/>
      </c>
      <c r="L50" s="751">
        <f>-SUMIF('Monthly Detail'!$4:$4, '2025 Overview (Budget)'!L$19, 'Monthly Detail'!89:89)</f>
        <v/>
      </c>
      <c r="M50" s="751">
        <f>+'2025 AOP'!M50</f>
        <v/>
      </c>
      <c r="N50" s="751">
        <f>+'2025 AOP'!N50</f>
        <v/>
      </c>
      <c r="P50" s="628" t="n"/>
    </row>
    <row r="51" ht="15.75" customHeight="1" s="627" thickBot="1">
      <c r="B51" s="229" t="inlineStr">
        <is>
          <t>Owner Cash Burn/Allowance</t>
        </is>
      </c>
      <c r="C51" s="750">
        <f>SUMIF('Monthly Detail'!$4:$4, '2025 Overview (Budget)'!C$19, 'Monthly Detail'!154:154)</f>
        <v/>
      </c>
      <c r="D51" s="751">
        <f>SUMIF('Monthly Detail'!$4:$4, '2025 Overview (Budget)'!D$19, 'Monthly Detail'!154:154)</f>
        <v/>
      </c>
      <c r="E51" s="751">
        <f>SUMIF('Monthly Detail'!$4:$4, '2025 Overview (Budget)'!E$19, 'Monthly Detail'!154:154)</f>
        <v/>
      </c>
      <c r="F51" s="751">
        <f>SUMIF('Monthly Detail'!$4:$4, '2025 Overview (Budget)'!F$19, 'Monthly Detail'!154:154)</f>
        <v/>
      </c>
      <c r="G51" s="751">
        <f>SUMIF('Monthly Detail'!$4:$4, '2025 Overview (Budget)'!G$19, 'Monthly Detail'!154:154)</f>
        <v/>
      </c>
      <c r="H51" s="751">
        <f>SUMIF('Monthly Detail'!$4:$4, '2025 Overview (Budget)'!H$19, 'Monthly Detail'!154:154)</f>
        <v/>
      </c>
      <c r="I51" s="751">
        <f>SUMIF('Monthly Detail'!$4:$4, '2025 Overview (Budget)'!I$19, 'Monthly Detail'!154:154)</f>
        <v/>
      </c>
      <c r="J51" s="751">
        <f>SUMIF('Monthly Detail'!$4:$4, '2025 Overview (Budget)'!J$19, 'Monthly Detail'!154:154)</f>
        <v/>
      </c>
      <c r="K51" s="751">
        <f>SUMIF('Monthly Detail'!$4:$4, '2025 Overview (Budget)'!K$19, 'Monthly Detail'!154:154)</f>
        <v/>
      </c>
      <c r="L51" s="751">
        <f>SUMIF('Monthly Detail'!$4:$4, '2025 Overview (Budget)'!L$19, 'Monthly Detail'!154:154)</f>
        <v/>
      </c>
      <c r="M51" s="751">
        <f>+'2025 AOP'!M51</f>
        <v/>
      </c>
      <c r="N51" s="751">
        <f>+'2025 AOP'!N51</f>
        <v/>
      </c>
      <c r="P51" s="628" t="n"/>
    </row>
    <row r="52" ht="15.75" customHeight="1" s="627" thickBot="1">
      <c r="B52" s="229" t="inlineStr">
        <is>
          <t>Operating Cash Runway</t>
        </is>
      </c>
      <c r="C52" s="699">
        <f>+C46-SUM('Monthly Detail'!AC89:AN89)-SUM('Monthly Detail'!AC61:AN61)</f>
        <v/>
      </c>
      <c r="D52" s="700">
        <f>+D46-SUM('Monthly Detail'!AD89:AO89)-SUM('Monthly Detail'!AD61:AO61)</f>
        <v/>
      </c>
      <c r="E52" s="700">
        <f>+E46-SUM('Monthly Detail'!AE89:AP89)-SUM('Monthly Detail'!AE61:AP61)</f>
        <v/>
      </c>
      <c r="F52" s="700">
        <f>+F46-SUM('Monthly Detail'!AF89:AQ89)-SUM('Monthly Detail'!AF61:AQ61)</f>
        <v/>
      </c>
      <c r="G52" s="700">
        <f>+G46-SUM('Monthly Detail'!AG89:AR89)-SUM('Monthly Detail'!AG61:AR61)</f>
        <v/>
      </c>
      <c r="H52" s="700">
        <f>+H46-SUM('Monthly Detail'!AH89:AS89)-SUM('Monthly Detail'!AH61:AS61)</f>
        <v/>
      </c>
      <c r="I52" s="700">
        <f>+I46-SUM('Monthly Detail'!AI89:AT89)-SUM('Monthly Detail'!AI61:AT61)</f>
        <v/>
      </c>
      <c r="J52" s="700">
        <f>+J46-SUM('Monthly Detail'!AJ89:AU89)-SUM('Monthly Detail'!AJ61:AU61)</f>
        <v/>
      </c>
      <c r="K52" s="700">
        <f>+K46-SUM('Monthly Detail'!AK89:AV89)-SUM('Monthly Detail'!AK61:AV61)</f>
        <v/>
      </c>
      <c r="L52" s="700">
        <f>+L46-SUM('Monthly Detail'!AL89:AW89)-SUM('Monthly Detail'!AL61:AW61)</f>
        <v/>
      </c>
      <c r="M52" s="699">
        <f>+'2025 AOP'!M52</f>
        <v/>
      </c>
      <c r="N52" s="699">
        <f>+'2025 AOP'!N52</f>
        <v/>
      </c>
      <c r="P52" s="628" t="n"/>
    </row>
    <row r="53" ht="15.75" customHeight="1" s="627" thickBot="1">
      <c r="B53" s="229" t="inlineStr">
        <is>
          <t>Owner Cash Runway</t>
        </is>
      </c>
      <c r="C53" s="752">
        <f>+C48-SUM('Monthly Detail'!AC89:AN89)-SUM('Monthly Detail'!AC61:AN61)</f>
        <v/>
      </c>
      <c r="D53" s="752">
        <f>+D48-SUM('Monthly Detail'!AD89:AO89)-SUM('Monthly Detail'!AD61:AO61)</f>
        <v/>
      </c>
      <c r="E53" s="752">
        <f>+E48-SUM('Monthly Detail'!AE89:AP89)-SUM('Monthly Detail'!AE61:AP61)</f>
        <v/>
      </c>
      <c r="F53" s="752">
        <f>+F48-SUM('Monthly Detail'!AF89:AQ89)-SUM('Monthly Detail'!AF61:AQ61)</f>
        <v/>
      </c>
      <c r="G53" s="752">
        <f>+G48-SUM('Monthly Detail'!AG89:AR89)-SUM('Monthly Detail'!AG61:AR61)</f>
        <v/>
      </c>
      <c r="H53" s="752">
        <f>+H48-SUM('Monthly Detail'!AH89:AS89)-SUM('Monthly Detail'!AH61:AS61)</f>
        <v/>
      </c>
      <c r="I53" s="752">
        <f>+I48-SUM('Monthly Detail'!AI89:AT89)-SUM('Monthly Detail'!AI61:AT61)</f>
        <v/>
      </c>
      <c r="J53" s="752">
        <f>+J48-SUM('Monthly Detail'!AJ89:AU89)-SUM('Monthly Detail'!AJ61:AU61)</f>
        <v/>
      </c>
      <c r="K53" s="752">
        <f>+K48-SUM('Monthly Detail'!AK89:AV89)-SUM('Monthly Detail'!AK61:AV61)</f>
        <v/>
      </c>
      <c r="L53" s="752">
        <f>+L48-SUM('Monthly Detail'!AL89:AW89)-SUM('Monthly Detail'!AL61:AW61)</f>
        <v/>
      </c>
      <c r="M53" s="752">
        <f>+'2025 AOP'!M53</f>
        <v/>
      </c>
      <c r="N53" s="752">
        <f>+'2025 AOP'!N53</f>
        <v/>
      </c>
      <c r="P53" s="628" t="n"/>
    </row>
    <row r="54" ht="15.75" customHeight="1" s="627" thickBot="1">
      <c r="B54" s="229" t="inlineStr">
        <is>
          <t>Operating Cash Runway - Burn Rate</t>
        </is>
      </c>
      <c r="C54" s="753">
        <f>+C46/-C50</f>
        <v/>
      </c>
      <c r="D54" s="754">
        <f>+D46/-D50</f>
        <v/>
      </c>
      <c r="E54" s="754">
        <f>+E46/-E50</f>
        <v/>
      </c>
      <c r="F54" s="754">
        <f>+F46/-F50</f>
        <v/>
      </c>
      <c r="G54" s="754">
        <f>+G46/-G50</f>
        <v/>
      </c>
      <c r="H54" s="754">
        <f>+H46/-H50</f>
        <v/>
      </c>
      <c r="I54" s="754">
        <f>+I46/-I50</f>
        <v/>
      </c>
      <c r="J54" s="754">
        <f>+J46/-J50</f>
        <v/>
      </c>
      <c r="K54" s="754">
        <f>+K46/-K50</f>
        <v/>
      </c>
      <c r="L54" s="754">
        <f>+L46/-L50</f>
        <v/>
      </c>
      <c r="M54" s="754">
        <f>-'2025 AOP'!M54</f>
        <v/>
      </c>
      <c r="N54" s="754">
        <f>-'2025 AOP'!N54</f>
        <v/>
      </c>
      <c r="P54" s="628" t="n"/>
    </row>
    <row r="55">
      <c r="B55" s="229" t="inlineStr">
        <is>
          <t>Cash Runway - Owner Burn Rate</t>
        </is>
      </c>
      <c r="C55" s="753">
        <f>+IFERROR(C48/-C51, 0)</f>
        <v/>
      </c>
      <c r="D55" s="754">
        <f>+IFERROR(D48/-D51, 0)</f>
        <v/>
      </c>
      <c r="E55" s="754">
        <f>+IFERROR(E48/-E51, 0)</f>
        <v/>
      </c>
      <c r="F55" s="754">
        <f>+IFERROR(F48/-F51, 0)</f>
        <v/>
      </c>
      <c r="G55" s="754">
        <f>+IFERROR(G48/-G51, 0)</f>
        <v/>
      </c>
      <c r="H55" s="754">
        <f>+IFERROR(H48/-H51, 0)</f>
        <v/>
      </c>
      <c r="I55" s="754">
        <f>+IFERROR(I48/-I51, 0)</f>
        <v/>
      </c>
      <c r="J55" s="754">
        <f>+IFERROR(J48/-J51, 0)</f>
        <v/>
      </c>
      <c r="K55" s="754">
        <f>+IFERROR(K48/-K51, 0)</f>
        <v/>
      </c>
      <c r="L55" s="754">
        <f>+IFERROR(L48/-L51, 0)</f>
        <v/>
      </c>
      <c r="M55" s="754">
        <f>+'2025 AOP'!M55</f>
        <v/>
      </c>
      <c r="N55" s="754">
        <f>+'2025 AOP'!N55</f>
        <v/>
      </c>
      <c r="P55" s="628" t="n"/>
    </row>
    <row r="56">
      <c r="B56" s="626" t="n"/>
      <c r="E56" s="702" t="n"/>
      <c r="P56" s="628" t="n"/>
    </row>
    <row r="57">
      <c r="B57" s="626" t="n"/>
      <c r="P57" s="628" t="n"/>
    </row>
    <row r="58">
      <c r="B58" s="626" t="n"/>
      <c r="P58" s="628" t="n"/>
    </row>
    <row r="59">
      <c r="B59" s="626" t="n"/>
      <c r="P59" s="628" t="n"/>
    </row>
    <row r="60">
      <c r="B60" s="626" t="n"/>
      <c r="P60" s="628" t="n"/>
    </row>
    <row r="61">
      <c r="B61" s="626" t="n"/>
      <c r="P61" s="628" t="n"/>
    </row>
    <row r="62">
      <c r="B62" s="626" t="n"/>
      <c r="P62" s="628" t="n"/>
    </row>
    <row r="63">
      <c r="B63" s="626" t="n"/>
      <c r="P63" s="628" t="n"/>
    </row>
    <row r="64">
      <c r="B64" s="626" t="n"/>
      <c r="P64" s="628" t="n"/>
    </row>
    <row r="65">
      <c r="B65" s="626" t="n"/>
      <c r="P65" s="628" t="n"/>
    </row>
    <row r="66">
      <c r="B66" s="626" t="n"/>
      <c r="P66" s="628" t="n"/>
    </row>
    <row r="67">
      <c r="B67" s="626" t="n"/>
      <c r="P67" s="628" t="n"/>
    </row>
    <row r="68">
      <c r="B68" s="626" t="n"/>
      <c r="P68" s="628" t="n"/>
    </row>
    <row r="69">
      <c r="B69" s="626" t="n"/>
      <c r="P69" s="628" t="n"/>
    </row>
    <row r="70">
      <c r="B70" s="626" t="n"/>
      <c r="P70" s="628" t="n"/>
    </row>
    <row r="71" ht="15.75" customHeight="1" s="627" thickBot="1">
      <c r="B71" s="626" t="n"/>
      <c r="O71" s="107" t="n"/>
      <c r="P71" s="628" t="n"/>
    </row>
    <row r="72">
      <c r="B72" s="626" t="n"/>
      <c r="P72" s="628" t="n"/>
    </row>
    <row r="73" ht="198.4" customHeight="1" s="627" thickBot="1">
      <c r="B73" s="105" t="n"/>
      <c r="C73" s="107" t="n"/>
      <c r="D73" s="107" t="n"/>
      <c r="E73" s="107" t="n"/>
      <c r="F73" s="107" t="n"/>
      <c r="G73" s="107" t="n"/>
      <c r="H73" s="107" t="n"/>
      <c r="I73" s="107" t="n"/>
      <c r="J73" s="107" t="n"/>
      <c r="K73" s="107" t="n"/>
      <c r="L73" s="107" t="n"/>
      <c r="M73" s="107" t="n"/>
      <c r="N73" s="107" t="n"/>
      <c r="O73" s="107" t="n"/>
      <c r="P73" s="108" t="n"/>
    </row>
  </sheetData>
  <mergeCells count="1">
    <mergeCell ref="B15:P17"/>
  </mergeCells>
  <conditionalFormatting sqref="C51:N51">
    <cfRule type="cellIs" priority="1" operator="greaterThan" dxfId="1">
      <formula>0</formula>
    </cfRule>
  </conditionalFormatting>
  <pageMargins left="0.25" right="0.25" top="0.75" bottom="0.75" header="0.3" footer="0.3"/>
  <pageSetup orientation="landscape" scale="42" horizontalDpi="1200" verticalDpi="1200"/>
</worksheet>
</file>

<file path=xl/worksheets/sheet5.xml><?xml version="1.0" encoding="utf-8"?>
<worksheet xmlns="http://schemas.openxmlformats.org/spreadsheetml/2006/main">
  <sheetPr>
    <tabColor theme="1"/>
    <outlinePr summaryBelow="1" summaryRight="1"/>
    <pageSetUpPr fitToPage="1"/>
  </sheetPr>
  <dimension ref="B15:T73"/>
  <sheetViews>
    <sheetView showGridLines="0" topLeftCell="A40" zoomScale="60" zoomScaleNormal="70" workbookViewId="0">
      <selection activeCell="B4" sqref="B4:P73"/>
    </sheetView>
  </sheetViews>
  <sheetFormatPr baseColWidth="8" defaultColWidth="8.7109375" defaultRowHeight="15"/>
  <cols>
    <col width="48.28515625" bestFit="1" customWidth="1" style="627" min="2" max="2"/>
    <col width="16.7109375" bestFit="1" customWidth="1" style="627" min="3" max="13"/>
    <col width="18.42578125" bestFit="1" customWidth="1" style="627" min="14" max="14"/>
    <col width="0.28515625" customWidth="1" style="627" min="15" max="15"/>
    <col width="17.28515625" bestFit="1" customWidth="1" style="627" min="16" max="16"/>
  </cols>
  <sheetData>
    <row r="14" ht="15.75" customHeight="1" s="627" thickBot="1"/>
    <row r="15" ht="15" customHeight="1" s="627">
      <c r="B15" s="623" t="inlineStr">
        <is>
          <t>2025 Overview</t>
        </is>
      </c>
      <c r="C15" s="624" t="n"/>
      <c r="D15" s="624" t="n"/>
      <c r="E15" s="624" t="n"/>
      <c r="F15" s="624" t="n"/>
      <c r="G15" s="624" t="n"/>
      <c r="H15" s="624" t="n"/>
      <c r="I15" s="624" t="n"/>
      <c r="J15" s="624" t="n"/>
      <c r="K15" s="624" t="n"/>
      <c r="L15" s="624" t="n"/>
      <c r="M15" s="624" t="n"/>
      <c r="N15" s="624" t="n"/>
      <c r="O15" s="624" t="n"/>
      <c r="P15" s="625" t="n"/>
    </row>
    <row r="16" ht="15" customHeight="1" s="627">
      <c r="B16" s="626" t="n"/>
      <c r="P16" s="628" t="n"/>
    </row>
    <row r="17">
      <c r="B17" s="626" t="n"/>
      <c r="P17" s="628" t="n"/>
    </row>
    <row r="18" ht="15.75" customHeight="1" s="627">
      <c r="B18" s="207" t="n"/>
      <c r="C18" s="680" t="inlineStr">
        <is>
          <t>January</t>
        </is>
      </c>
      <c r="D18" s="680" t="inlineStr">
        <is>
          <t>February</t>
        </is>
      </c>
      <c r="E18" s="680" t="inlineStr">
        <is>
          <t>March</t>
        </is>
      </c>
      <c r="F18" s="680" t="inlineStr">
        <is>
          <t>April</t>
        </is>
      </c>
      <c r="G18" s="680" t="inlineStr">
        <is>
          <t>May</t>
        </is>
      </c>
      <c r="H18" s="680" t="inlineStr">
        <is>
          <t>June</t>
        </is>
      </c>
      <c r="I18" s="680" t="inlineStr">
        <is>
          <t>July</t>
        </is>
      </c>
      <c r="J18" s="680" t="inlineStr">
        <is>
          <t>August</t>
        </is>
      </c>
      <c r="K18" s="680" t="inlineStr">
        <is>
          <t>September</t>
        </is>
      </c>
      <c r="L18" s="703" t="inlineStr">
        <is>
          <t>October</t>
        </is>
      </c>
      <c r="M18" s="680" t="inlineStr">
        <is>
          <t>November</t>
        </is>
      </c>
      <c r="N18" s="704" t="inlineStr">
        <is>
          <t>December</t>
        </is>
      </c>
      <c r="O18" s="69" t="n"/>
      <c r="P18" s="705" t="inlineStr">
        <is>
          <t>Total</t>
        </is>
      </c>
    </row>
    <row r="19">
      <c r="B19" s="208" t="n"/>
      <c r="C19" s="90" t="n">
        <v>45688</v>
      </c>
      <c r="D19" s="90" t="n">
        <v>45716</v>
      </c>
      <c r="E19" s="90" t="n">
        <v>45747</v>
      </c>
      <c r="F19" s="90" t="n">
        <v>45777</v>
      </c>
      <c r="G19" s="90" t="n">
        <v>45808</v>
      </c>
      <c r="H19" s="90" t="n">
        <v>45838</v>
      </c>
      <c r="I19" s="90" t="n">
        <v>45869</v>
      </c>
      <c r="J19" s="90" t="n">
        <v>45900</v>
      </c>
      <c r="K19" s="90" t="n">
        <v>45930</v>
      </c>
      <c r="L19" s="581" t="n">
        <v>45961</v>
      </c>
      <c r="M19" s="90" t="n">
        <v>45991</v>
      </c>
      <c r="N19" s="383" t="n">
        <v>46022</v>
      </c>
      <c r="O19" s="90" t="n">
        <v>45322</v>
      </c>
      <c r="P19" s="444" t="n"/>
    </row>
    <row r="20">
      <c r="B20" s="209" t="inlineStr">
        <is>
          <t>Service Income</t>
        </is>
      </c>
      <c r="C20" s="683">
        <f>SUMIF('Monthly Detail'!$4:$4, '2025 Overview'!C$19, 'Monthly Detail'!13:13)</f>
        <v/>
      </c>
      <c r="D20" s="683">
        <f>SUMIF('Monthly Detail'!$4:$4, '2025 Overview'!D$19, 'Monthly Detail'!13:13)</f>
        <v/>
      </c>
      <c r="E20" s="683">
        <f>SUMIF('Monthly Detail'!$4:$4, '2025 Overview'!E$19, 'Monthly Detail'!13:13)</f>
        <v/>
      </c>
      <c r="F20" s="683">
        <f>SUMIF('Monthly Detail'!$4:$4, '2025 Overview'!F$19, 'Monthly Detail'!13:13)</f>
        <v/>
      </c>
      <c r="G20" s="683">
        <f>SUMIF('Monthly Detail'!$4:$4, '2025 Overview'!G$19, 'Monthly Detail'!13:13)</f>
        <v/>
      </c>
      <c r="H20" s="683">
        <f>SUMIF('Monthly Detail'!$4:$4, '2025 Overview'!H$19, 'Monthly Detail'!13:13)</f>
        <v/>
      </c>
      <c r="I20" s="683">
        <f>SUMIF('Monthly Detail'!$4:$4, '2025 Overview'!I$19, 'Monthly Detail'!13:13)</f>
        <v/>
      </c>
      <c r="J20" s="683">
        <f>SUMIF('Monthly Detail'!$4:$4, '2025 Overview'!J$19, 'Monthly Detail'!13:13)</f>
        <v/>
      </c>
      <c r="K20" s="683">
        <f>SUMIF('Monthly Detail'!$4:$4, '2025 Overview'!K$19, 'Monthly Detail'!13:13)</f>
        <v/>
      </c>
      <c r="L20" s="706">
        <f>SUMIF('Monthly Detail'!$4:$4, '2025 Overview'!L$19, 'Monthly Detail'!13:13)</f>
        <v/>
      </c>
      <c r="M20" s="683">
        <f>SUMIF('Monthly Detail'!$4:$4, '2025 Overview'!M$19, 'Monthly Detail'!13:13)</f>
        <v/>
      </c>
      <c r="N20" s="707">
        <f>SUMIF('Monthly Detail'!$4:$4, '2025 Overview'!N$19, 'Monthly Detail'!13:13)</f>
        <v/>
      </c>
      <c r="O20" s="683" t="n"/>
      <c r="P20" s="708">
        <f>SUM(C20:O20)</f>
        <v/>
      </c>
    </row>
    <row r="21">
      <c r="B21" s="209" t="inlineStr">
        <is>
          <t>Misc.</t>
        </is>
      </c>
      <c r="C21" s="683">
        <f>SUMIF('Monthly Detail'!$4:$4, '2025 Overview'!C$19, 'Monthly Detail'!12:12)</f>
        <v/>
      </c>
      <c r="D21" s="683">
        <f>SUMIF('Monthly Detail'!$4:$4, '2025 Overview'!D$19, 'Monthly Detail'!12:12)</f>
        <v/>
      </c>
      <c r="E21" s="683">
        <f>SUMIF('Monthly Detail'!$4:$4, '2025 Overview'!E$19, 'Monthly Detail'!12:12)</f>
        <v/>
      </c>
      <c r="F21" s="683">
        <f>SUMIF('Monthly Detail'!$4:$4, '2025 Overview'!F$19, 'Monthly Detail'!12:12)</f>
        <v/>
      </c>
      <c r="G21" s="683">
        <f>SUMIF('Monthly Detail'!$4:$4, '2025 Overview'!G$19, 'Monthly Detail'!12:12)</f>
        <v/>
      </c>
      <c r="H21" s="683">
        <f>SUMIF('Monthly Detail'!$4:$4, '2025 Overview'!H$19, 'Monthly Detail'!12:12)</f>
        <v/>
      </c>
      <c r="I21" s="683">
        <f>SUMIF('Monthly Detail'!$4:$4, '2025 Overview'!I$19, 'Monthly Detail'!12:12)</f>
        <v/>
      </c>
      <c r="J21" s="683">
        <f>SUMIF('Monthly Detail'!$4:$4, '2025 Overview'!J$19, 'Monthly Detail'!12:12)</f>
        <v/>
      </c>
      <c r="K21" s="683">
        <f>SUMIF('Monthly Detail'!$4:$4, '2025 Overview'!K$19, 'Monthly Detail'!12:12)</f>
        <v/>
      </c>
      <c r="L21" s="706">
        <f>SUMIF('Monthly Detail'!$4:$4, '2025 Overview'!L$19, 'Monthly Detail'!12:12)</f>
        <v/>
      </c>
      <c r="M21" s="683">
        <f>SUMIF('Monthly Detail'!$4:$4, '2025 Overview'!M$19, 'Monthly Detail'!12:12)</f>
        <v/>
      </c>
      <c r="N21" s="707">
        <f>SUMIF('Monthly Detail'!$4:$4, '2025 Overview'!N$19, 'Monthly Detail'!12:12)</f>
        <v/>
      </c>
      <c r="O21" s="683" t="n"/>
      <c r="P21" s="708">
        <f>SUM(C21:O21)</f>
        <v/>
      </c>
    </row>
    <row r="22">
      <c r="B22" s="648" t="inlineStr">
        <is>
          <t>Total Income</t>
        </is>
      </c>
      <c r="C22" s="685">
        <f>SUM(C20:C21)</f>
        <v/>
      </c>
      <c r="D22" s="685">
        <f>SUM(D20:D21)</f>
        <v/>
      </c>
      <c r="E22" s="685">
        <f>SUM(E20:E21)</f>
        <v/>
      </c>
      <c r="F22" s="685">
        <f>SUM(F20:F21)</f>
        <v/>
      </c>
      <c r="G22" s="685">
        <f>SUM(G20:G21)</f>
        <v/>
      </c>
      <c r="H22" s="685">
        <f>SUM(H20:H21)</f>
        <v/>
      </c>
      <c r="I22" s="685">
        <f>SUM(I20:I21)</f>
        <v/>
      </c>
      <c r="J22" s="685">
        <f>SUM(J20:J21)</f>
        <v/>
      </c>
      <c r="K22" s="685">
        <f>SUM(K20:K21)</f>
        <v/>
      </c>
      <c r="L22" s="709">
        <f>SUM(L20:L21)</f>
        <v/>
      </c>
      <c r="M22" s="685">
        <f>SUM(M20:M21)</f>
        <v/>
      </c>
      <c r="N22" s="710">
        <f>SUM(N20:N21)</f>
        <v/>
      </c>
      <c r="O22" s="687" t="n"/>
      <c r="P22" s="711">
        <f>SUM(P20:P20)</f>
        <v/>
      </c>
    </row>
    <row r="23">
      <c r="B23" s="654" t="inlineStr">
        <is>
          <t># of Appointments</t>
        </is>
      </c>
      <c r="C23" s="712">
        <f>SUMIF('Monthly Detail'!$4:$4, '2025 Overview'!C$19, 'Monthly Detail'!15:15)</f>
        <v/>
      </c>
      <c r="D23" s="712">
        <f>SUMIF('Monthly Detail'!$4:$4, '2025 Overview'!D$19, 'Monthly Detail'!15:15)</f>
        <v/>
      </c>
      <c r="E23" s="712">
        <f>SUMIF('Monthly Detail'!$4:$4, '2025 Overview'!E$19, 'Monthly Detail'!15:15)</f>
        <v/>
      </c>
      <c r="F23" s="712">
        <f>SUMIF('Monthly Detail'!$4:$4, '2025 Overview'!F$19, 'Monthly Detail'!15:15)</f>
        <v/>
      </c>
      <c r="G23" s="712">
        <f>SUMIF('Monthly Detail'!$4:$4, '2025 Overview'!G$19, 'Monthly Detail'!15:15)</f>
        <v/>
      </c>
      <c r="H23" s="712">
        <f>SUMIF('Monthly Detail'!$4:$4, '2025 Overview'!H$19, 'Monthly Detail'!15:15)</f>
        <v/>
      </c>
      <c r="I23" s="712">
        <f>SUMIF('Monthly Detail'!$4:$4, '2025 Overview'!I$19, 'Monthly Detail'!15:15)</f>
        <v/>
      </c>
      <c r="J23" s="712">
        <f>SUMIF('Monthly Detail'!$4:$4, '2025 Overview'!J$19, 'Monthly Detail'!15:15)</f>
        <v/>
      </c>
      <c r="K23" s="712">
        <f>SUMIF('Monthly Detail'!$4:$4, '2025 Overview'!K$19, 'Monthly Detail'!15:15)</f>
        <v/>
      </c>
      <c r="L23" s="713">
        <f>SUMIF('Monthly Detail'!$4:$4, '2025 Overview'!L$19, 'Monthly Detail'!15:15)</f>
        <v/>
      </c>
      <c r="M23" s="712">
        <f>SUMIF('Monthly Detail'!$4:$4, '2025 Overview'!M$19, 'Monthly Detail'!15:15)</f>
        <v/>
      </c>
      <c r="N23" s="714">
        <f>SUMIF('Monthly Detail'!$4:$4, '2025 Overview'!N$19, 'Monthly Detail'!15:15)</f>
        <v/>
      </c>
      <c r="O23" s="687" t="n"/>
      <c r="P23" s="715">
        <f>+SUM(C23:N23)</f>
        <v/>
      </c>
      <c r="Q23" s="161" t="n"/>
    </row>
    <row r="24">
      <c r="B24" s="716" t="inlineStr">
        <is>
          <t>MRR</t>
        </is>
      </c>
      <c r="C24" s="717">
        <f>SUMIF('Monthly Detail'!$4:$4, '2025 Overview'!C$19, 'Monthly Detail'!41:41)</f>
        <v/>
      </c>
      <c r="D24" s="718">
        <f>SUMIF('Monthly Detail'!$4:$4, '2025 Overview'!D$19, 'Monthly Detail'!41:41)</f>
        <v/>
      </c>
      <c r="E24" s="718">
        <f>SUMIF('Monthly Detail'!$4:$4, '2025 Overview'!E$19, 'Monthly Detail'!41:41)</f>
        <v/>
      </c>
      <c r="F24" s="718">
        <f>SUMIF('Monthly Detail'!$4:$4, '2025 Overview'!F$19, 'Monthly Detail'!41:41)</f>
        <v/>
      </c>
      <c r="G24" s="718">
        <f>SUMIF('Monthly Detail'!$4:$4, '2025 Overview'!G$19, 'Monthly Detail'!41:41)</f>
        <v/>
      </c>
      <c r="H24" s="718">
        <f>SUMIF('Monthly Detail'!$4:$4, '2025 Overview'!H$19, 'Monthly Detail'!41:41)</f>
        <v/>
      </c>
      <c r="I24" s="718">
        <f>SUMIF('Monthly Detail'!$4:$4, '2025 Overview'!I$19, 'Monthly Detail'!41:41)</f>
        <v/>
      </c>
      <c r="J24" s="718">
        <f>SUMIF('Monthly Detail'!$4:$4, '2025 Overview'!J$19, 'Monthly Detail'!41:41)</f>
        <v/>
      </c>
      <c r="K24" s="718">
        <f>SUMIF('Monthly Detail'!$4:$4, '2025 Overview'!K$19, 'Monthly Detail'!41:41)</f>
        <v/>
      </c>
      <c r="L24" s="719">
        <f>SUMIF('Monthly Detail'!$4:$4, '2025 Overview'!L$19, 'Monthly Detail'!41:41)</f>
        <v/>
      </c>
      <c r="M24" s="718">
        <f>SUMIF('Monthly Detail'!$4:$4, '2025 Overview'!M$19, 'Monthly Detail'!41:41)</f>
        <v/>
      </c>
      <c r="N24" s="720">
        <f>SUMIF('Monthly Detail'!$4:$4, '2025 Overview'!N$19, 'Monthly Detail'!41:41)</f>
        <v/>
      </c>
      <c r="O24" s="687" t="n"/>
      <c r="P24" s="721">
        <f>+AVERAGE(C24:N24)</f>
        <v/>
      </c>
    </row>
    <row r="25">
      <c r="B25" s="654" t="inlineStr">
        <is>
          <t>Recurring Client Base</t>
        </is>
      </c>
      <c r="C25" s="712">
        <f>SUMIF('Monthly Detail'!$4:$4, '2025 Overview'!C$19, 'Monthly Detail'!17:17)</f>
        <v/>
      </c>
      <c r="D25" s="712">
        <f>SUMIF('Monthly Detail'!$4:$4, '2025 Overview'!D$19, 'Monthly Detail'!17:17)</f>
        <v/>
      </c>
      <c r="E25" s="712">
        <f>SUMIF('Monthly Detail'!$4:$4, '2025 Overview'!E$19, 'Monthly Detail'!17:17)</f>
        <v/>
      </c>
      <c r="F25" s="712">
        <f>SUMIF('Monthly Detail'!$4:$4, '2025 Overview'!F$19, 'Monthly Detail'!17:17)</f>
        <v/>
      </c>
      <c r="G25" s="712">
        <f>SUMIF('Monthly Detail'!$4:$4, '2025 Overview'!G$19, 'Monthly Detail'!17:17)</f>
        <v/>
      </c>
      <c r="H25" s="712">
        <f>SUMIF('Monthly Detail'!$4:$4, '2025 Overview'!H$19, 'Monthly Detail'!17:17)</f>
        <v/>
      </c>
      <c r="I25" s="712">
        <f>SUMIF('Monthly Detail'!$4:$4, '2025 Overview'!I$19, 'Monthly Detail'!17:17)</f>
        <v/>
      </c>
      <c r="J25" s="712">
        <f>SUMIF('Monthly Detail'!$4:$4, '2025 Overview'!J$19, 'Monthly Detail'!17:17)</f>
        <v/>
      </c>
      <c r="K25" s="712">
        <f>SUMIF('Monthly Detail'!$4:$4, '2025 Overview'!K$19, 'Monthly Detail'!17:17)</f>
        <v/>
      </c>
      <c r="L25" s="713">
        <f>SUMIF('Monthly Detail'!$4:$4, '2025 Overview'!L$19, 'Monthly Detail'!17:17)</f>
        <v/>
      </c>
      <c r="M25" s="712">
        <f>SUMIF('Monthly Detail'!$4:$4, '2025 Overview'!M$19, 'Monthly Detail'!17:17)</f>
        <v/>
      </c>
      <c r="N25" s="714">
        <f>SUMIF('Monthly Detail'!$4:$4, '2025 Overview'!N$19, 'Monthly Detail'!17:17)</f>
        <v/>
      </c>
      <c r="P25" s="722" t="n"/>
    </row>
    <row r="26" hidden="1" s="627">
      <c r="B26" s="208" t="n"/>
      <c r="C26" s="664" t="n"/>
      <c r="D26" s="664" t="n"/>
      <c r="E26" s="664" t="n"/>
      <c r="F26" s="664" t="n"/>
      <c r="G26" s="664" t="n"/>
      <c r="H26" s="664" t="n"/>
      <c r="I26" s="664" t="n"/>
      <c r="J26" s="664" t="n"/>
      <c r="K26" s="664" t="n"/>
      <c r="L26" s="723" t="n"/>
      <c r="M26" s="664" t="n"/>
      <c r="N26" s="724" t="n"/>
      <c r="O26" s="7" t="n"/>
      <c r="P26" s="722" t="n"/>
    </row>
    <row r="27">
      <c r="B27" s="208" t="n"/>
      <c r="C27" s="664" t="n"/>
      <c r="D27" s="664" t="n"/>
      <c r="E27" s="664" t="n"/>
      <c r="F27" s="664" t="n"/>
      <c r="G27" s="664" t="n"/>
      <c r="H27" s="664" t="n"/>
      <c r="I27" s="664" t="n"/>
      <c r="J27" s="664" t="n"/>
      <c r="K27" s="664" t="n"/>
      <c r="L27" s="723" t="n"/>
      <c r="M27" s="664" t="n"/>
      <c r="N27" s="724" t="n"/>
      <c r="O27" s="7" t="n"/>
      <c r="P27" s="722" t="n"/>
    </row>
    <row r="28">
      <c r="B28" s="208" t="inlineStr">
        <is>
          <t xml:space="preserve">   Software - COS</t>
        </is>
      </c>
      <c r="C28" s="683">
        <f>SUMIF('Monthly Detail'!$4:$4, '2025 Overview'!C$19, 'Monthly Detail'!58:58)</f>
        <v/>
      </c>
      <c r="D28" s="664">
        <f>SUMIF('Monthly Detail'!$4:$4, '2025 Overview'!D$19, 'Monthly Detail'!58:58)</f>
        <v/>
      </c>
      <c r="E28" s="664">
        <f>SUMIF('Monthly Detail'!$4:$4, '2025 Overview'!E$19, 'Monthly Detail'!58:58)</f>
        <v/>
      </c>
      <c r="F28" s="664">
        <f>SUMIF('Monthly Detail'!$4:$4, '2025 Overview'!F$19, 'Monthly Detail'!58:58)</f>
        <v/>
      </c>
      <c r="G28" s="664">
        <f>SUMIF('Monthly Detail'!$4:$4, '2025 Overview'!G$19, 'Monthly Detail'!58:58)</f>
        <v/>
      </c>
      <c r="H28" s="664">
        <f>SUMIF('Monthly Detail'!$4:$4, '2025 Overview'!H$19, 'Monthly Detail'!58:58)</f>
        <v/>
      </c>
      <c r="I28" s="664">
        <f>SUMIF('Monthly Detail'!$4:$4, '2025 Overview'!I$19, 'Monthly Detail'!58:58)</f>
        <v/>
      </c>
      <c r="J28" s="664">
        <f>SUMIF('Monthly Detail'!$4:$4, '2025 Overview'!J$19, 'Monthly Detail'!58:58)</f>
        <v/>
      </c>
      <c r="K28" s="664">
        <f>SUMIF('Monthly Detail'!$4:$4, '2025 Overview'!K$19, 'Monthly Detail'!58:58)</f>
        <v/>
      </c>
      <c r="L28" s="723">
        <f>SUMIF('Monthly Detail'!$4:$4, '2025 Overview'!L$19, 'Monthly Detail'!58:58)</f>
        <v/>
      </c>
      <c r="M28" s="664">
        <f>SUMIF('Monthly Detail'!$4:$4, '2025 Overview'!M$19, 'Monthly Detail'!58:58)</f>
        <v/>
      </c>
      <c r="N28" s="724">
        <f>SUMIF('Monthly Detail'!$4:$4, '2025 Overview'!N$19, 'Monthly Detail'!58:58)</f>
        <v/>
      </c>
      <c r="O28" s="7" t="n"/>
      <c r="P28" s="722">
        <f>+SUM(C28:N28)</f>
        <v/>
      </c>
    </row>
    <row r="29">
      <c r="B29" s="208" t="inlineStr">
        <is>
          <t xml:space="preserve">   Materials - COGS</t>
        </is>
      </c>
      <c r="C29" s="683">
        <f>SUMIF('Monthly Detail'!$4:$4, '2025 Overview'!C$19, 'Monthly Detail'!59:59)</f>
        <v/>
      </c>
      <c r="D29" s="664">
        <f>SUMIF('Monthly Detail'!$4:$4, '2025 Overview'!D$19, 'Monthly Detail'!59:59)</f>
        <v/>
      </c>
      <c r="E29" s="664">
        <f>SUMIF('Monthly Detail'!$4:$4, '2025 Overview'!E$19, 'Monthly Detail'!59:59)</f>
        <v/>
      </c>
      <c r="F29" s="664">
        <f>SUMIF('Monthly Detail'!$4:$4, '2025 Overview'!F$19, 'Monthly Detail'!59:59)</f>
        <v/>
      </c>
      <c r="G29" s="664">
        <f>SUMIF('Monthly Detail'!$4:$4, '2025 Overview'!G$19, 'Monthly Detail'!59:59)</f>
        <v/>
      </c>
      <c r="H29" s="664">
        <f>SUMIF('Monthly Detail'!$4:$4, '2025 Overview'!H$19, 'Monthly Detail'!59:59)</f>
        <v/>
      </c>
      <c r="I29" s="664">
        <f>SUMIF('Monthly Detail'!$4:$4, '2025 Overview'!I$19, 'Monthly Detail'!59:59)</f>
        <v/>
      </c>
      <c r="J29" s="664">
        <f>SUMIF('Monthly Detail'!$4:$4, '2025 Overview'!J$19, 'Monthly Detail'!59:59)</f>
        <v/>
      </c>
      <c r="K29" s="664">
        <f>SUMIF('Monthly Detail'!$4:$4, '2025 Overview'!K$19, 'Monthly Detail'!59:59)</f>
        <v/>
      </c>
      <c r="L29" s="723">
        <f>SUMIF('Monthly Detail'!$4:$4, '2025 Overview'!L$19, 'Monthly Detail'!59:59)</f>
        <v/>
      </c>
      <c r="M29" s="664">
        <f>SUMIF('Monthly Detail'!$4:$4, '2025 Overview'!M$19, 'Monthly Detail'!59:59)</f>
        <v/>
      </c>
      <c r="N29" s="724">
        <f>SUMIF('Monthly Detail'!$4:$4, '2025 Overview'!N$19, 'Monthly Detail'!59:59)</f>
        <v/>
      </c>
      <c r="O29" s="7" t="n"/>
      <c r="P29" s="722">
        <f>+SUM(C29:N29)</f>
        <v/>
      </c>
    </row>
    <row r="30">
      <c r="B30" s="208" t="inlineStr">
        <is>
          <t xml:space="preserve">   Contractors - COS</t>
        </is>
      </c>
      <c r="C30" s="683">
        <f>SUMIF('Monthly Detail'!$4:$4, '2025 Overview'!C$19, 'Monthly Detail'!60:60)</f>
        <v/>
      </c>
      <c r="D30" s="664">
        <f>SUMIF('Monthly Detail'!$4:$4, '2025 Overview'!D$19, 'Monthly Detail'!60:60)</f>
        <v/>
      </c>
      <c r="E30" s="664">
        <f>SUMIF('Monthly Detail'!$4:$4, '2025 Overview'!E$19, 'Monthly Detail'!60:60)</f>
        <v/>
      </c>
      <c r="F30" s="664">
        <f>SUMIF('Monthly Detail'!$4:$4, '2025 Overview'!F$19, 'Monthly Detail'!60:60)</f>
        <v/>
      </c>
      <c r="G30" s="664">
        <f>SUMIF('Monthly Detail'!$4:$4, '2025 Overview'!G$19, 'Monthly Detail'!60:60)</f>
        <v/>
      </c>
      <c r="H30" s="664">
        <f>SUMIF('Monthly Detail'!$4:$4, '2025 Overview'!H$19, 'Monthly Detail'!60:60)</f>
        <v/>
      </c>
      <c r="I30" s="664">
        <f>SUMIF('Monthly Detail'!$4:$4, '2025 Overview'!I$19, 'Monthly Detail'!60:60)</f>
        <v/>
      </c>
      <c r="J30" s="664">
        <f>SUMIF('Monthly Detail'!$4:$4, '2025 Overview'!J$19, 'Monthly Detail'!60:60)</f>
        <v/>
      </c>
      <c r="K30" s="664">
        <f>SUMIF('Monthly Detail'!$4:$4, '2025 Overview'!K$19, 'Monthly Detail'!60:60)</f>
        <v/>
      </c>
      <c r="L30" s="723">
        <f>SUMIF('Monthly Detail'!$4:$4, '2025 Overview'!L$19, 'Monthly Detail'!60:60)</f>
        <v/>
      </c>
      <c r="M30" s="664">
        <f>SUMIF('Monthly Detail'!$4:$4, '2025 Overview'!M$19, 'Monthly Detail'!60:60)</f>
        <v/>
      </c>
      <c r="N30" s="724">
        <f>SUMIF('Monthly Detail'!$4:$4, '2025 Overview'!N$19, 'Monthly Detail'!60:60)</f>
        <v/>
      </c>
      <c r="O30" s="7" t="n"/>
      <c r="P30" s="722">
        <f>+SUM(C30:N30)</f>
        <v/>
      </c>
    </row>
    <row r="31" ht="15.75" customHeight="1" s="627">
      <c r="B31" s="659" t="inlineStr">
        <is>
          <t>Total Cost of Goods Sold (COGS)</t>
        </is>
      </c>
      <c r="C31" s="660">
        <f>SUM(C28:C30)</f>
        <v/>
      </c>
      <c r="D31" s="660">
        <f>SUM(D28:D30)</f>
        <v/>
      </c>
      <c r="E31" s="660">
        <f>SUM(E28:E30)</f>
        <v/>
      </c>
      <c r="F31" s="660">
        <f>SUM(F28:F30)</f>
        <v/>
      </c>
      <c r="G31" s="660">
        <f>SUM(G28:G30)</f>
        <v/>
      </c>
      <c r="H31" s="660">
        <f>SUM(H28:H30)</f>
        <v/>
      </c>
      <c r="I31" s="660">
        <f>SUM(I28:I30)</f>
        <v/>
      </c>
      <c r="J31" s="660">
        <f>SUM(J28:J30)</f>
        <v/>
      </c>
      <c r="K31" s="660">
        <f>SUM(K28:K30)</f>
        <v/>
      </c>
      <c r="L31" s="725">
        <f>SUM(L28:L30)</f>
        <v/>
      </c>
      <c r="M31" s="660">
        <f>SUM(M28:M30)</f>
        <v/>
      </c>
      <c r="N31" s="726">
        <f>SUM(N28:N30)</f>
        <v/>
      </c>
      <c r="P31" s="727">
        <f>SUM(P28:P30)</f>
        <v/>
      </c>
    </row>
    <row r="32" ht="5.65" customHeight="1" s="627">
      <c r="B32" s="208" t="n"/>
      <c r="C32" s="664" t="n"/>
      <c r="D32" s="664" t="n"/>
      <c r="E32" s="664" t="n"/>
      <c r="F32" s="664" t="n"/>
      <c r="G32" s="664" t="n"/>
      <c r="H32" s="664" t="n"/>
      <c r="I32" s="664" t="n"/>
      <c r="J32" s="664" t="n"/>
      <c r="K32" s="664" t="n"/>
      <c r="L32" s="723" t="n"/>
      <c r="M32" s="664" t="n"/>
      <c r="N32" s="724" t="n"/>
      <c r="O32" s="7" t="n"/>
      <c r="P32" s="722" t="n"/>
    </row>
    <row r="33" ht="15.75" customHeight="1" s="627">
      <c r="B33" s="659" t="inlineStr">
        <is>
          <t>Gross Margin</t>
        </is>
      </c>
      <c r="C33" s="660">
        <f>+C22-C31</f>
        <v/>
      </c>
      <c r="D33" s="660">
        <f>+D22-D31</f>
        <v/>
      </c>
      <c r="E33" s="660">
        <f>+E22-E31</f>
        <v/>
      </c>
      <c r="F33" s="660">
        <f>+F22-F31</f>
        <v/>
      </c>
      <c r="G33" s="660">
        <f>+G22-G31</f>
        <v/>
      </c>
      <c r="H33" s="660">
        <f>+H22-H31</f>
        <v/>
      </c>
      <c r="I33" s="660">
        <f>+I22-I31</f>
        <v/>
      </c>
      <c r="J33" s="660">
        <f>+J22-J31</f>
        <v/>
      </c>
      <c r="K33" s="660">
        <f>+K22-K31</f>
        <v/>
      </c>
      <c r="L33" s="725">
        <f>+L22-L31</f>
        <v/>
      </c>
      <c r="M33" s="660">
        <f>+M22-M31</f>
        <v/>
      </c>
      <c r="N33" s="726">
        <f>+N22-N31</f>
        <v/>
      </c>
      <c r="P33" s="727">
        <f>+SUM(C33:N33)</f>
        <v/>
      </c>
    </row>
    <row r="34">
      <c r="B34" s="219" t="inlineStr">
        <is>
          <t>GM %</t>
        </is>
      </c>
      <c r="C34" s="662">
        <f>IFERROR(C33/C22, 0)</f>
        <v/>
      </c>
      <c r="D34" s="662">
        <f>IFERROR(D33/D22, 0)</f>
        <v/>
      </c>
      <c r="E34" s="662">
        <f>IFERROR(E33/E22, 0)</f>
        <v/>
      </c>
      <c r="F34" s="662">
        <f>IFERROR(F33/F22, 0)</f>
        <v/>
      </c>
      <c r="G34" s="662">
        <f>IFERROR(G33/G22, 0)</f>
        <v/>
      </c>
      <c r="H34" s="662">
        <f>IFERROR(H33/H22, 0)</f>
        <v/>
      </c>
      <c r="I34" s="662">
        <f>IFERROR(I33/I22, 0)</f>
        <v/>
      </c>
      <c r="J34" s="662">
        <f>IFERROR(J33/J22, 0)</f>
        <v/>
      </c>
      <c r="K34" s="662">
        <f>IFERROR(K33/K22, 0)</f>
        <v/>
      </c>
      <c r="L34" s="728">
        <f>IFERROR(L33/L22, 0)</f>
        <v/>
      </c>
      <c r="M34" s="662">
        <f>IFERROR(M33/M22, 0)</f>
        <v/>
      </c>
      <c r="N34" s="729">
        <f>IFERROR(N33/N22, 0)</f>
        <v/>
      </c>
      <c r="P34" s="730">
        <f>P33/P22</f>
        <v/>
      </c>
      <c r="T34" s="1" t="n"/>
    </row>
    <row r="35" ht="3" customHeight="1" s="627">
      <c r="B35" s="208" t="n"/>
      <c r="L35" s="589" t="n"/>
      <c r="N35" s="243" t="n"/>
      <c r="O35" s="694" t="n"/>
      <c r="P35" s="444" t="n"/>
    </row>
    <row r="36">
      <c r="B36" s="208" t="inlineStr">
        <is>
          <t>General &amp; Admintrative Expenses</t>
        </is>
      </c>
      <c r="C36" s="683">
        <f>SUMIF('Monthly Detail'!$4:$4, '2025 Overview'!C$19, 'Monthly Detail'!$89:$89)+SUMIF('Monthly Detail'!$4:$4, '2025 Overview'!C$19, 'Monthly Detail'!$90:$90)</f>
        <v/>
      </c>
      <c r="D36" s="683">
        <f>SUMIF('Monthly Detail'!$4:$4, '2025 Overview'!D$19, 'Monthly Detail'!$89:$89)+SUMIF('Monthly Detail'!$4:$4, '2025 Overview'!D$19, 'Monthly Detail'!$90:$90)</f>
        <v/>
      </c>
      <c r="E36" s="683">
        <f>SUMIF('Monthly Detail'!$4:$4, '2025 Overview'!E$19, 'Monthly Detail'!$89:$89)+SUMIF('Monthly Detail'!$4:$4, '2025 Overview'!E$19, 'Monthly Detail'!$90:$90)</f>
        <v/>
      </c>
      <c r="F36" s="683">
        <f>SUMIF('Monthly Detail'!$4:$4, '2025 Overview'!F$19, 'Monthly Detail'!$89:$89)+SUMIF('Monthly Detail'!$4:$4, '2025 Overview'!F$19, 'Monthly Detail'!$90:$90)</f>
        <v/>
      </c>
      <c r="G36" s="683">
        <f>SUMIF('Monthly Detail'!$4:$4, '2025 Overview'!G$19, 'Monthly Detail'!$89:$89)+SUMIF('Monthly Detail'!$4:$4, '2025 Overview'!G$19, 'Monthly Detail'!$90:$90)</f>
        <v/>
      </c>
      <c r="H36" s="683">
        <f>SUMIF('Monthly Detail'!$4:$4, '2025 Overview'!H$19, 'Monthly Detail'!$89:$89)+SUMIF('Monthly Detail'!$4:$4, '2025 Overview'!H$19, 'Monthly Detail'!$90:$90)</f>
        <v/>
      </c>
      <c r="I36" s="683">
        <f>SUMIF('Monthly Detail'!$4:$4, '2025 Overview'!I$19, 'Monthly Detail'!$89:$89)+SUMIF('Monthly Detail'!$4:$4, '2025 Overview'!I$19, 'Monthly Detail'!$90:$90)</f>
        <v/>
      </c>
      <c r="J36" s="683">
        <f>SUMIF('Monthly Detail'!$4:$4, '2025 Overview'!J$19, 'Monthly Detail'!$89:$89)+SUMIF('Monthly Detail'!$4:$4, '2025 Overview'!J$19, 'Monthly Detail'!$90:$90)</f>
        <v/>
      </c>
      <c r="K36" s="683">
        <f>SUMIF('Monthly Detail'!$4:$4, '2025 Overview'!K$19, 'Monthly Detail'!$89:$89)+SUMIF('Monthly Detail'!$4:$4, '2025 Overview'!K$19, 'Monthly Detail'!$90:$90)</f>
        <v/>
      </c>
      <c r="L36" s="706">
        <f>SUMIF('Monthly Detail'!$4:$4, '2025 Overview'!L$19, 'Monthly Detail'!$89:$89)+SUMIF('Monthly Detail'!$4:$4, '2025 Overview'!L$19, 'Monthly Detail'!$90:$90)</f>
        <v/>
      </c>
      <c r="M36" s="683">
        <f>SUMIF('Monthly Detail'!$4:$4, '2025 Overview'!M$19, 'Monthly Detail'!$89:$89)+SUMIF('Monthly Detail'!$4:$4, '2025 Overview'!M$19, 'Monthly Detail'!$90:$90)</f>
        <v/>
      </c>
      <c r="N36" s="707">
        <f>SUMIF('Monthly Detail'!$4:$4, '2025 Overview'!N$19, 'Monthly Detail'!$89:$89)+SUMIF('Monthly Detail'!$4:$4, '2025 Overview'!N$19, 'Monthly Detail'!$90:$90)</f>
        <v/>
      </c>
      <c r="P36" s="708">
        <f>SUM(C36:O36)</f>
        <v/>
      </c>
    </row>
    <row r="37" ht="15.75" customHeight="1" s="627">
      <c r="B37" s="221" t="inlineStr">
        <is>
          <t>Operating Expenses</t>
        </is>
      </c>
      <c r="C37" s="667">
        <f>SUM(C36:C36)</f>
        <v/>
      </c>
      <c r="D37" s="667">
        <f>SUM(D36:D36)</f>
        <v/>
      </c>
      <c r="E37" s="667">
        <f>SUM(E36:E36)</f>
        <v/>
      </c>
      <c r="F37" s="667">
        <f>SUM(F36:F36)</f>
        <v/>
      </c>
      <c r="G37" s="667">
        <f>SUM(G36:G36)</f>
        <v/>
      </c>
      <c r="H37" s="667">
        <f>SUM(H36:H36)</f>
        <v/>
      </c>
      <c r="I37" s="667">
        <f>SUM(I36:I36)</f>
        <v/>
      </c>
      <c r="J37" s="667">
        <f>SUM(J36:J36)</f>
        <v/>
      </c>
      <c r="K37" s="667">
        <f>SUM(K36:K36)</f>
        <v/>
      </c>
      <c r="L37" s="731">
        <f>SUM(L36:L36)</f>
        <v/>
      </c>
      <c r="M37" s="667">
        <f>SUM(M36:M36)</f>
        <v/>
      </c>
      <c r="N37" s="732">
        <f>SUM(N36:N36)</f>
        <v/>
      </c>
      <c r="O37" s="691" t="n"/>
      <c r="P37" s="733">
        <f>SUM(P36:P36)</f>
        <v/>
      </c>
    </row>
    <row r="38" ht="4.9" customHeight="1" s="627">
      <c r="B38" s="208" t="n"/>
      <c r="L38" s="589" t="n"/>
      <c r="N38" s="243" t="n"/>
      <c r="O38" s="7" t="n"/>
      <c r="P38" s="444" t="n"/>
    </row>
    <row r="39" ht="15.75" customHeight="1" s="627">
      <c r="B39" s="659" t="inlineStr">
        <is>
          <t>Net Operating Income (EBITDA)</t>
        </is>
      </c>
      <c r="C39" s="660">
        <f>C33-C37</f>
        <v/>
      </c>
      <c r="D39" s="660">
        <f>D33-D37</f>
        <v/>
      </c>
      <c r="E39" s="660">
        <f>E33-E37</f>
        <v/>
      </c>
      <c r="F39" s="660">
        <f>F33-F37</f>
        <v/>
      </c>
      <c r="G39" s="660">
        <f>G33-G37</f>
        <v/>
      </c>
      <c r="H39" s="660">
        <f>H33-H37</f>
        <v/>
      </c>
      <c r="I39" s="660">
        <f>I33-I37</f>
        <v/>
      </c>
      <c r="J39" s="660">
        <f>J33-J37</f>
        <v/>
      </c>
      <c r="K39" s="660">
        <f>K33-K37</f>
        <v/>
      </c>
      <c r="L39" s="725">
        <f>L33-L37</f>
        <v/>
      </c>
      <c r="M39" s="660">
        <f>M33-M37</f>
        <v/>
      </c>
      <c r="N39" s="726">
        <f>N33-N37</f>
        <v/>
      </c>
      <c r="P39" s="727">
        <f>P33-P37</f>
        <v/>
      </c>
    </row>
    <row r="40">
      <c r="B40" s="219" t="inlineStr">
        <is>
          <t>EBITDA %</t>
        </is>
      </c>
      <c r="C40" s="662">
        <f>IFERROR(C39/C22, 0)</f>
        <v/>
      </c>
      <c r="D40" s="662">
        <f>IFERROR(D39/D22, 0)</f>
        <v/>
      </c>
      <c r="E40" s="662">
        <f>IFERROR(E39/E22, 0)</f>
        <v/>
      </c>
      <c r="F40" s="662">
        <f>IFERROR(F39/F22, 0)</f>
        <v/>
      </c>
      <c r="G40" s="662">
        <f>IFERROR(G39/G22, 0)</f>
        <v/>
      </c>
      <c r="H40" s="662">
        <f>IFERROR(H39/H22, 0)</f>
        <v/>
      </c>
      <c r="I40" s="662">
        <f>IFERROR(I39/I22, 0)</f>
        <v/>
      </c>
      <c r="J40" s="662">
        <f>IFERROR(J39/J22, 0)</f>
        <v/>
      </c>
      <c r="K40" s="662">
        <f>IFERROR(K39/K22, 0)</f>
        <v/>
      </c>
      <c r="L40" s="728">
        <f>IFERROR(L39/L22, 0)</f>
        <v/>
      </c>
      <c r="M40" s="662">
        <f>IFERROR(M39/M22, 0)</f>
        <v/>
      </c>
      <c r="N40" s="729">
        <f>IFERROR(N39/N22, 0)</f>
        <v/>
      </c>
      <c r="O40" s="126" t="n"/>
      <c r="P40" s="730">
        <f>P39/P22</f>
        <v/>
      </c>
    </row>
    <row r="41" ht="5.65" customHeight="1" s="627">
      <c r="B41" s="222" t="n"/>
      <c r="C41" s="669" t="n"/>
      <c r="D41" s="669" t="n"/>
      <c r="E41" s="669" t="n"/>
      <c r="F41" s="669" t="n"/>
      <c r="G41" s="669" t="n"/>
      <c r="H41" s="669" t="n"/>
      <c r="I41" s="669" t="n"/>
      <c r="J41" s="669" t="n"/>
      <c r="K41" s="669" t="n"/>
      <c r="L41" s="734" t="n"/>
      <c r="M41" s="669" t="n"/>
      <c r="N41" s="735" t="n"/>
      <c r="O41" s="691" t="n"/>
      <c r="P41" s="736" t="n"/>
    </row>
    <row r="42">
      <c r="B42" s="208" t="inlineStr">
        <is>
          <t>Other Income / (Expense)</t>
        </is>
      </c>
      <c r="C42" s="126">
        <f>SUMIF('Monthly Detail'!$4:$4, '2025 Overview'!C$19, 'Monthly Detail'!95:95)</f>
        <v/>
      </c>
      <c r="D42" s="126">
        <f>SUMIF('Monthly Detail'!$4:$4, '2025 Overview'!D$19, 'Monthly Detail'!95:95)</f>
        <v/>
      </c>
      <c r="E42" s="126">
        <f>SUMIF('Monthly Detail'!$4:$4, '2025 Overview'!E$19, 'Monthly Detail'!95:95)</f>
        <v/>
      </c>
      <c r="F42" s="126">
        <f>SUMIF('Monthly Detail'!$4:$4, '2025 Overview'!F$19, 'Monthly Detail'!95:95)</f>
        <v/>
      </c>
      <c r="G42" s="126">
        <f>SUMIF('Monthly Detail'!$4:$4, '2025 Overview'!G$19, 'Monthly Detail'!95:95)</f>
        <v/>
      </c>
      <c r="H42" s="126">
        <f>SUMIF('Monthly Detail'!$4:$4, '2025 Overview'!H$19, 'Monthly Detail'!95:95)</f>
        <v/>
      </c>
      <c r="I42" s="126">
        <f>SUMIF('Monthly Detail'!$4:$4, '2025 Overview'!I$19, 'Monthly Detail'!95:95)</f>
        <v/>
      </c>
      <c r="J42" s="126">
        <f>SUMIF('Monthly Detail'!$4:$4, '2025 Overview'!J$19, 'Monthly Detail'!95:95)</f>
        <v/>
      </c>
      <c r="K42" s="126">
        <f>SUMIF('Monthly Detail'!$4:$4, '2025 Overview'!K$19, 'Monthly Detail'!95:95)</f>
        <v/>
      </c>
      <c r="L42" s="592">
        <f>SUMIF('Monthly Detail'!$4:$4, '2025 Overview'!L$19, 'Monthly Detail'!95:95)</f>
        <v/>
      </c>
      <c r="M42" s="126">
        <f>SUMIF('Monthly Detail'!$4:$4, '2025 Overview'!M$19, 'Monthly Detail'!95:95)</f>
        <v/>
      </c>
      <c r="N42" s="461">
        <f>SUMIF('Monthly Detail'!$4:$4, '2025 Overview'!N$19, 'Monthly Detail'!95:95)</f>
        <v/>
      </c>
      <c r="O42" s="7" t="n"/>
      <c r="P42" s="454">
        <f>SUM(C42:O42)</f>
        <v/>
      </c>
    </row>
    <row r="43" ht="15.75" customHeight="1" s="627">
      <c r="B43" s="659" t="inlineStr">
        <is>
          <t>Net Income</t>
        </is>
      </c>
      <c r="C43" s="660">
        <f>C39+SUM(C42:C42)</f>
        <v/>
      </c>
      <c r="D43" s="660">
        <f>D39+SUM(D42:D42)</f>
        <v/>
      </c>
      <c r="E43" s="660">
        <f>E39+SUM(E42:E42)</f>
        <v/>
      </c>
      <c r="F43" s="660">
        <f>F39+SUM(F42:F42)</f>
        <v/>
      </c>
      <c r="G43" s="660">
        <f>G39+SUM(G42:G42)</f>
        <v/>
      </c>
      <c r="H43" s="660">
        <f>H39+SUM(H42:H42)</f>
        <v/>
      </c>
      <c r="I43" s="660">
        <f>I39+SUM(I42:I42)</f>
        <v/>
      </c>
      <c r="J43" s="660">
        <f>J39+SUM(J42:J42)</f>
        <v/>
      </c>
      <c r="K43" s="660">
        <f>K39+SUM(K42:K42)</f>
        <v/>
      </c>
      <c r="L43" s="725">
        <f>L39+SUM(L42:L42)</f>
        <v/>
      </c>
      <c r="M43" s="660">
        <f>M39+SUM(M42:M42)</f>
        <v/>
      </c>
      <c r="N43" s="726">
        <f>N39+SUM(N42:N42)</f>
        <v/>
      </c>
      <c r="P43" s="727">
        <f>P39+SUM(P42:P42)</f>
        <v/>
      </c>
    </row>
    <row r="44">
      <c r="B44" s="219" t="inlineStr">
        <is>
          <t>NI %</t>
        </is>
      </c>
      <c r="C44" s="662">
        <f>IFERROR(C43/C22, 0)</f>
        <v/>
      </c>
      <c r="D44" s="662">
        <f>IFERROR(D43/D22, 0)</f>
        <v/>
      </c>
      <c r="E44" s="662">
        <f>IFERROR(E43/E22, 0)</f>
        <v/>
      </c>
      <c r="F44" s="662">
        <f>IFERROR(F43/F22, 0)</f>
        <v/>
      </c>
      <c r="G44" s="662">
        <f>IFERROR(G43/G22, 0)</f>
        <v/>
      </c>
      <c r="H44" s="662">
        <f>IFERROR(H43/H22, 0)</f>
        <v/>
      </c>
      <c r="I44" s="662">
        <f>IFERROR(I43/I22, 0)</f>
        <v/>
      </c>
      <c r="J44" s="662">
        <f>IFERROR(J43/J22, 0)</f>
        <v/>
      </c>
      <c r="K44" s="662">
        <f>IFERROR(K43/K22, 0)</f>
        <v/>
      </c>
      <c r="L44" s="728">
        <f>IFERROR(L43/L22, 0)</f>
        <v/>
      </c>
      <c r="M44" s="662">
        <f>IFERROR(M43/M22, 0)</f>
        <v/>
      </c>
      <c r="N44" s="729">
        <f>IFERROR(N43/N22, 0)</f>
        <v/>
      </c>
      <c r="P44" s="737">
        <f>P43/P22</f>
        <v/>
      </c>
    </row>
    <row r="45" ht="6" customHeight="1" s="627" thickBot="1">
      <c r="B45" s="208" t="n"/>
      <c r="D45" s="530" t="n"/>
      <c r="E45" s="107" t="n"/>
      <c r="P45" s="628" t="n"/>
    </row>
    <row r="46" ht="15.75" customHeight="1" s="627" thickBot="1">
      <c r="B46" s="224" t="inlineStr">
        <is>
          <t>Operating (Business) Cash</t>
        </is>
      </c>
      <c r="C46" s="755">
        <f>SUMIF('Monthly Detail'!$4:$4, '2025 Overview'!C$19, 'Monthly Detail'!112:112)</f>
        <v/>
      </c>
      <c r="D46" s="741">
        <f>SUMIF('Monthly Detail'!$4:$4, '2025 Overview'!D$19, 'Monthly Detail'!112:112)</f>
        <v/>
      </c>
      <c r="E46" s="740">
        <f>SUMIF('Monthly Detail'!$4:$4, '2025 Overview'!E$19, 'Monthly Detail'!112:112)</f>
        <v/>
      </c>
      <c r="F46" s="740">
        <f>SUMIF('Monthly Detail'!$4:$4, '2025 Overview'!F$19, 'Monthly Detail'!112:112)</f>
        <v/>
      </c>
      <c r="G46" s="741">
        <f>SUMIF('Monthly Detail'!$4:$4, '2025 Overview'!G$19, 'Monthly Detail'!112:112)</f>
        <v/>
      </c>
      <c r="H46" s="741">
        <f>SUMIF('Monthly Detail'!$4:$4, '2025 Overview'!H$19, 'Monthly Detail'!112:112)</f>
        <v/>
      </c>
      <c r="I46" s="741">
        <f>SUMIF('Monthly Detail'!$4:$4, '2025 Overview'!I$19, 'Monthly Detail'!112:112)</f>
        <v/>
      </c>
      <c r="J46" s="741">
        <f>SUMIF('Monthly Detail'!$4:$4, '2025 Overview'!J$19, 'Monthly Detail'!112:112)</f>
        <v/>
      </c>
      <c r="K46" s="741">
        <f>SUMIF('Monthly Detail'!$4:$4, '2025 Overview'!K$19, 'Monthly Detail'!112:112)</f>
        <v/>
      </c>
      <c r="L46" s="741">
        <f>SUMIF('Monthly Detail'!$4:$4, '2025 Overview'!L$19, 'Monthly Detail'!112:112)</f>
        <v/>
      </c>
      <c r="M46" s="740">
        <f>SUMIF('Monthly Detail'!$4:$4, '2025 Overview'!M$19, 'Monthly Detail'!112:112)</f>
        <v/>
      </c>
      <c r="N46" s="741">
        <f>SUMIF('Monthly Detail'!$4:$4, '2025 Overview'!N$19, 'Monthly Detail'!112:112)</f>
        <v/>
      </c>
      <c r="P46" s="628" t="n"/>
    </row>
    <row r="47" ht="15.75" customHeight="1" s="627" thickBot="1">
      <c r="B47" s="420" t="inlineStr">
        <is>
          <t>Savings Cash</t>
        </is>
      </c>
      <c r="C47" s="756">
        <f>SUMIF('Monthly Detail'!$4:$4, '2025 Overview'!C$19, 'Monthly Detail'!106:106)</f>
        <v/>
      </c>
      <c r="D47" s="745">
        <f>SUMIF('Monthly Detail'!$4:$4, '2025 Overview'!D$19, 'Monthly Detail'!106:106)</f>
        <v/>
      </c>
      <c r="E47" s="744">
        <f>SUMIF('Monthly Detail'!$4:$4, '2025 Overview'!E$19, 'Monthly Detail'!106:106)</f>
        <v/>
      </c>
      <c r="F47" s="744">
        <f>SUMIF('Monthly Detail'!$4:$4, '2025 Overview'!F$19, 'Monthly Detail'!106:106)</f>
        <v/>
      </c>
      <c r="G47" s="745">
        <f>SUMIF('Monthly Detail'!$4:$4, '2025 Overview'!G$19, 'Monthly Detail'!106:106)</f>
        <v/>
      </c>
      <c r="H47" s="745">
        <f>SUMIF('Monthly Detail'!$4:$4, '2025 Overview'!H$19, 'Monthly Detail'!106:106)</f>
        <v/>
      </c>
      <c r="I47" s="745">
        <f>SUMIF('Monthly Detail'!$4:$4, '2025 Overview'!I$19, 'Monthly Detail'!106:106)</f>
        <v/>
      </c>
      <c r="J47" s="745">
        <f>SUMIF('Monthly Detail'!$4:$4, '2025 Overview'!J$19, 'Monthly Detail'!106:106)</f>
        <v/>
      </c>
      <c r="K47" s="745">
        <f>SUMIF('Monthly Detail'!$4:$4, '2025 Overview'!K$19, 'Monthly Detail'!106:106)</f>
        <v/>
      </c>
      <c r="L47" s="745">
        <f>SUMIF('Monthly Detail'!$4:$4, '2025 Overview'!L$19, 'Monthly Detail'!106:106)</f>
        <v/>
      </c>
      <c r="M47" s="744">
        <f>SUMIF('Monthly Detail'!$4:$4, '2025 Overview'!M$19, 'Monthly Detail'!106:106)</f>
        <v/>
      </c>
      <c r="N47" s="745">
        <f>SUMIF('Monthly Detail'!$4:$4, '2025 Overview'!N$19, 'Monthly Detail'!106:106)</f>
        <v/>
      </c>
      <c r="P47" s="628" t="n"/>
    </row>
    <row r="48" ht="15.75" customHeight="1" s="627" thickBot="1">
      <c r="B48" s="228" t="inlineStr">
        <is>
          <t>Total Cash Balance</t>
        </is>
      </c>
      <c r="C48" s="757">
        <f>SUMIF('Monthly Detail'!$4:$4, '2025 Overview'!C$19, 'Monthly Detail'!173:173)</f>
        <v/>
      </c>
      <c r="D48" s="749">
        <f>SUMIF('Monthly Detail'!$4:$4, '2025 Overview'!D$19, 'Monthly Detail'!173:173)</f>
        <v/>
      </c>
      <c r="E48" s="748">
        <f>SUMIF('Monthly Detail'!$4:$4, '2025 Overview'!E$19, 'Monthly Detail'!173:173)</f>
        <v/>
      </c>
      <c r="F48" s="748">
        <f>SUMIF('Monthly Detail'!$4:$4, '2025 Overview'!F$19, 'Monthly Detail'!173:173)</f>
        <v/>
      </c>
      <c r="G48" s="749">
        <f>SUMIF('Monthly Detail'!$4:$4, '2025 Overview'!G$19, 'Monthly Detail'!173:173)</f>
        <v/>
      </c>
      <c r="H48" s="749">
        <f>SUMIF('Monthly Detail'!$4:$4, '2025 Overview'!H$19, 'Monthly Detail'!173:173)</f>
        <v/>
      </c>
      <c r="I48" s="749">
        <f>SUMIF('Monthly Detail'!$4:$4, '2025 Overview'!I$19, 'Monthly Detail'!173:173)</f>
        <v/>
      </c>
      <c r="J48" s="749">
        <f>SUMIF('Monthly Detail'!$4:$4, '2025 Overview'!J$19, 'Monthly Detail'!173:173)</f>
        <v/>
      </c>
      <c r="K48" s="749">
        <f>SUMIF('Monthly Detail'!$4:$4, '2025 Overview'!K$19, 'Monthly Detail'!173:173)</f>
        <v/>
      </c>
      <c r="L48" s="749">
        <f>SUMIF('Monthly Detail'!$4:$4, '2025 Overview'!L$19, 'Monthly Detail'!173:173)</f>
        <v/>
      </c>
      <c r="M48" s="748">
        <f>SUMIF('Monthly Detail'!$4:$4, '2025 Overview'!M$19, 'Monthly Detail'!173:173)</f>
        <v/>
      </c>
      <c r="N48" s="749">
        <f>SUMIF('Monthly Detail'!$4:$4, '2025 Overview'!N$19, 'Monthly Detail'!173:173)</f>
        <v/>
      </c>
      <c r="P48" s="532">
        <f>+(SUM(C43:E43)*0.153)-SUM('Monthly Detail'!AO69:AP69)</f>
        <v/>
      </c>
    </row>
    <row r="49" ht="15.75" customHeight="1" s="627" thickBot="1">
      <c r="B49" s="84" t="inlineStr">
        <is>
          <t>Total Cash Inflow (Outflow)</t>
        </is>
      </c>
      <c r="C49" s="699">
        <f>SUMIF('Monthly Detail'!$4:$4, '2025 Overview'!C$19, 'Monthly Detail'!170:170)</f>
        <v/>
      </c>
      <c r="D49" s="700">
        <f>SUMIF('Monthly Detail'!$4:$4, '2025 Overview'!D$19, 'Monthly Detail'!170:170)</f>
        <v/>
      </c>
      <c r="E49" s="700">
        <f>SUMIF('Monthly Detail'!$4:$4, '2025 Overview'!E$19, 'Monthly Detail'!170:170)</f>
        <v/>
      </c>
      <c r="F49" s="700">
        <f>SUMIF('Monthly Detail'!$4:$4, '2025 Overview'!F$19, 'Monthly Detail'!170:170)</f>
        <v/>
      </c>
      <c r="G49" s="700">
        <f>SUMIF('Monthly Detail'!$4:$4, '2025 Overview'!G$19, 'Monthly Detail'!170:170)</f>
        <v/>
      </c>
      <c r="H49" s="700">
        <f>SUMIF('Monthly Detail'!$4:$4, '2025 Overview'!H$19, 'Monthly Detail'!170:170)</f>
        <v/>
      </c>
      <c r="I49" s="700">
        <f>SUMIF('Monthly Detail'!$4:$4, '2025 Overview'!I$19, 'Monthly Detail'!170:170)</f>
        <v/>
      </c>
      <c r="J49" s="700">
        <f>SUMIF('Monthly Detail'!$4:$4, '2025 Overview'!J$19, 'Monthly Detail'!170:170)</f>
        <v/>
      </c>
      <c r="K49" s="700">
        <f>SUMIF('Monthly Detail'!$4:$4, '2025 Overview'!K$19, 'Monthly Detail'!170:170)</f>
        <v/>
      </c>
      <c r="L49" s="700">
        <f>SUMIF('Monthly Detail'!$4:$4, '2025 Overview'!L$19, 'Monthly Detail'!170:170)</f>
        <v/>
      </c>
      <c r="M49" s="699">
        <f>SUMIF('Monthly Detail'!$4:$4, '2025 Overview'!M$19, 'Monthly Detail'!170:170)</f>
        <v/>
      </c>
      <c r="N49" s="699">
        <f>SUMIF('Monthly Detail'!$4:$4, '2025 Overview'!N$19, 'Monthly Detail'!170:170)</f>
        <v/>
      </c>
      <c r="P49" s="596">
        <f>+SUM(C43:H43)*0.15</f>
        <v/>
      </c>
    </row>
    <row r="50" ht="15.75" customHeight="1" s="627" thickBot="1">
      <c r="B50" s="229" t="inlineStr">
        <is>
          <t>Operating Cash Burn</t>
        </is>
      </c>
      <c r="C50" s="750">
        <f>-SUMIF('Monthly Detail'!$4:$4, '2025 Overview'!C$19, 'Monthly Detail'!89:89)</f>
        <v/>
      </c>
      <c r="D50" s="751">
        <f>-SUMIF('Monthly Detail'!$4:$4, '2025 Overview'!D$19, 'Monthly Detail'!89:89)</f>
        <v/>
      </c>
      <c r="E50" s="751">
        <f>-SUMIF('Monthly Detail'!$4:$4, '2025 Overview'!E$19, 'Monthly Detail'!89:89)</f>
        <v/>
      </c>
      <c r="F50" s="751">
        <f>-SUMIF('Monthly Detail'!$4:$4, '2025 Overview'!F$19, 'Monthly Detail'!89:89)</f>
        <v/>
      </c>
      <c r="G50" s="751">
        <f>-SUMIF('Monthly Detail'!$4:$4, '2025 Overview'!G$19, 'Monthly Detail'!89:89)</f>
        <v/>
      </c>
      <c r="H50" s="751">
        <f>-SUMIF('Monthly Detail'!$4:$4, '2025 Overview'!H$19, 'Monthly Detail'!89:89)</f>
        <v/>
      </c>
      <c r="I50" s="751">
        <f>-SUMIF('Monthly Detail'!$4:$4, '2025 Overview'!I$19, 'Monthly Detail'!89:89)</f>
        <v/>
      </c>
      <c r="J50" s="751">
        <f>-SUMIF('Monthly Detail'!$4:$4, '2025 Overview'!J$19, 'Monthly Detail'!89:89)</f>
        <v/>
      </c>
      <c r="K50" s="751">
        <f>-SUMIF('Monthly Detail'!$4:$4, '2025 Overview'!K$19, 'Monthly Detail'!89:89)</f>
        <v/>
      </c>
      <c r="L50" s="751">
        <f>-SUMIF('Monthly Detail'!$4:$4, '2025 Overview'!L$19, 'Monthly Detail'!89:89)</f>
        <v/>
      </c>
      <c r="M50" s="751">
        <f>-SUMIF('Monthly Detail'!$4:$4, '2025 Overview'!M$19, 'Monthly Detail'!89:89)</f>
        <v/>
      </c>
      <c r="N50" s="751">
        <f>-SUMIF('Monthly Detail'!$4:$4, '2025 Overview'!N$19, 'Monthly Detail'!89:89)</f>
        <v/>
      </c>
      <c r="P50" s="532">
        <f>+SUM('Monthly Detail'!AO69:AS69)</f>
        <v/>
      </c>
    </row>
    <row r="51" ht="15.75" customHeight="1" s="627" thickBot="1">
      <c r="B51" s="229" t="inlineStr">
        <is>
          <t>Owner Cash Burn/Allowance</t>
        </is>
      </c>
      <c r="C51" s="750">
        <f>SUMIF('Monthly Detail'!$4:$4, '2025 Overview'!C$19, 'Monthly Detail'!154:154)</f>
        <v/>
      </c>
      <c r="D51" s="751">
        <f>SUMIF('Monthly Detail'!$4:$4, '2025 Overview'!D$19, 'Monthly Detail'!154:154)</f>
        <v/>
      </c>
      <c r="E51" s="751">
        <f>SUMIF('Monthly Detail'!$4:$4, '2025 Overview'!E$19, 'Monthly Detail'!154:154)</f>
        <v/>
      </c>
      <c r="F51" s="751">
        <f>SUMIF('Monthly Detail'!$4:$4, '2025 Overview'!F$19, 'Monthly Detail'!154:154)</f>
        <v/>
      </c>
      <c r="G51" s="751">
        <f>SUMIF('Monthly Detail'!$4:$4, '2025 Overview'!G$19, 'Monthly Detail'!154:154)</f>
        <v/>
      </c>
      <c r="H51" s="751">
        <f>SUMIF('Monthly Detail'!$4:$4,'2025 Overview'!H$19,'Monthly Detail'!154:154)-SUMIF('Monthly Detail'!$4:$4,H19,'Monthly Detail'!68:68)</f>
        <v/>
      </c>
      <c r="I51" s="751">
        <f>SUMIF('Monthly Detail'!$4:$4,'2025 Overview'!I$19,'Monthly Detail'!154:154)-SUMIF('Monthly Detail'!$4:$4,I19,'Monthly Detail'!68:68)</f>
        <v/>
      </c>
      <c r="J51" s="751">
        <f>SUMIF('Monthly Detail'!$4:$4,'2025 Overview'!J$19,'Monthly Detail'!154:154)-SUMIF('Monthly Detail'!$4:$4,J19,'Monthly Detail'!68:68)</f>
        <v/>
      </c>
      <c r="K51" s="751">
        <f>SUMIF('Monthly Detail'!$4:$4,'2025 Overview'!K$19,'Monthly Detail'!154:154)-SUMIF('Monthly Detail'!$4:$4,K19,'Monthly Detail'!68:68)</f>
        <v/>
      </c>
      <c r="L51" s="751">
        <f>SUMIF('Monthly Detail'!$4:$4,'2025 Overview'!L$19,'Monthly Detail'!154:154)-SUMIF('Monthly Detail'!$4:$4,L19,'Monthly Detail'!68:68)</f>
        <v/>
      </c>
      <c r="M51" s="751">
        <f>SUMIF('Monthly Detail'!$4:$4,'2025 Overview'!M$19,'Monthly Detail'!154:154)-SUMIF('Monthly Detail'!$4:$4,M19,'Monthly Detail'!68:68)</f>
        <v/>
      </c>
      <c r="N51" s="751">
        <f>SUMIF('Monthly Detail'!$4:$4,'2025 Overview'!N$19,'Monthly Detail'!154:154)-SUMIF('Monthly Detail'!$4:$4,N19,'Monthly Detail'!68:68)</f>
        <v/>
      </c>
      <c r="P51" s="532">
        <f>+P49-P50</f>
        <v/>
      </c>
    </row>
    <row r="52" ht="15.75" customHeight="1" s="627" thickBot="1">
      <c r="B52" s="229" t="inlineStr">
        <is>
          <t>Operating Cash Runway</t>
        </is>
      </c>
      <c r="C52" s="699">
        <f>+C46-SUM('Monthly Detail'!AC89:AN89)-SUM('Monthly Detail'!AC61:AN61)</f>
        <v/>
      </c>
      <c r="D52" s="700">
        <f>+D46-SUM('Monthly Detail'!AD89:AO89)-SUM('Monthly Detail'!AD61:AO61)</f>
        <v/>
      </c>
      <c r="E52" s="699">
        <f>+E46-SUM('Monthly Detail'!AE89:AP89)-SUM('Monthly Detail'!AE61:AP61)</f>
        <v/>
      </c>
      <c r="F52" s="699">
        <f>+F46-SUM('Monthly Detail'!AF89:AQ89)-SUM('Monthly Detail'!AF61:AQ61)</f>
        <v/>
      </c>
      <c r="G52" s="752">
        <f>+G46-SUM('Monthly Detail'!AG89:AR89)-SUM('Monthly Detail'!AG61:AR61)</f>
        <v/>
      </c>
      <c r="H52" s="700">
        <f>+H46-SUM('Monthly Detail'!AH89:AS89)-SUM('Monthly Detail'!AH61:AS61)</f>
        <v/>
      </c>
      <c r="I52" s="700">
        <f>+I46-SUM('Monthly Detail'!AI89:AT89)-SUM('Monthly Detail'!AI61:AT61)</f>
        <v/>
      </c>
      <c r="J52" s="700">
        <f>+J46-SUM('Monthly Detail'!AJ89:AU89)-SUM('Monthly Detail'!AJ61:AU61)</f>
        <v/>
      </c>
      <c r="K52" s="700">
        <f>+K46-SUM('Monthly Detail'!AK89:AV89)-SUM('Monthly Detail'!AK61:AV61)</f>
        <v/>
      </c>
      <c r="L52" s="700">
        <f>+L46-SUM('Monthly Detail'!AL89:AW89)-SUM('Monthly Detail'!AL61:AW61)</f>
        <v/>
      </c>
      <c r="M52" s="699">
        <f>+M46-SUM('Monthly Detail'!AM89:AX89)-SUM('Monthly Detail'!AM61:AX61)</f>
        <v/>
      </c>
      <c r="N52" s="699">
        <f>+N46-SUM('Monthly Detail'!AN89:AY89)-SUM('Monthly Detail'!AN61:AY61)</f>
        <v/>
      </c>
      <c r="P52" s="596" t="n"/>
    </row>
    <row r="53" ht="15.75" customHeight="1" s="627" thickBot="1">
      <c r="B53" s="229" t="inlineStr">
        <is>
          <t>Owner Cash Runway</t>
        </is>
      </c>
      <c r="C53" s="752">
        <f>+C48-SUM('Monthly Detail'!AC89:AN89)-SUM('Monthly Detail'!AC61:AN61)</f>
        <v/>
      </c>
      <c r="D53" s="752">
        <f>+D48-SUM('Monthly Detail'!AD89:AO89)-SUM('Monthly Detail'!AD61:AO61)</f>
        <v/>
      </c>
      <c r="E53" s="752">
        <f>+E48-SUM('Monthly Detail'!AE89:AP89)-SUM('Monthly Detail'!AE61:AP61)</f>
        <v/>
      </c>
      <c r="F53" s="752">
        <f>+F48-SUM('Monthly Detail'!AF89:AQ89)-SUM('Monthly Detail'!AF61:AQ61)</f>
        <v/>
      </c>
      <c r="G53" s="752">
        <f>+G48-SUM('Monthly Detail'!AG89:AR89)-SUM('Monthly Detail'!AG61:AR61)</f>
        <v/>
      </c>
      <c r="H53" s="752">
        <f>+H48-SUM('Monthly Detail'!AH89:AS89)-SUM('Monthly Detail'!AH61:AS61)</f>
        <v/>
      </c>
      <c r="I53" s="752">
        <f>+I48-SUM('Monthly Detail'!AI89:AT89)-SUM('Monthly Detail'!AI61:AT61)</f>
        <v/>
      </c>
      <c r="J53" s="752">
        <f>+J48-SUM('Monthly Detail'!AJ89:AU89)-SUM('Monthly Detail'!AJ61:AU61)</f>
        <v/>
      </c>
      <c r="K53" s="752">
        <f>+K48-SUM('Monthly Detail'!AK89:AV89)-SUM('Monthly Detail'!AK61:AV61)</f>
        <v/>
      </c>
      <c r="L53" s="752">
        <f>+L48-SUM('Monthly Detail'!AL89:AW89)-SUM('Monthly Detail'!AL61:AW61)</f>
        <v/>
      </c>
      <c r="M53" s="752">
        <f>+M48-SUM('Monthly Detail'!AM89:AX89)-SUM('Monthly Detail'!AM61:AX61)</f>
        <v/>
      </c>
      <c r="N53" s="752">
        <f>+N48-SUM('Monthly Detail'!AN89:AY89)-SUM('Monthly Detail'!AN61:AY61)</f>
        <v/>
      </c>
      <c r="P53" s="596" t="n"/>
    </row>
    <row r="54" ht="15.75" customHeight="1" s="627" thickBot="1">
      <c r="B54" s="229" t="inlineStr">
        <is>
          <t>Operating Cash Runway - Burn Rate</t>
        </is>
      </c>
      <c r="C54" s="753">
        <f>+C46/-C50</f>
        <v/>
      </c>
      <c r="D54" s="754">
        <f>+D46/-D50</f>
        <v/>
      </c>
      <c r="E54" s="754">
        <f>+E46/-E50</f>
        <v/>
      </c>
      <c r="F54" s="754">
        <f>+F46/-F50</f>
        <v/>
      </c>
      <c r="G54" s="754">
        <f>+G46/-G50</f>
        <v/>
      </c>
      <c r="H54" s="754">
        <f>+H46/-H50</f>
        <v/>
      </c>
      <c r="I54" s="754">
        <f>+I46/-I50</f>
        <v/>
      </c>
      <c r="J54" s="754">
        <f>+J46/-J50</f>
        <v/>
      </c>
      <c r="K54" s="754">
        <f>+K46/-K50</f>
        <v/>
      </c>
      <c r="L54" s="754">
        <f>+L46/-L50</f>
        <v/>
      </c>
      <c r="M54" s="754">
        <f>+M46/-M50</f>
        <v/>
      </c>
      <c r="N54" s="754">
        <f>+N46/-N50</f>
        <v/>
      </c>
      <c r="P54" s="628" t="n"/>
    </row>
    <row r="55">
      <c r="B55" s="229" t="inlineStr">
        <is>
          <t>Cash Runway - Owner Burn Rate</t>
        </is>
      </c>
      <c r="C55" s="753">
        <f>+IFERROR(C48/-C51, 0)</f>
        <v/>
      </c>
      <c r="D55" s="754">
        <f>+IFERROR(D48/-D51, 0)</f>
        <v/>
      </c>
      <c r="E55" s="754">
        <f>+IFERROR(E48/-E51, 0)</f>
        <v/>
      </c>
      <c r="F55" s="754">
        <f>+IFERROR(F48/-F51, 0)</f>
        <v/>
      </c>
      <c r="G55" s="754">
        <f>+IFERROR(G48/-G51, 0)</f>
        <v/>
      </c>
      <c r="H55" s="754">
        <f>+IFERROR(H48/-H51, 0)</f>
        <v/>
      </c>
      <c r="I55" s="754">
        <f>+IFERROR(I48/-I51, 0)</f>
        <v/>
      </c>
      <c r="J55" s="754">
        <f>+IFERROR(J48/-J51, 0)</f>
        <v/>
      </c>
      <c r="K55" s="754">
        <f>+IFERROR(K48/-K51, 0)</f>
        <v/>
      </c>
      <c r="L55" s="754">
        <f>+IFERROR(L48/-L51, 0)</f>
        <v/>
      </c>
      <c r="M55" s="754">
        <f>+IFERROR(M48/-M51, 0)</f>
        <v/>
      </c>
      <c r="N55" s="754">
        <f>+IFERROR(N48/-N51, 0)</f>
        <v/>
      </c>
      <c r="P55" s="628" t="n"/>
    </row>
    <row r="56">
      <c r="B56" s="626" t="n"/>
      <c r="E56" s="702" t="n"/>
      <c r="P56" s="628" t="n"/>
    </row>
    <row r="57">
      <c r="B57" s="626" t="n"/>
      <c r="P57" s="628" t="n"/>
    </row>
    <row r="58">
      <c r="B58" s="626" t="n"/>
      <c r="P58" s="628" t="n"/>
    </row>
    <row r="59">
      <c r="B59" s="626" t="n"/>
      <c r="P59" s="628" t="n"/>
    </row>
    <row r="60">
      <c r="B60" s="626" t="n"/>
      <c r="P60" s="628" t="n"/>
    </row>
    <row r="61">
      <c r="B61" s="626" t="n"/>
      <c r="P61" s="628" t="n"/>
    </row>
    <row r="62">
      <c r="B62" s="626" t="n"/>
      <c r="P62" s="628" t="n"/>
    </row>
    <row r="63">
      <c r="B63" s="626" t="n"/>
      <c r="P63" s="628" t="n"/>
    </row>
    <row r="64">
      <c r="B64" s="626" t="n"/>
      <c r="P64" s="628" t="n"/>
    </row>
    <row r="65">
      <c r="B65" s="626" t="n"/>
      <c r="P65" s="628" t="n"/>
    </row>
    <row r="66">
      <c r="B66" s="626" t="n"/>
      <c r="P66" s="628" t="n"/>
    </row>
    <row r="67">
      <c r="B67" s="626" t="n"/>
      <c r="P67" s="628" t="n"/>
    </row>
    <row r="68">
      <c r="B68" s="626" t="n"/>
      <c r="P68" s="628" t="n"/>
    </row>
    <row r="69">
      <c r="B69" s="626" t="n"/>
      <c r="P69" s="628" t="n"/>
    </row>
    <row r="70">
      <c r="B70" s="626" t="n"/>
      <c r="P70" s="628" t="n"/>
    </row>
    <row r="71" ht="15.75" customHeight="1" s="627" thickBot="1">
      <c r="B71" s="626" t="n"/>
      <c r="O71" s="107" t="n"/>
      <c r="P71" s="628" t="n"/>
    </row>
    <row r="72">
      <c r="B72" s="626" t="n"/>
      <c r="P72" s="628" t="n"/>
    </row>
    <row r="73" ht="198.4" customHeight="1" s="627" thickBot="1">
      <c r="B73" s="105" t="n"/>
      <c r="C73" s="107" t="n"/>
      <c r="D73" s="107" t="n"/>
      <c r="E73" s="107" t="n"/>
      <c r="F73" s="107" t="n"/>
      <c r="G73" s="107" t="n"/>
      <c r="H73" s="107" t="n"/>
      <c r="I73" s="107" t="n"/>
      <c r="J73" s="107" t="n"/>
      <c r="K73" s="107" t="n"/>
      <c r="L73" s="107" t="n"/>
      <c r="M73" s="107" t="n"/>
      <c r="N73" s="107" t="n"/>
      <c r="O73" s="107" t="n"/>
      <c r="P73" s="108" t="n"/>
    </row>
  </sheetData>
  <mergeCells count="1">
    <mergeCell ref="B15:P17"/>
  </mergeCells>
  <conditionalFormatting sqref="C51:N51">
    <cfRule type="cellIs" priority="1" operator="greaterThan" dxfId="1">
      <formula>0</formula>
    </cfRule>
  </conditionalFormatting>
  <pageMargins left="0.25" right="0.25" top="0.75" bottom="0.75" header="0.3" footer="0.3"/>
  <pageSetup orientation="landscape" scale="42" horizontalDpi="1200" verticalDpi="1200"/>
</worksheet>
</file>

<file path=xl/worksheets/sheet6.xml><?xml version="1.0" encoding="utf-8"?>
<worksheet xmlns="http://schemas.openxmlformats.org/spreadsheetml/2006/main">
  <sheetPr>
    <tabColor theme="1"/>
    <outlinePr summaryBelow="1" summaryRight="1"/>
    <pageSetUpPr fitToPage="1"/>
  </sheetPr>
  <dimension ref="B15:T73"/>
  <sheetViews>
    <sheetView showGridLines="0" topLeftCell="C7" zoomScaleNormal="70" workbookViewId="0">
      <selection activeCell="K24" sqref="K24"/>
    </sheetView>
  </sheetViews>
  <sheetFormatPr baseColWidth="8" defaultColWidth="8.7109375" defaultRowHeight="15"/>
  <cols>
    <col width="48.28515625" bestFit="1" customWidth="1" style="627" min="2" max="2"/>
    <col width="16.7109375" bestFit="1" customWidth="1" style="627" min="3" max="14"/>
    <col width="0.28515625" customWidth="1" style="627" min="15" max="15"/>
    <col width="17.28515625" bestFit="1" customWidth="1" style="627" min="16" max="16"/>
  </cols>
  <sheetData>
    <row r="14" ht="15.75" customHeight="1" s="627" thickBot="1"/>
    <row r="15" ht="15" customHeight="1" s="627">
      <c r="B15" s="623" t="inlineStr">
        <is>
          <t>2025 Overview</t>
        </is>
      </c>
      <c r="C15" s="624" t="n"/>
      <c r="D15" s="624" t="n"/>
      <c r="E15" s="624" t="n"/>
      <c r="F15" s="624" t="n"/>
      <c r="G15" s="624" t="n"/>
      <c r="H15" s="624" t="n"/>
      <c r="I15" s="624" t="n"/>
      <c r="J15" s="624" t="n"/>
      <c r="K15" s="624" t="n"/>
      <c r="L15" s="624" t="n"/>
      <c r="M15" s="624" t="n"/>
      <c r="N15" s="624" t="n"/>
      <c r="O15" s="624" t="n"/>
      <c r="P15" s="625" t="n"/>
    </row>
    <row r="16" ht="15" customHeight="1" s="627">
      <c r="B16" s="626" t="n"/>
      <c r="P16" s="628" t="n"/>
    </row>
    <row r="17">
      <c r="B17" s="626" t="n"/>
      <c r="P17" s="628" t="n"/>
    </row>
    <row r="18" ht="15.75" customHeight="1" s="627">
      <c r="B18" s="207" t="n"/>
      <c r="C18" s="680" t="inlineStr">
        <is>
          <t>January</t>
        </is>
      </c>
      <c r="D18" s="680" t="inlineStr">
        <is>
          <t>February</t>
        </is>
      </c>
      <c r="E18" s="680" t="inlineStr">
        <is>
          <t>March</t>
        </is>
      </c>
      <c r="F18" s="680" t="inlineStr">
        <is>
          <t>April</t>
        </is>
      </c>
      <c r="G18" s="680" t="inlineStr">
        <is>
          <t>May</t>
        </is>
      </c>
      <c r="H18" s="680" t="inlineStr">
        <is>
          <t>June</t>
        </is>
      </c>
      <c r="I18" s="680" t="inlineStr">
        <is>
          <t>July</t>
        </is>
      </c>
      <c r="J18" s="680" t="inlineStr">
        <is>
          <t>August</t>
        </is>
      </c>
      <c r="K18" s="680" t="inlineStr">
        <is>
          <t>September</t>
        </is>
      </c>
      <c r="L18" s="680" t="inlineStr">
        <is>
          <t>October</t>
        </is>
      </c>
      <c r="M18" s="680" t="inlineStr">
        <is>
          <t>November</t>
        </is>
      </c>
      <c r="N18" s="704" t="inlineStr">
        <is>
          <t>December</t>
        </is>
      </c>
      <c r="O18" s="69" t="n"/>
      <c r="P18" s="705" t="inlineStr">
        <is>
          <t>Total</t>
        </is>
      </c>
    </row>
    <row r="19">
      <c r="B19" s="208" t="n"/>
      <c r="C19" s="90" t="n">
        <v>45688</v>
      </c>
      <c r="D19" s="90" t="n">
        <v>45716</v>
      </c>
      <c r="E19" s="90" t="n">
        <v>45747</v>
      </c>
      <c r="F19" s="90" t="n">
        <v>45777</v>
      </c>
      <c r="G19" s="90" t="n">
        <v>45808</v>
      </c>
      <c r="H19" s="90" t="n">
        <v>45838</v>
      </c>
      <c r="I19" s="90" t="n">
        <v>45869</v>
      </c>
      <c r="J19" s="90" t="n">
        <v>45900</v>
      </c>
      <c r="K19" s="90" t="n">
        <v>45930</v>
      </c>
      <c r="L19" s="90" t="n">
        <v>45961</v>
      </c>
      <c r="M19" s="90" t="n">
        <v>45991</v>
      </c>
      <c r="N19" s="383" t="n">
        <v>46022</v>
      </c>
      <c r="O19" s="90" t="n">
        <v>45322</v>
      </c>
      <c r="P19" s="444" t="n"/>
    </row>
    <row r="20">
      <c r="B20" s="209" t="inlineStr">
        <is>
          <t>Service Income</t>
        </is>
      </c>
      <c r="C20" s="683" t="n">
        <v>7249.713822177183</v>
      </c>
      <c r="D20" s="683" t="n">
        <v>4913.487172602487</v>
      </c>
      <c r="E20" s="683" t="n">
        <v>6536.715075223894</v>
      </c>
      <c r="F20" s="683" t="n">
        <v>9380.610594964161</v>
      </c>
      <c r="G20" s="683" t="n">
        <v>10754.41670071042</v>
      </c>
      <c r="H20" s="683" t="n">
        <v>10296.46902583344</v>
      </c>
      <c r="I20" s="683" t="n">
        <v>8231.418983615276</v>
      </c>
      <c r="J20" s="683" t="n">
        <v>7580.179255382011</v>
      </c>
      <c r="K20" s="683" t="n">
        <v>6911.512149507868</v>
      </c>
      <c r="L20" s="683" t="n">
        <v>7871.841058711183</v>
      </c>
      <c r="M20" s="683" t="n">
        <v>7017.707274880775</v>
      </c>
      <c r="N20" s="707" t="n">
        <v>8571.167262856077</v>
      </c>
      <c r="O20" s="683" t="n"/>
      <c r="P20" s="708" t="n">
        <v>95315.23837646478</v>
      </c>
    </row>
    <row r="21">
      <c r="B21" s="209" t="inlineStr">
        <is>
          <t>Misc.</t>
        </is>
      </c>
      <c r="C21" s="683" t="n">
        <v>0</v>
      </c>
      <c r="D21" s="683" t="n">
        <v>0</v>
      </c>
      <c r="E21" s="683" t="n">
        <v>0</v>
      </c>
      <c r="F21" s="683" t="n">
        <v>0</v>
      </c>
      <c r="G21" s="683" t="n">
        <v>0</v>
      </c>
      <c r="H21" s="683" t="n">
        <v>0</v>
      </c>
      <c r="I21" s="683" t="n">
        <v>0</v>
      </c>
      <c r="J21" s="683" t="n">
        <v>0</v>
      </c>
      <c r="K21" s="683" t="n">
        <v>0</v>
      </c>
      <c r="L21" s="683" t="n">
        <v>0</v>
      </c>
      <c r="M21" s="683" t="n">
        <v>0</v>
      </c>
      <c r="N21" s="707" t="n">
        <v>0</v>
      </c>
      <c r="O21" s="683" t="n"/>
      <c r="P21" s="708" t="n">
        <v>0</v>
      </c>
    </row>
    <row r="22">
      <c r="B22" s="648" t="inlineStr">
        <is>
          <t>Total Income</t>
        </is>
      </c>
      <c r="C22" s="685" t="n">
        <v>7249.713822177183</v>
      </c>
      <c r="D22" s="685" t="n">
        <v>4913.487172602487</v>
      </c>
      <c r="E22" s="685" t="n">
        <v>6536.715075223894</v>
      </c>
      <c r="F22" s="685" t="n">
        <v>9380.610594964161</v>
      </c>
      <c r="G22" s="685" t="n">
        <v>10754.41670071042</v>
      </c>
      <c r="H22" s="685" t="n">
        <v>10296.46902583344</v>
      </c>
      <c r="I22" s="685" t="n">
        <v>8231.418983615276</v>
      </c>
      <c r="J22" s="685" t="n">
        <v>7580.179255382011</v>
      </c>
      <c r="K22" s="685" t="n">
        <v>6911.512149507868</v>
      </c>
      <c r="L22" s="685" t="n">
        <v>7871.841058711183</v>
      </c>
      <c r="M22" s="685" t="n">
        <v>7017.707274880775</v>
      </c>
      <c r="N22" s="710" t="n">
        <v>8571.167262856077</v>
      </c>
      <c r="O22" s="687" t="n"/>
      <c r="P22" s="711" t="n">
        <v>95315.23837646478</v>
      </c>
    </row>
    <row r="23">
      <c r="B23" s="654" t="inlineStr">
        <is>
          <t># of Appointments</t>
        </is>
      </c>
      <c r="C23" s="712" t="n">
        <v>80.37005233592272</v>
      </c>
      <c r="D23" s="712" t="n">
        <v>59.79400846481715</v>
      </c>
      <c r="E23" s="712" t="n">
        <v>75.75967415903979</v>
      </c>
      <c r="F23" s="712" t="n">
        <v>108.7200518775831</v>
      </c>
      <c r="G23" s="712" t="n">
        <v>130.3078436724258</v>
      </c>
      <c r="H23" s="712" t="n">
        <v>113.6521252369212</v>
      </c>
      <c r="I23" s="712" t="n">
        <v>95.4010711632353</v>
      </c>
      <c r="J23" s="712" t="n">
        <v>92.03677764469163</v>
      </c>
      <c r="K23" s="712" t="n">
        <v>76.46245406775074</v>
      </c>
      <c r="L23" s="712" t="n">
        <v>91.23360996720258</v>
      </c>
      <c r="M23" s="712" t="n">
        <v>85.8528837754976</v>
      </c>
      <c r="N23" s="714" t="n">
        <v>94.6082946241726</v>
      </c>
      <c r="O23" s="687" t="n"/>
      <c r="P23" s="715" t="n">
        <v>1104.19884698926</v>
      </c>
      <c r="Q23" s="161" t="n"/>
    </row>
    <row r="24">
      <c r="B24" s="716" t="inlineStr">
        <is>
          <t>MRR</t>
        </is>
      </c>
      <c r="C24" s="717" t="n">
        <v>5375.677126642053</v>
      </c>
      <c r="D24" s="718" t="n">
        <v>3207.544241220023</v>
      </c>
      <c r="E24" s="718" t="n">
        <v>4505.485198907518</v>
      </c>
      <c r="F24" s="718" t="n">
        <v>6748.107226416907</v>
      </c>
      <c r="G24" s="718" t="n">
        <v>7779.502440085423</v>
      </c>
      <c r="H24" s="718" t="n">
        <v>7231.633763963285</v>
      </c>
      <c r="I24" s="718" t="n">
        <v>6123.857601336967</v>
      </c>
      <c r="J24" s="718" t="n">
        <v>5252.886761589139</v>
      </c>
      <c r="K24" s="718" t="n">
        <v>4808.008451831559</v>
      </c>
      <c r="L24" s="718" t="n">
        <v>5880.545296823769</v>
      </c>
      <c r="M24" s="718" t="n">
        <v>4643.095550488225</v>
      </c>
      <c r="N24" s="720" t="n">
        <v>6105.571791707818</v>
      </c>
      <c r="O24" s="687" t="n"/>
      <c r="P24" s="721" t="n">
        <v>5638.492954251057</v>
      </c>
    </row>
    <row r="25">
      <c r="B25" s="654" t="inlineStr">
        <is>
          <t>Recurring Client Base</t>
        </is>
      </c>
      <c r="C25" s="712" t="n">
        <v>40.15894892839746</v>
      </c>
      <c r="D25" s="712" t="n">
        <v>33.93713993949081</v>
      </c>
      <c r="E25" s="712" t="n">
        <v>40.72456792738898</v>
      </c>
      <c r="F25" s="712" t="n">
        <v>55.99628090015985</v>
      </c>
      <c r="G25" s="712" t="n">
        <v>66.7430418809986</v>
      </c>
      <c r="H25" s="712" t="n">
        <v>59.95561389310043</v>
      </c>
      <c r="I25" s="712" t="n">
        <v>47.51199591528713</v>
      </c>
      <c r="J25" s="712" t="n">
        <v>49.20885291226168</v>
      </c>
      <c r="K25" s="712" t="n">
        <v>40.72456792738897</v>
      </c>
      <c r="L25" s="712" t="n">
        <v>45.24951991932109</v>
      </c>
      <c r="M25" s="712" t="n">
        <v>48.07761491427866</v>
      </c>
      <c r="N25" s="714" t="n">
        <v>49.20885291226168</v>
      </c>
      <c r="P25" s="722" t="n"/>
    </row>
    <row r="26" hidden="1" s="627">
      <c r="B26" s="208" t="n"/>
      <c r="C26" s="664" t="n"/>
      <c r="D26" s="664" t="n"/>
      <c r="E26" s="664" t="n"/>
      <c r="F26" s="664" t="n"/>
      <c r="G26" s="664" t="n"/>
      <c r="H26" s="664" t="n"/>
      <c r="I26" s="664" t="n"/>
      <c r="J26" s="664" t="n"/>
      <c r="K26" s="664" t="n"/>
      <c r="L26" s="664" t="n"/>
      <c r="M26" s="664" t="n"/>
      <c r="N26" s="724" t="n"/>
      <c r="O26" s="7" t="n"/>
      <c r="P26" s="722" t="n"/>
    </row>
    <row r="27">
      <c r="B27" s="208" t="n"/>
      <c r="C27" s="664" t="n"/>
      <c r="D27" s="664" t="n"/>
      <c r="E27" s="664" t="n"/>
      <c r="F27" s="664" t="n"/>
      <c r="G27" s="664" t="n"/>
      <c r="H27" s="664" t="n"/>
      <c r="I27" s="664" t="n"/>
      <c r="J27" s="664" t="n"/>
      <c r="K27" s="664" t="n"/>
      <c r="L27" s="664" t="n"/>
      <c r="M27" s="664" t="n"/>
      <c r="N27" s="724" t="n"/>
      <c r="O27" s="7" t="n"/>
      <c r="P27" s="722" t="n"/>
    </row>
    <row r="28">
      <c r="B28" s="208" t="inlineStr">
        <is>
          <t xml:space="preserve">   Software - COS</t>
        </is>
      </c>
      <c r="C28" s="683" t="n">
        <v>214.6847629654431</v>
      </c>
      <c r="D28" s="664" t="n">
        <v>145.5024094547121</v>
      </c>
      <c r="E28" s="664" t="n">
        <v>193.5708306449593</v>
      </c>
      <c r="F28" s="664" t="n">
        <v>277.7867115099741</v>
      </c>
      <c r="G28" s="664" t="n">
        <v>318.4690398620803</v>
      </c>
      <c r="H28" s="664" t="n">
        <v>304.9078993201195</v>
      </c>
      <c r="I28" s="664" t="n">
        <v>243.7558608121711</v>
      </c>
      <c r="J28" s="664" t="n">
        <v>224.4707896881566</v>
      </c>
      <c r="K28" s="664" t="n">
        <v>204.6696440638637</v>
      </c>
      <c r="L28" s="664" t="n">
        <v>233.1077299384398</v>
      </c>
      <c r="M28" s="664" t="n">
        <v>207.8143854809699</v>
      </c>
      <c r="N28" s="724" t="n">
        <v>253.8167791581623</v>
      </c>
      <c r="O28" s="7" t="n"/>
      <c r="P28" s="722" t="n">
        <v>2822.556842899052</v>
      </c>
    </row>
    <row r="29">
      <c r="B29" s="208" t="inlineStr">
        <is>
          <t xml:space="preserve">   Materials - COGS</t>
        </is>
      </c>
      <c r="C29" s="683" t="n">
        <v>244.436714603592</v>
      </c>
      <c r="D29" s="664" t="n">
        <v>165.6667685342036</v>
      </c>
      <c r="E29" s="664" t="n">
        <v>220.3967213712246</v>
      </c>
      <c r="F29" s="664" t="n">
        <v>316.2836066431211</v>
      </c>
      <c r="G29" s="664" t="n">
        <v>362.603869653189</v>
      </c>
      <c r="H29" s="664" t="n">
        <v>347.1633670550233</v>
      </c>
      <c r="I29" s="664" t="n">
        <v>277.5366120970977</v>
      </c>
      <c r="J29" s="664" t="n">
        <v>255.57893162953</v>
      </c>
      <c r="K29" s="664" t="n">
        <v>233.0336568045601</v>
      </c>
      <c r="L29" s="664" t="n">
        <v>265.4128167634582</v>
      </c>
      <c r="M29" s="664" t="n">
        <v>236.6142102153256</v>
      </c>
      <c r="N29" s="724" t="n">
        <v>288.9918164274812</v>
      </c>
      <c r="O29" s="7" t="n"/>
      <c r="P29" s="722" t="n">
        <v>3213.719091797807</v>
      </c>
    </row>
    <row r="30">
      <c r="B30" s="208" t="inlineStr">
        <is>
          <t xml:space="preserve">   Contractors - COS</t>
        </is>
      </c>
      <c r="C30" s="683" t="n">
        <v>0</v>
      </c>
      <c r="D30" s="664" t="n">
        <v>300</v>
      </c>
      <c r="E30" s="664" t="n">
        <v>540</v>
      </c>
      <c r="F30" s="664" t="n">
        <v>940.8007781637464</v>
      </c>
      <c r="G30" s="664" t="n">
        <v>1179.634278778284</v>
      </c>
      <c r="H30" s="664" t="n">
        <v>980.0209724815081</v>
      </c>
      <c r="I30" s="664" t="n">
        <v>381.0160674485295</v>
      </c>
      <c r="J30" s="664" t="n">
        <v>540</v>
      </c>
      <c r="K30" s="664" t="n">
        <v>300</v>
      </c>
      <c r="L30" s="664" t="n">
        <v>558.5041495080387</v>
      </c>
      <c r="M30" s="664" t="n">
        <v>540</v>
      </c>
      <c r="N30" s="724" t="n">
        <v>680.0806403307186</v>
      </c>
      <c r="O30" s="7" t="n"/>
      <c r="P30" s="722" t="n">
        <v>6940.056886710825</v>
      </c>
    </row>
    <row r="31" ht="15.75" customHeight="1" s="627">
      <c r="B31" s="659" t="inlineStr">
        <is>
          <t>Total Cost of Goods Sold (COGS)</t>
        </is>
      </c>
      <c r="C31" s="660" t="n">
        <v>459.1214775690351</v>
      </c>
      <c r="D31" s="660" t="n">
        <v>611.1691779889156</v>
      </c>
      <c r="E31" s="660" t="n">
        <v>953.967552016184</v>
      </c>
      <c r="F31" s="660" t="n">
        <v>1534.871096316841</v>
      </c>
      <c r="G31" s="660" t="n">
        <v>1860.707188293553</v>
      </c>
      <c r="H31" s="660" t="n">
        <v>1632.092238856651</v>
      </c>
      <c r="I31" s="660" t="n">
        <v>902.3085403577983</v>
      </c>
      <c r="J31" s="660" t="n">
        <v>1020.049721317687</v>
      </c>
      <c r="K31" s="660" t="n">
        <v>737.7033008684239</v>
      </c>
      <c r="L31" s="660" t="n">
        <v>1057.024696209937</v>
      </c>
      <c r="M31" s="660" t="n">
        <v>984.4285956962955</v>
      </c>
      <c r="N31" s="726" t="n">
        <v>1222.889235916362</v>
      </c>
      <c r="P31" s="727" t="n">
        <v>12976.33282140768</v>
      </c>
    </row>
    <row r="32" ht="5.65" customHeight="1" s="627">
      <c r="B32" s="208" t="n"/>
      <c r="C32" s="664" t="n"/>
      <c r="D32" s="664" t="n"/>
      <c r="E32" s="664" t="n"/>
      <c r="F32" s="664" t="n"/>
      <c r="G32" s="664" t="n"/>
      <c r="H32" s="664" t="n"/>
      <c r="I32" s="664" t="n"/>
      <c r="J32" s="664" t="n"/>
      <c r="K32" s="664" t="n"/>
      <c r="L32" s="664" t="n"/>
      <c r="M32" s="664" t="n"/>
      <c r="N32" s="724" t="n"/>
      <c r="O32" s="7" t="n"/>
      <c r="P32" s="722" t="n"/>
    </row>
    <row r="33" ht="15.75" customHeight="1" s="627">
      <c r="B33" s="659" t="inlineStr">
        <is>
          <t>Gross Margin</t>
        </is>
      </c>
      <c r="C33" s="660" t="n">
        <v>6790.592344608148</v>
      </c>
      <c r="D33" s="660" t="n">
        <v>4302.317994613571</v>
      </c>
      <c r="E33" s="660" t="n">
        <v>5582.74752320771</v>
      </c>
      <c r="F33" s="660" t="n">
        <v>7845.739498647319</v>
      </c>
      <c r="G33" s="660" t="n">
        <v>8893.709512416872</v>
      </c>
      <c r="H33" s="660" t="n">
        <v>8664.376786976791</v>
      </c>
      <c r="I33" s="660" t="n">
        <v>7329.110443257478</v>
      </c>
      <c r="J33" s="660" t="n">
        <v>6560.129534064325</v>
      </c>
      <c r="K33" s="660" t="n">
        <v>6173.808848639444</v>
      </c>
      <c r="L33" s="660" t="n">
        <v>6814.816362501246</v>
      </c>
      <c r="M33" s="660" t="n">
        <v>6033.278679184479</v>
      </c>
      <c r="N33" s="726" t="n">
        <v>7348.278026939715</v>
      </c>
      <c r="P33" s="727" t="n">
        <v>82338.90555505712</v>
      </c>
    </row>
    <row r="34">
      <c r="B34" s="219" t="inlineStr">
        <is>
          <t>GM %</t>
        </is>
      </c>
      <c r="C34" s="662" t="n">
        <v>0.9366703998488102</v>
      </c>
      <c r="D34" s="662" t="n">
        <v>0.8756139669201167</v>
      </c>
      <c r="E34" s="662" t="n">
        <v>0.8540600988358807</v>
      </c>
      <c r="F34" s="662" t="n">
        <v>0.8363783379793194</v>
      </c>
      <c r="G34" s="662" t="n">
        <v>0.8269820446728053</v>
      </c>
      <c r="H34" s="662" t="n">
        <v>0.8414901035722252</v>
      </c>
      <c r="I34" s="662" t="n">
        <v>0.8903823821683902</v>
      </c>
      <c r="J34" s="662" t="n">
        <v>0.8654319789873781</v>
      </c>
      <c r="K34" s="662" t="n">
        <v>0.8932645584771269</v>
      </c>
      <c r="L34" s="662" t="n">
        <v>0.8657207776012948</v>
      </c>
      <c r="M34" s="662" t="n">
        <v>0.8597221917163793</v>
      </c>
      <c r="N34" s="729" t="n">
        <v>0.8573252395603266</v>
      </c>
      <c r="P34" s="730" t="n">
        <v>0.8638587801652944</v>
      </c>
      <c r="T34" s="1" t="n"/>
    </row>
    <row r="35" ht="3" customHeight="1" s="627">
      <c r="B35" s="208" t="n"/>
      <c r="N35" s="243" t="n"/>
      <c r="O35" s="694" t="n"/>
      <c r="P35" s="444" t="n"/>
    </row>
    <row r="36">
      <c r="B36" s="208" t="inlineStr">
        <is>
          <t>General &amp; Admintrative Expenses</t>
        </is>
      </c>
      <c r="C36" s="683" t="n">
        <v>2422.189333333334</v>
      </c>
      <c r="D36" s="683" t="n">
        <v>6297.786666666667</v>
      </c>
      <c r="E36" s="683" t="n">
        <v>6297.786666666667</v>
      </c>
      <c r="F36" s="683" t="n">
        <v>6297.786666666667</v>
      </c>
      <c r="G36" s="683" t="n">
        <v>6297.786666666667</v>
      </c>
      <c r="H36" s="683" t="n">
        <v>6347.786666666667</v>
      </c>
      <c r="I36" s="683" t="n">
        <v>6297.786666666667</v>
      </c>
      <c r="J36" s="683" t="n">
        <v>6297.786666666667</v>
      </c>
      <c r="K36" s="683" t="n">
        <v>6297.786666666667</v>
      </c>
      <c r="L36" s="683" t="n">
        <v>6402.786666666667</v>
      </c>
      <c r="M36" s="683" t="n">
        <v>6297.786666666667</v>
      </c>
      <c r="N36" s="707" t="n">
        <v>6297.786666666667</v>
      </c>
      <c r="P36" s="708" t="n">
        <v>71852.84266666668</v>
      </c>
    </row>
    <row r="37" ht="15.75" customHeight="1" s="627">
      <c r="B37" s="221" t="inlineStr">
        <is>
          <t>Operating Expenses</t>
        </is>
      </c>
      <c r="C37" s="667" t="n">
        <v>2422.189333333334</v>
      </c>
      <c r="D37" s="667" t="n">
        <v>6297.786666666667</v>
      </c>
      <c r="E37" s="667" t="n">
        <v>6297.786666666667</v>
      </c>
      <c r="F37" s="667" t="n">
        <v>6297.786666666667</v>
      </c>
      <c r="G37" s="667" t="n">
        <v>6297.786666666667</v>
      </c>
      <c r="H37" s="667" t="n">
        <v>6347.786666666667</v>
      </c>
      <c r="I37" s="667" t="n">
        <v>6297.786666666667</v>
      </c>
      <c r="J37" s="667" t="n">
        <v>6297.786666666667</v>
      </c>
      <c r="K37" s="667" t="n">
        <v>6297.786666666667</v>
      </c>
      <c r="L37" s="667" t="n">
        <v>6402.786666666667</v>
      </c>
      <c r="M37" s="667" t="n">
        <v>6297.786666666667</v>
      </c>
      <c r="N37" s="732" t="n">
        <v>6297.786666666667</v>
      </c>
      <c r="O37" s="691" t="n"/>
      <c r="P37" s="733" t="n">
        <v>71852.84266666668</v>
      </c>
    </row>
    <row r="38" ht="4.9" customHeight="1" s="627">
      <c r="B38" s="208" t="n"/>
      <c r="N38" s="243" t="n"/>
      <c r="O38" s="7" t="n"/>
      <c r="P38" s="444" t="n"/>
    </row>
    <row r="39" ht="15.75" customHeight="1" s="627">
      <c r="B39" s="659" t="inlineStr">
        <is>
          <t>Net Operating Income (EBITDA)</t>
        </is>
      </c>
      <c r="C39" s="660" t="n">
        <v>4368.403011274814</v>
      </c>
      <c r="D39" s="660" t="n">
        <v>-1995.468672053095</v>
      </c>
      <c r="E39" s="660" t="n">
        <v>-715.0391434589565</v>
      </c>
      <c r="F39" s="660" t="n">
        <v>1547.952831980652</v>
      </c>
      <c r="G39" s="660" t="n">
        <v>2595.922845750205</v>
      </c>
      <c r="H39" s="660" t="n">
        <v>2316.590120310124</v>
      </c>
      <c r="I39" s="660" t="n">
        <v>1031.323776590812</v>
      </c>
      <c r="J39" s="660" t="n">
        <v>262.3428673976578</v>
      </c>
      <c r="K39" s="660" t="n">
        <v>-123.9778180272224</v>
      </c>
      <c r="L39" s="660" t="n">
        <v>412.0296958345789</v>
      </c>
      <c r="M39" s="660" t="n">
        <v>-264.5079874821877</v>
      </c>
      <c r="N39" s="726" t="n">
        <v>1050.491360273048</v>
      </c>
      <c r="P39" s="727" t="n">
        <v>10486.06288839044</v>
      </c>
    </row>
    <row r="40">
      <c r="B40" s="219" t="inlineStr">
        <is>
          <t>EBITDA %</t>
        </is>
      </c>
      <c r="C40" s="662" t="n">
        <v>0.6025621311991217</v>
      </c>
      <c r="D40" s="662" t="n">
        <v>-0.4061206637883969</v>
      </c>
      <c r="E40" s="662" t="n">
        <v>-0.1093881460688364</v>
      </c>
      <c r="F40" s="662" t="n">
        <v>0.1650162125706025</v>
      </c>
      <c r="G40" s="662" t="n">
        <v>0.2413820217305436</v>
      </c>
      <c r="H40" s="662" t="n">
        <v>0.2249887912543503</v>
      </c>
      <c r="I40" s="662" t="n">
        <v>0.1252911288617032</v>
      </c>
      <c r="J40" s="662" t="n">
        <v>0.03460905851420221</v>
      </c>
      <c r="K40" s="662" t="n">
        <v>-0.01793787167632342</v>
      </c>
      <c r="L40" s="662" t="n">
        <v>0.05234222753756139</v>
      </c>
      <c r="M40" s="662" t="n">
        <v>-0.03769151050642554</v>
      </c>
      <c r="N40" s="729" t="n">
        <v>0.1225610617617331</v>
      </c>
      <c r="O40" s="126" t="n"/>
      <c r="P40" s="730" t="n">
        <v>0.1100145482191823</v>
      </c>
    </row>
    <row r="41" ht="5.65" customHeight="1" s="627">
      <c r="B41" s="222" t="n"/>
      <c r="C41" s="669" t="n"/>
      <c r="D41" s="669" t="n"/>
      <c r="E41" s="669" t="n"/>
      <c r="F41" s="669" t="n"/>
      <c r="G41" s="669" t="n"/>
      <c r="H41" s="669" t="n"/>
      <c r="I41" s="669" t="n"/>
      <c r="J41" s="669" t="n"/>
      <c r="K41" s="669" t="n"/>
      <c r="L41" s="669" t="n"/>
      <c r="M41" s="669" t="n"/>
      <c r="N41" s="735" t="n"/>
      <c r="O41" s="691" t="n"/>
      <c r="P41" s="736" t="n"/>
    </row>
    <row r="42">
      <c r="B42" s="208" t="inlineStr">
        <is>
          <t>Other Income / (Expense)</t>
        </is>
      </c>
      <c r="C42" s="126" t="n">
        <v>0</v>
      </c>
      <c r="D42" s="126" t="n">
        <v>0</v>
      </c>
      <c r="E42" s="126" t="n">
        <v>0</v>
      </c>
      <c r="F42" s="126" t="n">
        <v>0</v>
      </c>
      <c r="G42" s="126" t="n">
        <v>0</v>
      </c>
      <c r="H42" s="126" t="n">
        <v>0</v>
      </c>
      <c r="I42" s="126" t="n">
        <v>0</v>
      </c>
      <c r="J42" s="126" t="n">
        <v>0</v>
      </c>
      <c r="K42" s="126" t="n">
        <v>0</v>
      </c>
      <c r="L42" s="126" t="n">
        <v>0</v>
      </c>
      <c r="M42" s="126" t="n">
        <v>0</v>
      </c>
      <c r="N42" s="461" t="n">
        <v>0</v>
      </c>
      <c r="O42" s="7" t="n"/>
      <c r="P42" s="454" t="n">
        <v>0</v>
      </c>
    </row>
    <row r="43" ht="15.75" customHeight="1" s="627">
      <c r="B43" s="659" t="inlineStr">
        <is>
          <t>Net Income</t>
        </is>
      </c>
      <c r="C43" s="660" t="n">
        <v>4368.403011274814</v>
      </c>
      <c r="D43" s="660" t="n">
        <v>-1995.468672053095</v>
      </c>
      <c r="E43" s="660" t="n">
        <v>-715.0391434589565</v>
      </c>
      <c r="F43" s="660" t="n">
        <v>1547.952831980652</v>
      </c>
      <c r="G43" s="660" t="n">
        <v>2595.922845750205</v>
      </c>
      <c r="H43" s="660" t="n">
        <v>2316.590120310124</v>
      </c>
      <c r="I43" s="660" t="n">
        <v>1031.323776590812</v>
      </c>
      <c r="J43" s="660" t="n">
        <v>262.3428673976578</v>
      </c>
      <c r="K43" s="660" t="n">
        <v>-123.9778180272224</v>
      </c>
      <c r="L43" s="660" t="n">
        <v>412.0296958345789</v>
      </c>
      <c r="M43" s="660" t="n">
        <v>-264.5079874821877</v>
      </c>
      <c r="N43" s="726" t="n">
        <v>1050.491360273048</v>
      </c>
      <c r="P43" s="727" t="n">
        <v>10486.06288839044</v>
      </c>
    </row>
    <row r="44">
      <c r="B44" s="219" t="inlineStr">
        <is>
          <t>NI %</t>
        </is>
      </c>
      <c r="C44" s="662" t="n">
        <v>0.6025621311991217</v>
      </c>
      <c r="D44" s="662" t="n">
        <v>-0.4061206637883969</v>
      </c>
      <c r="E44" s="662" t="n">
        <v>-0.1093881460688364</v>
      </c>
      <c r="F44" s="662" t="n">
        <v>0.1650162125706025</v>
      </c>
      <c r="G44" s="662" t="n">
        <v>0.2413820217305436</v>
      </c>
      <c r="H44" s="662" t="n">
        <v>0.2249887912543503</v>
      </c>
      <c r="I44" s="662" t="n">
        <v>0.1252911288617032</v>
      </c>
      <c r="J44" s="662" t="n">
        <v>0.03460905851420221</v>
      </c>
      <c r="K44" s="662" t="n">
        <v>-0.01793787167632342</v>
      </c>
      <c r="L44" s="662" t="n">
        <v>0.05234222753756139</v>
      </c>
      <c r="M44" s="662" t="n">
        <v>-0.03769151050642554</v>
      </c>
      <c r="N44" s="729" t="n">
        <v>0.1225610617617331</v>
      </c>
      <c r="P44" s="737" t="n">
        <v>0.1100145482191823</v>
      </c>
    </row>
    <row r="45" ht="6" customHeight="1" s="627" thickBot="1">
      <c r="B45" s="208" t="n"/>
      <c r="E45" s="107" t="n"/>
      <c r="P45" s="628" t="n"/>
    </row>
    <row r="46" ht="15.75" customHeight="1" s="627" thickBot="1">
      <c r="B46" s="224" t="inlineStr">
        <is>
          <t>Operating (Business) Cash</t>
        </is>
      </c>
      <c r="C46" s="755" t="n">
        <v>1971.095893768747</v>
      </c>
      <c r="D46" s="740" t="n">
        <v>1048.939305835873</v>
      </c>
      <c r="E46" s="740" t="n">
        <v>874.4943217370298</v>
      </c>
      <c r="F46" s="740" t="n">
        <v>2144.922621949053</v>
      </c>
      <c r="G46" s="741" t="n">
        <v>4127.930179808295</v>
      </c>
      <c r="H46" s="741" t="n">
        <v>5968.494784812033</v>
      </c>
      <c r="I46" s="741" t="n">
        <v>5707.961391715201</v>
      </c>
      <c r="J46" s="741" t="n">
        <v>4917.393690129259</v>
      </c>
      <c r="K46" s="741" t="n">
        <v>3876.08976381255</v>
      </c>
      <c r="L46" s="755" t="n">
        <v>3148.39798303789</v>
      </c>
      <c r="M46" s="740" t="n">
        <v>2019.710716929068</v>
      </c>
      <c r="N46" s="741" t="n">
        <v>1694.350690855048</v>
      </c>
      <c r="P46" s="628" t="n"/>
    </row>
    <row r="47" ht="15.75" customHeight="1" s="627" thickBot="1">
      <c r="B47" s="420" t="inlineStr">
        <is>
          <t>Savings Cash</t>
        </is>
      </c>
      <c r="C47" s="756" t="n">
        <v>28.95</v>
      </c>
      <c r="D47" s="744" t="n">
        <v>28.95</v>
      </c>
      <c r="E47" s="744" t="n">
        <v>28.95</v>
      </c>
      <c r="F47" s="744" t="n">
        <v>28.95</v>
      </c>
      <c r="G47" s="745" t="n">
        <v>28.95</v>
      </c>
      <c r="H47" s="745" t="n">
        <v>28.95</v>
      </c>
      <c r="I47" s="745" t="n">
        <v>28.95</v>
      </c>
      <c r="J47" s="745" t="n">
        <v>28.95</v>
      </c>
      <c r="K47" s="745" t="n">
        <v>28.95</v>
      </c>
      <c r="L47" s="756" t="n">
        <v>28.95</v>
      </c>
      <c r="M47" s="744" t="n">
        <v>28.95</v>
      </c>
      <c r="N47" s="745" t="n">
        <v>28.95</v>
      </c>
      <c r="P47" s="628" t="n"/>
    </row>
    <row r="48" ht="15.75" customHeight="1" s="627" thickBot="1">
      <c r="B48" s="228" t="inlineStr">
        <is>
          <t>Total Cash Balance</t>
        </is>
      </c>
      <c r="C48" s="757" t="n">
        <v>3032.455221182687</v>
      </c>
      <c r="D48" s="748" t="n">
        <v>1613.752778209035</v>
      </c>
      <c r="E48" s="748" t="n">
        <v>1345.37587959543</v>
      </c>
      <c r="F48" s="748" t="n">
        <v>3299.880956844697</v>
      </c>
      <c r="G48" s="749" t="n">
        <v>6350.661815089685</v>
      </c>
      <c r="H48" s="749" t="n">
        <v>9182.299668941589</v>
      </c>
      <c r="I48" s="749" t="n">
        <v>8781.479064177232</v>
      </c>
      <c r="J48" s="749" t="n">
        <v>7565.221061737321</v>
      </c>
      <c r="K48" s="749" t="n">
        <v>5963.215021250076</v>
      </c>
      <c r="L48" s="757" t="n">
        <v>4843.689204673677</v>
      </c>
      <c r="M48" s="748" t="n">
        <v>3107.247256813952</v>
      </c>
      <c r="N48" s="749" t="n">
        <v>2606.693370546229</v>
      </c>
      <c r="P48" s="628" t="n"/>
    </row>
    <row r="49" ht="15.75" customHeight="1" s="627" thickBot="1">
      <c r="B49" s="84" t="inlineStr">
        <is>
          <t>Total Cash Inflow (Outflow)</t>
        </is>
      </c>
      <c r="C49" s="699" t="n">
        <v>2311.778364872223</v>
      </c>
      <c r="D49" s="700" t="n">
        <v>-1418.702442973652</v>
      </c>
      <c r="E49" s="700" t="n">
        <v>-268.3768986136047</v>
      </c>
      <c r="F49" s="700" t="n">
        <v>1954.505077249266</v>
      </c>
      <c r="G49" s="700" t="n">
        <v>3050.780858244988</v>
      </c>
      <c r="H49" s="700" t="n">
        <v>2831.637853851904</v>
      </c>
      <c r="I49" s="700" t="n">
        <v>-400.8206047643566</v>
      </c>
      <c r="J49" s="700" t="n">
        <v>-1216.258002439911</v>
      </c>
      <c r="K49" s="700" t="n">
        <v>-1602.006040487245</v>
      </c>
      <c r="L49" s="700" t="n">
        <v>-1119.5258165764</v>
      </c>
      <c r="M49" s="699" t="n">
        <v>-1736.441947859725</v>
      </c>
      <c r="N49" s="699" t="n">
        <v>-500.5538862677231</v>
      </c>
      <c r="P49" s="628" t="n"/>
    </row>
    <row r="50" ht="15.75" customHeight="1" s="627" thickBot="1">
      <c r="B50" s="229" t="inlineStr">
        <is>
          <t>Operating Cash Burn</t>
        </is>
      </c>
      <c r="C50" s="750" t="n">
        <v>2422.189333333334</v>
      </c>
      <c r="D50" s="751" t="n">
        <v>6297.786666666667</v>
      </c>
      <c r="E50" s="751" t="n">
        <v>6297.786666666667</v>
      </c>
      <c r="F50" s="751" t="n">
        <v>6297.786666666667</v>
      </c>
      <c r="G50" s="751" t="n">
        <v>6297.786666666667</v>
      </c>
      <c r="H50" s="751" t="n">
        <v>6347.786666666667</v>
      </c>
      <c r="I50" s="751" t="n">
        <v>6297.786666666667</v>
      </c>
      <c r="J50" s="751" t="n">
        <v>6297.786666666667</v>
      </c>
      <c r="K50" s="751" t="n">
        <v>6297.786666666667</v>
      </c>
      <c r="L50" s="751" t="n">
        <v>6402.786666666667</v>
      </c>
      <c r="M50" s="751" t="n">
        <v>6297.786666666667</v>
      </c>
      <c r="N50" s="751" t="n">
        <v>6297.786666666667</v>
      </c>
      <c r="P50" s="628" t="n"/>
    </row>
    <row r="51" ht="15.75" customHeight="1" s="627" thickBot="1">
      <c r="B51" s="229" t="inlineStr">
        <is>
          <t>Owner Cash Burn/Allowance</t>
        </is>
      </c>
      <c r="C51" s="750" t="n">
        <v>-2000</v>
      </c>
      <c r="D51" s="751" t="n">
        <v>-1500</v>
      </c>
      <c r="E51" s="751" t="n">
        <v>-1500</v>
      </c>
      <c r="F51" s="751" t="n">
        <v>-1500</v>
      </c>
      <c r="G51" s="751" t="n">
        <v>-1500</v>
      </c>
      <c r="H51" s="751" t="n">
        <v>-1500</v>
      </c>
      <c r="I51" s="751" t="n">
        <v>-1500</v>
      </c>
      <c r="J51" s="751" t="n">
        <v>-1500</v>
      </c>
      <c r="K51" s="751" t="n">
        <v>-1500</v>
      </c>
      <c r="L51" s="751" t="n">
        <v>-1500</v>
      </c>
      <c r="M51" s="751" t="n">
        <v>-1500</v>
      </c>
      <c r="N51" s="751" t="n">
        <v>-1500</v>
      </c>
      <c r="P51" s="628" t="n"/>
    </row>
    <row r="52" ht="15.75" customHeight="1" s="627" thickBot="1">
      <c r="B52" s="229" t="inlineStr">
        <is>
          <t>Operating Cash Runway</t>
        </is>
      </c>
      <c r="C52" s="699" t="n">
        <v>-32096.06982988671</v>
      </c>
      <c r="D52" s="699" t="n">
        <v>-38423.25226247517</v>
      </c>
      <c r="E52" s="699" t="n">
        <v>-44525.63146525686</v>
      </c>
      <c r="F52" s="699" t="n">
        <v>-49542.44092802834</v>
      </c>
      <c r="G52" s="752" t="n">
        <v>-51632.18722512932</v>
      </c>
      <c r="H52" s="700" t="n">
        <v>-54259.2015256489</v>
      </c>
      <c r="I52" s="700" t="n">
        <v>-59152.84012577019</v>
      </c>
      <c r="J52" s="700" t="n">
        <v>-63722.69421534049</v>
      </c>
      <c r="K52" s="700" t="n">
        <v>-69200.3481091923</v>
      </c>
      <c r="L52" s="700" t="n">
        <v>-73914.53125284356</v>
      </c>
      <c r="M52" s="699" t="n">
        <v>-78664.64378131533</v>
      </c>
      <c r="N52" s="699" t="n">
        <v>-83134.82479721931</v>
      </c>
      <c r="P52" s="628" t="n"/>
    </row>
    <row r="53" ht="15.75" customHeight="1" s="627" thickBot="1">
      <c r="B53" s="229" t="inlineStr">
        <is>
          <t>Owner Cash Runway</t>
        </is>
      </c>
      <c r="C53" s="752" t="n">
        <v>-31034.71050247276</v>
      </c>
      <c r="D53" s="752" t="n">
        <v>-37858.438790102</v>
      </c>
      <c r="E53" s="752" t="n">
        <v>-44054.74990739847</v>
      </c>
      <c r="F53" s="752" t="n">
        <v>-48387.4825931327</v>
      </c>
      <c r="G53" s="752" t="n">
        <v>-49409.45558984793</v>
      </c>
      <c r="H53" s="752" t="n">
        <v>-51045.39664151934</v>
      </c>
      <c r="I53" s="752" t="n">
        <v>-56079.32245330816</v>
      </c>
      <c r="J53" s="752" t="n">
        <v>-61074.86684373243</v>
      </c>
      <c r="K53" s="752" t="n">
        <v>-67113.22285175476</v>
      </c>
      <c r="L53" s="752" t="n">
        <v>-72219.24003120777</v>
      </c>
      <c r="M53" s="752" t="n">
        <v>-77577.10724143047</v>
      </c>
      <c r="N53" s="752" t="n">
        <v>-82222.48211752812</v>
      </c>
      <c r="P53" s="628" t="n"/>
    </row>
    <row r="54" ht="15.75" customHeight="1" s="627" thickBot="1">
      <c r="B54" s="229" t="inlineStr">
        <is>
          <t>Operating Cash Runway - Burn Rate</t>
        </is>
      </c>
      <c r="C54" s="753" t="n">
        <v>-0.8137662348038632</v>
      </c>
      <c r="D54" s="754" t="n">
        <v>-0.1665568177130811</v>
      </c>
      <c r="E54" s="754" t="n">
        <v>-0.1388574062639514</v>
      </c>
      <c r="F54" s="754" t="n">
        <v>-0.34058356300029</v>
      </c>
      <c r="G54" s="754" t="n">
        <v>-0.6554572897263846</v>
      </c>
      <c r="H54" s="754" t="n">
        <v>-0.9402481680982819</v>
      </c>
      <c r="I54" s="754" t="n">
        <v>-0.9063440370133</v>
      </c>
      <c r="J54" s="754" t="n">
        <v>-0.780812998343745</v>
      </c>
      <c r="K54" s="754" t="n">
        <v>-0.6154685715742276</v>
      </c>
      <c r="L54" s="754" t="n">
        <v>-0.4917230804250685</v>
      </c>
      <c r="M54" s="754" t="n">
        <v>-0.3207016724810836</v>
      </c>
      <c r="N54" s="754" t="n">
        <v>-0.2690390736515445</v>
      </c>
      <c r="P54" s="628" t="n"/>
    </row>
    <row r="55">
      <c r="B55" s="229" t="inlineStr">
        <is>
          <t>Cash Runway - Owner Burn Rate</t>
        </is>
      </c>
      <c r="C55" s="753" t="n">
        <v>1.516227610591344</v>
      </c>
      <c r="D55" s="754" t="n">
        <v>1.07583518547269</v>
      </c>
      <c r="E55" s="754" t="n">
        <v>0.8969172530636202</v>
      </c>
      <c r="F55" s="754" t="n">
        <v>2.199920637896465</v>
      </c>
      <c r="G55" s="754" t="n">
        <v>4.233774543393123</v>
      </c>
      <c r="H55" s="754" t="n">
        <v>6.121533112627726</v>
      </c>
      <c r="I55" s="754" t="n">
        <v>5.854319376118155</v>
      </c>
      <c r="J55" s="754" t="n">
        <v>5.043480707824881</v>
      </c>
      <c r="K55" s="754" t="n">
        <v>3.975476680833384</v>
      </c>
      <c r="L55" s="754" t="n">
        <v>3.229126136449118</v>
      </c>
      <c r="M55" s="754" t="n">
        <v>2.071498171209301</v>
      </c>
      <c r="N55" s="754" t="n">
        <v>1.737795580364152</v>
      </c>
      <c r="P55" s="628" t="n"/>
    </row>
    <row r="56">
      <c r="B56" s="626" t="n"/>
      <c r="E56" s="702" t="n"/>
      <c r="P56" s="628" t="n"/>
    </row>
    <row r="57">
      <c r="B57" s="626" t="n"/>
      <c r="P57" s="628" t="n"/>
    </row>
    <row r="58">
      <c r="B58" s="626" t="n"/>
      <c r="P58" s="628" t="n"/>
    </row>
    <row r="59">
      <c r="B59" s="626" t="n"/>
      <c r="P59" s="628" t="n"/>
    </row>
    <row r="60">
      <c r="B60" s="626" t="n"/>
      <c r="P60" s="628" t="n"/>
    </row>
    <row r="61">
      <c r="B61" s="626" t="n"/>
      <c r="P61" s="628" t="n"/>
    </row>
    <row r="62">
      <c r="B62" s="626" t="n"/>
      <c r="P62" s="628" t="n"/>
    </row>
    <row r="63">
      <c r="B63" s="626" t="n"/>
      <c r="P63" s="628" t="n"/>
    </row>
    <row r="64">
      <c r="B64" s="626" t="n"/>
      <c r="P64" s="628" t="n"/>
    </row>
    <row r="65">
      <c r="B65" s="626" t="n"/>
      <c r="P65" s="628" t="n"/>
    </row>
    <row r="66">
      <c r="B66" s="626" t="n"/>
      <c r="P66" s="628" t="n"/>
    </row>
    <row r="67">
      <c r="B67" s="626" t="n"/>
      <c r="P67" s="628" t="n"/>
    </row>
    <row r="68">
      <c r="B68" s="626" t="n"/>
      <c r="P68" s="628" t="n"/>
    </row>
    <row r="69">
      <c r="B69" s="626" t="n"/>
      <c r="P69" s="628" t="n"/>
    </row>
    <row r="70">
      <c r="B70" s="626" t="n"/>
      <c r="P70" s="628" t="n"/>
    </row>
    <row r="71" ht="15.75" customHeight="1" s="627" thickBot="1">
      <c r="B71" s="626" t="n"/>
      <c r="O71" s="107" t="n"/>
      <c r="P71" s="628" t="n"/>
    </row>
    <row r="72">
      <c r="B72" s="626" t="n"/>
      <c r="P72" s="628" t="n"/>
    </row>
    <row r="73" ht="198.4" customHeight="1" s="627" thickBot="1">
      <c r="B73" s="105" t="n"/>
      <c r="C73" s="107" t="n"/>
      <c r="D73" s="107" t="n"/>
      <c r="E73" s="107" t="n"/>
      <c r="F73" s="107" t="n"/>
      <c r="G73" s="107" t="n"/>
      <c r="H73" s="107" t="n"/>
      <c r="I73" s="107" t="n"/>
      <c r="J73" s="107" t="n"/>
      <c r="K73" s="107" t="n"/>
      <c r="L73" s="107" t="n"/>
      <c r="M73" s="107" t="n"/>
      <c r="N73" s="107" t="n"/>
      <c r="O73" s="107" t="n"/>
      <c r="P73" s="108" t="n"/>
    </row>
  </sheetData>
  <mergeCells count="1">
    <mergeCell ref="B15:P17"/>
  </mergeCells>
  <conditionalFormatting sqref="C51:N51">
    <cfRule type="cellIs" priority="1" operator="greaterThan" dxfId="1">
      <formula>0</formula>
    </cfRule>
  </conditionalFormatting>
  <pageMargins left="0.25" right="0.25" top="0.75" bottom="0.75" header="0.3" footer="0.3"/>
  <pageSetup orientation="landscape" scale="42" horizontalDpi="1200" verticalDpi="1200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 fitToPage="1"/>
  </sheetPr>
  <dimension ref="B15:T73"/>
  <sheetViews>
    <sheetView showGridLines="0" topLeftCell="A22" zoomScale="70" zoomScaleNormal="70" workbookViewId="0">
      <selection activeCell="B6" sqref="B6:P73"/>
    </sheetView>
  </sheetViews>
  <sheetFormatPr baseColWidth="8" defaultColWidth="8.7109375" defaultRowHeight="15"/>
  <cols>
    <col width="48.28515625" bestFit="1" customWidth="1" style="627" min="2" max="2"/>
    <col width="16.7109375" bestFit="1" customWidth="1" style="627" min="3" max="14"/>
    <col width="0.28515625" customWidth="1" style="627" min="15" max="15"/>
    <col width="17.28515625" bestFit="1" customWidth="1" style="627" min="16" max="16"/>
  </cols>
  <sheetData>
    <row r="14" ht="15.75" customHeight="1" s="627" thickBot="1"/>
    <row r="15" ht="15" customHeight="1" s="627">
      <c r="B15" s="623" t="inlineStr">
        <is>
          <t>2024 Overview</t>
        </is>
      </c>
      <c r="C15" s="624" t="n"/>
      <c r="D15" s="624" t="n"/>
      <c r="E15" s="624" t="n"/>
      <c r="F15" s="624" t="n"/>
      <c r="G15" s="624" t="n"/>
      <c r="H15" s="624" t="n"/>
      <c r="I15" s="624" t="n"/>
      <c r="J15" s="624" t="n"/>
      <c r="K15" s="624" t="n"/>
      <c r="L15" s="624" t="n"/>
      <c r="M15" s="624" t="n"/>
      <c r="N15" s="624" t="n"/>
      <c r="O15" s="624" t="n"/>
      <c r="P15" s="625" t="n"/>
    </row>
    <row r="16" ht="15" customHeight="1" s="627">
      <c r="B16" s="626" t="n"/>
      <c r="P16" s="628" t="n"/>
    </row>
    <row r="17">
      <c r="B17" s="626" t="n"/>
      <c r="P17" s="628" t="n"/>
    </row>
    <row r="18" ht="15.75" customHeight="1" s="627">
      <c r="B18" s="207" t="n"/>
      <c r="C18" s="680" t="inlineStr">
        <is>
          <t>January</t>
        </is>
      </c>
      <c r="D18" s="680" t="inlineStr">
        <is>
          <t>February</t>
        </is>
      </c>
      <c r="E18" s="680" t="inlineStr">
        <is>
          <t>March</t>
        </is>
      </c>
      <c r="F18" s="680" t="inlineStr">
        <is>
          <t>April</t>
        </is>
      </c>
      <c r="G18" s="680" t="inlineStr">
        <is>
          <t>May</t>
        </is>
      </c>
      <c r="H18" s="680" t="inlineStr">
        <is>
          <t>June</t>
        </is>
      </c>
      <c r="I18" s="680" t="inlineStr">
        <is>
          <t>July</t>
        </is>
      </c>
      <c r="J18" s="680" t="inlineStr">
        <is>
          <t>August</t>
        </is>
      </c>
      <c r="K18" s="680" t="inlineStr">
        <is>
          <t>September</t>
        </is>
      </c>
      <c r="L18" s="680" t="inlineStr">
        <is>
          <t>October</t>
        </is>
      </c>
      <c r="M18" s="680" t="inlineStr">
        <is>
          <t>November</t>
        </is>
      </c>
      <c r="N18" s="704" t="inlineStr">
        <is>
          <t>December</t>
        </is>
      </c>
      <c r="O18" s="69" t="n"/>
      <c r="P18" s="705" t="inlineStr">
        <is>
          <t>Total</t>
        </is>
      </c>
    </row>
    <row r="19">
      <c r="B19" s="208" t="n"/>
      <c r="C19" s="90" t="n">
        <v>45322</v>
      </c>
      <c r="D19" s="90" t="n">
        <v>45351</v>
      </c>
      <c r="E19" s="90" t="n">
        <v>45382</v>
      </c>
      <c r="F19" s="90" t="n">
        <v>45412</v>
      </c>
      <c r="G19" s="90" t="n">
        <v>45443</v>
      </c>
      <c r="H19" s="90" t="n">
        <v>45473</v>
      </c>
      <c r="I19" s="90" t="n">
        <v>45504</v>
      </c>
      <c r="J19" s="90" t="n">
        <v>45535</v>
      </c>
      <c r="K19" s="90" t="n">
        <v>45565</v>
      </c>
      <c r="L19" s="90" t="n">
        <v>45596</v>
      </c>
      <c r="M19" s="90" t="n">
        <v>45626</v>
      </c>
      <c r="N19" s="383" t="n">
        <v>45657</v>
      </c>
      <c r="O19" s="90" t="n">
        <v>45322</v>
      </c>
      <c r="P19" s="444" t="n"/>
    </row>
    <row r="20">
      <c r="B20" s="209" t="inlineStr">
        <is>
          <t>Service Income</t>
        </is>
      </c>
      <c r="C20" s="683">
        <f>SUMIF('Monthly Detail'!$4:$4, '2024 Overview'!C$19, 'Monthly Detail'!13:13)</f>
        <v/>
      </c>
      <c r="D20" s="683">
        <f>SUMIF('Monthly Detail'!$4:$4, '2024 Overview'!D$19, 'Monthly Detail'!13:13)</f>
        <v/>
      </c>
      <c r="E20" s="683">
        <f>SUMIF('Monthly Detail'!$4:$4, '2024 Overview'!E$19, 'Monthly Detail'!13:13)</f>
        <v/>
      </c>
      <c r="F20" s="683">
        <f>SUMIF('Monthly Detail'!$4:$4, '2024 Overview'!F$19, 'Monthly Detail'!13:13)</f>
        <v/>
      </c>
      <c r="G20" s="683">
        <f>SUMIF('Monthly Detail'!$4:$4, '2024 Overview'!G$19, 'Monthly Detail'!13:13)</f>
        <v/>
      </c>
      <c r="H20" s="683">
        <f>SUMIF('Monthly Detail'!$4:$4, '2024 Overview'!H$19, 'Monthly Detail'!13:13)</f>
        <v/>
      </c>
      <c r="I20" s="683">
        <f>SUMIF('Monthly Detail'!$4:$4, '2024 Overview'!I$19, 'Monthly Detail'!13:13)</f>
        <v/>
      </c>
      <c r="J20" s="683">
        <f>SUMIF('Monthly Detail'!$4:$4, '2024 Overview'!J$19, 'Monthly Detail'!13:13)</f>
        <v/>
      </c>
      <c r="K20" s="683">
        <f>SUMIF('Monthly Detail'!$4:$4, '2024 Overview'!K$19, 'Monthly Detail'!13:13)</f>
        <v/>
      </c>
      <c r="L20" s="683">
        <f>SUMIF('Monthly Detail'!$4:$4, '2024 Overview'!L$19, 'Monthly Detail'!13:13)</f>
        <v/>
      </c>
      <c r="M20" s="683">
        <f>SUMIF('Monthly Detail'!$4:$4, '2024 Overview'!M$19, 'Monthly Detail'!13:13)</f>
        <v/>
      </c>
      <c r="N20" s="707">
        <f>SUMIF('Monthly Detail'!$4:$4, '2024 Overview'!N$19, 'Monthly Detail'!13:13)</f>
        <v/>
      </c>
      <c r="O20" s="683" t="n"/>
      <c r="P20" s="708">
        <f>SUM(C20:O20)</f>
        <v/>
      </c>
    </row>
    <row r="21">
      <c r="B21" s="209" t="inlineStr">
        <is>
          <t>Misc.</t>
        </is>
      </c>
      <c r="C21" s="683">
        <f>SUMIF('Monthly Detail'!$4:$4, '2024 Overview'!C$19, 'Monthly Detail'!12:12)</f>
        <v/>
      </c>
      <c r="D21" s="683">
        <f>SUMIF('Monthly Detail'!$4:$4, '2024 Overview'!D$19, 'Monthly Detail'!12:12)</f>
        <v/>
      </c>
      <c r="E21" s="683">
        <f>SUMIF('Monthly Detail'!$4:$4, '2024 Overview'!E$19, 'Monthly Detail'!12:12)</f>
        <v/>
      </c>
      <c r="F21" s="683">
        <f>SUMIF('Monthly Detail'!$4:$4, '2024 Overview'!F$19, 'Monthly Detail'!12:12)</f>
        <v/>
      </c>
      <c r="G21" s="683">
        <f>SUMIF('Monthly Detail'!$4:$4, '2024 Overview'!G$19, 'Monthly Detail'!12:12)</f>
        <v/>
      </c>
      <c r="H21" s="683">
        <f>SUMIF('Monthly Detail'!$4:$4, '2024 Overview'!H$19, 'Monthly Detail'!12:12)</f>
        <v/>
      </c>
      <c r="I21" s="683">
        <f>SUMIF('Monthly Detail'!$4:$4, '2024 Overview'!I$19, 'Monthly Detail'!12:12)</f>
        <v/>
      </c>
      <c r="J21" s="683">
        <f>SUMIF('Monthly Detail'!$4:$4, '2024 Overview'!J$19, 'Monthly Detail'!12:12)</f>
        <v/>
      </c>
      <c r="K21" s="683">
        <f>SUMIF('Monthly Detail'!$4:$4, '2024 Overview'!K$19, 'Monthly Detail'!12:12)</f>
        <v/>
      </c>
      <c r="L21" s="683">
        <f>SUMIF('Monthly Detail'!$4:$4, '2024 Overview'!L$19, 'Monthly Detail'!12:12)</f>
        <v/>
      </c>
      <c r="M21" s="683">
        <f>SUMIF('Monthly Detail'!$4:$4, '2024 Overview'!M$19, 'Monthly Detail'!12:12)</f>
        <v/>
      </c>
      <c r="N21" s="707">
        <f>SUMIF('Monthly Detail'!$4:$4, '2024 Overview'!N$19, 'Monthly Detail'!12:12)</f>
        <v/>
      </c>
      <c r="O21" s="683" t="n"/>
      <c r="P21" s="708">
        <f>SUM(C21:O21)</f>
        <v/>
      </c>
    </row>
    <row r="22">
      <c r="B22" s="648" t="inlineStr">
        <is>
          <t>Total Income</t>
        </is>
      </c>
      <c r="C22" s="685">
        <f>SUM(C20:C21)</f>
        <v/>
      </c>
      <c r="D22" s="685">
        <f>SUM(D20:D21)</f>
        <v/>
      </c>
      <c r="E22" s="685">
        <f>SUM(E20:E21)</f>
        <v/>
      </c>
      <c r="F22" s="685">
        <f>SUM(F20:F21)</f>
        <v/>
      </c>
      <c r="G22" s="685">
        <f>SUM(G20:G21)</f>
        <v/>
      </c>
      <c r="H22" s="685">
        <f>SUM(H20:H21)</f>
        <v/>
      </c>
      <c r="I22" s="685">
        <f>SUM(I20:I21)</f>
        <v/>
      </c>
      <c r="J22" s="685">
        <f>SUM(J20:J21)</f>
        <v/>
      </c>
      <c r="K22" s="685">
        <f>SUM(K20:K21)</f>
        <v/>
      </c>
      <c r="L22" s="685">
        <f>SUM(L20:L21)</f>
        <v/>
      </c>
      <c r="M22" s="685">
        <f>SUM(M20:M21)</f>
        <v/>
      </c>
      <c r="N22" s="710">
        <f>SUM(N20:N21)</f>
        <v/>
      </c>
      <c r="O22" s="687" t="n"/>
      <c r="P22" s="711">
        <f>SUM(P20:P20)</f>
        <v/>
      </c>
    </row>
    <row r="23">
      <c r="B23" s="654" t="inlineStr">
        <is>
          <t># of Appointments</t>
        </is>
      </c>
      <c r="C23" s="712">
        <f>+'Monthly Detail'!AB15</f>
        <v/>
      </c>
      <c r="D23" s="712">
        <f>+'Monthly Detail'!AC15</f>
        <v/>
      </c>
      <c r="E23" s="712">
        <f>+'Monthly Detail'!AD15</f>
        <v/>
      </c>
      <c r="F23" s="712">
        <f>+'Monthly Detail'!AE15</f>
        <v/>
      </c>
      <c r="G23" s="712">
        <f>+'Monthly Detail'!AF15</f>
        <v/>
      </c>
      <c r="H23" s="712">
        <f>+'Monthly Detail'!AG15</f>
        <v/>
      </c>
      <c r="I23" s="712">
        <f>+'Monthly Detail'!AH15</f>
        <v/>
      </c>
      <c r="J23" s="712">
        <f>+'Monthly Detail'!AI15</f>
        <v/>
      </c>
      <c r="K23" s="712">
        <f>+'Monthly Detail'!AJ15</f>
        <v/>
      </c>
      <c r="L23" s="712">
        <f>+'Monthly Detail'!AK15</f>
        <v/>
      </c>
      <c r="M23" s="712">
        <f>+'Monthly Detail'!AL15</f>
        <v/>
      </c>
      <c r="N23" s="714">
        <f>+'Monthly Detail'!AM15</f>
        <v/>
      </c>
      <c r="O23" s="687" t="n"/>
      <c r="P23" s="715">
        <f>+SUM(C23:N23)</f>
        <v/>
      </c>
      <c r="Q23" s="111" t="n"/>
    </row>
    <row r="24">
      <c r="B24" s="716" t="inlineStr">
        <is>
          <t>MRR</t>
        </is>
      </c>
      <c r="C24" s="717">
        <f>+'Monthly Detail'!AB41</f>
        <v/>
      </c>
      <c r="D24" s="718">
        <f>+'Monthly Detail'!AC41</f>
        <v/>
      </c>
      <c r="E24" s="718">
        <f>+'Monthly Detail'!AD41</f>
        <v/>
      </c>
      <c r="F24" s="718">
        <f>+'Monthly Detail'!AE41</f>
        <v/>
      </c>
      <c r="G24" s="718">
        <f>+'Monthly Detail'!AF41</f>
        <v/>
      </c>
      <c r="H24" s="718">
        <f>+'Monthly Detail'!AG41</f>
        <v/>
      </c>
      <c r="I24" s="718">
        <f>+'Monthly Detail'!AH41</f>
        <v/>
      </c>
      <c r="J24" s="718">
        <f>+'Monthly Detail'!AI41</f>
        <v/>
      </c>
      <c r="K24" s="718">
        <f>+'Monthly Detail'!AJ41</f>
        <v/>
      </c>
      <c r="L24" s="718">
        <f>+'Monthly Detail'!AK41</f>
        <v/>
      </c>
      <c r="M24" s="718">
        <f>+'Monthly Detail'!AL41</f>
        <v/>
      </c>
      <c r="N24" s="720">
        <f>+'Monthly Detail'!AM41</f>
        <v/>
      </c>
      <c r="O24" s="687" t="n"/>
      <c r="P24" s="721">
        <f>+AVERAGE(C24:N24)</f>
        <v/>
      </c>
    </row>
    <row r="25">
      <c r="B25" s="654" t="inlineStr">
        <is>
          <t>Recurring Client Base</t>
        </is>
      </c>
      <c r="C25" s="712">
        <f>+'Monthly Detail'!AB17</f>
        <v/>
      </c>
      <c r="D25" s="712">
        <f>+'Monthly Detail'!AC17</f>
        <v/>
      </c>
      <c r="E25" s="712">
        <f>+'Monthly Detail'!AD17</f>
        <v/>
      </c>
      <c r="F25" s="712">
        <f>+'Monthly Detail'!AE17</f>
        <v/>
      </c>
      <c r="G25" s="712">
        <f>+'Monthly Detail'!AF17</f>
        <v/>
      </c>
      <c r="H25" s="712">
        <f>+'Monthly Detail'!AG17</f>
        <v/>
      </c>
      <c r="I25" s="712">
        <f>+'Monthly Detail'!AH17</f>
        <v/>
      </c>
      <c r="J25" s="712">
        <f>+'Monthly Detail'!AI17</f>
        <v/>
      </c>
      <c r="K25" s="712">
        <f>+'Monthly Detail'!AJ17</f>
        <v/>
      </c>
      <c r="L25" s="712">
        <f>+'Monthly Detail'!AK17</f>
        <v/>
      </c>
      <c r="M25" s="712">
        <f>+'Monthly Detail'!AL17</f>
        <v/>
      </c>
      <c r="N25" s="714">
        <f>+'Monthly Detail'!AM17</f>
        <v/>
      </c>
      <c r="P25" s="722" t="n"/>
    </row>
    <row r="26" hidden="1" s="627">
      <c r="B26" s="208" t="n"/>
      <c r="C26" s="664" t="n"/>
      <c r="D26" s="664" t="n"/>
      <c r="E26" s="664" t="n"/>
      <c r="F26" s="664" t="n"/>
      <c r="G26" s="664" t="n"/>
      <c r="H26" s="664" t="n"/>
      <c r="I26" s="664" t="n"/>
      <c r="J26" s="664" t="n"/>
      <c r="K26" s="664" t="n"/>
      <c r="L26" s="664" t="n"/>
      <c r="M26" s="664" t="n"/>
      <c r="N26" s="724" t="n"/>
      <c r="O26" s="7" t="n"/>
      <c r="P26" s="722" t="n"/>
    </row>
    <row r="27">
      <c r="B27" s="208" t="n"/>
      <c r="C27" s="664" t="n"/>
      <c r="D27" s="664" t="n"/>
      <c r="E27" s="664" t="n"/>
      <c r="F27" s="664" t="n"/>
      <c r="G27" s="664" t="n"/>
      <c r="H27" s="664" t="n"/>
      <c r="I27" s="664" t="n"/>
      <c r="J27" s="664" t="n"/>
      <c r="K27" s="664" t="n"/>
      <c r="L27" s="664" t="n"/>
      <c r="M27" s="664" t="n"/>
      <c r="N27" s="724" t="n"/>
      <c r="O27" s="7" t="n"/>
      <c r="P27" s="722" t="n"/>
    </row>
    <row r="28">
      <c r="B28" s="208" t="inlineStr">
        <is>
          <t xml:space="preserve">   Software - COS</t>
        </is>
      </c>
      <c r="C28" s="683">
        <f>SUMIF('Monthly Detail'!$4:$4, '2024 Overview'!C$19, 'Monthly Detail'!58:58)</f>
        <v/>
      </c>
      <c r="D28" s="664">
        <f>SUMIF('Monthly Detail'!$4:$4, '2024 Overview'!D$19, 'Monthly Detail'!58:58)</f>
        <v/>
      </c>
      <c r="E28" s="664">
        <f>SUMIF('Monthly Detail'!$4:$4, '2024 Overview'!E$19, 'Monthly Detail'!58:58)</f>
        <v/>
      </c>
      <c r="F28" s="664">
        <f>SUMIF('Monthly Detail'!$4:$4, '2024 Overview'!F$19, 'Monthly Detail'!58:58)</f>
        <v/>
      </c>
      <c r="G28" s="664">
        <f>SUMIF('Monthly Detail'!$4:$4, '2024 Overview'!G$19, 'Monthly Detail'!58:58)</f>
        <v/>
      </c>
      <c r="H28" s="664">
        <f>SUMIF('Monthly Detail'!$4:$4, '2024 Overview'!H$19, 'Monthly Detail'!58:58)</f>
        <v/>
      </c>
      <c r="I28" s="664">
        <f>SUMIF('Monthly Detail'!$4:$4, '2024 Overview'!I$19, 'Monthly Detail'!58:58)</f>
        <v/>
      </c>
      <c r="J28" s="664">
        <f>SUMIF('Monthly Detail'!$4:$4, '2024 Overview'!J$19, 'Monthly Detail'!58:58)</f>
        <v/>
      </c>
      <c r="K28" s="664">
        <f>SUMIF('Monthly Detail'!$4:$4, '2024 Overview'!K$19, 'Monthly Detail'!58:58)</f>
        <v/>
      </c>
      <c r="L28" s="664">
        <f>SUMIF('Monthly Detail'!$4:$4, '2024 Overview'!L$19, 'Monthly Detail'!58:58)</f>
        <v/>
      </c>
      <c r="M28" s="664">
        <f>SUMIF('Monthly Detail'!$4:$4, '2024 Overview'!M$19, 'Monthly Detail'!58:58)</f>
        <v/>
      </c>
      <c r="N28" s="724">
        <f>SUMIF('Monthly Detail'!$4:$4, '2024 Overview'!N$19, 'Monthly Detail'!58:58)</f>
        <v/>
      </c>
      <c r="O28" s="7" t="n"/>
      <c r="P28" s="722">
        <f>+SUM(C28:N28)</f>
        <v/>
      </c>
    </row>
    <row r="29">
      <c r="B29" s="208" t="inlineStr">
        <is>
          <t xml:space="preserve">   Materials - COGS</t>
        </is>
      </c>
      <c r="C29" s="683">
        <f>SUMIF('Monthly Detail'!$4:$4, '2024 Overview'!C$19, 'Monthly Detail'!59:59)</f>
        <v/>
      </c>
      <c r="D29" s="664">
        <f>SUMIF('Monthly Detail'!$4:$4, '2024 Overview'!D$19, 'Monthly Detail'!59:59)</f>
        <v/>
      </c>
      <c r="E29" s="664">
        <f>SUMIF('Monthly Detail'!$4:$4, '2024 Overview'!E$19, 'Monthly Detail'!59:59)</f>
        <v/>
      </c>
      <c r="F29" s="664">
        <f>SUMIF('Monthly Detail'!$4:$4, '2024 Overview'!F$19, 'Monthly Detail'!59:59)</f>
        <v/>
      </c>
      <c r="G29" s="664">
        <f>SUMIF('Monthly Detail'!$4:$4, '2024 Overview'!G$19, 'Monthly Detail'!59:59)</f>
        <v/>
      </c>
      <c r="H29" s="664">
        <f>SUMIF('Monthly Detail'!$4:$4, '2024 Overview'!H$19, 'Monthly Detail'!59:59)</f>
        <v/>
      </c>
      <c r="I29" s="664">
        <f>SUMIF('Monthly Detail'!$4:$4, '2024 Overview'!I$19, 'Monthly Detail'!59:59)</f>
        <v/>
      </c>
      <c r="J29" s="664">
        <f>SUMIF('Monthly Detail'!$4:$4, '2024 Overview'!J$19, 'Monthly Detail'!59:59)</f>
        <v/>
      </c>
      <c r="K29" s="664">
        <f>SUMIF('Monthly Detail'!$4:$4, '2024 Overview'!K$19, 'Monthly Detail'!59:59)</f>
        <v/>
      </c>
      <c r="L29" s="664">
        <f>SUMIF('Monthly Detail'!$4:$4, '2024 Overview'!L$19, 'Monthly Detail'!59:59)</f>
        <v/>
      </c>
      <c r="M29" s="664">
        <f>SUMIF('Monthly Detail'!$4:$4, '2024 Overview'!M$19, 'Monthly Detail'!59:59)</f>
        <v/>
      </c>
      <c r="N29" s="724">
        <f>SUMIF('Monthly Detail'!$4:$4, '2024 Overview'!N$19, 'Monthly Detail'!59:59)</f>
        <v/>
      </c>
      <c r="O29" s="7" t="n"/>
      <c r="P29" s="722">
        <f>+SUM(C29:N29)</f>
        <v/>
      </c>
    </row>
    <row r="30">
      <c r="B30" s="208" t="inlineStr">
        <is>
          <t xml:space="preserve">   Contractors - COS</t>
        </is>
      </c>
      <c r="C30" s="683">
        <f>SUMIF('Monthly Detail'!$4:$4, '2024 Overview'!C$19, 'Monthly Detail'!60:60)</f>
        <v/>
      </c>
      <c r="D30" s="664">
        <f>SUMIF('Monthly Detail'!$4:$4, '2024 Overview'!D$19, 'Monthly Detail'!60:60)</f>
        <v/>
      </c>
      <c r="E30" s="664">
        <f>SUMIF('Monthly Detail'!$4:$4, '2024 Overview'!E$19, 'Monthly Detail'!60:60)</f>
        <v/>
      </c>
      <c r="F30" s="664">
        <f>SUMIF('Monthly Detail'!$4:$4, '2024 Overview'!F$19, 'Monthly Detail'!60:60)</f>
        <v/>
      </c>
      <c r="G30" s="664">
        <f>SUMIF('Monthly Detail'!$4:$4, '2024 Overview'!G$19, 'Monthly Detail'!60:60)</f>
        <v/>
      </c>
      <c r="H30" s="664">
        <f>SUMIF('Monthly Detail'!$4:$4, '2024 Overview'!H$19, 'Monthly Detail'!60:60)</f>
        <v/>
      </c>
      <c r="I30" s="664">
        <f>SUMIF('Monthly Detail'!$4:$4, '2024 Overview'!I$19, 'Monthly Detail'!60:60)</f>
        <v/>
      </c>
      <c r="J30" s="664">
        <f>SUMIF('Monthly Detail'!$4:$4, '2024 Overview'!J$19, 'Monthly Detail'!60:60)</f>
        <v/>
      </c>
      <c r="K30" s="664">
        <f>SUMIF('Monthly Detail'!$4:$4, '2024 Overview'!K$19, 'Monthly Detail'!60:60)</f>
        <v/>
      </c>
      <c r="L30" s="664">
        <f>SUMIF('Monthly Detail'!$4:$4, '2024 Overview'!L$19, 'Monthly Detail'!60:60)</f>
        <v/>
      </c>
      <c r="M30" s="664">
        <f>SUMIF('Monthly Detail'!$4:$4, '2024 Overview'!M$19, 'Monthly Detail'!60:60)</f>
        <v/>
      </c>
      <c r="N30" s="724">
        <f>SUMIF('Monthly Detail'!$4:$4, '2024 Overview'!N$19, 'Monthly Detail'!60:60)</f>
        <v/>
      </c>
      <c r="O30" s="7" t="n"/>
      <c r="P30" s="722">
        <f>+SUM(C30:N30)</f>
        <v/>
      </c>
    </row>
    <row r="31" ht="15.75" customHeight="1" s="627">
      <c r="B31" s="659" t="inlineStr">
        <is>
          <t>Total Cost of Goods Sold (COGS)</t>
        </is>
      </c>
      <c r="C31" s="660">
        <f>SUM(C28:C30)</f>
        <v/>
      </c>
      <c r="D31" s="660">
        <f>SUM(D28:D30)</f>
        <v/>
      </c>
      <c r="E31" s="660">
        <f>SUM(E28:E30)</f>
        <v/>
      </c>
      <c r="F31" s="660">
        <f>SUM(F28:F30)</f>
        <v/>
      </c>
      <c r="G31" s="660">
        <f>SUM(G28:G30)</f>
        <v/>
      </c>
      <c r="H31" s="660">
        <f>SUM(H28:H30)</f>
        <v/>
      </c>
      <c r="I31" s="660">
        <f>SUM(I28:I30)</f>
        <v/>
      </c>
      <c r="J31" s="660">
        <f>SUM(J28:J30)</f>
        <v/>
      </c>
      <c r="K31" s="660">
        <f>SUM(K28:K30)</f>
        <v/>
      </c>
      <c r="L31" s="660">
        <f>SUM(L28:L30)</f>
        <v/>
      </c>
      <c r="M31" s="660">
        <f>SUM(M28:M30)</f>
        <v/>
      </c>
      <c r="N31" s="726">
        <f>SUM(N28:N30)</f>
        <v/>
      </c>
      <c r="P31" s="727">
        <f>SUM(P28:P30)</f>
        <v/>
      </c>
    </row>
    <row r="32" ht="5.65" customHeight="1" s="627">
      <c r="B32" s="208" t="n"/>
      <c r="C32" s="664" t="n"/>
      <c r="D32" s="664" t="n"/>
      <c r="E32" s="664" t="n"/>
      <c r="F32" s="664" t="n"/>
      <c r="G32" s="664" t="n"/>
      <c r="H32" s="664" t="n"/>
      <c r="I32" s="664" t="n"/>
      <c r="J32" s="664" t="n"/>
      <c r="K32" s="664" t="n"/>
      <c r="L32" s="664" t="n"/>
      <c r="M32" s="664" t="n"/>
      <c r="N32" s="724" t="n"/>
      <c r="O32" s="7" t="n"/>
      <c r="P32" s="722" t="n"/>
    </row>
    <row r="33" ht="15.75" customHeight="1" s="627">
      <c r="B33" s="659" t="inlineStr">
        <is>
          <t>Gross Margin</t>
        </is>
      </c>
      <c r="C33" s="660">
        <f>+C22-C31</f>
        <v/>
      </c>
      <c r="D33" s="660">
        <f>+D22-D31</f>
        <v/>
      </c>
      <c r="E33" s="660">
        <f>+E22-E31</f>
        <v/>
      </c>
      <c r="F33" s="660">
        <f>+F22-F31</f>
        <v/>
      </c>
      <c r="G33" s="660">
        <f>+G22-G31</f>
        <v/>
      </c>
      <c r="H33" s="660">
        <f>+H22-H31</f>
        <v/>
      </c>
      <c r="I33" s="660">
        <f>+I22-I31</f>
        <v/>
      </c>
      <c r="J33" s="660">
        <f>+J22-J31</f>
        <v/>
      </c>
      <c r="K33" s="660">
        <f>+K22-K31</f>
        <v/>
      </c>
      <c r="L33" s="660">
        <f>+L22-L31</f>
        <v/>
      </c>
      <c r="M33" s="660">
        <f>+M22-M31</f>
        <v/>
      </c>
      <c r="N33" s="726">
        <f>+N22-N31</f>
        <v/>
      </c>
      <c r="P33" s="727">
        <f>+SUM(C33:N33)</f>
        <v/>
      </c>
    </row>
    <row r="34">
      <c r="B34" s="219" t="inlineStr">
        <is>
          <t>GM %</t>
        </is>
      </c>
      <c r="C34" s="662">
        <f>IFERROR(C33/C22, 0)</f>
        <v/>
      </c>
      <c r="D34" s="662">
        <f>IFERROR(D33/D22, 0)</f>
        <v/>
      </c>
      <c r="E34" s="662">
        <f>IFERROR(E33/E22, 0)</f>
        <v/>
      </c>
      <c r="F34" s="662">
        <f>IFERROR(F33/F22, 0)</f>
        <v/>
      </c>
      <c r="G34" s="662">
        <f>IFERROR(G33/G22, 0)</f>
        <v/>
      </c>
      <c r="H34" s="662">
        <f>IFERROR(H33/H22, 0)</f>
        <v/>
      </c>
      <c r="I34" s="662">
        <f>IFERROR(I33/I22, 0)</f>
        <v/>
      </c>
      <c r="J34" s="662">
        <f>IFERROR(J33/J22, 0)</f>
        <v/>
      </c>
      <c r="K34" s="662">
        <f>IFERROR(K33/K22, 0)</f>
        <v/>
      </c>
      <c r="L34" s="662">
        <f>IFERROR(L33/L22, 0)</f>
        <v/>
      </c>
      <c r="M34" s="662">
        <f>IFERROR(M33/M22, 0)</f>
        <v/>
      </c>
      <c r="N34" s="729">
        <f>IFERROR(N33/N22, 0)</f>
        <v/>
      </c>
      <c r="P34" s="730">
        <f>P33/P22</f>
        <v/>
      </c>
      <c r="T34" s="1" t="n"/>
    </row>
    <row r="35" ht="3" customHeight="1" s="627">
      <c r="B35" s="208" t="n"/>
      <c r="N35" s="243" t="n"/>
      <c r="O35" s="694" t="n"/>
      <c r="P35" s="444" t="n"/>
    </row>
    <row r="36">
      <c r="B36" s="208" t="inlineStr">
        <is>
          <t>General &amp; Admintrative Expenses</t>
        </is>
      </c>
      <c r="C36" s="683">
        <f>SUMIF('Monthly Detail'!$4:$4, '2024 Overview'!C$19, 'Monthly Detail'!$89:$89)</f>
        <v/>
      </c>
      <c r="D36" s="683">
        <f>SUMIF('Monthly Detail'!$4:$4, '2024 Overview'!D$19, 'Monthly Detail'!$89:$89)</f>
        <v/>
      </c>
      <c r="E36" s="683">
        <f>SUMIF('Monthly Detail'!$4:$4, '2024 Overview'!E$19, 'Monthly Detail'!$89:$89)</f>
        <v/>
      </c>
      <c r="F36" s="683">
        <f>SUMIF('Monthly Detail'!$4:$4, '2024 Overview'!F$19, 'Monthly Detail'!$89:$89)</f>
        <v/>
      </c>
      <c r="G36" s="683">
        <f>SUMIF('Monthly Detail'!$4:$4, '2024 Overview'!G$19, 'Monthly Detail'!$89:$89)</f>
        <v/>
      </c>
      <c r="H36" s="683">
        <f>SUMIF('Monthly Detail'!$4:$4, '2024 Overview'!H$19, 'Monthly Detail'!$89:$89)</f>
        <v/>
      </c>
      <c r="I36" s="683">
        <f>SUMIF('Monthly Detail'!$4:$4, '2024 Overview'!I$19, 'Monthly Detail'!$89:$89)</f>
        <v/>
      </c>
      <c r="J36" s="683">
        <f>SUMIF('Monthly Detail'!$4:$4, '2024 Overview'!J$19, 'Monthly Detail'!$89:$89)</f>
        <v/>
      </c>
      <c r="K36" s="683">
        <f>SUMIF('Monthly Detail'!$4:$4, '2024 Overview'!K$19, 'Monthly Detail'!$89:$89)</f>
        <v/>
      </c>
      <c r="L36" s="683">
        <f>SUMIF('Monthly Detail'!$4:$4, '2024 Overview'!L$19, 'Monthly Detail'!$89:$89)</f>
        <v/>
      </c>
      <c r="M36" s="683">
        <f>SUMIF('Monthly Detail'!$4:$4, '2024 Overview'!M$19, 'Monthly Detail'!$89:$89)</f>
        <v/>
      </c>
      <c r="N36" s="707">
        <f>SUMIF('Monthly Detail'!$4:$4, '2024 Overview'!N$19, 'Monthly Detail'!$89:$89)</f>
        <v/>
      </c>
      <c r="P36" s="708">
        <f>SUM(C36:O36)</f>
        <v/>
      </c>
    </row>
    <row r="37" ht="15.75" customHeight="1" s="627">
      <c r="B37" s="221" t="inlineStr">
        <is>
          <t>Operating Expenses</t>
        </is>
      </c>
      <c r="C37" s="667">
        <f>SUM(C36:C36)</f>
        <v/>
      </c>
      <c r="D37" s="667">
        <f>SUM(D36:D36)</f>
        <v/>
      </c>
      <c r="E37" s="667">
        <f>SUM(E36:E36)</f>
        <v/>
      </c>
      <c r="F37" s="667">
        <f>SUM(F36:F36)</f>
        <v/>
      </c>
      <c r="G37" s="667">
        <f>SUM(G36:G36)</f>
        <v/>
      </c>
      <c r="H37" s="667">
        <f>SUM(H36:H36)</f>
        <v/>
      </c>
      <c r="I37" s="667">
        <f>SUM(I36:I36)</f>
        <v/>
      </c>
      <c r="J37" s="667">
        <f>SUM(J36:J36)</f>
        <v/>
      </c>
      <c r="K37" s="667">
        <f>SUM(K36:K36)</f>
        <v/>
      </c>
      <c r="L37" s="667">
        <f>SUM(L36:L36)</f>
        <v/>
      </c>
      <c r="M37" s="667">
        <f>SUM(M36:M36)</f>
        <v/>
      </c>
      <c r="N37" s="732">
        <f>SUM(N36:N36)</f>
        <v/>
      </c>
      <c r="O37" s="691" t="n"/>
      <c r="P37" s="733">
        <f>SUM(P36:P36)</f>
        <v/>
      </c>
    </row>
    <row r="38" ht="4.9" customHeight="1" s="627">
      <c r="B38" s="208" t="n"/>
      <c r="N38" s="243" t="n"/>
      <c r="O38" s="7" t="n"/>
      <c r="P38" s="444" t="n"/>
    </row>
    <row r="39" ht="15.75" customHeight="1" s="627">
      <c r="B39" s="659" t="inlineStr">
        <is>
          <t>Net Operating Income (EBITDA)</t>
        </is>
      </c>
      <c r="C39" s="660">
        <f>C33-C37</f>
        <v/>
      </c>
      <c r="D39" s="660">
        <f>D33-D37</f>
        <v/>
      </c>
      <c r="E39" s="660">
        <f>E33-E37</f>
        <v/>
      </c>
      <c r="F39" s="660">
        <f>F33-F37</f>
        <v/>
      </c>
      <c r="G39" s="660">
        <f>G33-G37</f>
        <v/>
      </c>
      <c r="H39" s="660">
        <f>H33-H37</f>
        <v/>
      </c>
      <c r="I39" s="660">
        <f>I33-I37</f>
        <v/>
      </c>
      <c r="J39" s="660">
        <f>J33-J37</f>
        <v/>
      </c>
      <c r="K39" s="660">
        <f>K33-K37</f>
        <v/>
      </c>
      <c r="L39" s="660">
        <f>L33-L37</f>
        <v/>
      </c>
      <c r="M39" s="660">
        <f>M33-M37</f>
        <v/>
      </c>
      <c r="N39" s="726">
        <f>N33-N37</f>
        <v/>
      </c>
      <c r="P39" s="727">
        <f>P33-P37</f>
        <v/>
      </c>
    </row>
    <row r="40">
      <c r="B40" s="219" t="inlineStr">
        <is>
          <t>EBITDA %</t>
        </is>
      </c>
      <c r="C40" s="662">
        <f>IFERROR(C39/C22, 0)</f>
        <v/>
      </c>
      <c r="D40" s="662">
        <f>IFERROR(D39/D22, 0)</f>
        <v/>
      </c>
      <c r="E40" s="662">
        <f>IFERROR(E39/E22, 0)</f>
        <v/>
      </c>
      <c r="F40" s="662">
        <f>IFERROR(F39/F22, 0)</f>
        <v/>
      </c>
      <c r="G40" s="662">
        <f>IFERROR(G39/G22, 0)</f>
        <v/>
      </c>
      <c r="H40" s="662">
        <f>IFERROR(H39/H22, 0)</f>
        <v/>
      </c>
      <c r="I40" s="662">
        <f>IFERROR(I39/I22, 0)</f>
        <v/>
      </c>
      <c r="J40" s="662">
        <f>IFERROR(J39/J22, 0)</f>
        <v/>
      </c>
      <c r="K40" s="662">
        <f>IFERROR(K39/K22, 0)</f>
        <v/>
      </c>
      <c r="L40" s="662">
        <f>IFERROR(L39/L22, 0)</f>
        <v/>
      </c>
      <c r="M40" s="662">
        <f>IFERROR(M39/M22, 0)</f>
        <v/>
      </c>
      <c r="N40" s="729">
        <f>IFERROR(N39/N22, 0)</f>
        <v/>
      </c>
      <c r="O40" s="126" t="n"/>
      <c r="P40" s="730">
        <f>P39/P22</f>
        <v/>
      </c>
    </row>
    <row r="41" ht="5.65" customHeight="1" s="627">
      <c r="B41" s="222" t="n"/>
      <c r="C41" s="669" t="n"/>
      <c r="D41" s="669" t="n"/>
      <c r="E41" s="669" t="n"/>
      <c r="F41" s="669" t="n"/>
      <c r="G41" s="669" t="n"/>
      <c r="H41" s="669" t="n"/>
      <c r="I41" s="669" t="n"/>
      <c r="J41" s="669" t="n"/>
      <c r="K41" s="669" t="n"/>
      <c r="L41" s="669" t="n"/>
      <c r="M41" s="669" t="n"/>
      <c r="N41" s="735" t="n"/>
      <c r="O41" s="691" t="n"/>
      <c r="P41" s="736" t="n"/>
    </row>
    <row r="42">
      <c r="B42" s="208" t="inlineStr">
        <is>
          <t>Other Income / (Expense)</t>
        </is>
      </c>
      <c r="C42" s="126">
        <f>SUMIF('Monthly Detail'!$4:$4, '2024 Overview'!C$19, 'Monthly Detail'!130:130)</f>
        <v/>
      </c>
      <c r="D42" s="126">
        <f>SUMIF('Monthly Detail'!$4:$4, '2024 Overview'!D$19, 'Monthly Detail'!130:130)</f>
        <v/>
      </c>
      <c r="E42" s="126">
        <f>SUMIF('Monthly Detail'!$4:$4, '2024 Overview'!E$19, 'Monthly Detail'!130:130)</f>
        <v/>
      </c>
      <c r="F42" s="126">
        <f>SUMIF('Monthly Detail'!$4:$4, '2024 Overview'!F$19, 'Monthly Detail'!130:130)</f>
        <v/>
      </c>
      <c r="G42" s="126">
        <f>SUMIF('Monthly Detail'!$4:$4, '2024 Overview'!G$19, 'Monthly Detail'!130:130)</f>
        <v/>
      </c>
      <c r="H42" s="126">
        <f>SUMIF('Monthly Detail'!$4:$4, '2024 Overview'!H$19, 'Monthly Detail'!130:130)</f>
        <v/>
      </c>
      <c r="I42" s="126">
        <f>SUMIF('Monthly Detail'!$4:$4, '2024 Overview'!I$19, 'Monthly Detail'!130:130)</f>
        <v/>
      </c>
      <c r="J42" s="126">
        <f>SUMIF('Monthly Detail'!$4:$4, '2024 Overview'!J$19, 'Monthly Detail'!130:130)</f>
        <v/>
      </c>
      <c r="K42" s="126">
        <f>SUMIF('Monthly Detail'!$4:$4, '2024 Overview'!K$19, 'Monthly Detail'!130:130)</f>
        <v/>
      </c>
      <c r="L42" s="126">
        <f>SUMIF('Monthly Detail'!$4:$4, '2024 Overview'!L$19, 'Monthly Detail'!130:130)</f>
        <v/>
      </c>
      <c r="M42" s="126">
        <f>SUMIF('Monthly Detail'!$4:$4, '2024 Overview'!M$19, 'Monthly Detail'!130:130)</f>
        <v/>
      </c>
      <c r="N42" s="461">
        <f>SUMIF('Monthly Detail'!$4:$4, '2024 Overview'!N$19, 'Monthly Detail'!130:130)</f>
        <v/>
      </c>
      <c r="O42" s="7" t="n"/>
      <c r="P42" s="454">
        <f>SUM(C42:O42)</f>
        <v/>
      </c>
    </row>
    <row r="43" ht="15.75" customHeight="1" s="627">
      <c r="B43" s="659" t="inlineStr">
        <is>
          <t>Net Income</t>
        </is>
      </c>
      <c r="C43" s="660">
        <f>C39+SUM(C42:C42)</f>
        <v/>
      </c>
      <c r="D43" s="660">
        <f>D39+SUM(D42:D42)</f>
        <v/>
      </c>
      <c r="E43" s="660">
        <f>E39+SUM(E42:E42)</f>
        <v/>
      </c>
      <c r="F43" s="660">
        <f>F39+SUM(F42:F42)</f>
        <v/>
      </c>
      <c r="G43" s="660">
        <f>G39+SUM(G42:G42)</f>
        <v/>
      </c>
      <c r="H43" s="660">
        <f>H39+SUM(H42:H42)</f>
        <v/>
      </c>
      <c r="I43" s="660">
        <f>I39+SUM(I42:I42)</f>
        <v/>
      </c>
      <c r="J43" s="660">
        <f>J39+SUM(J42:J42)</f>
        <v/>
      </c>
      <c r="K43" s="660">
        <f>K39+SUM(K42:K42)</f>
        <v/>
      </c>
      <c r="L43" s="660">
        <f>L39+SUM(L42:L42)</f>
        <v/>
      </c>
      <c r="M43" s="660">
        <f>M39+SUM(M42:M42)</f>
        <v/>
      </c>
      <c r="N43" s="726">
        <f>N39+SUM(N42:N42)</f>
        <v/>
      </c>
      <c r="P43" s="727">
        <f>P39+SUM(P42:P42)</f>
        <v/>
      </c>
    </row>
    <row r="44">
      <c r="B44" s="219" t="inlineStr">
        <is>
          <t>NI %</t>
        </is>
      </c>
      <c r="C44" s="662">
        <f>IFERROR(C43/C22, 0)</f>
        <v/>
      </c>
      <c r="D44" s="662">
        <f>IFERROR(D43/D22, 0)</f>
        <v/>
      </c>
      <c r="E44" s="662">
        <f>IFERROR(E43/E22, 0)</f>
        <v/>
      </c>
      <c r="F44" s="662">
        <f>IFERROR(F43/F22, 0)</f>
        <v/>
      </c>
      <c r="G44" s="662">
        <f>IFERROR(G43/G22, 0)</f>
        <v/>
      </c>
      <c r="H44" s="662">
        <f>IFERROR(H43/H22, 0)</f>
        <v/>
      </c>
      <c r="I44" s="662">
        <f>IFERROR(I43/I22, 0)</f>
        <v/>
      </c>
      <c r="J44" s="662">
        <f>IFERROR(J43/J22, 0)</f>
        <v/>
      </c>
      <c r="K44" s="662">
        <f>IFERROR(K43/K22, 0)</f>
        <v/>
      </c>
      <c r="L44" s="662">
        <f>IFERROR(L43/L22, 0)</f>
        <v/>
      </c>
      <c r="M44" s="662">
        <f>IFERROR(M43/M22, 0)</f>
        <v/>
      </c>
      <c r="N44" s="729">
        <f>IFERROR(N43/N22, 0)</f>
        <v/>
      </c>
      <c r="P44" s="737">
        <f>P43/P22</f>
        <v/>
      </c>
    </row>
    <row r="45" ht="6" customHeight="1" s="627" thickBot="1">
      <c r="B45" s="208" t="n"/>
      <c r="E45" s="107" t="n"/>
      <c r="P45" s="628" t="n"/>
    </row>
    <row r="46" ht="15.75" customHeight="1" s="627" thickBot="1">
      <c r="B46" s="224" t="inlineStr">
        <is>
          <t>Operating (Business) Cash</t>
        </is>
      </c>
      <c r="C46" s="755">
        <f>+'Monthly Detail'!AB112</f>
        <v/>
      </c>
      <c r="D46" s="740">
        <f>+'Monthly Detail'!AC112</f>
        <v/>
      </c>
      <c r="E46" s="740">
        <f>+'Monthly Detail'!AD112</f>
        <v/>
      </c>
      <c r="F46" s="740">
        <f>+'Monthly Detail'!AE112</f>
        <v/>
      </c>
      <c r="G46" s="741">
        <f>+'Monthly Detail'!AF112</f>
        <v/>
      </c>
      <c r="H46" s="741">
        <f>+'Monthly Detail'!AG112</f>
        <v/>
      </c>
      <c r="I46" s="741">
        <f>+'Monthly Detail'!AH112</f>
        <v/>
      </c>
      <c r="J46" s="741">
        <f>+'Monthly Detail'!AI112</f>
        <v/>
      </c>
      <c r="K46" s="741">
        <f>+'Monthly Detail'!AJ112</f>
        <v/>
      </c>
      <c r="L46" s="755">
        <f>+'Monthly Detail'!AK112</f>
        <v/>
      </c>
      <c r="M46" s="740">
        <f>+'Monthly Detail'!AL112</f>
        <v/>
      </c>
      <c r="N46" s="741">
        <f>+'Monthly Detail'!AM112</f>
        <v/>
      </c>
      <c r="P46" s="628" t="n"/>
    </row>
    <row r="47" ht="15.75" customHeight="1" s="627" thickBot="1">
      <c r="B47" s="420" t="inlineStr">
        <is>
          <t>Savings Cash</t>
        </is>
      </c>
      <c r="C47" s="756">
        <f>+'Monthly Detail'!AB106</f>
        <v/>
      </c>
      <c r="D47" s="744">
        <f>+'Monthly Detail'!AC106</f>
        <v/>
      </c>
      <c r="E47" s="744">
        <f>+'Monthly Detail'!AD106</f>
        <v/>
      </c>
      <c r="F47" s="744">
        <f>+'Monthly Detail'!AE106</f>
        <v/>
      </c>
      <c r="G47" s="745">
        <f>+'Monthly Detail'!AF106</f>
        <v/>
      </c>
      <c r="H47" s="745">
        <f>+'Monthly Detail'!AG106</f>
        <v/>
      </c>
      <c r="I47" s="745">
        <f>+'Monthly Detail'!AH106</f>
        <v/>
      </c>
      <c r="J47" s="745">
        <f>+'Monthly Detail'!AI106</f>
        <v/>
      </c>
      <c r="K47" s="745">
        <f>+'Monthly Detail'!AJ106</f>
        <v/>
      </c>
      <c r="L47" s="756">
        <f>+'Monthly Detail'!AK106</f>
        <v/>
      </c>
      <c r="M47" s="744">
        <f>+'Monthly Detail'!AL106</f>
        <v/>
      </c>
      <c r="N47" s="745">
        <f>+'Monthly Detail'!AM106</f>
        <v/>
      </c>
      <c r="P47" s="628" t="n"/>
    </row>
    <row r="48" ht="15.75" customHeight="1" s="627" thickBot="1">
      <c r="B48" s="228" t="inlineStr">
        <is>
          <t>Total Cash Balance</t>
        </is>
      </c>
      <c r="C48" s="757">
        <f>+'Monthly Detail'!AB173</f>
        <v/>
      </c>
      <c r="D48" s="748">
        <f>+'Monthly Detail'!AC173</f>
        <v/>
      </c>
      <c r="E48" s="748">
        <f>+'Monthly Detail'!AD173</f>
        <v/>
      </c>
      <c r="F48" s="748">
        <f>+'Monthly Detail'!AE173</f>
        <v/>
      </c>
      <c r="G48" s="749">
        <f>+'Monthly Detail'!AF173</f>
        <v/>
      </c>
      <c r="H48" s="749">
        <f>+'Monthly Detail'!AG173</f>
        <v/>
      </c>
      <c r="I48" s="749">
        <f>+'Monthly Detail'!AH173</f>
        <v/>
      </c>
      <c r="J48" s="749">
        <f>+'Monthly Detail'!AI173</f>
        <v/>
      </c>
      <c r="K48" s="749">
        <f>+'Monthly Detail'!AJ173</f>
        <v/>
      </c>
      <c r="L48" s="757">
        <f>+'Monthly Detail'!AK173</f>
        <v/>
      </c>
      <c r="M48" s="748">
        <f>+'Monthly Detail'!AL173</f>
        <v/>
      </c>
      <c r="N48" s="749">
        <f>+'Monthly Detail'!AM173</f>
        <v/>
      </c>
      <c r="P48" s="628" t="n"/>
    </row>
    <row r="49" ht="15.75" customHeight="1" s="627" thickBot="1">
      <c r="B49" s="84" t="inlineStr">
        <is>
          <t>Total Cash Inflow (Outflow)</t>
        </is>
      </c>
      <c r="C49" s="699">
        <f>SUMIF('Monthly Detail'!$4:$4, '2024 Overview'!C$19, 'Monthly Detail'!170:170)</f>
        <v/>
      </c>
      <c r="D49" s="700">
        <f>SUMIF('Monthly Detail'!$4:$4, '2024 Overview'!D$19, 'Monthly Detail'!170:170)</f>
        <v/>
      </c>
      <c r="E49" s="700">
        <f>SUMIF('Monthly Detail'!$4:$4, '2024 Overview'!E$19, 'Monthly Detail'!170:170)</f>
        <v/>
      </c>
      <c r="F49" s="700">
        <f>SUMIF('Monthly Detail'!$4:$4, '2024 Overview'!F$19, 'Monthly Detail'!170:170)</f>
        <v/>
      </c>
      <c r="G49" s="700">
        <f>SUMIF('Monthly Detail'!$4:$4, '2024 Overview'!G$19, 'Monthly Detail'!170:170)</f>
        <v/>
      </c>
      <c r="H49" s="700">
        <f>SUMIF('Monthly Detail'!$4:$4, '2024 Overview'!H$19, 'Monthly Detail'!170:170)</f>
        <v/>
      </c>
      <c r="I49" s="700">
        <f>SUMIF('Monthly Detail'!$4:$4, '2024 Overview'!I$19, 'Monthly Detail'!170:170)</f>
        <v/>
      </c>
      <c r="J49" s="700">
        <f>SUMIF('Monthly Detail'!$4:$4, '2024 Overview'!J$19, 'Monthly Detail'!170:170)</f>
        <v/>
      </c>
      <c r="K49" s="700">
        <f>SUMIF('Monthly Detail'!$4:$4, '2024 Overview'!K$19, 'Monthly Detail'!170:170)</f>
        <v/>
      </c>
      <c r="L49" s="700">
        <f>SUMIF('Monthly Detail'!$4:$4, '2024 Overview'!L$19, 'Monthly Detail'!170:170)</f>
        <v/>
      </c>
      <c r="M49" s="699">
        <f>SUMIF('Monthly Detail'!$4:$4, '2024 Overview'!M$19, 'Monthly Detail'!170:170)</f>
        <v/>
      </c>
      <c r="N49" s="699">
        <f>SUMIF('Monthly Detail'!$4:$4, '2024 Overview'!N$19, 'Monthly Detail'!170:170)</f>
        <v/>
      </c>
      <c r="P49" s="628" t="n"/>
    </row>
    <row r="50" ht="15.75" customHeight="1" s="627" thickBot="1">
      <c r="B50" s="229" t="inlineStr">
        <is>
          <t>Operating Cash Burn</t>
        </is>
      </c>
      <c r="C50" s="750">
        <f>-'Monthly Detail'!AB89</f>
        <v/>
      </c>
      <c r="D50" s="751">
        <f>-'Monthly Detail'!AC89</f>
        <v/>
      </c>
      <c r="E50" s="751">
        <f>-'Monthly Detail'!AD89</f>
        <v/>
      </c>
      <c r="F50" s="751">
        <f>-'Monthly Detail'!AE89</f>
        <v/>
      </c>
      <c r="G50" s="751">
        <f>-'Monthly Detail'!AF89</f>
        <v/>
      </c>
      <c r="H50" s="751">
        <f>-'Monthly Detail'!AG89</f>
        <v/>
      </c>
      <c r="I50" s="751">
        <f>-'Monthly Detail'!AH89</f>
        <v/>
      </c>
      <c r="J50" s="751">
        <f>-'Monthly Detail'!AI89</f>
        <v/>
      </c>
      <c r="K50" s="751">
        <f>-'Monthly Detail'!AJ89</f>
        <v/>
      </c>
      <c r="L50" s="751">
        <f>-'Monthly Detail'!AK89</f>
        <v/>
      </c>
      <c r="M50" s="751">
        <f>-'Monthly Detail'!AL89</f>
        <v/>
      </c>
      <c r="N50" s="751">
        <f>-'Monthly Detail'!AM89</f>
        <v/>
      </c>
      <c r="P50" s="628" t="n"/>
    </row>
    <row r="51" ht="15.75" customHeight="1" s="627" thickBot="1">
      <c r="B51" s="229" t="inlineStr">
        <is>
          <t>Owner Cash Burn</t>
        </is>
      </c>
      <c r="C51" s="750">
        <f>+'Monthly Detail'!AB154</f>
        <v/>
      </c>
      <c r="D51" s="751">
        <f>+'Monthly Detail'!AC154</f>
        <v/>
      </c>
      <c r="E51" s="751">
        <f>+'Monthly Detail'!AD154</f>
        <v/>
      </c>
      <c r="F51" s="751">
        <f>+'Monthly Detail'!AE154</f>
        <v/>
      </c>
      <c r="G51" s="751">
        <f>+'Monthly Detail'!AF154</f>
        <v/>
      </c>
      <c r="H51" s="751">
        <f>+'Monthly Detail'!AG154</f>
        <v/>
      </c>
      <c r="I51" s="751">
        <f>+'Monthly Detail'!AH154</f>
        <v/>
      </c>
      <c r="J51" s="751">
        <f>+'Monthly Detail'!AI154</f>
        <v/>
      </c>
      <c r="K51" s="751">
        <f>+'Monthly Detail'!AJ154</f>
        <v/>
      </c>
      <c r="L51" s="751">
        <f>+'Monthly Detail'!AK154</f>
        <v/>
      </c>
      <c r="M51" s="751">
        <f>+'Monthly Detail'!AL154</f>
        <v/>
      </c>
      <c r="N51" s="751">
        <f>+'Monthly Detail'!AM154</f>
        <v/>
      </c>
      <c r="P51" s="628" t="n"/>
    </row>
    <row r="52" ht="15.75" customHeight="1" s="627" thickBot="1">
      <c r="B52" s="229" t="inlineStr">
        <is>
          <t>Operating Cash Runway</t>
        </is>
      </c>
      <c r="C52" s="699">
        <f>+C46-SUM('Monthly Detail'!AC89:AN89)-SUM('Monthly Detail'!AC61:AN61)</f>
        <v/>
      </c>
      <c r="D52" s="699">
        <f>+D46-SUM('Monthly Detail'!AD89:AO89)-SUM('Monthly Detail'!AD61:AO61)</f>
        <v/>
      </c>
      <c r="E52" s="699">
        <f>+E46-SUM('Monthly Detail'!AE89:AP89)-SUM('Monthly Detail'!AE61:AP61)</f>
        <v/>
      </c>
      <c r="F52" s="699">
        <f>+F46-SUM('Monthly Detail'!AF89:AQ89)-SUM('Monthly Detail'!AF61:AQ61)</f>
        <v/>
      </c>
      <c r="G52" s="752">
        <f>+G46-SUM('Monthly Detail'!AG89:AR89)-SUM('Monthly Detail'!AG61:AR61)</f>
        <v/>
      </c>
      <c r="H52" s="700">
        <f>+H46-SUM('Monthly Detail'!AH89:AS89)-SUM('Monthly Detail'!AH61:AS61)</f>
        <v/>
      </c>
      <c r="I52" s="700">
        <f>+I46-SUM('Monthly Detail'!AI89:AT89)-SUM('Monthly Detail'!AI61:AT61)</f>
        <v/>
      </c>
      <c r="J52" s="700">
        <f>+J46-SUM('Monthly Detail'!AJ89:AU89)-SUM('Monthly Detail'!AJ61:AU61)</f>
        <v/>
      </c>
      <c r="K52" s="700">
        <f>+K46-SUM('Monthly Detail'!AK89:AV89)-SUM('Monthly Detail'!AK61:AV61)</f>
        <v/>
      </c>
      <c r="L52" s="700">
        <f>+L46-SUM('Monthly Detail'!AL89:AW89)-SUM('Monthly Detail'!AL61:AW61)</f>
        <v/>
      </c>
      <c r="M52" s="699">
        <f>+M46-SUM('Monthly Detail'!AM89:AX89)-SUM('Monthly Detail'!AM61:AX61)</f>
        <v/>
      </c>
      <c r="N52" s="699">
        <f>+N46-SUM('Monthly Detail'!AN89:AY89)-SUM('Monthly Detail'!AN61:AY61)</f>
        <v/>
      </c>
      <c r="P52" s="628" t="n"/>
    </row>
    <row r="53" ht="15.75" customHeight="1" s="627" thickBot="1">
      <c r="B53" s="229" t="inlineStr">
        <is>
          <t>Owner Cash Runway</t>
        </is>
      </c>
      <c r="C53" s="752">
        <f>+C48-SUM('Monthly Detail'!AC89:AN89)-SUM('Monthly Detail'!AC61:AN61)</f>
        <v/>
      </c>
      <c r="D53" s="752">
        <f>+D48-SUM('Monthly Detail'!AD89:AO89)-SUM('Monthly Detail'!AD61:AO61)</f>
        <v/>
      </c>
      <c r="E53" s="752">
        <f>+E48-SUM('Monthly Detail'!AE89:AP89)-SUM('Monthly Detail'!AE61:AP61)</f>
        <v/>
      </c>
      <c r="F53" s="752">
        <f>+F48-SUM('Monthly Detail'!AF89:AQ89)-SUM('Monthly Detail'!AF61:AQ61)</f>
        <v/>
      </c>
      <c r="G53" s="752">
        <f>+G48-SUM('Monthly Detail'!AG89:AR89)-SUM('Monthly Detail'!AG61:AR61)</f>
        <v/>
      </c>
      <c r="H53" s="752">
        <f>+H48-SUM('Monthly Detail'!AH89:AS89)-SUM('Monthly Detail'!AH61:AS61)</f>
        <v/>
      </c>
      <c r="I53" s="752">
        <f>+I48-SUM('Monthly Detail'!AI89:AT89)-SUM('Monthly Detail'!AI61:AT61)</f>
        <v/>
      </c>
      <c r="J53" s="752">
        <f>+J48-SUM('Monthly Detail'!AJ89:AU89)-SUM('Monthly Detail'!AJ61:AU61)</f>
        <v/>
      </c>
      <c r="K53" s="752">
        <f>+K48-SUM('Monthly Detail'!AK89:AV89)-SUM('Monthly Detail'!AK61:AV61)</f>
        <v/>
      </c>
      <c r="L53" s="752">
        <f>+L48-SUM('Monthly Detail'!AL89:AW89)-SUM('Monthly Detail'!AL61:AW61)</f>
        <v/>
      </c>
      <c r="M53" s="752">
        <f>+M48-SUM('Monthly Detail'!AM89:AX89)-SUM('Monthly Detail'!AM61:AX61)</f>
        <v/>
      </c>
      <c r="N53" s="752">
        <f>+N48-SUM('Monthly Detail'!AN89:AY89)-SUM('Monthly Detail'!AN61:AY61)</f>
        <v/>
      </c>
      <c r="P53" s="628" t="n"/>
    </row>
    <row r="54" ht="15.75" customHeight="1" s="627" thickBot="1">
      <c r="B54" s="229" t="inlineStr">
        <is>
          <t>Operating Cash Runway - Burn Rate</t>
        </is>
      </c>
      <c r="C54" s="753">
        <f>+C46/-C50</f>
        <v/>
      </c>
      <c r="D54" s="754">
        <f>+D46/-D50</f>
        <v/>
      </c>
      <c r="E54" s="754">
        <f>+E46/-E50</f>
        <v/>
      </c>
      <c r="F54" s="754">
        <f>+F46/-F50</f>
        <v/>
      </c>
      <c r="G54" s="754">
        <f>+G46/-G50</f>
        <v/>
      </c>
      <c r="H54" s="754">
        <f>+H46/-H50</f>
        <v/>
      </c>
      <c r="I54" s="754">
        <f>+I46/-I50</f>
        <v/>
      </c>
      <c r="J54" s="754">
        <f>+J46/-J50</f>
        <v/>
      </c>
      <c r="K54" s="754">
        <f>+K46/-K50</f>
        <v/>
      </c>
      <c r="L54" s="754">
        <f>+L46/-L50</f>
        <v/>
      </c>
      <c r="M54" s="754">
        <f>+M46/-M50</f>
        <v/>
      </c>
      <c r="N54" s="754">
        <f>+N46/-N50</f>
        <v/>
      </c>
      <c r="P54" s="628" t="n"/>
    </row>
    <row r="55">
      <c r="B55" s="229" t="inlineStr">
        <is>
          <t>Cash Runway - Owner Burn Rate</t>
        </is>
      </c>
      <c r="C55" s="753">
        <f>+IFERROR(C48/-C51, 0)</f>
        <v/>
      </c>
      <c r="D55" s="754">
        <f>+IFERROR(D48/-D51, 0)</f>
        <v/>
      </c>
      <c r="E55" s="754">
        <f>+IFERROR(E48/-E51, 0)</f>
        <v/>
      </c>
      <c r="F55" s="754">
        <f>+IFERROR(F48/-F51, 0)</f>
        <v/>
      </c>
      <c r="G55" s="754">
        <f>+IFERROR(G48/-G51, 0)</f>
        <v/>
      </c>
      <c r="H55" s="754">
        <f>+IFERROR(H48/-H51, 0)</f>
        <v/>
      </c>
      <c r="I55" s="754">
        <f>+IFERROR(I48/-I51, 0)</f>
        <v/>
      </c>
      <c r="J55" s="754">
        <f>+IFERROR(J48/-J51, 0)</f>
        <v/>
      </c>
      <c r="K55" s="754">
        <f>+IFERROR(K48/-K51, 0)</f>
        <v/>
      </c>
      <c r="L55" s="754">
        <f>+IFERROR(L48/-L51, 0)</f>
        <v/>
      </c>
      <c r="M55" s="754">
        <f>+IFERROR(M48/-M51, 0)</f>
        <v/>
      </c>
      <c r="N55" s="754">
        <f>+IFERROR(N48/-N51, 0)</f>
        <v/>
      </c>
      <c r="P55" s="628" t="n"/>
    </row>
    <row r="56">
      <c r="B56" s="626" t="n"/>
      <c r="E56" s="702" t="n"/>
      <c r="P56" s="628" t="n"/>
    </row>
    <row r="57">
      <c r="B57" s="626" t="n"/>
      <c r="P57" s="628" t="n"/>
    </row>
    <row r="58">
      <c r="B58" s="626" t="n"/>
      <c r="P58" s="628" t="n"/>
    </row>
    <row r="59">
      <c r="B59" s="626" t="n"/>
      <c r="P59" s="628" t="n"/>
    </row>
    <row r="60">
      <c r="B60" s="626" t="n"/>
      <c r="P60" s="628" t="n"/>
    </row>
    <row r="61">
      <c r="B61" s="626" t="n"/>
      <c r="P61" s="628" t="n"/>
    </row>
    <row r="62">
      <c r="B62" s="626" t="n"/>
      <c r="P62" s="628" t="n"/>
    </row>
    <row r="63">
      <c r="B63" s="626" t="n"/>
      <c r="P63" s="628" t="n"/>
    </row>
    <row r="64">
      <c r="B64" s="626" t="n"/>
      <c r="P64" s="628" t="n"/>
    </row>
    <row r="65">
      <c r="B65" s="626" t="n"/>
      <c r="P65" s="628" t="n"/>
    </row>
    <row r="66">
      <c r="B66" s="626" t="n"/>
      <c r="P66" s="628" t="n"/>
    </row>
    <row r="67">
      <c r="B67" s="626" t="n"/>
      <c r="P67" s="628" t="n"/>
    </row>
    <row r="68">
      <c r="B68" s="626" t="n"/>
      <c r="P68" s="628" t="n"/>
    </row>
    <row r="69">
      <c r="B69" s="626" t="n"/>
      <c r="P69" s="628" t="n"/>
    </row>
    <row r="70">
      <c r="B70" s="626" t="n"/>
      <c r="P70" s="628" t="n"/>
    </row>
    <row r="71" ht="15.75" customHeight="1" s="627" thickBot="1">
      <c r="B71" s="626" t="n"/>
      <c r="O71" s="107" t="n"/>
      <c r="P71" s="628" t="n"/>
    </row>
    <row r="72">
      <c r="B72" s="626" t="n"/>
      <c r="P72" s="628" t="n"/>
    </row>
    <row r="73" ht="198.4" customHeight="1" s="627" thickBot="1">
      <c r="B73" s="105" t="n"/>
      <c r="C73" s="107" t="n"/>
      <c r="D73" s="107" t="n"/>
      <c r="E73" s="107" t="n"/>
      <c r="F73" s="107" t="n"/>
      <c r="G73" s="107" t="n"/>
      <c r="H73" s="107" t="n"/>
      <c r="I73" s="107" t="n"/>
      <c r="J73" s="107" t="n"/>
      <c r="K73" s="107" t="n"/>
      <c r="L73" s="107" t="n"/>
      <c r="M73" s="107" t="n"/>
      <c r="N73" s="107" t="n"/>
      <c r="O73" s="107" t="n"/>
      <c r="P73" s="108" t="n"/>
    </row>
  </sheetData>
  <mergeCells count="1">
    <mergeCell ref="B15:P17"/>
  </mergeCells>
  <conditionalFormatting sqref="C51:N51">
    <cfRule type="cellIs" priority="1" operator="greaterThan" dxfId="1">
      <formula>0</formula>
    </cfRule>
  </conditionalFormatting>
  <pageMargins left="0.25" right="0.25" top="0.75" bottom="0.75" header="0.3" footer="0.3"/>
  <pageSetup orientation="landscape" scale="42" horizontalDpi="1200" verticalDpi="1200"/>
</worksheet>
</file>

<file path=xl/worksheets/sheet8.xml><?xml version="1.0" encoding="utf-8"?>
<worksheet xmlns="http://schemas.openxmlformats.org/spreadsheetml/2006/main">
  <sheetPr>
    <tabColor theme="1"/>
    <outlinePr summaryBelow="1" summaryRight="1"/>
    <pageSetUpPr fitToPage="1"/>
  </sheetPr>
  <dimension ref="B10:T31"/>
  <sheetViews>
    <sheetView showGridLines="0" topLeftCell="A5" workbookViewId="0">
      <selection activeCell="N28" sqref="L28:N28"/>
    </sheetView>
  </sheetViews>
  <sheetFormatPr baseColWidth="8" defaultColWidth="8.7109375" defaultRowHeight="15"/>
  <cols>
    <col width="32.140625" bestFit="1" customWidth="1" style="627" min="2" max="2"/>
    <col hidden="1" outlineLevel="1" width="12.28515625" customWidth="1" style="627" min="3" max="9"/>
    <col collapsed="1" width="9.42578125" bestFit="1" customWidth="1" style="627" min="10" max="10"/>
    <col width="11.140625" bestFit="1" customWidth="1" style="627" min="11" max="12"/>
    <col width="10.7109375" bestFit="1" customWidth="1" style="627" min="13" max="13"/>
    <col width="10.42578125" bestFit="1" customWidth="1" style="627" min="14" max="14"/>
    <col width="0.7109375" customWidth="1" style="627" min="15" max="15"/>
    <col width="8.7109375" bestFit="1" customWidth="1" style="627" min="16" max="16"/>
  </cols>
  <sheetData>
    <row r="10" ht="15.75" customHeight="1" s="627">
      <c r="B10" s="67" t="n"/>
      <c r="C10" s="680">
        <f>TEXT('Monthly Detail'!D4,"mmmm")</f>
        <v/>
      </c>
      <c r="D10" s="680">
        <f>TEXT('Monthly Detail'!E4,"mmmm")</f>
        <v/>
      </c>
      <c r="E10" s="680">
        <f>TEXT('Monthly Detail'!F4,"mmmm")</f>
        <v/>
      </c>
      <c r="F10" s="680">
        <f>TEXT('Monthly Detail'!G4,"mmmm")</f>
        <v/>
      </c>
      <c r="G10" s="680">
        <f>TEXT('Monthly Detail'!H4,"mmmm")</f>
        <v/>
      </c>
      <c r="H10" s="680">
        <f>TEXT('Monthly Detail'!I4,"mmmm")</f>
        <v/>
      </c>
      <c r="I10" s="680">
        <f>TEXT('Monthly Detail'!J4,"mmmm")</f>
        <v/>
      </c>
      <c r="J10" s="680">
        <f>TEXT('Monthly Detail'!K4,"mmmm")</f>
        <v/>
      </c>
      <c r="K10" s="680">
        <f>TEXT('Monthly Detail'!L4,"mmmm")</f>
        <v/>
      </c>
      <c r="L10" s="680">
        <f>TEXT('Monthly Detail'!M4,"mmmm")</f>
        <v/>
      </c>
      <c r="M10" s="680">
        <f>TEXT('Monthly Detail'!N4,"mmmm")</f>
        <v/>
      </c>
      <c r="N10" s="758">
        <f>TEXT('Monthly Detail'!O4,"mmmm")</f>
        <v/>
      </c>
      <c r="O10" s="69" t="n"/>
      <c r="P10" s="682" t="inlineStr">
        <is>
          <t>Total</t>
        </is>
      </c>
    </row>
    <row r="11" ht="1.5" customHeight="1" s="627">
      <c r="B11" s="7" t="n"/>
      <c r="C11" s="90" t="n">
        <v>44592</v>
      </c>
      <c r="D11" s="90" t="n">
        <v>44620</v>
      </c>
      <c r="E11" s="90" t="n">
        <v>44651</v>
      </c>
      <c r="F11" s="90" t="n">
        <v>44681</v>
      </c>
      <c r="G11" s="90" t="n">
        <v>44712</v>
      </c>
      <c r="H11" s="90" t="n">
        <v>44742</v>
      </c>
      <c r="I11" s="90" t="n">
        <v>44773</v>
      </c>
      <c r="J11" s="90" t="n">
        <v>44804</v>
      </c>
      <c r="K11" s="90" t="n">
        <v>44834</v>
      </c>
      <c r="L11" s="90" t="n">
        <v>44865</v>
      </c>
      <c r="M11" s="90" t="n">
        <v>44895</v>
      </c>
      <c r="N11" s="147" t="n">
        <v>44926</v>
      </c>
    </row>
    <row r="12">
      <c r="B12" s="71" t="inlineStr">
        <is>
          <t>Service Income</t>
        </is>
      </c>
      <c r="C12" s="683">
        <f>SUMIF('Monthly Detail'!$4:$4, '2022 Overview'!C$11, 'Monthly Detail'!9:9)</f>
        <v/>
      </c>
      <c r="D12" s="683">
        <f>SUMIF('Monthly Detail'!$4:$4, '2022 Overview'!D$11, 'Monthly Detail'!9:9)</f>
        <v/>
      </c>
      <c r="E12" s="683">
        <f>SUMIF('Monthly Detail'!$4:$4, '2022 Overview'!E$11, 'Monthly Detail'!9:9)</f>
        <v/>
      </c>
      <c r="F12" s="683">
        <f>SUMIF('Monthly Detail'!$4:$4, '2022 Overview'!F$11, 'Monthly Detail'!9:9)</f>
        <v/>
      </c>
      <c r="G12" s="683">
        <f>SUMIF('Monthly Detail'!$4:$4, '2022 Overview'!G$11, 'Monthly Detail'!9:9)</f>
        <v/>
      </c>
      <c r="H12" s="683">
        <f>SUMIF('Monthly Detail'!$4:$4, '2022 Overview'!H$11, 'Monthly Detail'!9:9)</f>
        <v/>
      </c>
      <c r="I12" s="683">
        <f>SUMIF('Monthly Detail'!$4:$4, '2022 Overview'!I$11, 'Monthly Detail'!9:9)</f>
        <v/>
      </c>
      <c r="J12" s="683">
        <f>SUMIF('Monthly Detail'!$4:$4, '2022 Overview'!J$11, 'Monthly Detail'!9:9)</f>
        <v/>
      </c>
      <c r="K12" s="683">
        <f>SUMIF('Monthly Detail'!$4:$4, '2022 Overview'!K$11, 'Monthly Detail'!9:9)</f>
        <v/>
      </c>
      <c r="L12" s="683">
        <f>SUMIF('Monthly Detail'!$4:$4, '2022 Overview'!L$11, 'Monthly Detail'!9:9)</f>
        <v/>
      </c>
      <c r="M12" s="683">
        <f>SUMIF('Monthly Detail'!$4:$4, '2022 Overview'!M$11, 'Monthly Detail'!9:9)</f>
        <v/>
      </c>
      <c r="N12" s="759">
        <f>SUMIF('Monthly Detail'!$4:$4, '2022 Overview'!N$11, 'Monthly Detail'!9:9)</f>
        <v/>
      </c>
      <c r="O12" s="683" t="n"/>
      <c r="P12" s="683">
        <f>SUM(C12:O12)</f>
        <v/>
      </c>
    </row>
    <row r="13">
      <c r="B13" s="71" t="inlineStr">
        <is>
          <t>Misc.</t>
        </is>
      </c>
      <c r="C13" s="683">
        <f>SUMIF('Monthly Detail'!$4:$4, '2022 Overview'!C$11, 'Monthly Detail'!12:12)</f>
        <v/>
      </c>
      <c r="D13" s="683">
        <f>SUMIF('Monthly Detail'!$4:$4, '2022 Overview'!D$11, 'Monthly Detail'!12:12)</f>
        <v/>
      </c>
      <c r="E13" s="683">
        <f>SUMIF('Monthly Detail'!$4:$4, '2022 Overview'!E$11, 'Monthly Detail'!12:12)</f>
        <v/>
      </c>
      <c r="F13" s="683">
        <f>SUMIF('Monthly Detail'!$4:$4, '2022 Overview'!F$11, 'Monthly Detail'!12:12)</f>
        <v/>
      </c>
      <c r="G13" s="683">
        <f>SUMIF('Monthly Detail'!$4:$4, '2022 Overview'!G$11, 'Monthly Detail'!12:12)</f>
        <v/>
      </c>
      <c r="H13" s="683">
        <f>SUMIF('Monthly Detail'!$4:$4, '2022 Overview'!H$11, 'Monthly Detail'!12:12)</f>
        <v/>
      </c>
      <c r="I13" s="683">
        <f>SUMIF('Monthly Detail'!$4:$4, '2022 Overview'!I$11, 'Monthly Detail'!12:12)</f>
        <v/>
      </c>
      <c r="J13" s="683">
        <f>SUMIF('Monthly Detail'!$4:$4, '2022 Overview'!J$11, 'Monthly Detail'!12:12)</f>
        <v/>
      </c>
      <c r="K13" s="683">
        <f>SUMIF('Monthly Detail'!$4:$4, '2022 Overview'!K$11, 'Monthly Detail'!12:12)</f>
        <v/>
      </c>
      <c r="L13" s="683">
        <f>SUMIF('Monthly Detail'!$4:$4, '2022 Overview'!L$11, 'Monthly Detail'!12:12)</f>
        <v/>
      </c>
      <c r="M13" s="760">
        <f>SUMIF('Monthly Detail'!$4:$4, '2022 Overview'!M$11, 'Monthly Detail'!12:12)</f>
        <v/>
      </c>
      <c r="N13" s="759">
        <f>SUMIF('Monthly Detail'!$4:$4, '2022 Overview'!N$11, 'Monthly Detail'!12:12)</f>
        <v/>
      </c>
      <c r="O13" s="683" t="n"/>
      <c r="P13" s="683" t="n"/>
    </row>
    <row r="14">
      <c r="B14" s="685" t="inlineStr">
        <is>
          <t>Total Income</t>
        </is>
      </c>
      <c r="C14" s="685" t="n">
        <v>0.1</v>
      </c>
      <c r="D14" s="685" t="n">
        <v>0.1</v>
      </c>
      <c r="E14" s="685" t="n">
        <v>0.1</v>
      </c>
      <c r="F14" s="685" t="n">
        <v>0.1</v>
      </c>
      <c r="G14" s="685" t="n">
        <v>0.1</v>
      </c>
      <c r="H14" s="685" t="n">
        <v>0.1</v>
      </c>
      <c r="I14" s="685" t="n">
        <v>0.1</v>
      </c>
      <c r="J14" s="685">
        <f>SUM(J12:J13)</f>
        <v/>
      </c>
      <c r="K14" s="685">
        <f>SUM(K12:K13)</f>
        <v/>
      </c>
      <c r="L14" s="685">
        <f>SUM(L12:L13)</f>
        <v/>
      </c>
      <c r="M14" s="685">
        <f>SUM(M12:M13)</f>
        <v/>
      </c>
      <c r="N14" s="761">
        <f>SUM(N12:N13)</f>
        <v/>
      </c>
      <c r="O14" s="687" t="n"/>
      <c r="P14" s="685">
        <f>SUM(P12:P12)</f>
        <v/>
      </c>
    </row>
    <row r="15">
      <c r="B15" s="7" t="n"/>
      <c r="C15" s="664" t="n"/>
      <c r="D15" s="664" t="n"/>
      <c r="E15" s="664" t="n"/>
      <c r="F15" s="664" t="n"/>
      <c r="G15" s="664" t="n"/>
      <c r="H15" s="664" t="n"/>
      <c r="I15" s="664" t="n"/>
      <c r="J15" s="664" t="n"/>
      <c r="K15" s="664" t="n"/>
      <c r="L15" s="664" t="n"/>
      <c r="M15" s="664" t="n"/>
      <c r="N15" s="762" t="n"/>
      <c r="P15" s="664" t="n"/>
    </row>
    <row r="16" ht="15.75" customHeight="1" s="627">
      <c r="B16" s="689" t="inlineStr">
        <is>
          <t>Gross Margin</t>
        </is>
      </c>
      <c r="C16" s="660">
        <f>C14</f>
        <v/>
      </c>
      <c r="D16" s="660">
        <f>D14</f>
        <v/>
      </c>
      <c r="E16" s="660">
        <f>E14</f>
        <v/>
      </c>
      <c r="F16" s="660">
        <f>F14</f>
        <v/>
      </c>
      <c r="G16" s="660">
        <f>G14</f>
        <v/>
      </c>
      <c r="H16" s="660">
        <f>H14</f>
        <v/>
      </c>
      <c r="I16" s="660">
        <f>I14</f>
        <v/>
      </c>
      <c r="J16" s="660">
        <f>J14</f>
        <v/>
      </c>
      <c r="K16" s="660">
        <f>K14</f>
        <v/>
      </c>
      <c r="L16" s="660">
        <f>L14</f>
        <v/>
      </c>
      <c r="M16" s="660">
        <f>M14</f>
        <v/>
      </c>
      <c r="N16" s="763">
        <f>N14</f>
        <v/>
      </c>
      <c r="O16" s="691" t="n"/>
      <c r="P16" s="660">
        <f>P14</f>
        <v/>
      </c>
    </row>
    <row r="17">
      <c r="B17" s="88" t="inlineStr">
        <is>
          <t>GM %</t>
        </is>
      </c>
      <c r="C17" s="662">
        <f>C16/C14</f>
        <v/>
      </c>
      <c r="D17" s="662">
        <f>D16/D14</f>
        <v/>
      </c>
      <c r="E17" s="662">
        <f>E16/E14</f>
        <v/>
      </c>
      <c r="F17" s="662">
        <f>F16/F14</f>
        <v/>
      </c>
      <c r="G17" s="662">
        <f>G16/G14</f>
        <v/>
      </c>
      <c r="H17" s="662">
        <f>H16/H14</f>
        <v/>
      </c>
      <c r="I17" s="662">
        <f>I16/I14</f>
        <v/>
      </c>
      <c r="J17" s="662">
        <f>J16/J14</f>
        <v/>
      </c>
      <c r="K17" s="662">
        <f>K16/K14</f>
        <v/>
      </c>
      <c r="L17" s="662">
        <f>L16/L14</f>
        <v/>
      </c>
      <c r="M17" s="662">
        <f>M16/M14</f>
        <v/>
      </c>
      <c r="N17" s="764">
        <f>N16/N14</f>
        <v/>
      </c>
      <c r="O17" s="7" t="n"/>
      <c r="P17" s="662">
        <f>P16/P14</f>
        <v/>
      </c>
    </row>
    <row r="18">
      <c r="B18" s="7" t="n"/>
      <c r="N18" s="630" t="n"/>
    </row>
    <row r="19">
      <c r="B19" s="7" t="inlineStr">
        <is>
          <t>General &amp; Admintrative Expenses</t>
        </is>
      </c>
      <c r="C19" s="683">
        <f>SUMIF('Monthly Detail'!$4:$4, '2023 Overview'!C$11, 'Monthly Detail'!$89:$89)</f>
        <v/>
      </c>
      <c r="D19" s="683">
        <f>SUMIF('Monthly Detail'!$4:$4, '2023 Overview'!D$11, 'Monthly Detail'!$89:$89)</f>
        <v/>
      </c>
      <c r="E19" s="683">
        <f>SUMIF('Monthly Detail'!$4:$4, '2023 Overview'!E$11, 'Monthly Detail'!$89:$89)</f>
        <v/>
      </c>
      <c r="F19" s="683">
        <f>SUMIF('Monthly Detail'!$4:$4, '2023 Overview'!F$11, 'Monthly Detail'!$89:$89)</f>
        <v/>
      </c>
      <c r="G19" s="683">
        <f>SUMIF('Monthly Detail'!$4:$4, '2023 Overview'!G$11, 'Monthly Detail'!$89:$89)</f>
        <v/>
      </c>
      <c r="H19" s="683">
        <f>SUMIF('Monthly Detail'!$4:$4, '2023 Overview'!H$11, 'Monthly Detail'!$89:$89)</f>
        <v/>
      </c>
      <c r="I19" s="683">
        <f>SUMIF('Monthly Detail'!$4:$4, '2023 Overview'!I$11, 'Monthly Detail'!$89:$89)</f>
        <v/>
      </c>
      <c r="J19" s="683">
        <f>SUMIF('Monthly Detail'!$4:$4, '2023 Overview'!J$11, 'Monthly Detail'!$89:$89)</f>
        <v/>
      </c>
      <c r="K19" s="683">
        <f>SUMIF('Monthly Detail'!$4:$4, '2023 Overview'!K$11, 'Monthly Detail'!$89:$89)</f>
        <v/>
      </c>
      <c r="L19" s="683">
        <f>SUMIF('Monthly Detail'!$4:$4, '2023 Overview'!L$11, 'Monthly Detail'!$89:$89)</f>
        <v/>
      </c>
      <c r="M19" s="683">
        <f>SUMIF('Monthly Detail'!$4:$4, '2023 Overview'!M$11, 'Monthly Detail'!$89:$89)</f>
        <v/>
      </c>
      <c r="N19" s="759">
        <f>SUMIF('Monthly Detail'!$4:$4, '2023 Overview'!N$11, 'Monthly Detail'!$89:$89)</f>
        <v/>
      </c>
      <c r="P19" s="683">
        <f>SUM(C19:O19)</f>
        <v/>
      </c>
      <c r="T19" s="1" t="n"/>
    </row>
    <row r="20">
      <c r="B20" s="7" t="inlineStr">
        <is>
          <t>Owner Guarenteed Payments</t>
        </is>
      </c>
      <c r="C20" s="683">
        <f>SUMIF('Monthly Detail'!$4:$4, '2022 Overview'!C$11, 'Monthly Detail'!47:47)</f>
        <v/>
      </c>
      <c r="D20" s="683">
        <f>SUMIF('Monthly Detail'!$4:$4, '2022 Overview'!D$11, 'Monthly Detail'!47:47)</f>
        <v/>
      </c>
      <c r="E20" s="683">
        <f>SUMIF('Monthly Detail'!$4:$4, '2022 Overview'!E$11, 'Monthly Detail'!47:47)</f>
        <v/>
      </c>
      <c r="F20" s="683">
        <f>SUMIF('Monthly Detail'!$4:$4, '2022 Overview'!F$11, 'Monthly Detail'!47:47)</f>
        <v/>
      </c>
      <c r="G20" s="683">
        <f>SUMIF('Monthly Detail'!$4:$4, '2022 Overview'!G$11, 'Monthly Detail'!47:47)</f>
        <v/>
      </c>
      <c r="H20" s="683">
        <f>SUMIF('Monthly Detail'!$4:$4, '2022 Overview'!H$11, 'Monthly Detail'!47:47)</f>
        <v/>
      </c>
      <c r="I20" s="683">
        <f>SUMIF('Monthly Detail'!$4:$4, '2022 Overview'!I$11, 'Monthly Detail'!47:47)</f>
        <v/>
      </c>
      <c r="J20" s="683">
        <f>SUMIF('Monthly Detail'!$4:$4, '2022 Overview'!J$11, 'Monthly Detail'!47:47)</f>
        <v/>
      </c>
      <c r="K20" s="683">
        <f>SUMIF('Monthly Detail'!$4:$4, '2022 Overview'!K$11, 'Monthly Detail'!47:47)</f>
        <v/>
      </c>
      <c r="L20" s="683">
        <f>SUMIF('Monthly Detail'!$4:$4, '2022 Overview'!L$11, 'Monthly Detail'!47:47)</f>
        <v/>
      </c>
      <c r="M20" s="683">
        <f>SUMIF('Monthly Detail'!$4:$4, '2022 Overview'!M$11, 'Monthly Detail'!47:47)</f>
        <v/>
      </c>
      <c r="N20" s="759">
        <f>SUMIF('Monthly Detail'!$4:$4, '2022 Overview'!N$11, 'Monthly Detail'!47:47)</f>
        <v/>
      </c>
      <c r="P20" s="683">
        <f>SUM(C20:O20)</f>
        <v/>
      </c>
      <c r="T20" s="1" t="n"/>
    </row>
    <row r="21">
      <c r="B21" s="77" t="inlineStr">
        <is>
          <t>Operating Expenses</t>
        </is>
      </c>
      <c r="C21" s="667">
        <f>SUM(C19:C20)</f>
        <v/>
      </c>
      <c r="D21" s="667">
        <f>SUM(D19:D20)</f>
        <v/>
      </c>
      <c r="E21" s="667">
        <f>SUM(E19:E20)</f>
        <v/>
      </c>
      <c r="F21" s="667">
        <f>SUM(F19:F20)</f>
        <v/>
      </c>
      <c r="G21" s="667">
        <f>SUM(G19:G20)</f>
        <v/>
      </c>
      <c r="H21" s="667">
        <f>SUM(H19:H20)</f>
        <v/>
      </c>
      <c r="I21" s="667">
        <f>SUM(I19:I20)</f>
        <v/>
      </c>
      <c r="J21" s="667">
        <f>SUM(J19:J20)</f>
        <v/>
      </c>
      <c r="K21" s="667">
        <f>SUM(K19:K20)</f>
        <v/>
      </c>
      <c r="L21" s="667">
        <f>SUM(L19:L20)</f>
        <v/>
      </c>
      <c r="M21" s="667">
        <f>SUM(M19:M20)</f>
        <v/>
      </c>
      <c r="N21" s="765">
        <f>SUM(N19:N20)</f>
        <v/>
      </c>
      <c r="O21" s="694" t="n"/>
      <c r="P21" s="667">
        <f>SUM(P19:P20)</f>
        <v/>
      </c>
    </row>
    <row r="22" ht="3" customHeight="1" s="627">
      <c r="B22" s="7" t="n"/>
      <c r="N22" s="630" t="n"/>
    </row>
    <row r="23" ht="15.75" customHeight="1" s="627">
      <c r="B23" s="689" t="inlineStr">
        <is>
          <t>Net Operating Income (EBITDA)</t>
        </is>
      </c>
      <c r="C23" s="660">
        <f>C16-C21</f>
        <v/>
      </c>
      <c r="D23" s="660">
        <f>D16-D21</f>
        <v/>
      </c>
      <c r="E23" s="660">
        <f>E16-E21</f>
        <v/>
      </c>
      <c r="F23" s="660">
        <f>F16-F21</f>
        <v/>
      </c>
      <c r="G23" s="660">
        <f>G16-G21</f>
        <v/>
      </c>
      <c r="H23" s="660">
        <f>H16-H21</f>
        <v/>
      </c>
      <c r="I23" s="660">
        <f>I16-I21</f>
        <v/>
      </c>
      <c r="J23" s="660">
        <f>J16-J21</f>
        <v/>
      </c>
      <c r="K23" s="660">
        <f>K16-K21</f>
        <v/>
      </c>
      <c r="L23" s="660">
        <f>L16-L21</f>
        <v/>
      </c>
      <c r="M23" s="660">
        <f>M16-M21</f>
        <v/>
      </c>
      <c r="N23" s="763">
        <f>N16-N21</f>
        <v/>
      </c>
      <c r="O23" s="691" t="n"/>
      <c r="P23" s="660">
        <f>P16-P21</f>
        <v/>
      </c>
    </row>
    <row r="24">
      <c r="B24" s="88" t="inlineStr">
        <is>
          <t>EBITDA %</t>
        </is>
      </c>
      <c r="C24" s="662">
        <f>C23/C14</f>
        <v/>
      </c>
      <c r="D24" s="662">
        <f>D23/D14</f>
        <v/>
      </c>
      <c r="E24" s="662">
        <f>E23/E14</f>
        <v/>
      </c>
      <c r="F24" s="662">
        <f>F23/F14</f>
        <v/>
      </c>
      <c r="G24" s="662">
        <f>G23/G14</f>
        <v/>
      </c>
      <c r="H24" s="662">
        <f>H23/H14</f>
        <v/>
      </c>
      <c r="I24" s="662">
        <f>I23/I14</f>
        <v/>
      </c>
      <c r="J24" s="662">
        <f>J23/J14</f>
        <v/>
      </c>
      <c r="K24" s="662">
        <f>K23/K14</f>
        <v/>
      </c>
      <c r="L24" s="662">
        <f>L23/L14</f>
        <v/>
      </c>
      <c r="M24" s="662">
        <f>M23/M14</f>
        <v/>
      </c>
      <c r="N24" s="764">
        <f>N23/N14</f>
        <v/>
      </c>
      <c r="O24" s="7" t="n"/>
      <c r="P24" s="662">
        <f>P23/P14</f>
        <v/>
      </c>
    </row>
    <row r="25" ht="8.25" customHeight="1" s="627">
      <c r="B25" s="80" t="n"/>
      <c r="C25" s="669" t="n"/>
      <c r="D25" s="669" t="n"/>
      <c r="E25" s="669" t="n"/>
      <c r="F25" s="669" t="n"/>
      <c r="G25" s="669" t="n"/>
      <c r="H25" s="669" t="n"/>
      <c r="I25" s="669" t="n"/>
      <c r="J25" s="669" t="n"/>
      <c r="K25" s="669" t="n"/>
      <c r="L25" s="669" t="n"/>
      <c r="M25" s="669" t="n"/>
      <c r="N25" s="766" t="n"/>
      <c r="P25" s="669" t="n"/>
    </row>
    <row r="26">
      <c r="B26" s="7" t="inlineStr">
        <is>
          <t>Other Income / (Expense)</t>
        </is>
      </c>
      <c r="C26" s="683">
        <f>SUMIF('Monthly Detail'!$4:$4, '2022 Overview'!C$11, 'Monthly Detail'!77:77)</f>
        <v/>
      </c>
      <c r="D26" s="683">
        <f>SUMIF('Monthly Detail'!$4:$4, '2022 Overview'!D$11, 'Monthly Detail'!77:77)</f>
        <v/>
      </c>
      <c r="E26" s="683">
        <f>SUMIF('Monthly Detail'!$4:$4, '2022 Overview'!E$11, 'Monthly Detail'!77:77)</f>
        <v/>
      </c>
      <c r="F26" s="683">
        <f>SUMIF('Monthly Detail'!$4:$4, '2022 Overview'!F$11, 'Monthly Detail'!77:77)</f>
        <v/>
      </c>
      <c r="G26" s="683">
        <f>SUMIF('Monthly Detail'!$4:$4, '2022 Overview'!G$11, 'Monthly Detail'!77:77)</f>
        <v/>
      </c>
      <c r="H26" s="683">
        <f>SUMIF('Monthly Detail'!$4:$4, '2022 Overview'!H$11, 'Monthly Detail'!77:77)</f>
        <v/>
      </c>
      <c r="I26" s="683">
        <f>SUMIF('Monthly Detail'!$4:$4, '2022 Overview'!I$11, 'Monthly Detail'!77:77)</f>
        <v/>
      </c>
      <c r="J26" s="683">
        <f>SUMIF('Monthly Detail'!$4:$4, '2022 Overview'!J$11, 'Monthly Detail'!77:77)</f>
        <v/>
      </c>
      <c r="K26" s="683">
        <f>SUMIF('Monthly Detail'!$4:$4, '2022 Overview'!K$11, 'Monthly Detail'!77:77)</f>
        <v/>
      </c>
      <c r="L26" s="126">
        <f>SUMIF('Monthly Detail'!$4:$4, '2022 Overview'!L$11, 'Monthly Detail'!77:77)</f>
        <v/>
      </c>
      <c r="M26" s="126">
        <f>SUMIF('Monthly Detail'!$4:$4, '2022 Overview'!M$11, 'Monthly Detail'!77:77)</f>
        <v/>
      </c>
      <c r="N26" s="155">
        <f>SUMIF('Monthly Detail'!$4:$4, '2022 Overview'!N$11, 'Monthly Detail'!77:77)</f>
        <v/>
      </c>
      <c r="O26" s="683" t="n"/>
      <c r="P26" s="126">
        <f>SUM(C26:O26)</f>
        <v/>
      </c>
    </row>
    <row r="27" ht="15.75" customHeight="1" s="627">
      <c r="B27" s="689" t="inlineStr">
        <is>
          <t>Net Income</t>
        </is>
      </c>
      <c r="C27" s="660">
        <f>C23+SUM(C26:C26)</f>
        <v/>
      </c>
      <c r="D27" s="660">
        <f>D23+SUM(D26:D26)</f>
        <v/>
      </c>
      <c r="E27" s="660">
        <f>E23+SUM(E26:E26)</f>
        <v/>
      </c>
      <c r="F27" s="660">
        <f>F23+SUM(F26:F26)</f>
        <v/>
      </c>
      <c r="G27" s="660">
        <f>G23+SUM(G26:G26)</f>
        <v/>
      </c>
      <c r="H27" s="660">
        <f>H23+SUM(H26:H26)</f>
        <v/>
      </c>
      <c r="I27" s="660">
        <f>I23+SUM(I26:I26)</f>
        <v/>
      </c>
      <c r="J27" s="660">
        <f>J23+SUM(J26:J26)</f>
        <v/>
      </c>
      <c r="K27" s="660">
        <f>K23+SUM(K26:K26)</f>
        <v/>
      </c>
      <c r="L27" s="660">
        <f>L23+SUM(L26:L26)</f>
        <v/>
      </c>
      <c r="M27" s="660">
        <f>M23+SUM(M26:M26)</f>
        <v/>
      </c>
      <c r="N27" s="763">
        <f>N23+SUM(N26:N26)</f>
        <v/>
      </c>
      <c r="O27" s="691" t="n"/>
      <c r="P27" s="660">
        <f>P23+SUM(P26:P26)</f>
        <v/>
      </c>
    </row>
    <row r="28">
      <c r="B28" s="88" t="inlineStr">
        <is>
          <t>NI %</t>
        </is>
      </c>
      <c r="C28" s="662">
        <f>C27/C14</f>
        <v/>
      </c>
      <c r="D28" s="662">
        <f>D27/D14</f>
        <v/>
      </c>
      <c r="E28" s="662">
        <f>E27/E14</f>
        <v/>
      </c>
      <c r="F28" s="662">
        <f>F27/F14</f>
        <v/>
      </c>
      <c r="G28" s="662">
        <f>G27/G14</f>
        <v/>
      </c>
      <c r="H28" s="662">
        <f>H27/H14</f>
        <v/>
      </c>
      <c r="I28" s="662">
        <f>I27/I14</f>
        <v/>
      </c>
      <c r="J28" s="662">
        <f>J27/J14</f>
        <v/>
      </c>
      <c r="K28" s="662">
        <f>K27/K14</f>
        <v/>
      </c>
      <c r="L28" s="662">
        <f>L27/L14</f>
        <v/>
      </c>
      <c r="M28" s="662">
        <f>M27/M14</f>
        <v/>
      </c>
      <c r="N28" s="764">
        <f>N27/N14</f>
        <v/>
      </c>
      <c r="O28" s="7" t="n"/>
      <c r="P28" s="662">
        <f>P27/P14</f>
        <v/>
      </c>
    </row>
    <row r="29" ht="15.75" customHeight="1" s="627" thickBot="1">
      <c r="B29" s="7" t="n"/>
      <c r="M29" s="107" t="n"/>
      <c r="N29" s="630" t="n"/>
    </row>
    <row r="30">
      <c r="B30" s="82" t="inlineStr">
        <is>
          <t>Operating Cash</t>
        </is>
      </c>
      <c r="C30" s="696">
        <f>SUMIF('Monthly Detail'!$4:$4, '2022 Overview'!C$11, 'Monthly Detail'!173:173)</f>
        <v/>
      </c>
      <c r="D30" s="696">
        <f>SUMIF('Monthly Detail'!$4:$4, '2022 Overview'!D$11, 'Monthly Detail'!173:173)</f>
        <v/>
      </c>
      <c r="E30" s="696">
        <f>SUMIF('Monthly Detail'!$4:$4, '2022 Overview'!E$11, 'Monthly Detail'!173:173)</f>
        <v/>
      </c>
      <c r="F30" s="696">
        <f>SUMIF('Monthly Detail'!$4:$4, '2022 Overview'!F$11, 'Monthly Detail'!173:173)</f>
        <v/>
      </c>
      <c r="G30" s="696">
        <f>SUMIF('Monthly Detail'!$4:$4, '2022 Overview'!G$11, 'Monthly Detail'!173:173)</f>
        <v/>
      </c>
      <c r="H30" s="696">
        <f>SUMIF('Monthly Detail'!$4:$4, '2022 Overview'!H$11, 'Monthly Detail'!173:173)</f>
        <v/>
      </c>
      <c r="I30" s="696">
        <f>SUMIF('Monthly Detail'!$4:$4, '2022 Overview'!I$11, 'Monthly Detail'!173:173)</f>
        <v/>
      </c>
      <c r="J30" s="696">
        <f>SUMIF('Monthly Detail'!$4:$4, '2022 Overview'!J$11, 'Monthly Detail'!173:173)</f>
        <v/>
      </c>
      <c r="K30" s="696">
        <f>SUMIF('Monthly Detail'!$4:$4, '2022 Overview'!K$11, 'Monthly Detail'!173:173)</f>
        <v/>
      </c>
      <c r="L30" s="696">
        <f>SUMIF('Monthly Detail'!$4:$4, '2022 Overview'!L$11, 'Monthly Detail'!173:173)</f>
        <v/>
      </c>
      <c r="M30" s="696">
        <f>SUMIF('Monthly Detail'!$4:$4, '2022 Overview'!M$11, 'Monthly Detail'!173:173)</f>
        <v/>
      </c>
      <c r="N30" s="767">
        <f>SUMIF('Monthly Detail'!$4:$4, '2022 Overview'!N$11, 'Monthly Detail'!173:173)</f>
        <v/>
      </c>
    </row>
    <row r="31" ht="15.75" customHeight="1" s="627" thickBot="1">
      <c r="B31" s="84" t="inlineStr">
        <is>
          <t>Cash Inflow (Outflow)</t>
        </is>
      </c>
      <c r="C31" s="699">
        <f>SUMIF('Monthly Detail'!$4:$4, '2022 Overview'!C$11, 'Monthly Detail'!158:158)</f>
        <v/>
      </c>
      <c r="D31" s="699">
        <f>D30-C30</f>
        <v/>
      </c>
      <c r="E31" s="699">
        <f>E30-D30</f>
        <v/>
      </c>
      <c r="F31" s="699">
        <f>F30-E30</f>
        <v/>
      </c>
      <c r="G31" s="699">
        <f>G30-F30</f>
        <v/>
      </c>
      <c r="H31" s="699">
        <f>H30-G30</f>
        <v/>
      </c>
      <c r="I31" s="699">
        <f>I30-H30</f>
        <v/>
      </c>
      <c r="J31" s="699">
        <f>J30-I30</f>
        <v/>
      </c>
      <c r="K31" s="699">
        <f>K30-J30</f>
        <v/>
      </c>
      <c r="L31" s="699">
        <f>L30-K30</f>
        <v/>
      </c>
      <c r="M31" s="699">
        <f>M30-L30</f>
        <v/>
      </c>
      <c r="N31" s="768">
        <f>N30-M30</f>
        <v/>
      </c>
    </row>
  </sheetData>
  <pageMargins left="0.7" right="0.7" top="0.75" bottom="0.75" header="0.3" footer="0.3"/>
  <pageSetup orientation="landscape" fitToHeight="0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theme="1"/>
    <outlinePr summaryBelow="1" summaryRight="1"/>
    <pageSetUpPr fitToPage="1"/>
  </sheetPr>
  <dimension ref="B4:V59"/>
  <sheetViews>
    <sheetView showGridLines="0" topLeftCell="A9" zoomScale="70" zoomScaleNormal="70" workbookViewId="0">
      <selection activeCell="K65" sqref="K65"/>
    </sheetView>
  </sheetViews>
  <sheetFormatPr baseColWidth="8" defaultColWidth="8.7109375" defaultRowHeight="15"/>
  <cols>
    <col width="47.42578125" bestFit="1" customWidth="1" style="627" min="2" max="2"/>
    <col width="14.7109375" bestFit="1" customWidth="1" style="627" min="3" max="3"/>
    <col width="15.140625" bestFit="1" customWidth="1" style="627" min="4" max="4"/>
    <col outlineLevel="1" width="14.7109375" bestFit="1" customWidth="1" style="627" min="5" max="5"/>
    <col width="15.140625" bestFit="1" customWidth="1" style="627" min="6" max="6"/>
    <col outlineLevel="1" width="15" bestFit="1" customWidth="1" style="627" min="7" max="7"/>
    <col width="15.140625" bestFit="1" customWidth="1" style="627" min="8" max="8"/>
    <col hidden="1" outlineLevel="1" width="14.7109375" customWidth="1" style="627" min="9" max="9"/>
    <col collapsed="1" width="0.28515625" customWidth="1" style="627" min="10" max="10"/>
    <col width="13.28515625" bestFit="1" customWidth="1" style="627" min="11" max="11"/>
  </cols>
  <sheetData>
    <row r="3" ht="15.75" customHeight="1" s="627" thickBot="1"/>
    <row r="4" ht="15.75" customHeight="1" s="627" thickTop="1">
      <c r="B4" s="482" t="n"/>
      <c r="C4" s="483" t="n"/>
      <c r="D4" s="483" t="n"/>
      <c r="E4" s="483" t="n"/>
      <c r="F4" s="483" t="n"/>
      <c r="G4" s="483" t="n"/>
      <c r="H4" s="483" t="n"/>
      <c r="I4" s="483" t="n"/>
      <c r="J4" s="483" t="n"/>
      <c r="K4" s="483" t="n"/>
      <c r="L4" s="483" t="n"/>
      <c r="M4" s="483" t="n"/>
      <c r="N4" s="483" t="n"/>
      <c r="O4" s="483" t="n"/>
      <c r="P4" s="483" t="n"/>
      <c r="Q4" s="483" t="n"/>
      <c r="R4" s="483" t="n"/>
      <c r="S4" s="483" t="n"/>
      <c r="T4" s="483" t="n"/>
      <c r="U4" s="483" t="n"/>
      <c r="V4" s="484" t="n"/>
    </row>
    <row r="5">
      <c r="B5" s="642" t="n"/>
      <c r="V5" s="486" t="n"/>
    </row>
    <row r="6">
      <c r="B6" s="642" t="n"/>
      <c r="V6" s="486" t="n"/>
    </row>
    <row r="7" ht="103.15" customHeight="1" s="627">
      <c r="B7" s="642" t="n"/>
      <c r="V7" s="486" t="n"/>
    </row>
    <row r="8">
      <c r="B8" s="642" t="n"/>
      <c r="V8" s="486" t="n"/>
    </row>
    <row r="9">
      <c r="B9" s="642" t="n"/>
      <c r="C9" s="90" t="n">
        <v>45382</v>
      </c>
      <c r="D9" s="90" t="n">
        <v>45473</v>
      </c>
      <c r="E9" s="487" t="n"/>
      <c r="F9" s="90" t="n">
        <v>45565</v>
      </c>
      <c r="G9" s="487" t="n"/>
      <c r="H9" s="90" t="n">
        <v>45657</v>
      </c>
      <c r="I9" s="487" t="n"/>
      <c r="V9" s="486" t="n"/>
    </row>
    <row r="10" ht="15.75" customHeight="1" s="627">
      <c r="B10" s="488" t="n"/>
      <c r="C10" s="769" t="inlineStr">
        <is>
          <t>Q1 2025</t>
        </is>
      </c>
      <c r="D10" s="769" t="inlineStr">
        <is>
          <t>Q2 2025</t>
        </is>
      </c>
      <c r="E10" s="770" t="inlineStr">
        <is>
          <t>Variance</t>
        </is>
      </c>
      <c r="F10" s="769" t="inlineStr">
        <is>
          <t>Q3 2025</t>
        </is>
      </c>
      <c r="G10" s="770" t="inlineStr">
        <is>
          <t>Variance</t>
        </is>
      </c>
      <c r="H10" s="771" t="inlineStr">
        <is>
          <t>Q4 2025</t>
        </is>
      </c>
      <c r="I10" s="772" t="inlineStr">
        <is>
          <t>Variance</t>
        </is>
      </c>
      <c r="J10" s="307" t="n"/>
      <c r="K10" s="773" t="inlineStr">
        <is>
          <t>Total</t>
        </is>
      </c>
      <c r="V10" s="486" t="n"/>
    </row>
    <row r="11" ht="3.4" customHeight="1" s="627">
      <c r="B11" s="489" t="n"/>
      <c r="C11" s="90">
        <f>+C10</f>
        <v/>
      </c>
      <c r="D11" s="90">
        <f>+D10</f>
        <v/>
      </c>
      <c r="E11" s="308" t="n"/>
      <c r="F11" s="90">
        <f>+F10</f>
        <v/>
      </c>
      <c r="G11" s="308" t="n"/>
      <c r="H11" s="383">
        <f>+H10</f>
        <v/>
      </c>
      <c r="I11" s="192" t="n"/>
      <c r="J11" s="90" t="n">
        <v>45322</v>
      </c>
      <c r="K11" s="392" t="n"/>
      <c r="V11" s="486" t="n"/>
    </row>
    <row r="12">
      <c r="B12" s="490" t="inlineStr">
        <is>
          <t>Nail Tech Services</t>
        </is>
      </c>
      <c r="C12" s="774">
        <f>SUMIF('Monthly Detail'!$3:$3, 'Quarterly Overview'!C$11, 'Monthly Detail'!13:13)</f>
        <v/>
      </c>
      <c r="D12" s="774">
        <f>SUMIF('Monthly Detail'!$3:$3, 'Quarterly Overview'!D$11, 'Monthly Detail'!13:13)</f>
        <v/>
      </c>
      <c r="E12" s="775">
        <f>+D12-C12</f>
        <v/>
      </c>
      <c r="F12" s="774">
        <f>SUMIF('Monthly Detail'!$3:$3, 'Quarterly Overview'!F$11, 'Monthly Detail'!13:13)</f>
        <v/>
      </c>
      <c r="G12" s="775">
        <f>+F12-D12</f>
        <v/>
      </c>
      <c r="H12" s="776">
        <f>SUMIF('Monthly Detail'!$3:$3, 'Quarterly Overview'!H$11, 'Monthly Detail'!13:13)</f>
        <v/>
      </c>
      <c r="I12" s="775">
        <f>+H12-F12</f>
        <v/>
      </c>
      <c r="J12" s="683" t="n"/>
      <c r="K12" s="777">
        <f>SUM(C12,D12,F12,H12)</f>
        <v/>
      </c>
      <c r="V12" s="486" t="n"/>
    </row>
    <row r="13">
      <c r="B13" s="778" t="inlineStr">
        <is>
          <t>Total Income</t>
        </is>
      </c>
      <c r="C13" s="685">
        <f>SUM(C12:C12)</f>
        <v/>
      </c>
      <c r="D13" s="685">
        <f>SUM(D12:D12)</f>
        <v/>
      </c>
      <c r="E13" s="779">
        <f>+D13-C13</f>
        <v/>
      </c>
      <c r="F13" s="685">
        <f>SUM(F12:F12)</f>
        <v/>
      </c>
      <c r="G13" s="779">
        <f>+F13-D13</f>
        <v/>
      </c>
      <c r="H13" s="710">
        <f>SUM(H12:H12)</f>
        <v/>
      </c>
      <c r="I13" s="779">
        <f>+H13-F13</f>
        <v/>
      </c>
      <c r="J13" s="687" t="n"/>
      <c r="K13" s="780">
        <f>SUM(K12:K12)</f>
        <v/>
      </c>
      <c r="V13" s="486" t="n"/>
    </row>
    <row r="14">
      <c r="B14" s="781" t="inlineStr">
        <is>
          <t># of Appointments</t>
        </is>
      </c>
      <c r="C14" s="782">
        <f>+SUMIFS('Monthly Detail'!15:15,'Monthly Detail'!$3:$3,'Quarterly Overview'!C$10)</f>
        <v/>
      </c>
      <c r="D14" s="782">
        <f>+SUMIFS('Monthly Detail'!15:15,'Monthly Detail'!$3:$3,'Quarterly Overview'!D$10)</f>
        <v/>
      </c>
      <c r="E14" s="783">
        <f>+D14-C14</f>
        <v/>
      </c>
      <c r="F14" s="782">
        <f>+SUMIFS('Monthly Detail'!15:15,'Monthly Detail'!$3:$3,'Quarterly Overview'!F$10)</f>
        <v/>
      </c>
      <c r="G14" s="783">
        <f>+F14-D14</f>
        <v/>
      </c>
      <c r="H14" s="784">
        <f>+SUMIFS('Monthly Detail'!15:15,'Monthly Detail'!$3:$3,'Quarterly Overview'!H$10)</f>
        <v/>
      </c>
      <c r="I14" s="783">
        <f>+H14-F14</f>
        <v/>
      </c>
      <c r="J14" s="687" t="n"/>
      <c r="K14" s="785">
        <f>+SUM(C14,D14,F14,H14)</f>
        <v/>
      </c>
      <c r="V14" s="486" t="n"/>
    </row>
    <row r="15">
      <c r="B15" s="781" t="inlineStr">
        <is>
          <t>MRR</t>
        </is>
      </c>
      <c r="C15" s="782">
        <f>+AVERAGEIFS('Monthly Detail'!41:41,'Monthly Detail'!$3:$3,'Quarterly Overview'!C$10)</f>
        <v/>
      </c>
      <c r="D15" s="782">
        <f>+AVERAGEIFS('Monthly Detail'!41:41,'Monthly Detail'!$3:$3,'Quarterly Overview'!D$10)</f>
        <v/>
      </c>
      <c r="E15" s="783">
        <f>+D15-C15</f>
        <v/>
      </c>
      <c r="F15" s="782">
        <f>+AVERAGEIFS('Monthly Detail'!41:41,'Monthly Detail'!$3:$3,'Quarterly Overview'!F$10)</f>
        <v/>
      </c>
      <c r="G15" s="783">
        <f>+F15-D15</f>
        <v/>
      </c>
      <c r="H15" s="784">
        <f>+AVERAGEIFS('Monthly Detail'!41:41,'Monthly Detail'!$3:$3,'Quarterly Overview'!H$10)</f>
        <v/>
      </c>
      <c r="I15" s="783">
        <f>+H15-F15</f>
        <v/>
      </c>
      <c r="J15" s="687" t="n"/>
      <c r="K15" s="786">
        <f>+AVERAGE(C15,D15,F15,H15)</f>
        <v/>
      </c>
      <c r="V15" s="486" t="n"/>
    </row>
    <row r="16">
      <c r="B16" s="787" t="inlineStr">
        <is>
          <t>Recurring Client Base</t>
        </is>
      </c>
      <c r="C16" s="788">
        <f>+AVERAGEIFS('Monthly Detail'!17:17,'Monthly Detail'!$3:$3,'Quarterly Overview'!C$10)</f>
        <v/>
      </c>
      <c r="D16" s="788">
        <f>+AVERAGEIFS('Monthly Detail'!17:17,'Monthly Detail'!$3:$3,'Quarterly Overview'!D$10)</f>
        <v/>
      </c>
      <c r="E16" s="789">
        <f>+D16-C16</f>
        <v/>
      </c>
      <c r="F16" s="788">
        <f>+AVERAGEIFS('Monthly Detail'!17:17,'Monthly Detail'!$3:$3,'Quarterly Overview'!F$10)</f>
        <v/>
      </c>
      <c r="G16" s="789">
        <f>+F16-D16</f>
        <v/>
      </c>
      <c r="H16" s="790">
        <f>+AVERAGEIFS('Monthly Detail'!17:17,'Monthly Detail'!$3:$3,'Quarterly Overview'!H$10)</f>
        <v/>
      </c>
      <c r="I16" s="789">
        <f>+H16-F16</f>
        <v/>
      </c>
      <c r="J16" s="687" t="n"/>
      <c r="K16" s="785">
        <f>+AVERAGE(C16,D16,F16,H16)</f>
        <v/>
      </c>
      <c r="V16" s="486" t="n"/>
    </row>
    <row r="17" ht="4.9" customHeight="1" s="627">
      <c r="B17" s="489" t="n"/>
      <c r="C17" s="791" t="n"/>
      <c r="D17" s="791" t="n"/>
      <c r="E17" s="792" t="n"/>
      <c r="F17" s="791" t="n"/>
      <c r="G17" s="792" t="n"/>
      <c r="H17" s="793" t="n"/>
      <c r="I17" s="792" t="n"/>
      <c r="K17" s="794" t="n"/>
      <c r="V17" s="486" t="n"/>
    </row>
    <row r="18" ht="16.9" customHeight="1" s="627">
      <c r="B18" s="489" t="inlineStr">
        <is>
          <t xml:space="preserve">   Software - COS</t>
        </is>
      </c>
      <c r="C18" s="774">
        <f>SUMIF('Monthly Detail'!$3:$3, 'Quarterly Overview'!C$11, 'Monthly Detail'!58:58)</f>
        <v/>
      </c>
      <c r="D18" s="774">
        <f>SUMIF('Monthly Detail'!$3:$3, 'Quarterly Overview'!D$11, 'Monthly Detail'!58:58)</f>
        <v/>
      </c>
      <c r="E18" s="783">
        <f>+D18-C18</f>
        <v/>
      </c>
      <c r="F18" s="774">
        <f>SUMIF('Monthly Detail'!$3:$3, 'Quarterly Overview'!F$11, 'Monthly Detail'!58:58)</f>
        <v/>
      </c>
      <c r="G18" s="783">
        <f>+F18-D18</f>
        <v/>
      </c>
      <c r="H18" s="776">
        <f>SUMIF('Monthly Detail'!$3:$3, 'Quarterly Overview'!H$11, 'Monthly Detail'!58:58)</f>
        <v/>
      </c>
      <c r="I18" s="783">
        <f>+H18-F18</f>
        <v/>
      </c>
      <c r="K18" s="777">
        <f>SUM(C18,D18,F18,H18)</f>
        <v/>
      </c>
      <c r="V18" s="486" t="n"/>
    </row>
    <row r="19" ht="16.9" customHeight="1" s="627">
      <c r="B19" s="489" t="inlineStr">
        <is>
          <t xml:space="preserve">   Materials - COGS</t>
        </is>
      </c>
      <c r="C19" s="774">
        <f>SUMIF('Monthly Detail'!$3:$3, 'Quarterly Overview'!C$11, 'Monthly Detail'!59:59)</f>
        <v/>
      </c>
      <c r="D19" s="774">
        <f>SUMIF('Monthly Detail'!$3:$3, 'Quarterly Overview'!D$11, 'Monthly Detail'!59:59)</f>
        <v/>
      </c>
      <c r="E19" s="783">
        <f>+D19-C19</f>
        <v/>
      </c>
      <c r="F19" s="774">
        <f>SUMIF('Monthly Detail'!$3:$3, 'Quarterly Overview'!F$11, 'Monthly Detail'!59:59)</f>
        <v/>
      </c>
      <c r="G19" s="783">
        <f>+F19-D19</f>
        <v/>
      </c>
      <c r="H19" s="776">
        <f>SUMIF('Monthly Detail'!$3:$3, 'Quarterly Overview'!H$11, 'Monthly Detail'!59:59)</f>
        <v/>
      </c>
      <c r="I19" s="783">
        <f>+H19-F19</f>
        <v/>
      </c>
      <c r="K19" s="777">
        <f>SUM(C19,D19,F19,H19)</f>
        <v/>
      </c>
      <c r="V19" s="486" t="n"/>
    </row>
    <row r="20" ht="16.9" customHeight="1" s="627">
      <c r="B20" s="489" t="inlineStr">
        <is>
          <t xml:space="preserve">   Contractors - COGS</t>
        </is>
      </c>
      <c r="C20" s="774">
        <f>SUMIF('Monthly Detail'!$3:$3, 'Quarterly Overview'!C$11, 'Monthly Detail'!60:60)</f>
        <v/>
      </c>
      <c r="D20" s="774">
        <f>SUMIF('Monthly Detail'!$3:$3, 'Quarterly Overview'!D$11, 'Monthly Detail'!60:60)</f>
        <v/>
      </c>
      <c r="E20" s="783">
        <f>+D20-C20</f>
        <v/>
      </c>
      <c r="F20" s="774">
        <f>SUMIF('Monthly Detail'!$3:$3, 'Quarterly Overview'!F$11, 'Monthly Detail'!60:60)</f>
        <v/>
      </c>
      <c r="G20" s="783">
        <f>+F20-D20</f>
        <v/>
      </c>
      <c r="H20" s="776">
        <f>SUMIF('Monthly Detail'!$3:$3, 'Quarterly Overview'!H$11, 'Monthly Detail'!60:60)</f>
        <v/>
      </c>
      <c r="I20" s="783">
        <f>+H20-F20</f>
        <v/>
      </c>
      <c r="K20" s="777">
        <f>SUM(C20,D20,F20,H20)</f>
        <v/>
      </c>
      <c r="V20" s="486" t="n"/>
    </row>
    <row r="21" ht="15.75" customHeight="1" s="627">
      <c r="B21" s="795" t="inlineStr">
        <is>
          <t>Total Cost of Goods Sold (COGS)</t>
        </is>
      </c>
      <c r="C21" s="660">
        <f>SUM(C18:C20)</f>
        <v/>
      </c>
      <c r="D21" s="660">
        <f>SUM(D18:D20)</f>
        <v/>
      </c>
      <c r="E21" s="796">
        <f>SUM(E18:E19)</f>
        <v/>
      </c>
      <c r="F21" s="660">
        <f>SUM(F18:F20)</f>
        <v/>
      </c>
      <c r="G21" s="796">
        <f>+F21-D21</f>
        <v/>
      </c>
      <c r="H21" s="726">
        <f>SUM(H18:H20)</f>
        <v/>
      </c>
      <c r="I21" s="796">
        <f>+H21-F21</f>
        <v/>
      </c>
      <c r="J21" s="691" t="n"/>
      <c r="K21" s="797">
        <f>SUM(K18:K20)</f>
        <v/>
      </c>
      <c r="V21" s="486" t="n"/>
    </row>
    <row r="22" ht="4.9" customHeight="1" s="627">
      <c r="B22" s="798" t="n"/>
      <c r="C22" s="791" t="n"/>
      <c r="D22" s="791" t="n"/>
      <c r="E22" s="799" t="n"/>
      <c r="F22" s="791" t="n"/>
      <c r="G22" s="799" t="n"/>
      <c r="H22" s="793" t="n"/>
      <c r="I22" s="799" t="n"/>
      <c r="K22" s="794" t="n"/>
      <c r="V22" s="486" t="n"/>
    </row>
    <row r="23" ht="15.75" customHeight="1" s="627">
      <c r="B23" s="795" t="inlineStr">
        <is>
          <t>Gross Margin</t>
        </is>
      </c>
      <c r="C23" s="660">
        <f>C13-C21</f>
        <v/>
      </c>
      <c r="D23" s="660">
        <f>D13-D21</f>
        <v/>
      </c>
      <c r="E23" s="800">
        <f>+D23-C23</f>
        <v/>
      </c>
      <c r="F23" s="660">
        <f>F13-F21</f>
        <v/>
      </c>
      <c r="G23" s="800">
        <f>+F23-D23</f>
        <v/>
      </c>
      <c r="H23" s="660">
        <f>H13-H21</f>
        <v/>
      </c>
      <c r="I23" s="800">
        <f>+H23-F23</f>
        <v/>
      </c>
      <c r="J23" s="691" t="n"/>
      <c r="K23" s="801">
        <f>K13-K21</f>
        <v/>
      </c>
      <c r="V23" s="486" t="n"/>
    </row>
    <row r="24">
      <c r="B24" s="498" t="inlineStr">
        <is>
          <t>GM %</t>
        </is>
      </c>
      <c r="C24" s="802">
        <f>C23/C13</f>
        <v/>
      </c>
      <c r="D24" s="802">
        <f>D23/D13</f>
        <v/>
      </c>
      <c r="E24" s="803">
        <f>+D24-C24</f>
        <v/>
      </c>
      <c r="F24" s="802">
        <f>F23/F13</f>
        <v/>
      </c>
      <c r="G24" s="803">
        <f>+F24-D24</f>
        <v/>
      </c>
      <c r="H24" s="804">
        <f>H23/H13</f>
        <v/>
      </c>
      <c r="I24" s="803">
        <f>+H24-F24</f>
        <v/>
      </c>
      <c r="J24" s="7" t="n"/>
      <c r="K24" s="805">
        <f>K23/K13</f>
        <v/>
      </c>
      <c r="V24" s="486" t="n"/>
    </row>
    <row r="25" ht="5.65" customHeight="1" s="627">
      <c r="B25" s="489" t="n"/>
      <c r="C25" s="500" t="n"/>
      <c r="D25" s="500" t="n"/>
      <c r="E25" s="319" t="n"/>
      <c r="F25" s="500" t="n"/>
      <c r="G25" s="319" t="n"/>
      <c r="H25" s="388" t="n"/>
      <c r="I25" s="319" t="n"/>
      <c r="K25" s="392" t="n"/>
      <c r="V25" s="486" t="n"/>
    </row>
    <row r="26">
      <c r="B26" s="489" t="inlineStr">
        <is>
          <t>General &amp; Admintrative Expenses</t>
        </is>
      </c>
      <c r="C26" s="774">
        <f>SUMIF('Monthly Detail'!$3:$3, 'Quarterly Overview'!C$11, 'Monthly Detail'!$89:$89)</f>
        <v/>
      </c>
      <c r="D26" s="774">
        <f>SUMIF('Monthly Detail'!$3:$3, 'Quarterly Overview'!D$11, 'Monthly Detail'!$89:$89)</f>
        <v/>
      </c>
      <c r="E26" s="806">
        <f>+D26-C26</f>
        <v/>
      </c>
      <c r="F26" s="774">
        <f>SUMIF('Monthly Detail'!$3:$3, 'Quarterly Overview'!F$11, 'Monthly Detail'!$89:$89)</f>
        <v/>
      </c>
      <c r="G26" s="806">
        <f>+F26-D26</f>
        <v/>
      </c>
      <c r="H26" s="776">
        <f>SUMIF('Monthly Detail'!$3:$3, 'Quarterly Overview'!H$11, 'Monthly Detail'!$89:$89)</f>
        <v/>
      </c>
      <c r="I26" s="806">
        <f>+H26-F26</f>
        <v/>
      </c>
      <c r="K26" s="777">
        <f>SUM(C26,D26,F26,H26)</f>
        <v/>
      </c>
      <c r="O26" s="1" t="n"/>
      <c r="V26" s="486" t="n"/>
    </row>
    <row r="27">
      <c r="B27" s="501" t="inlineStr">
        <is>
          <t>Operating Expenses</t>
        </is>
      </c>
      <c r="C27" s="667">
        <f>SUM(C26:C26)</f>
        <v/>
      </c>
      <c r="D27" s="667">
        <f>SUM(D26:D26)</f>
        <v/>
      </c>
      <c r="E27" s="796">
        <f>SUM(E26:E26)</f>
        <v/>
      </c>
      <c r="F27" s="667">
        <f>SUM(F26:F26)</f>
        <v/>
      </c>
      <c r="G27" s="796">
        <f>+F27-D27</f>
        <v/>
      </c>
      <c r="H27" s="732">
        <f>SUM(H26:H26)</f>
        <v/>
      </c>
      <c r="I27" s="796">
        <f>+H27-F27</f>
        <v/>
      </c>
      <c r="J27" s="694" t="n"/>
      <c r="K27" s="807">
        <f>SUM(K26:K26)</f>
        <v/>
      </c>
      <c r="V27" s="486" t="n"/>
    </row>
    <row r="28" ht="1.9" customHeight="1" s="627">
      <c r="B28" s="489" t="n"/>
      <c r="C28" s="500" t="n"/>
      <c r="D28" s="500" t="n"/>
      <c r="E28" s="319" t="n"/>
      <c r="F28" s="500" t="n"/>
      <c r="G28" s="319" t="n"/>
      <c r="H28" s="388" t="n"/>
      <c r="I28" s="319" t="n"/>
      <c r="K28" s="392" t="n"/>
      <c r="V28" s="486" t="n"/>
    </row>
    <row r="29" ht="15.75" customHeight="1" s="627">
      <c r="B29" s="795" t="inlineStr">
        <is>
          <t>Net Operating Income (EBITDA)</t>
        </is>
      </c>
      <c r="C29" s="660">
        <f>C23-C27</f>
        <v/>
      </c>
      <c r="D29" s="660">
        <f>D23-D27</f>
        <v/>
      </c>
      <c r="E29" s="800">
        <f>+D29-C29</f>
        <v/>
      </c>
      <c r="F29" s="660">
        <f>F23-F27</f>
        <v/>
      </c>
      <c r="G29" s="800">
        <f>+F29-D29</f>
        <v/>
      </c>
      <c r="H29" s="726">
        <f>H23-H27</f>
        <v/>
      </c>
      <c r="I29" s="800">
        <f>+H29-F29</f>
        <v/>
      </c>
      <c r="J29" s="691" t="n"/>
      <c r="K29" s="801">
        <f>K23-K27</f>
        <v/>
      </c>
      <c r="V29" s="486" t="n"/>
    </row>
    <row r="30">
      <c r="B30" s="498" t="inlineStr">
        <is>
          <t>EBITDA %</t>
        </is>
      </c>
      <c r="C30" s="802">
        <f>C29/C13</f>
        <v/>
      </c>
      <c r="D30" s="802">
        <f>D29/D13</f>
        <v/>
      </c>
      <c r="E30" s="803">
        <f>+D30-C30</f>
        <v/>
      </c>
      <c r="F30" s="802">
        <f>F29/F13</f>
        <v/>
      </c>
      <c r="G30" s="803">
        <f>+F30-D30</f>
        <v/>
      </c>
      <c r="H30" s="804">
        <f>H29/H13</f>
        <v/>
      </c>
      <c r="I30" s="803">
        <f>+H30-F30</f>
        <v/>
      </c>
      <c r="J30" s="7" t="n"/>
      <c r="K30" s="805">
        <f>K29/K13</f>
        <v/>
      </c>
      <c r="V30" s="486" t="n"/>
    </row>
    <row r="31" ht="4.15" customHeight="1" s="627">
      <c r="B31" s="502" t="n"/>
      <c r="C31" s="808" t="n"/>
      <c r="D31" s="808" t="n"/>
      <c r="E31" s="809" t="n"/>
      <c r="F31" s="808" t="n"/>
      <c r="G31" s="809" t="n"/>
      <c r="H31" s="810" t="n"/>
      <c r="I31" s="809" t="n"/>
      <c r="K31" s="811" t="n"/>
      <c r="V31" s="486" t="n"/>
    </row>
    <row r="32">
      <c r="B32" s="489" t="inlineStr">
        <is>
          <t>Other Income / (Expense)</t>
        </is>
      </c>
      <c r="C32" s="163">
        <f>SUMIF('Monthly Detail'!$3:$3, 'Quarterly Overview'!C$11, 'Monthly Detail'!96:96)</f>
        <v/>
      </c>
      <c r="D32" s="163">
        <f>SUMIF('Monthly Detail'!$3:$3, 'Quarterly Overview'!D$11, 'Monthly Detail'!96:96)</f>
        <v/>
      </c>
      <c r="E32" s="324">
        <f>+D32-C32</f>
        <v/>
      </c>
      <c r="F32" s="163">
        <f>SUMIF('Monthly Detail'!$3:$3, 'Quarterly Overview'!F$11, 'Monthly Detail'!96:96)</f>
        <v/>
      </c>
      <c r="G32" s="324">
        <f>+F32-D32</f>
        <v/>
      </c>
      <c r="H32" s="390">
        <f>SUMIF('Monthly Detail'!$3:$3, 'Quarterly Overview'!H$11, 'Monthly Detail'!96:96)</f>
        <v/>
      </c>
      <c r="I32" s="324">
        <f>+H32-F32</f>
        <v/>
      </c>
      <c r="J32" s="126" t="n"/>
      <c r="K32" s="401">
        <f>SUM(C32,D32,F32,H32)</f>
        <v/>
      </c>
      <c r="V32" s="486" t="n"/>
    </row>
    <row r="33" ht="15.75" customHeight="1" s="627">
      <c r="B33" s="795" t="inlineStr">
        <is>
          <t>Net Income</t>
        </is>
      </c>
      <c r="C33" s="660">
        <f>C29+SUM(C32:C32)</f>
        <v/>
      </c>
      <c r="D33" s="660">
        <f>D29+SUM(D32:D32)</f>
        <v/>
      </c>
      <c r="E33" s="800">
        <f>+D33-C33</f>
        <v/>
      </c>
      <c r="F33" s="660">
        <f>F29+SUM(F32:F32)</f>
        <v/>
      </c>
      <c r="G33" s="800">
        <f>+F33-D33</f>
        <v/>
      </c>
      <c r="H33" s="726">
        <f>H29+SUM(H32:H32)</f>
        <v/>
      </c>
      <c r="I33" s="800">
        <f>+H33-F33</f>
        <v/>
      </c>
      <c r="J33" s="691" t="n"/>
      <c r="K33" s="801">
        <f>K29+SUM(K32:K32)</f>
        <v/>
      </c>
      <c r="L33" s="812" t="n"/>
      <c r="V33" s="486" t="n"/>
    </row>
    <row r="34">
      <c r="B34" s="498" t="inlineStr">
        <is>
          <t>NI %</t>
        </is>
      </c>
      <c r="C34" s="662">
        <f>C33/C13</f>
        <v/>
      </c>
      <c r="D34" s="662">
        <f>D33/D13</f>
        <v/>
      </c>
      <c r="E34" s="813">
        <f>+D34-C34</f>
        <v/>
      </c>
      <c r="F34" s="662">
        <f>F33/F13</f>
        <v/>
      </c>
      <c r="G34" s="813">
        <f>+F34-D34</f>
        <v/>
      </c>
      <c r="H34" s="729">
        <f>H33/H13</f>
        <v/>
      </c>
      <c r="I34" s="813">
        <f>+H34-F34</f>
        <v/>
      </c>
      <c r="J34" s="7" t="n"/>
      <c r="K34" s="805">
        <f>K33/K13</f>
        <v/>
      </c>
      <c r="L34" s="812" t="n"/>
      <c r="V34" s="486" t="n"/>
    </row>
    <row r="35" ht="2.25" customHeight="1" s="627" thickBot="1">
      <c r="B35" s="489" t="n"/>
      <c r="E35" s="326" t="n"/>
      <c r="G35" s="326" t="n"/>
      <c r="H35" s="243" t="n"/>
      <c r="I35" s="206" t="n"/>
      <c r="K35" s="392" t="n"/>
      <c r="V35" s="486" t="n"/>
    </row>
    <row r="36">
      <c r="B36" s="505" t="inlineStr">
        <is>
          <t>Operating Cash</t>
        </is>
      </c>
      <c r="C36" s="696">
        <f>SUMIF('Monthly Detail'!$4:$4, 'Quarterly Overview'!C$9, 'Monthly Detail'!173:173)</f>
        <v/>
      </c>
      <c r="D36" s="696">
        <f>SUMIF('Monthly Detail'!$4:$4, 'Quarterly Overview'!D$9, 'Monthly Detail'!173:173)</f>
        <v/>
      </c>
      <c r="E36" s="814" t="n"/>
      <c r="F36" s="697">
        <f>SUMIF('Monthly Detail'!$4:$4, 'Quarterly Overview'!F$9, 'Monthly Detail'!173:173)</f>
        <v/>
      </c>
      <c r="G36" s="814" t="n"/>
      <c r="H36" s="696">
        <f>SUMIF('Monthly Detail'!$4:$4, 'Quarterly Overview'!H$9, 'Monthly Detail'!173:173)</f>
        <v/>
      </c>
      <c r="I36" s="698" t="n"/>
      <c r="K36" s="392" t="n"/>
      <c r="V36" s="486" t="n"/>
    </row>
    <row r="37">
      <c r="B37" s="506" t="inlineStr">
        <is>
          <t>Cash Inflow (Outflow)</t>
        </is>
      </c>
      <c r="C37" s="815">
        <f>SUMIF('Monthly Detail'!$3:$3, 'Quarterly Overview'!C$10, 'Monthly Detail'!170:170)</f>
        <v/>
      </c>
      <c r="D37" s="815">
        <f>SUMIF('Monthly Detail'!$3:$3, 'Quarterly Overview'!D$10, 'Monthly Detail'!170:170)</f>
        <v/>
      </c>
      <c r="E37" s="816">
        <f>+D37-C37</f>
        <v/>
      </c>
      <c r="F37" s="817">
        <f>SUMIF('Monthly Detail'!$3:$3, 'Quarterly Overview'!F$10, 'Monthly Detail'!170:170)</f>
        <v/>
      </c>
      <c r="G37" s="816">
        <f>+F37-D37</f>
        <v/>
      </c>
      <c r="H37" s="815">
        <f>SUMIF('Monthly Detail'!$3:$3, 'Quarterly Overview'!H$10, 'Monthly Detail'!170:170)</f>
        <v/>
      </c>
      <c r="I37" s="818">
        <f>+H37-F37</f>
        <v/>
      </c>
      <c r="J37" s="331" t="n"/>
      <c r="K37" s="402" t="n"/>
      <c r="V37" s="486" t="n"/>
    </row>
    <row r="38">
      <c r="B38" s="642" t="n"/>
      <c r="V38" s="486" t="n"/>
    </row>
    <row r="39">
      <c r="B39" s="642" t="n"/>
      <c r="V39" s="486" t="n"/>
    </row>
    <row r="40">
      <c r="B40" s="642" t="n"/>
      <c r="V40" s="486" t="n"/>
    </row>
    <row r="41">
      <c r="B41" s="642" t="n"/>
      <c r="C41" t="inlineStr">
        <is>
          <t>Q1</t>
        </is>
      </c>
      <c r="D41" t="inlineStr">
        <is>
          <t>Q2</t>
        </is>
      </c>
      <c r="F41" t="inlineStr">
        <is>
          <t>Q3</t>
        </is>
      </c>
      <c r="H41" t="inlineStr">
        <is>
          <t>Q4</t>
        </is>
      </c>
      <c r="V41" s="486" t="n"/>
    </row>
    <row r="42">
      <c r="B42" s="642" t="inlineStr">
        <is>
          <t>2024 AOP Income</t>
        </is>
      </c>
      <c r="C42" s="819">
        <f>+SUM(#REF!)</f>
        <v/>
      </c>
      <c r="D42" s="819">
        <f>+SUM(#REF!)</f>
        <v/>
      </c>
      <c r="E42" s="819" t="n"/>
      <c r="F42" s="819">
        <f>+SUM(#REF!)</f>
        <v/>
      </c>
      <c r="G42" s="819" t="n"/>
      <c r="H42" s="819">
        <f>+SUM(#REF!)</f>
        <v/>
      </c>
      <c r="V42" s="486" t="n"/>
    </row>
    <row r="43">
      <c r="B43" s="642" t="inlineStr">
        <is>
          <t>2024 AOP Net Income</t>
        </is>
      </c>
      <c r="C43" s="819">
        <f>+SUM(#REF!)</f>
        <v/>
      </c>
      <c r="D43" s="819">
        <f>+SUM(#REF!)</f>
        <v/>
      </c>
      <c r="E43" s="819" t="n"/>
      <c r="F43" s="819">
        <f>+SUM(#REF!)</f>
        <v/>
      </c>
      <c r="G43" s="819" t="n"/>
      <c r="H43" s="819">
        <f>+SUM(#REF!)</f>
        <v/>
      </c>
      <c r="V43" s="486" t="n"/>
    </row>
    <row r="44">
      <c r="B44" s="642" t="inlineStr">
        <is>
          <t>2024 AOP Avg. Appointments</t>
        </is>
      </c>
      <c r="C44" s="646">
        <f>+AVERAGE(#REF!)</f>
        <v/>
      </c>
      <c r="D44" s="646">
        <f>+AVERAGE(#REF!)</f>
        <v/>
      </c>
      <c r="E44" s="646" t="n"/>
      <c r="F44" s="646">
        <f>+AVERAGE(#REF!)</f>
        <v/>
      </c>
      <c r="G44" s="646" t="n"/>
      <c r="H44" s="646">
        <f>+AVERAGE(#REF!)</f>
        <v/>
      </c>
      <c r="V44" s="486" t="n"/>
    </row>
    <row r="45">
      <c r="B45" s="642" t="inlineStr">
        <is>
          <t>2024 AOP Avg. MRR</t>
        </is>
      </c>
      <c r="C45" s="646">
        <f>+AVERAGE(#REF!)</f>
        <v/>
      </c>
      <c r="D45" s="646">
        <f>+AVERAGE(#REF!)</f>
        <v/>
      </c>
      <c r="E45" s="646" t="n"/>
      <c r="F45" s="646">
        <f>+AVERAGE(#REF!)</f>
        <v/>
      </c>
      <c r="G45" s="646" t="n"/>
      <c r="H45" s="646">
        <f>+AVERAGE(#REF!)</f>
        <v/>
      </c>
      <c r="V45" s="486" t="n"/>
    </row>
    <row r="46">
      <c r="B46" s="642" t="inlineStr">
        <is>
          <t>2024 AOP Avg. Client Base</t>
        </is>
      </c>
      <c r="C46" s="646">
        <f>+AVERAGE(#REF!)</f>
        <v/>
      </c>
      <c r="D46" s="646">
        <f>+AVERAGE(#REF!)</f>
        <v/>
      </c>
      <c r="E46" s="646" t="n"/>
      <c r="F46" s="646">
        <f>+AVERAGE(#REF!)</f>
        <v/>
      </c>
      <c r="G46" s="646" t="n"/>
      <c r="H46" s="646">
        <f>+AVERAGE(#REF!)</f>
        <v/>
      </c>
      <c r="V46" s="486" t="n"/>
    </row>
    <row r="47">
      <c r="B47" s="642" t="n"/>
      <c r="V47" s="486" t="n"/>
    </row>
    <row r="48">
      <c r="B48" s="642" t="n"/>
      <c r="V48" s="486" t="n"/>
    </row>
    <row r="49">
      <c r="B49" s="642" t="n"/>
      <c r="V49" s="486" t="n"/>
    </row>
    <row r="50">
      <c r="B50" s="642" t="n"/>
      <c r="V50" s="486" t="n"/>
    </row>
    <row r="51">
      <c r="B51" s="642" t="n"/>
      <c r="V51" s="486" t="n"/>
    </row>
    <row r="52">
      <c r="B52" s="642" t="n"/>
      <c r="V52" s="486" t="n"/>
    </row>
    <row r="53">
      <c r="B53" s="642" t="n"/>
      <c r="V53" s="486" t="n"/>
    </row>
    <row r="54">
      <c r="B54" s="642" t="n"/>
      <c r="V54" s="486" t="n"/>
    </row>
    <row r="55">
      <c r="B55" s="642" t="n"/>
      <c r="V55" s="486" t="n"/>
    </row>
    <row r="56">
      <c r="B56" s="642" t="n"/>
      <c r="V56" s="486" t="n"/>
    </row>
    <row r="57">
      <c r="B57" s="642" t="n"/>
      <c r="V57" s="486" t="n"/>
    </row>
    <row r="58">
      <c r="B58" s="642" t="n"/>
      <c r="V58" s="486" t="n"/>
    </row>
    <row r="59" ht="15.75" customHeight="1" s="627" thickBot="1">
      <c r="B59" s="507" t="n"/>
      <c r="C59" s="169" t="n"/>
      <c r="D59" s="169" t="n"/>
      <c r="E59" s="169" t="n"/>
      <c r="F59" s="169" t="n"/>
      <c r="G59" s="169" t="n"/>
      <c r="H59" s="169" t="n"/>
      <c r="I59" s="169" t="n"/>
      <c r="J59" s="169" t="n"/>
      <c r="K59" s="169" t="n"/>
      <c r="L59" s="169" t="n"/>
      <c r="M59" s="169" t="n"/>
      <c r="N59" s="169" t="n"/>
      <c r="O59" s="169" t="n"/>
      <c r="P59" s="169" t="n"/>
      <c r="Q59" s="169" t="n"/>
      <c r="R59" s="169" t="n"/>
      <c r="S59" s="169" t="n"/>
      <c r="T59" s="169" t="n"/>
      <c r="U59" s="169" t="n"/>
      <c r="V59" s="508" t="n"/>
    </row>
    <row r="60" ht="15.75" customHeight="1" s="627" thickTop="1"/>
  </sheetData>
  <pageMargins left="0.25" right="0.25" top="0.75" bottom="0.75" header="0.3" footer="0.3"/>
  <pageSetup orientation="landscape" scale="53" horizontalDpi="1200" verticalDpi="120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Normal="100" workbookViewId="0">
      <selection activeCell="B3" sqref="B3"/>
    </sheetView>
  </sheetViews>
  <sheetFormatPr baseColWidth="8" defaultColWidth="8.7109375" defaultRowHeight="1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theme="0" tint="-0.499984740745262"/>
    <outlinePr summaryBelow="1" summaryRight="1"/>
    <pageSetUpPr fitToPage="1"/>
  </sheetPr>
  <dimension ref="A1:DJ175"/>
  <sheetViews>
    <sheetView zoomScaleNormal="150" workbookViewId="0">
      <pane xSplit="3" ySplit="4" topLeftCell="AL9" activePane="bottomRight" state="frozen"/>
      <selection activeCell="B1" sqref="B1"/>
      <selection pane="topRight" activeCell="D1" sqref="D1"/>
      <selection pane="bottomLeft" activeCell="B5" sqref="B5"/>
      <selection pane="bottomRight" activeCell="AX4" sqref="AX4"/>
    </sheetView>
  </sheetViews>
  <sheetFormatPr baseColWidth="8" defaultColWidth="8.7109375" defaultRowHeight="15"/>
  <cols>
    <col hidden="1" outlineLevel="1" width="9.140625" customWidth="1" style="627" min="1" max="1"/>
    <col collapsed="1" width="39.28515625" bestFit="1" customWidth="1" style="627" min="2" max="2"/>
    <col width="31.28515625" bestFit="1" customWidth="1" style="627" min="3" max="3"/>
    <col hidden="1" outlineLevel="1" width="10.42578125" customWidth="1" style="627" min="4" max="9"/>
    <col hidden="1" outlineLevel="1" collapsed="1" width="10.42578125" customWidth="1" style="627" min="10" max="10"/>
    <col hidden="1" outlineLevel="1" width="10.42578125" customWidth="1" style="627" min="11" max="11"/>
    <col hidden="1" outlineLevel="1" width="12.7109375" customWidth="1" style="627" min="12" max="15"/>
    <col hidden="1" outlineLevel="1" collapsed="1" width="12.7109375" customWidth="1" style="627" min="16" max="16"/>
    <col hidden="1" outlineLevel="1" width="12.7109375" customWidth="1" style="627" min="17" max="20"/>
    <col hidden="1" outlineLevel="1" width="13.28515625" customWidth="1" style="627" min="21" max="27"/>
    <col hidden="1" outlineLevel="1" collapsed="1" width="13.7109375" customWidth="1" style="627" min="28" max="28"/>
    <col hidden="1" outlineLevel="1" width="13.28515625" customWidth="1" style="627" min="29" max="29"/>
    <col hidden="1" outlineLevel="1" width="13.7109375" customWidth="1" style="627" min="30" max="32"/>
    <col hidden="1" outlineLevel="1" width="14.140625" customWidth="1" style="627" min="33" max="33"/>
    <col hidden="1" outlineLevel="1" collapsed="1" width="15.140625" customWidth="1" style="627" min="34" max="34"/>
    <col hidden="1" outlineLevel="1" width="14.140625" customWidth="1" style="627" min="35" max="39"/>
    <col hidden="1" outlineLevel="1" width="14.42578125" customWidth="1" style="627" min="40" max="42"/>
    <col collapsed="1" width="14.28515625" bestFit="1" customWidth="1" style="627" min="43" max="43"/>
    <col width="14.28515625" bestFit="1" customWidth="1" style="627" min="44" max="47"/>
    <col width="14.42578125" bestFit="1" customWidth="1" style="627" min="48" max="49"/>
    <col width="14.28515625" bestFit="1" customWidth="1" style="627" min="50" max="50"/>
    <col width="13.28515625" bestFit="1" customWidth="1" style="627" min="51" max="51"/>
    <col width="13.42578125" bestFit="1" customWidth="1" style="627" min="52" max="111"/>
    <col width="5.140625" bestFit="1" customWidth="1" style="627" min="112" max="113"/>
    <col width="8.42578125" bestFit="1" customWidth="1" style="627" min="114" max="114"/>
  </cols>
  <sheetData>
    <row r="1" ht="15.75" customHeight="1" s="627" thickBot="1">
      <c r="A1" s="28" t="n"/>
      <c r="B1" s="28" t="n"/>
      <c r="C1" s="28" t="n"/>
      <c r="D1" s="29">
        <f>YEAR(D4)</f>
        <v/>
      </c>
      <c r="E1" s="29">
        <f>YEAR(E4)</f>
        <v/>
      </c>
      <c r="F1" s="29">
        <f>YEAR(F4)</f>
        <v/>
      </c>
      <c r="G1" s="29">
        <f>YEAR(G4)</f>
        <v/>
      </c>
      <c r="H1" s="29">
        <f>YEAR(H4)</f>
        <v/>
      </c>
      <c r="I1" s="29">
        <f>YEAR(I4)</f>
        <v/>
      </c>
      <c r="J1" s="29">
        <f>YEAR(J4)</f>
        <v/>
      </c>
      <c r="K1" s="29">
        <f>YEAR(K4)</f>
        <v/>
      </c>
      <c r="L1" s="29">
        <f>YEAR(L4)</f>
        <v/>
      </c>
      <c r="M1" s="29">
        <f>YEAR(M4)</f>
        <v/>
      </c>
      <c r="N1" s="29">
        <f>YEAR(N4)</f>
        <v/>
      </c>
      <c r="O1" s="29">
        <f>YEAR(O4)</f>
        <v/>
      </c>
      <c r="P1" s="29">
        <f>YEAR(P4)</f>
        <v/>
      </c>
      <c r="Q1" s="29">
        <f>YEAR(Q4)</f>
        <v/>
      </c>
      <c r="R1" s="29">
        <f>YEAR(R4)</f>
        <v/>
      </c>
      <c r="S1" s="29">
        <f>YEAR(S4)</f>
        <v/>
      </c>
      <c r="T1" s="29">
        <f>YEAR(T4)</f>
        <v/>
      </c>
      <c r="U1" s="29">
        <f>YEAR(U4)</f>
        <v/>
      </c>
      <c r="V1" s="29">
        <f>YEAR(V4)</f>
        <v/>
      </c>
      <c r="W1" s="29">
        <f>YEAR(W4)</f>
        <v/>
      </c>
      <c r="X1" s="29">
        <f>YEAR(X4)</f>
        <v/>
      </c>
      <c r="Y1" s="29">
        <f>YEAR(Y4)</f>
        <v/>
      </c>
      <c r="Z1" s="29">
        <f>YEAR(Z4)</f>
        <v/>
      </c>
      <c r="AA1" s="29">
        <f>YEAR(AA4)</f>
        <v/>
      </c>
      <c r="AB1" s="29">
        <f>YEAR(AB4)</f>
        <v/>
      </c>
      <c r="AC1" s="29">
        <f>YEAR(AC4)</f>
        <v/>
      </c>
      <c r="AD1" s="29">
        <f>YEAR(AD4)</f>
        <v/>
      </c>
      <c r="AE1" s="29">
        <f>YEAR(AE4)</f>
        <v/>
      </c>
      <c r="AF1" s="240">
        <f>YEAR(AF4)</f>
        <v/>
      </c>
      <c r="AG1" s="29">
        <f>YEAR(AG4)</f>
        <v/>
      </c>
      <c r="AH1" s="29">
        <f>YEAR(AH4)</f>
        <v/>
      </c>
      <c r="AI1" s="29">
        <f>YEAR(AI4)</f>
        <v/>
      </c>
      <c r="AJ1" s="29">
        <f>YEAR(AJ4)</f>
        <v/>
      </c>
      <c r="AK1" s="29">
        <f>YEAR(AK4)</f>
        <v/>
      </c>
      <c r="AL1" s="29">
        <f>YEAR(AL4)</f>
        <v/>
      </c>
      <c r="AM1" s="29">
        <f>YEAR(AM4)</f>
        <v/>
      </c>
      <c r="AN1" s="240">
        <f>YEAR(AN4)</f>
        <v/>
      </c>
      <c r="AO1" s="29">
        <f>YEAR(AO4)</f>
        <v/>
      </c>
      <c r="AP1" s="29">
        <f>YEAR(AP4)</f>
        <v/>
      </c>
      <c r="AQ1" s="240">
        <f>YEAR(AQ4)</f>
        <v/>
      </c>
      <c r="AR1" s="29">
        <f>YEAR(AR4)</f>
        <v/>
      </c>
      <c r="AS1" s="29">
        <f>YEAR(AS4)</f>
        <v/>
      </c>
      <c r="AT1" s="29">
        <f>YEAR(AT4)</f>
        <v/>
      </c>
      <c r="AU1" s="29">
        <f>YEAR(AU4)</f>
        <v/>
      </c>
      <c r="AV1" s="29">
        <f>YEAR(AV4)</f>
        <v/>
      </c>
      <c r="AW1" s="240">
        <f>YEAR(AW4)</f>
        <v/>
      </c>
      <c r="AX1" s="29">
        <f>YEAR(AX4)</f>
        <v/>
      </c>
      <c r="AY1" s="240">
        <f>YEAR(AY4)</f>
        <v/>
      </c>
      <c r="AZ1" s="29">
        <f>YEAR(AZ4)</f>
        <v/>
      </c>
      <c r="BA1" s="29">
        <f>YEAR(BA4)</f>
        <v/>
      </c>
      <c r="BB1" s="29">
        <f>YEAR(BB4)</f>
        <v/>
      </c>
      <c r="BC1" s="29">
        <f>YEAR(BC4)</f>
        <v/>
      </c>
      <c r="BD1" s="29">
        <f>YEAR(BD4)</f>
        <v/>
      </c>
      <c r="BE1" s="29">
        <f>YEAR(BE4)</f>
        <v/>
      </c>
      <c r="BF1" s="29">
        <f>YEAR(BF4)</f>
        <v/>
      </c>
      <c r="BG1" s="29">
        <f>YEAR(BG4)</f>
        <v/>
      </c>
      <c r="BH1" s="29">
        <f>YEAR(BH4)</f>
        <v/>
      </c>
      <c r="BI1" s="29">
        <f>YEAR(BI4)</f>
        <v/>
      </c>
      <c r="BJ1" s="29">
        <f>YEAR(BJ4)</f>
        <v/>
      </c>
      <c r="BK1" s="240">
        <f>YEAR(BK4)</f>
        <v/>
      </c>
      <c r="BL1" s="29">
        <f>YEAR(BL4)</f>
        <v/>
      </c>
      <c r="BM1" s="29">
        <f>YEAR(BM4)</f>
        <v/>
      </c>
      <c r="BN1" s="29">
        <f>YEAR(BN4)</f>
        <v/>
      </c>
      <c r="BO1" s="29">
        <f>YEAR(BO4)</f>
        <v/>
      </c>
      <c r="BP1" s="29">
        <f>YEAR(BP4)</f>
        <v/>
      </c>
      <c r="BQ1" s="29">
        <f>YEAR(BQ4)</f>
        <v/>
      </c>
      <c r="BR1" s="29">
        <f>YEAR(BR4)</f>
        <v/>
      </c>
      <c r="BS1" s="29">
        <f>YEAR(BS4)</f>
        <v/>
      </c>
      <c r="BT1" s="29">
        <f>YEAR(BT4)</f>
        <v/>
      </c>
      <c r="BU1" s="29">
        <f>YEAR(BU4)</f>
        <v/>
      </c>
      <c r="BV1" s="29">
        <f>YEAR(BV4)</f>
        <v/>
      </c>
      <c r="BW1" s="240">
        <f>YEAR(BW4)</f>
        <v/>
      </c>
      <c r="BX1" s="29">
        <f>YEAR(BX4)</f>
        <v/>
      </c>
      <c r="BY1" s="29">
        <f>YEAR(BY4)</f>
        <v/>
      </c>
      <c r="BZ1" s="29">
        <f>YEAR(BZ4)</f>
        <v/>
      </c>
      <c r="CA1" s="29">
        <f>YEAR(CA4)</f>
        <v/>
      </c>
      <c r="CB1" s="29">
        <f>YEAR(CB4)</f>
        <v/>
      </c>
      <c r="CC1" s="29">
        <f>YEAR(CC4)</f>
        <v/>
      </c>
      <c r="CD1" s="29">
        <f>YEAR(CD4)</f>
        <v/>
      </c>
      <c r="CE1" s="29">
        <f>YEAR(CE4)</f>
        <v/>
      </c>
      <c r="CF1" s="29">
        <f>YEAR(CF4)</f>
        <v/>
      </c>
      <c r="CG1" s="29">
        <f>YEAR(CG4)</f>
        <v/>
      </c>
      <c r="CH1" s="29">
        <f>YEAR(CH4)</f>
        <v/>
      </c>
      <c r="CI1" s="240">
        <f>YEAR(CI4)</f>
        <v/>
      </c>
      <c r="CJ1" s="29">
        <f>YEAR(CJ4)</f>
        <v/>
      </c>
      <c r="CK1" s="29">
        <f>YEAR(CK4)</f>
        <v/>
      </c>
      <c r="CL1" s="29">
        <f>YEAR(CL4)</f>
        <v/>
      </c>
      <c r="CM1" s="29">
        <f>YEAR(CM4)</f>
        <v/>
      </c>
      <c r="CN1" s="29">
        <f>YEAR(CN4)</f>
        <v/>
      </c>
      <c r="CO1" s="29">
        <f>YEAR(CO4)</f>
        <v/>
      </c>
      <c r="CP1" s="29">
        <f>YEAR(CP4)</f>
        <v/>
      </c>
      <c r="CQ1" s="29">
        <f>YEAR(CQ4)</f>
        <v/>
      </c>
      <c r="CR1" s="29">
        <f>YEAR(CR4)</f>
        <v/>
      </c>
      <c r="CS1" s="29">
        <f>YEAR(CS4)</f>
        <v/>
      </c>
      <c r="CT1" s="29">
        <f>YEAR(CT4)</f>
        <v/>
      </c>
      <c r="CU1" s="240">
        <f>YEAR(CU4)</f>
        <v/>
      </c>
      <c r="CV1" s="29">
        <f>YEAR(CV4)</f>
        <v/>
      </c>
      <c r="CW1" s="29">
        <f>YEAR(CW4)</f>
        <v/>
      </c>
      <c r="CX1" s="29">
        <f>YEAR(CX4)</f>
        <v/>
      </c>
      <c r="CY1" s="29">
        <f>YEAR(CY4)</f>
        <v/>
      </c>
      <c r="CZ1" s="29">
        <f>YEAR(CZ4)</f>
        <v/>
      </c>
      <c r="DA1" s="29">
        <f>YEAR(DA4)</f>
        <v/>
      </c>
      <c r="DB1" s="29">
        <f>YEAR(DB4)</f>
        <v/>
      </c>
      <c r="DC1" s="29">
        <f>YEAR(DC4)</f>
        <v/>
      </c>
      <c r="DD1" s="29">
        <f>YEAR(DD4)</f>
        <v/>
      </c>
      <c r="DE1" s="29">
        <f>YEAR(DE4)</f>
        <v/>
      </c>
      <c r="DF1" s="29">
        <f>YEAR(DF4)</f>
        <v/>
      </c>
      <c r="DG1" s="29">
        <f>YEAR(DG4)</f>
        <v/>
      </c>
      <c r="DH1" s="29" t="n"/>
      <c r="DI1" s="29" t="n"/>
      <c r="DJ1" s="51" t="n"/>
    </row>
    <row r="2">
      <c r="A2" s="28" t="n"/>
      <c r="B2" s="28" t="n"/>
      <c r="C2" s="597" t="n"/>
      <c r="D2" s="295" t="n"/>
      <c r="E2" s="295" t="n"/>
      <c r="F2" s="295" t="n"/>
      <c r="G2" s="296" t="inlineStr">
        <is>
          <t>Peak</t>
        </is>
      </c>
      <c r="H2" s="296" t="inlineStr">
        <is>
          <t>Peak</t>
        </is>
      </c>
      <c r="I2" s="296" t="inlineStr">
        <is>
          <t>Shoulder</t>
        </is>
      </c>
      <c r="J2" s="296" t="inlineStr">
        <is>
          <t>Shoulder</t>
        </is>
      </c>
      <c r="K2" s="296" t="inlineStr">
        <is>
          <t>Trough</t>
        </is>
      </c>
      <c r="L2" s="296" t="inlineStr">
        <is>
          <t>Shoulder</t>
        </is>
      </c>
      <c r="M2" s="296" t="inlineStr">
        <is>
          <t>Shoulder</t>
        </is>
      </c>
      <c r="N2" s="296" t="inlineStr">
        <is>
          <t>Trough</t>
        </is>
      </c>
      <c r="O2" s="296" t="inlineStr">
        <is>
          <t>Shoulder</t>
        </is>
      </c>
      <c r="P2" s="296" t="inlineStr">
        <is>
          <t>Peak</t>
        </is>
      </c>
      <c r="Q2" s="296" t="inlineStr">
        <is>
          <t>Peak</t>
        </is>
      </c>
      <c r="R2" s="296" t="inlineStr">
        <is>
          <t>Shoulder</t>
        </is>
      </c>
      <c r="S2" s="296" t="inlineStr">
        <is>
          <t>Trough</t>
        </is>
      </c>
      <c r="T2" s="296" t="inlineStr">
        <is>
          <t>Trough</t>
        </is>
      </c>
      <c r="U2" s="296" t="inlineStr">
        <is>
          <t>Shoulder</t>
        </is>
      </c>
      <c r="V2" s="296" t="inlineStr">
        <is>
          <t>Peak</t>
        </is>
      </c>
      <c r="W2" s="296" t="inlineStr">
        <is>
          <t>Shoulder</t>
        </is>
      </c>
      <c r="X2" s="296" t="inlineStr">
        <is>
          <t>Peak</t>
        </is>
      </c>
      <c r="Y2" s="296" t="inlineStr">
        <is>
          <t>Peak</t>
        </is>
      </c>
      <c r="Z2" s="296" t="inlineStr">
        <is>
          <t>Peak</t>
        </is>
      </c>
      <c r="AA2" s="296" t="inlineStr">
        <is>
          <t>Shoulder</t>
        </is>
      </c>
      <c r="AB2" s="296" t="inlineStr">
        <is>
          <t>Shoulder</t>
        </is>
      </c>
      <c r="AC2" s="296" t="inlineStr">
        <is>
          <t>Shoulder</t>
        </is>
      </c>
      <c r="AD2" s="296" t="inlineStr">
        <is>
          <t>Shoulder</t>
        </is>
      </c>
      <c r="AE2" s="296" t="inlineStr">
        <is>
          <t>Peak</t>
        </is>
      </c>
      <c r="AF2" s="297" t="inlineStr">
        <is>
          <t>Peak</t>
        </is>
      </c>
      <c r="AG2" s="296" t="inlineStr">
        <is>
          <t>Peak</t>
        </is>
      </c>
      <c r="AH2" s="296" t="inlineStr">
        <is>
          <t>Shoulder</t>
        </is>
      </c>
      <c r="AI2" s="296" t="inlineStr">
        <is>
          <t>Shoulder</t>
        </is>
      </c>
      <c r="AJ2" s="296" t="inlineStr">
        <is>
          <t>Trough</t>
        </is>
      </c>
      <c r="AK2" s="296" t="inlineStr">
        <is>
          <t>Shoulder</t>
        </is>
      </c>
      <c r="AL2" s="296" t="inlineStr">
        <is>
          <t>Trough</t>
        </is>
      </c>
      <c r="AM2" s="296">
        <f>+AA2</f>
        <v/>
      </c>
      <c r="AN2" s="297">
        <f>+AB2</f>
        <v/>
      </c>
      <c r="AO2" s="296">
        <f>+AC2</f>
        <v/>
      </c>
      <c r="AP2" s="296">
        <f>+AD2</f>
        <v/>
      </c>
      <c r="AQ2" s="297">
        <f>+AE2</f>
        <v/>
      </c>
      <c r="AR2" s="296">
        <f>+AF2</f>
        <v/>
      </c>
      <c r="AS2" s="296" t="inlineStr">
        <is>
          <t>Shoulder</t>
        </is>
      </c>
      <c r="AT2" s="296">
        <f>+AH2</f>
        <v/>
      </c>
      <c r="AU2" s="296">
        <f>+AI2</f>
        <v/>
      </c>
      <c r="AV2" s="296">
        <f>+AJ2</f>
        <v/>
      </c>
      <c r="AW2" s="297">
        <f>+AK2</f>
        <v/>
      </c>
      <c r="AX2" s="296">
        <f>+AL2</f>
        <v/>
      </c>
      <c r="AY2" s="613">
        <f>+AM2</f>
        <v/>
      </c>
      <c r="AZ2" s="29">
        <f>+AN2</f>
        <v/>
      </c>
      <c r="BA2" s="29">
        <f>+AO2</f>
        <v/>
      </c>
      <c r="BB2" s="29">
        <f>+AP2</f>
        <v/>
      </c>
      <c r="BC2" s="29">
        <f>+AQ2</f>
        <v/>
      </c>
      <c r="BD2" s="29">
        <f>+AR2</f>
        <v/>
      </c>
      <c r="BE2" s="29">
        <f>+AS2</f>
        <v/>
      </c>
      <c r="BF2" s="29">
        <f>+AT2</f>
        <v/>
      </c>
      <c r="BG2" s="29">
        <f>+AU2</f>
        <v/>
      </c>
      <c r="BH2" s="29">
        <f>+AV2</f>
        <v/>
      </c>
      <c r="BI2" s="29">
        <f>+AW2</f>
        <v/>
      </c>
      <c r="BJ2" s="29">
        <f>+AX2</f>
        <v/>
      </c>
      <c r="BK2" s="240">
        <f>+AY2</f>
        <v/>
      </c>
      <c r="BL2" s="29">
        <f>+AZ2</f>
        <v/>
      </c>
      <c r="BM2" s="29">
        <f>+BA2</f>
        <v/>
      </c>
      <c r="BN2" s="29">
        <f>+BB2</f>
        <v/>
      </c>
      <c r="BO2" s="29">
        <f>+BC2</f>
        <v/>
      </c>
      <c r="BP2" s="29">
        <f>+BD2</f>
        <v/>
      </c>
      <c r="BQ2" s="29">
        <f>+BE2</f>
        <v/>
      </c>
      <c r="BR2" s="29">
        <f>+BF2</f>
        <v/>
      </c>
      <c r="BS2" s="29">
        <f>+BG2</f>
        <v/>
      </c>
      <c r="BT2" s="29">
        <f>+BH2</f>
        <v/>
      </c>
      <c r="BU2" s="29">
        <f>+BI2</f>
        <v/>
      </c>
      <c r="BV2" s="29">
        <f>+BJ2</f>
        <v/>
      </c>
      <c r="BW2" s="240">
        <f>+BK2</f>
        <v/>
      </c>
      <c r="BX2" s="29">
        <f>+BL2</f>
        <v/>
      </c>
      <c r="BY2" s="29">
        <f>+BM2</f>
        <v/>
      </c>
      <c r="BZ2" s="29">
        <f>+BN2</f>
        <v/>
      </c>
      <c r="CA2" s="29">
        <f>+BO2</f>
        <v/>
      </c>
      <c r="CB2" s="29">
        <f>+BP2</f>
        <v/>
      </c>
      <c r="CC2" s="29">
        <f>+BQ2</f>
        <v/>
      </c>
      <c r="CD2" s="29">
        <f>+BR2</f>
        <v/>
      </c>
      <c r="CE2" s="29">
        <f>+BS2</f>
        <v/>
      </c>
      <c r="CF2" s="29">
        <f>+BT2</f>
        <v/>
      </c>
      <c r="CG2" s="29">
        <f>+BU2</f>
        <v/>
      </c>
      <c r="CH2" s="29">
        <f>+BV2</f>
        <v/>
      </c>
      <c r="CI2" s="240">
        <f>+BW2</f>
        <v/>
      </c>
      <c r="CJ2" s="29">
        <f>+BX2</f>
        <v/>
      </c>
      <c r="CK2" s="29">
        <f>+BY2</f>
        <v/>
      </c>
      <c r="CL2" s="29">
        <f>+BZ2</f>
        <v/>
      </c>
      <c r="CM2" s="29">
        <f>+CA2</f>
        <v/>
      </c>
      <c r="CN2" s="29">
        <f>+CB2</f>
        <v/>
      </c>
      <c r="CO2" s="29">
        <f>+CC2</f>
        <v/>
      </c>
      <c r="CP2" s="29">
        <f>+CD2</f>
        <v/>
      </c>
      <c r="CQ2" s="29">
        <f>+CE2</f>
        <v/>
      </c>
      <c r="CR2" s="29">
        <f>+CF2</f>
        <v/>
      </c>
      <c r="CS2" s="29">
        <f>+CG2</f>
        <v/>
      </c>
      <c r="CT2" s="29">
        <f>+CH2</f>
        <v/>
      </c>
      <c r="CU2" s="240">
        <f>+CI2</f>
        <v/>
      </c>
      <c r="CV2" s="29">
        <f>+CJ2</f>
        <v/>
      </c>
      <c r="CW2" s="29">
        <f>+CK2</f>
        <v/>
      </c>
      <c r="CX2" s="29">
        <f>+CL2</f>
        <v/>
      </c>
      <c r="CY2" s="29">
        <f>+CM2</f>
        <v/>
      </c>
      <c r="CZ2" s="29">
        <f>+CN2</f>
        <v/>
      </c>
      <c r="DA2" s="29">
        <f>+CO2</f>
        <v/>
      </c>
      <c r="DB2" s="29">
        <f>+CP2</f>
        <v/>
      </c>
      <c r="DC2" s="29">
        <f>+CQ2</f>
        <v/>
      </c>
      <c r="DD2" s="29">
        <f>+CR2</f>
        <v/>
      </c>
      <c r="DE2" s="29">
        <f>+CS2</f>
        <v/>
      </c>
      <c r="DF2" s="29">
        <f>+CT2</f>
        <v/>
      </c>
      <c r="DG2" s="29">
        <f>+CU2</f>
        <v/>
      </c>
      <c r="DH2" s="29" t="n"/>
      <c r="DI2" s="29" t="n"/>
      <c r="DJ2" s="29" t="n"/>
    </row>
    <row r="3">
      <c r="A3" s="28" t="n"/>
      <c r="B3" s="28" t="n"/>
      <c r="C3" s="598" t="n"/>
      <c r="D3" s="162">
        <f>+"Q1 "&amp;D1</f>
        <v/>
      </c>
      <c r="E3" s="162">
        <f>+"Q1 "&amp;E1</f>
        <v/>
      </c>
      <c r="F3" s="162">
        <f>+"Q1 "&amp;F1</f>
        <v/>
      </c>
      <c r="G3" s="162">
        <f>+"Q2 "&amp;G1</f>
        <v/>
      </c>
      <c r="H3" s="162">
        <f>+"Q2 "&amp;H1</f>
        <v/>
      </c>
      <c r="I3" s="162">
        <f>+"Q2 "&amp;I1</f>
        <v/>
      </c>
      <c r="J3" s="162">
        <f>+"Q3 "&amp;J1</f>
        <v/>
      </c>
      <c r="K3" s="162">
        <f>+"Q3 "&amp;K1</f>
        <v/>
      </c>
      <c r="L3" s="162">
        <f>+"Q3 "&amp;L1</f>
        <v/>
      </c>
      <c r="M3" s="162">
        <f>+"Q4 "&amp;M1</f>
        <v/>
      </c>
      <c r="N3" s="162">
        <f>+"Q4 "&amp;N1</f>
        <v/>
      </c>
      <c r="O3" s="162">
        <f>+"Q4 "&amp;O1</f>
        <v/>
      </c>
      <c r="P3" s="162">
        <f>+"Q1 "&amp;P1</f>
        <v/>
      </c>
      <c r="Q3" s="162">
        <f>+"Q1 "&amp;Q1</f>
        <v/>
      </c>
      <c r="R3" s="162">
        <f>+"Q1 "&amp;R1</f>
        <v/>
      </c>
      <c r="S3" s="162">
        <f>+"Q2 "&amp;S1</f>
        <v/>
      </c>
      <c r="T3" s="162">
        <f>+"Q2 "&amp;T1</f>
        <v/>
      </c>
      <c r="U3" s="162">
        <f>+"Q2 "&amp;U1</f>
        <v/>
      </c>
      <c r="V3" s="162">
        <f>+"Q3 "&amp;V1</f>
        <v/>
      </c>
      <c r="W3" s="162">
        <f>+"Q3 "&amp;W1</f>
        <v/>
      </c>
      <c r="X3" s="162">
        <f>+"Q3 "&amp;X1</f>
        <v/>
      </c>
      <c r="Y3" s="162">
        <f>+"Q4 "&amp;Y1</f>
        <v/>
      </c>
      <c r="Z3" s="162">
        <f>+"Q4 "&amp;Z1</f>
        <v/>
      </c>
      <c r="AA3" s="162">
        <f>+"Q4 "&amp;AA1</f>
        <v/>
      </c>
      <c r="AB3" s="162">
        <f>+"Q1 "&amp;AB1</f>
        <v/>
      </c>
      <c r="AC3" s="162">
        <f>+"Q1 "&amp;AC1</f>
        <v/>
      </c>
      <c r="AD3" s="162">
        <f>+"Q1 "&amp;AD1</f>
        <v/>
      </c>
      <c r="AE3" s="162">
        <f>+"Q2 "&amp;AE1</f>
        <v/>
      </c>
      <c r="AF3" s="162">
        <f>+"Q2 "&amp;AF1</f>
        <v/>
      </c>
      <c r="AG3" s="162">
        <f>+"Q2 "&amp;AG1</f>
        <v/>
      </c>
      <c r="AH3" s="162">
        <f>+"Q3 "&amp;AH1</f>
        <v/>
      </c>
      <c r="AI3" s="162">
        <f>+"Q3 "&amp;AI1</f>
        <v/>
      </c>
      <c r="AJ3" s="162">
        <f>+"Q3 "&amp;AJ1</f>
        <v/>
      </c>
      <c r="AK3" s="162">
        <f>+"Q4 "&amp;AK1</f>
        <v/>
      </c>
      <c r="AL3" s="162">
        <f>+"Q4 "&amp;AL1</f>
        <v/>
      </c>
      <c r="AM3" s="162">
        <f>+"Q4 "&amp;AM1</f>
        <v/>
      </c>
      <c r="AN3" s="241">
        <f>+"Q1 "&amp;AN1</f>
        <v/>
      </c>
      <c r="AO3" s="162">
        <f>+"Q1 "&amp;AO1</f>
        <v/>
      </c>
      <c r="AP3" s="162">
        <f>+"Q1 "&amp;AP1</f>
        <v/>
      </c>
      <c r="AQ3" s="241">
        <f>+"Q2 "&amp;AQ1</f>
        <v/>
      </c>
      <c r="AR3" s="162">
        <f>+"Q2 "&amp;AR1</f>
        <v/>
      </c>
      <c r="AS3" s="162">
        <f>+"Q2 "&amp;AS1</f>
        <v/>
      </c>
      <c r="AT3" s="162">
        <f>+"Q3 "&amp;AT1</f>
        <v/>
      </c>
      <c r="AU3" s="162">
        <f>+"Q3 "&amp;AU1</f>
        <v/>
      </c>
      <c r="AV3" s="162">
        <f>+"Q3 "&amp;AV1</f>
        <v/>
      </c>
      <c r="AW3" s="162">
        <f>+"Q4 "&amp;AW1</f>
        <v/>
      </c>
      <c r="AX3" s="162">
        <f>+"Q4 "&amp;AX1</f>
        <v/>
      </c>
      <c r="AY3" s="462">
        <f>+"Q4 "&amp;AY1</f>
        <v/>
      </c>
      <c r="AZ3" s="162">
        <f>+"Q1 "&amp;AZ1</f>
        <v/>
      </c>
      <c r="BA3" s="162">
        <f>+"Q1 "&amp;BA1</f>
        <v/>
      </c>
      <c r="BB3" s="162">
        <f>+"Q1 "&amp;BB1</f>
        <v/>
      </c>
      <c r="BC3" s="162">
        <f>+"Q2 "&amp;BC1</f>
        <v/>
      </c>
      <c r="BD3" s="162">
        <f>+"Q2 "&amp;BD1</f>
        <v/>
      </c>
      <c r="BE3" s="162">
        <f>+"Q2 "&amp;BE1</f>
        <v/>
      </c>
      <c r="BF3" s="162">
        <f>+"Q3 "&amp;BF1</f>
        <v/>
      </c>
      <c r="BG3" s="162">
        <f>+"Q3 "&amp;BG1</f>
        <v/>
      </c>
      <c r="BH3" s="162">
        <f>+"Q3 "&amp;BH1</f>
        <v/>
      </c>
      <c r="BI3" s="162">
        <f>+"Q4 "&amp;BI1</f>
        <v/>
      </c>
      <c r="BJ3" s="162">
        <f>+"Q4 "&amp;BJ1</f>
        <v/>
      </c>
      <c r="BK3" s="241">
        <f>+"Q4 "&amp;BK1</f>
        <v/>
      </c>
      <c r="BL3" s="162">
        <f>+"Q1 "&amp;BL1</f>
        <v/>
      </c>
      <c r="BM3" s="162">
        <f>+"Q1 "&amp;BM1</f>
        <v/>
      </c>
      <c r="BN3" s="162">
        <f>+"Q1 "&amp;BN1</f>
        <v/>
      </c>
      <c r="BO3" s="162">
        <f>+"Q2 "&amp;BO1</f>
        <v/>
      </c>
      <c r="BP3" s="162">
        <f>+"Q2 "&amp;BP1</f>
        <v/>
      </c>
      <c r="BQ3" s="162">
        <f>+"Q2 "&amp;BQ1</f>
        <v/>
      </c>
      <c r="BR3" s="162">
        <f>+"Q3 "&amp;BR1</f>
        <v/>
      </c>
      <c r="BS3" s="162">
        <f>+"Q3 "&amp;BS1</f>
        <v/>
      </c>
      <c r="BT3" s="162">
        <f>+"Q3 "&amp;BT1</f>
        <v/>
      </c>
      <c r="BU3" s="162">
        <f>+"Q4 "&amp;BU1</f>
        <v/>
      </c>
      <c r="BV3" s="162">
        <f>+"Q4 "&amp;BV1</f>
        <v/>
      </c>
      <c r="BW3" s="241">
        <f>+"Q4 "&amp;BW1</f>
        <v/>
      </c>
      <c r="BX3" s="162">
        <f>+"Q1 "&amp;BX1</f>
        <v/>
      </c>
      <c r="BY3" s="162">
        <f>+"Q1 "&amp;BY1</f>
        <v/>
      </c>
      <c r="BZ3" s="162">
        <f>+"Q1 "&amp;BZ1</f>
        <v/>
      </c>
      <c r="CA3" s="162">
        <f>+"Q2 "&amp;CA1</f>
        <v/>
      </c>
      <c r="CB3" s="162">
        <f>+"Q2 "&amp;CB1</f>
        <v/>
      </c>
      <c r="CC3" s="162">
        <f>+"Q2 "&amp;CC1</f>
        <v/>
      </c>
      <c r="CD3" s="162">
        <f>+"Q3 "&amp;CD1</f>
        <v/>
      </c>
      <c r="CE3" s="162">
        <f>+"Q3 "&amp;CE1</f>
        <v/>
      </c>
      <c r="CF3" s="162">
        <f>+"Q3 "&amp;CF1</f>
        <v/>
      </c>
      <c r="CG3" s="162">
        <f>+"Q4 "&amp;CG1</f>
        <v/>
      </c>
      <c r="CH3" s="162">
        <f>+"Q4 "&amp;CH1</f>
        <v/>
      </c>
      <c r="CI3" s="241">
        <f>+"Q4 "&amp;CI1</f>
        <v/>
      </c>
      <c r="CJ3" s="162">
        <f>+"Q1 "&amp;CJ1</f>
        <v/>
      </c>
      <c r="CK3" s="162">
        <f>+"Q1 "&amp;CK1</f>
        <v/>
      </c>
      <c r="CL3" s="162">
        <f>+"Q1 "&amp;CL1</f>
        <v/>
      </c>
      <c r="CM3" s="162">
        <f>+"Q2 "&amp;CM1</f>
        <v/>
      </c>
      <c r="CN3" s="162">
        <f>+"Q2 "&amp;CN1</f>
        <v/>
      </c>
      <c r="CO3" s="162">
        <f>+"Q2 "&amp;CO1</f>
        <v/>
      </c>
      <c r="CP3" s="162">
        <f>+"Q3 "&amp;CP1</f>
        <v/>
      </c>
      <c r="CQ3" s="162">
        <f>+"Q3 "&amp;CQ1</f>
        <v/>
      </c>
      <c r="CR3" s="162">
        <f>+"Q3 "&amp;CR1</f>
        <v/>
      </c>
      <c r="CS3" s="162">
        <f>+"Q4 "&amp;CS1</f>
        <v/>
      </c>
      <c r="CT3" s="162">
        <f>+"Q4 "&amp;CT1</f>
        <v/>
      </c>
      <c r="CU3" s="241">
        <f>+"Q4 "&amp;CU1</f>
        <v/>
      </c>
      <c r="CV3" s="162">
        <f>+"Q1 "&amp;CV1</f>
        <v/>
      </c>
      <c r="CW3" s="162">
        <f>+"Q1 "&amp;CW1</f>
        <v/>
      </c>
      <c r="CX3" s="162">
        <f>+"Q1 "&amp;CX1</f>
        <v/>
      </c>
      <c r="CY3" s="162">
        <f>+"Q2 "&amp;CY1</f>
        <v/>
      </c>
      <c r="CZ3" s="162">
        <f>+"Q2 "&amp;CZ1</f>
        <v/>
      </c>
      <c r="DA3" s="162">
        <f>+"Q2 "&amp;DA1</f>
        <v/>
      </c>
      <c r="DB3" s="162">
        <f>+"Q3 "&amp;DB1</f>
        <v/>
      </c>
      <c r="DC3" s="162">
        <f>+"Q3 "&amp;DC1</f>
        <v/>
      </c>
      <c r="DD3" s="162">
        <f>+"Q3 "&amp;DD1</f>
        <v/>
      </c>
      <c r="DE3" s="162">
        <f>+"Q4 "&amp;DE1</f>
        <v/>
      </c>
      <c r="DF3" s="162">
        <f>+"Q4 "&amp;DF1</f>
        <v/>
      </c>
      <c r="DG3" s="162">
        <f>+"Q4 "&amp;DG1</f>
        <v/>
      </c>
      <c r="DH3" s="29" t="n"/>
      <c r="DI3" s="29" t="n"/>
      <c r="DJ3" s="29" t="n"/>
    </row>
    <row r="4" ht="15.75" customHeight="1" s="627" thickBot="1">
      <c r="A4" s="30" t="n"/>
      <c r="B4" s="31" t="n"/>
      <c r="C4" s="599" t="n"/>
      <c r="D4" s="463" t="n">
        <v>44592</v>
      </c>
      <c r="E4" s="463" t="n">
        <v>44620</v>
      </c>
      <c r="F4" s="463" t="n">
        <v>44651</v>
      </c>
      <c r="G4" s="32" t="n">
        <v>44681</v>
      </c>
      <c r="H4" s="32" t="n">
        <v>44712</v>
      </c>
      <c r="I4" s="32" t="n">
        <v>44742</v>
      </c>
      <c r="J4" s="32" t="n">
        <v>44773</v>
      </c>
      <c r="K4" s="32" t="n">
        <v>44804</v>
      </c>
      <c r="L4" s="32" t="n">
        <v>44834</v>
      </c>
      <c r="M4" s="32" t="n">
        <v>44865</v>
      </c>
      <c r="N4" s="32" t="n">
        <v>44895</v>
      </c>
      <c r="O4" s="32" t="n">
        <v>44926</v>
      </c>
      <c r="P4" s="160" t="n">
        <v>44957</v>
      </c>
      <c r="Q4" s="32" t="n">
        <v>44985</v>
      </c>
      <c r="R4" s="32" t="n">
        <v>45016</v>
      </c>
      <c r="S4" s="32" t="n">
        <v>45046</v>
      </c>
      <c r="T4" s="32" t="n">
        <v>45077</v>
      </c>
      <c r="U4" s="32" t="n">
        <v>45107</v>
      </c>
      <c r="V4" s="32" t="n">
        <v>45138</v>
      </c>
      <c r="W4" s="32" t="n">
        <v>45169</v>
      </c>
      <c r="X4" s="32" t="n">
        <v>45199</v>
      </c>
      <c r="Y4" s="32" t="n">
        <v>45230</v>
      </c>
      <c r="Z4" s="32" t="n">
        <v>45260</v>
      </c>
      <c r="AA4" s="32" t="n">
        <v>45291</v>
      </c>
      <c r="AB4" s="32" t="n">
        <v>45322</v>
      </c>
      <c r="AC4" s="32" t="n">
        <v>45351</v>
      </c>
      <c r="AD4" s="32" t="n">
        <v>45382</v>
      </c>
      <c r="AE4" s="32" t="n">
        <v>45412</v>
      </c>
      <c r="AF4" s="242" t="n">
        <v>45443</v>
      </c>
      <c r="AG4" s="32" t="n">
        <v>45473</v>
      </c>
      <c r="AH4" s="32" t="n">
        <v>45504</v>
      </c>
      <c r="AI4" s="32" t="n">
        <v>45535</v>
      </c>
      <c r="AJ4" s="32" t="n">
        <v>45565</v>
      </c>
      <c r="AK4" s="32" t="n">
        <v>45596</v>
      </c>
      <c r="AL4" s="32" t="n">
        <v>45626</v>
      </c>
      <c r="AM4" s="32" t="n">
        <v>45657</v>
      </c>
      <c r="AN4" s="242" t="n">
        <v>45688</v>
      </c>
      <c r="AO4" s="32" t="n">
        <v>45716</v>
      </c>
      <c r="AP4" s="32" t="n">
        <v>45747</v>
      </c>
      <c r="AQ4" s="242" t="n">
        <v>45777</v>
      </c>
      <c r="AR4" s="32" t="n">
        <v>45808</v>
      </c>
      <c r="AS4" s="32" t="n">
        <v>45838</v>
      </c>
      <c r="AT4" s="32" t="n">
        <v>45869</v>
      </c>
      <c r="AU4" s="32" t="n">
        <v>45900</v>
      </c>
      <c r="AV4" s="32" t="n">
        <v>45930</v>
      </c>
      <c r="AW4" s="242" t="n">
        <v>45961</v>
      </c>
      <c r="AX4" s="32" t="n">
        <v>45991</v>
      </c>
      <c r="AY4" s="52" t="n">
        <v>46022</v>
      </c>
      <c r="AZ4" s="32" t="n">
        <v>46053</v>
      </c>
      <c r="BA4" s="32" t="n">
        <v>46081</v>
      </c>
      <c r="BB4" s="32" t="n">
        <v>46112</v>
      </c>
      <c r="BC4" s="32" t="n">
        <v>46142</v>
      </c>
      <c r="BD4" s="32" t="n">
        <v>46173</v>
      </c>
      <c r="BE4" s="32" t="n">
        <v>46203</v>
      </c>
      <c r="BF4" s="32" t="n">
        <v>46234</v>
      </c>
      <c r="BG4" s="32" t="n">
        <v>46265</v>
      </c>
      <c r="BH4" s="32" t="n">
        <v>46295</v>
      </c>
      <c r="BI4" s="32" t="n">
        <v>46326</v>
      </c>
      <c r="BJ4" s="32" t="n">
        <v>46356</v>
      </c>
      <c r="BK4" s="242" t="n">
        <v>46387</v>
      </c>
      <c r="BL4" s="32" t="n">
        <v>46418</v>
      </c>
      <c r="BM4" s="32" t="n">
        <v>46446</v>
      </c>
      <c r="BN4" s="32" t="n">
        <v>46477</v>
      </c>
      <c r="BO4" s="32" t="n">
        <v>46507</v>
      </c>
      <c r="BP4" s="32" t="n">
        <v>46538</v>
      </c>
      <c r="BQ4" s="32" t="n">
        <v>46568</v>
      </c>
      <c r="BR4" s="32" t="n">
        <v>46599</v>
      </c>
      <c r="BS4" s="32" t="n">
        <v>46630</v>
      </c>
      <c r="BT4" s="32" t="n">
        <v>46660</v>
      </c>
      <c r="BU4" s="32" t="n">
        <v>46691</v>
      </c>
      <c r="BV4" s="32" t="n">
        <v>46721</v>
      </c>
      <c r="BW4" s="242" t="n">
        <v>46752</v>
      </c>
      <c r="BX4" s="32" t="n">
        <v>46783</v>
      </c>
      <c r="BY4" s="32" t="n">
        <v>46812</v>
      </c>
      <c r="BZ4" s="32" t="n">
        <v>46843</v>
      </c>
      <c r="CA4" s="32" t="n">
        <v>46873</v>
      </c>
      <c r="CB4" s="32" t="n">
        <v>46904</v>
      </c>
      <c r="CC4" s="32" t="n">
        <v>46934</v>
      </c>
      <c r="CD4" s="32" t="n">
        <v>46965</v>
      </c>
      <c r="CE4" s="32" t="n">
        <v>46996</v>
      </c>
      <c r="CF4" s="32" t="n">
        <v>47026</v>
      </c>
      <c r="CG4" s="32" t="n">
        <v>47057</v>
      </c>
      <c r="CH4" s="32" t="n">
        <v>47087</v>
      </c>
      <c r="CI4" s="242" t="n">
        <v>47118</v>
      </c>
      <c r="CJ4" s="32" t="n">
        <v>47149</v>
      </c>
      <c r="CK4" s="32" t="n">
        <v>47177</v>
      </c>
      <c r="CL4" s="32" t="n">
        <v>47208</v>
      </c>
      <c r="CM4" s="32" t="n">
        <v>47238</v>
      </c>
      <c r="CN4" s="32" t="n">
        <v>47269</v>
      </c>
      <c r="CO4" s="32" t="n">
        <v>47299</v>
      </c>
      <c r="CP4" s="32" t="n">
        <v>47330</v>
      </c>
      <c r="CQ4" s="32" t="n">
        <v>47361</v>
      </c>
      <c r="CR4" s="32" t="n">
        <v>47391</v>
      </c>
      <c r="CS4" s="32" t="n">
        <v>47422</v>
      </c>
      <c r="CT4" s="32" t="n">
        <v>47452</v>
      </c>
      <c r="CU4" s="242" t="n">
        <v>47483</v>
      </c>
      <c r="CV4" s="32" t="n">
        <v>47514</v>
      </c>
      <c r="CW4" s="32" t="n">
        <v>47542</v>
      </c>
      <c r="CX4" s="32" t="n">
        <v>47573</v>
      </c>
      <c r="CY4" s="32" t="n">
        <v>47603</v>
      </c>
      <c r="CZ4" s="32" t="n">
        <v>47634</v>
      </c>
      <c r="DA4" s="32" t="n">
        <v>47664</v>
      </c>
      <c r="DB4" s="32" t="n">
        <v>47695</v>
      </c>
      <c r="DC4" s="32" t="n">
        <v>47726</v>
      </c>
      <c r="DD4" s="32" t="n">
        <v>47756</v>
      </c>
      <c r="DE4" s="32" t="n">
        <v>47787</v>
      </c>
      <c r="DF4" s="32" t="n">
        <v>47817</v>
      </c>
      <c r="DG4" s="32" t="n">
        <v>47848</v>
      </c>
      <c r="DH4" s="32" t="n"/>
      <c r="DI4" s="32" t="n"/>
      <c r="DJ4" s="52" t="n"/>
    </row>
    <row r="5" hidden="1" s="627">
      <c r="B5" s="1" t="inlineStr">
        <is>
          <t>Income</t>
        </is>
      </c>
      <c r="C5" s="600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2" t="n"/>
      <c r="N5" s="2" t="n"/>
      <c r="O5" s="2" t="n"/>
      <c r="P5" s="2" t="n"/>
      <c r="AW5" s="243" t="n"/>
      <c r="AY5" s="628" t="n"/>
      <c r="BK5" s="243" t="n"/>
      <c r="BW5" s="243" t="n"/>
      <c r="CI5" s="243" t="n"/>
      <c r="CU5" s="243" t="n"/>
    </row>
    <row r="6" hidden="1" customFormat="1" s="111">
      <c r="B6" s="1" t="inlineStr">
        <is>
          <t xml:space="preserve">   40100 Nail Technician Services</t>
        </is>
      </c>
      <c r="C6" s="600" t="n"/>
      <c r="V6" s="111" t="n">
        <v>0</v>
      </c>
      <c r="AB6" s="111" t="n">
        <v>5520</v>
      </c>
      <c r="AC6" s="111" t="n">
        <v>6528.4</v>
      </c>
      <c r="AD6" s="111" t="n">
        <v>7633.5</v>
      </c>
      <c r="AE6" s="111" t="n">
        <v>7610.5</v>
      </c>
      <c r="AF6" s="111" t="n">
        <v>7767.15</v>
      </c>
      <c r="AG6" s="111" t="n">
        <v>6976.15</v>
      </c>
      <c r="AH6" s="111" t="n">
        <v>5696</v>
      </c>
      <c r="AI6" s="111" t="n">
        <v>7172.75</v>
      </c>
      <c r="AJ6" s="111" t="n">
        <v>4463.25</v>
      </c>
      <c r="AK6" s="111" t="n">
        <v>7444.5</v>
      </c>
      <c r="AL6" s="111" t="n">
        <v>4717</v>
      </c>
      <c r="AM6" s="111" t="n">
        <v>6221.6</v>
      </c>
      <c r="AN6" s="111" t="n">
        <v>6476.75</v>
      </c>
      <c r="AO6" s="111" t="n">
        <v>6155.39</v>
      </c>
      <c r="AP6" s="111" t="n">
        <v>6650.25</v>
      </c>
      <c r="AQ6" s="111" t="n">
        <v>7459.5</v>
      </c>
      <c r="AR6" s="111" t="n">
        <v>7496.95</v>
      </c>
      <c r="AS6" s="111" t="n">
        <v>6520.45</v>
      </c>
      <c r="AT6" s="111" t="n">
        <v>7050.8</v>
      </c>
      <c r="AU6" s="111" t="n">
        <v>7217.85</v>
      </c>
      <c r="AV6" s="111" t="n">
        <v>5873.45</v>
      </c>
      <c r="AW6" s="244">
        <f>6611</f>
        <v/>
      </c>
      <c r="AX6" s="820">
        <f>AX32*AX30</f>
        <v/>
      </c>
      <c r="AY6" s="821">
        <f>AY32*AY30</f>
        <v/>
      </c>
      <c r="AZ6" s="820">
        <f>AZ32*AZ30</f>
        <v/>
      </c>
      <c r="BA6" s="820">
        <f>BA32*BA30</f>
        <v/>
      </c>
      <c r="BB6" s="820">
        <f>BB32*BB30</f>
        <v/>
      </c>
      <c r="BC6" s="820">
        <f>BC32*BC30</f>
        <v/>
      </c>
      <c r="BD6" s="820">
        <f>BD32*BD30</f>
        <v/>
      </c>
      <c r="BE6" s="820">
        <f>BE32*BE30</f>
        <v/>
      </c>
      <c r="BF6" s="820">
        <f>BF32*BF30</f>
        <v/>
      </c>
      <c r="BG6" s="820">
        <f>BG32*BG30</f>
        <v/>
      </c>
      <c r="BH6" s="820">
        <f>BH32*BH30</f>
        <v/>
      </c>
      <c r="BI6" s="820">
        <f>BI32*BI30</f>
        <v/>
      </c>
      <c r="BJ6" s="820">
        <f>BJ32*BJ30</f>
        <v/>
      </c>
      <c r="BK6" s="822">
        <f>BK32*BK30</f>
        <v/>
      </c>
      <c r="BL6" s="820">
        <f>BL32*BL30</f>
        <v/>
      </c>
      <c r="BM6" s="820">
        <f>BM32*BM30</f>
        <v/>
      </c>
      <c r="BN6" s="820">
        <f>BN32*BN30</f>
        <v/>
      </c>
      <c r="BO6" s="820">
        <f>BO32*BO30</f>
        <v/>
      </c>
      <c r="BP6" s="820">
        <f>BP32*BP30</f>
        <v/>
      </c>
      <c r="BQ6" s="820">
        <f>BQ32*BQ30</f>
        <v/>
      </c>
      <c r="BR6" s="820">
        <f>BR32*BR30</f>
        <v/>
      </c>
      <c r="BS6" s="820">
        <f>BS32*BS30</f>
        <v/>
      </c>
      <c r="BT6" s="820">
        <f>BT32*BT30</f>
        <v/>
      </c>
      <c r="BU6" s="820">
        <f>BU32*BU30</f>
        <v/>
      </c>
      <c r="BV6" s="820">
        <f>BV32*BV30</f>
        <v/>
      </c>
      <c r="BW6" s="822">
        <f>BW32*BW30</f>
        <v/>
      </c>
      <c r="BX6" s="820">
        <f>BX32*BX30</f>
        <v/>
      </c>
      <c r="BY6" s="820">
        <f>BY32*BY30</f>
        <v/>
      </c>
      <c r="BZ6" s="820">
        <f>BZ32*BZ30</f>
        <v/>
      </c>
      <c r="CA6" s="820">
        <f>CA32*CA30</f>
        <v/>
      </c>
      <c r="CB6" s="820">
        <f>CB32*CB30</f>
        <v/>
      </c>
      <c r="CC6" s="820">
        <f>CC32*CC30</f>
        <v/>
      </c>
      <c r="CD6" s="820">
        <f>CD32*CD30</f>
        <v/>
      </c>
      <c r="CE6" s="820">
        <f>CE32*CE30</f>
        <v/>
      </c>
      <c r="CF6" s="820">
        <f>CF32*CF30</f>
        <v/>
      </c>
      <c r="CG6" s="820">
        <f>CG32*CG30</f>
        <v/>
      </c>
      <c r="CH6" s="820">
        <f>CH32*CH30</f>
        <v/>
      </c>
      <c r="CI6" s="822">
        <f>CI32*CI30</f>
        <v/>
      </c>
      <c r="CJ6" s="820">
        <f>CJ32*CJ30</f>
        <v/>
      </c>
      <c r="CK6" s="820">
        <f>CK32*CK30</f>
        <v/>
      </c>
      <c r="CL6" s="820">
        <f>CL32*CL30</f>
        <v/>
      </c>
      <c r="CM6" s="820">
        <f>CM32*CM30</f>
        <v/>
      </c>
      <c r="CN6" s="820">
        <f>CN32*CN30</f>
        <v/>
      </c>
      <c r="CO6" s="820">
        <f>CO32*CO30</f>
        <v/>
      </c>
      <c r="CP6" s="820">
        <f>CP32*CP30</f>
        <v/>
      </c>
      <c r="CQ6" s="820">
        <f>CQ32*CQ30</f>
        <v/>
      </c>
      <c r="CR6" s="820">
        <f>CR32*CR30</f>
        <v/>
      </c>
      <c r="CS6" s="820">
        <f>CS32*CS30</f>
        <v/>
      </c>
      <c r="CT6" s="820">
        <f>CT32*CT30</f>
        <v/>
      </c>
      <c r="CU6" s="822">
        <f>CU32*CU30</f>
        <v/>
      </c>
      <c r="CV6" s="820">
        <f>CV32*CV30</f>
        <v/>
      </c>
      <c r="CW6" s="820">
        <f>CW32*CW30</f>
        <v/>
      </c>
      <c r="CX6" s="820">
        <f>CX32*CX30</f>
        <v/>
      </c>
      <c r="CY6" s="820">
        <f>CY32*CY30</f>
        <v/>
      </c>
      <c r="CZ6" s="820">
        <f>CZ32*CZ30</f>
        <v/>
      </c>
      <c r="DA6" s="820">
        <f>DA32*DA30</f>
        <v/>
      </c>
      <c r="DB6" s="820">
        <f>DB32*DB30</f>
        <v/>
      </c>
      <c r="DC6" s="820">
        <f>DC32*DC30</f>
        <v/>
      </c>
      <c r="DD6" s="820">
        <f>DD32*DD30</f>
        <v/>
      </c>
      <c r="DE6" s="820">
        <f>DE32*DE30</f>
        <v/>
      </c>
      <c r="DF6" s="820">
        <f>DF32*DF30</f>
        <v/>
      </c>
      <c r="DG6" s="820">
        <f>DG32*DG30</f>
        <v/>
      </c>
    </row>
    <row r="7" hidden="1" customFormat="1" s="111">
      <c r="B7" s="1" t="inlineStr">
        <is>
          <t xml:space="preserve">   40800 Tips</t>
        </is>
      </c>
      <c r="C7" s="600" t="n"/>
      <c r="AB7" s="111" t="n">
        <v>208.5</v>
      </c>
      <c r="AC7" s="111" t="n">
        <v>282.85</v>
      </c>
      <c r="AD7" s="111" t="n">
        <v>291.5</v>
      </c>
      <c r="AE7" s="111" t="n">
        <v>286.5</v>
      </c>
      <c r="AF7" s="111" t="n">
        <v>310.85</v>
      </c>
      <c r="AG7" s="111" t="n">
        <v>357.85</v>
      </c>
      <c r="AH7" s="111" t="n">
        <v>349.5</v>
      </c>
      <c r="AI7" s="111" t="n">
        <v>382.25</v>
      </c>
      <c r="AJ7" s="111" t="n">
        <v>357</v>
      </c>
      <c r="AK7" s="111" t="n">
        <v>387.5</v>
      </c>
      <c r="AL7" s="111" t="n">
        <v>221.75</v>
      </c>
      <c r="AM7" s="111" t="n">
        <v>260.4</v>
      </c>
      <c r="AN7" s="111" t="n">
        <v>274.3</v>
      </c>
      <c r="AO7" s="111" t="n">
        <v>345.75</v>
      </c>
      <c r="AP7" s="111" t="n">
        <v>458.25</v>
      </c>
      <c r="AQ7" s="111" t="n">
        <v>402.25</v>
      </c>
      <c r="AR7" s="111" t="n">
        <v>410.67</v>
      </c>
      <c r="AS7" s="111" t="n">
        <v>382</v>
      </c>
      <c r="AT7" s="111" t="n">
        <v>382.75</v>
      </c>
      <c r="AU7" s="111" t="n">
        <v>435.5</v>
      </c>
      <c r="AV7" s="111" t="n">
        <v>387</v>
      </c>
      <c r="AW7" s="244">
        <f>387.25</f>
        <v/>
      </c>
      <c r="AX7" s="111">
        <f>+AX6*AX10</f>
        <v/>
      </c>
      <c r="AY7" s="615">
        <f>+AY6*AY10</f>
        <v/>
      </c>
      <c r="AZ7" s="111">
        <f>+AZ6*AZ10</f>
        <v/>
      </c>
      <c r="BA7" s="111">
        <f>+BA6*BA10</f>
        <v/>
      </c>
      <c r="BB7" s="111">
        <f>+BB6*BB10</f>
        <v/>
      </c>
      <c r="BC7" s="111">
        <f>+BC6*BC10</f>
        <v/>
      </c>
      <c r="BD7" s="111">
        <f>+BD6*BD10</f>
        <v/>
      </c>
      <c r="BE7" s="111">
        <f>+BE6*BE10</f>
        <v/>
      </c>
      <c r="BF7" s="111">
        <f>+BF6*BF10</f>
        <v/>
      </c>
      <c r="BG7" s="111">
        <f>+BG6*BG10</f>
        <v/>
      </c>
      <c r="BH7" s="111">
        <f>+BH6*BH10</f>
        <v/>
      </c>
      <c r="BI7" s="111">
        <f>+BI6*BI10</f>
        <v/>
      </c>
      <c r="BJ7" s="111">
        <f>+BJ6*BJ10</f>
        <v/>
      </c>
      <c r="BK7" s="244">
        <f>+BK6*BK10</f>
        <v/>
      </c>
      <c r="BL7" s="111">
        <f>+BL6*BL10</f>
        <v/>
      </c>
      <c r="BM7" s="111">
        <f>+BM6*BM10</f>
        <v/>
      </c>
      <c r="BN7" s="111">
        <f>+BN6*BN10</f>
        <v/>
      </c>
      <c r="BO7" s="111">
        <f>+BO6*BO10</f>
        <v/>
      </c>
      <c r="BP7" s="111">
        <f>+BP6*BP10</f>
        <v/>
      </c>
      <c r="BQ7" s="111">
        <f>+BQ6*BQ10</f>
        <v/>
      </c>
      <c r="BR7" s="111">
        <f>+BR6*BR10</f>
        <v/>
      </c>
      <c r="BS7" s="111">
        <f>+BS6*BS10</f>
        <v/>
      </c>
      <c r="BT7" s="111">
        <f>+BT6*BT10</f>
        <v/>
      </c>
      <c r="BU7" s="111">
        <f>+BU6*BU10</f>
        <v/>
      </c>
      <c r="BV7" s="111">
        <f>+BV6*BV10</f>
        <v/>
      </c>
      <c r="BW7" s="244">
        <f>+BW6*BW10</f>
        <v/>
      </c>
      <c r="BX7" s="111">
        <f>+BX6*BX10</f>
        <v/>
      </c>
      <c r="BY7" s="111">
        <f>+BY6*BY10</f>
        <v/>
      </c>
      <c r="BZ7" s="111">
        <f>+BZ6*BZ10</f>
        <v/>
      </c>
      <c r="CA7" s="111">
        <f>+CA6*CA10</f>
        <v/>
      </c>
      <c r="CB7" s="111">
        <f>+CB6*CB10</f>
        <v/>
      </c>
      <c r="CC7" s="111">
        <f>+CC6*CC10</f>
        <v/>
      </c>
      <c r="CD7" s="111">
        <f>+CD6*CD10</f>
        <v/>
      </c>
      <c r="CE7" s="111">
        <f>+CE6*CE10</f>
        <v/>
      </c>
      <c r="CF7" s="111">
        <f>+CF6*CF10</f>
        <v/>
      </c>
      <c r="CG7" s="111">
        <f>+CG6*CG10</f>
        <v/>
      </c>
      <c r="CH7" s="111">
        <f>+CH6*CH10</f>
        <v/>
      </c>
      <c r="CI7" s="244">
        <f>+CI6*CI10</f>
        <v/>
      </c>
      <c r="CJ7" s="111">
        <f>+CJ6*CJ10</f>
        <v/>
      </c>
      <c r="CK7" s="111">
        <f>+CK6*CK10</f>
        <v/>
      </c>
      <c r="CL7" s="111">
        <f>+CL6*CL10</f>
        <v/>
      </c>
      <c r="CM7" s="111">
        <f>+CM6*CM10</f>
        <v/>
      </c>
      <c r="CN7" s="111">
        <f>+CN6*CN10</f>
        <v/>
      </c>
      <c r="CO7" s="111">
        <f>+CO6*CO10</f>
        <v/>
      </c>
      <c r="CP7" s="111">
        <f>+CP6*CP10</f>
        <v/>
      </c>
      <c r="CQ7" s="111">
        <f>+CQ6*CQ10</f>
        <v/>
      </c>
      <c r="CR7" s="111">
        <f>+CR6*CR10</f>
        <v/>
      </c>
      <c r="CS7" s="111">
        <f>+CS6*CS10</f>
        <v/>
      </c>
      <c r="CT7" s="111">
        <f>+CT6*CT10</f>
        <v/>
      </c>
      <c r="CU7" s="244">
        <f>+CU6*CU10</f>
        <v/>
      </c>
      <c r="CV7" s="111">
        <f>+CV6*CV10</f>
        <v/>
      </c>
      <c r="CW7" s="111">
        <f>+CW6*CW10</f>
        <v/>
      </c>
      <c r="CX7" s="111">
        <f>+CX6*CX10</f>
        <v/>
      </c>
      <c r="CY7" s="111">
        <f>+CY6*CY10</f>
        <v/>
      </c>
      <c r="CZ7" s="111">
        <f>+CZ6*CZ10</f>
        <v/>
      </c>
      <c r="DA7" s="111">
        <f>+DA6*DA10</f>
        <v/>
      </c>
      <c r="DB7" s="111">
        <f>+DB6*DB10</f>
        <v/>
      </c>
      <c r="DC7" s="111">
        <f>+DC6*DC10</f>
        <v/>
      </c>
      <c r="DD7" s="111">
        <f>+DD6*DD10</f>
        <v/>
      </c>
      <c r="DE7" s="111">
        <f>+DE6*DE10</f>
        <v/>
      </c>
      <c r="DF7" s="111">
        <f>+DF6*DF10</f>
        <v/>
      </c>
      <c r="DG7" s="111">
        <f>+DG6*DG10</f>
        <v/>
      </c>
    </row>
    <row r="8" hidden="1" customFormat="1" s="111">
      <c r="B8" s="1" t="inlineStr">
        <is>
          <t xml:space="preserve">   40900 Refunds/Discounts</t>
        </is>
      </c>
      <c r="C8" s="600" t="n"/>
      <c r="AC8" s="111" t="n">
        <v>-65</v>
      </c>
      <c r="AD8" s="111" t="n">
        <v>-285.75</v>
      </c>
      <c r="AE8" s="111" t="n">
        <v>-80</v>
      </c>
      <c r="AF8" s="111" t="n">
        <v>-30</v>
      </c>
      <c r="AG8" s="111" t="n">
        <v>-180</v>
      </c>
      <c r="AH8" s="111" t="n">
        <v>-30</v>
      </c>
      <c r="AI8" s="111" t="n">
        <v>-260</v>
      </c>
      <c r="AJ8" s="111" t="n">
        <v>-282.25</v>
      </c>
      <c r="AK8" s="111" t="n">
        <v>-135</v>
      </c>
      <c r="AL8" s="111" t="n">
        <v>0</v>
      </c>
      <c r="AM8" s="111" t="n">
        <v>-330</v>
      </c>
      <c r="AN8" s="111" t="n">
        <v>-30</v>
      </c>
      <c r="AO8" s="111" t="n">
        <v>0</v>
      </c>
      <c r="AP8" s="111" t="n">
        <v>0</v>
      </c>
      <c r="AQ8" s="111" t="n">
        <v>0</v>
      </c>
      <c r="AR8" s="111" t="n">
        <v>-30</v>
      </c>
      <c r="AS8" s="111" t="n">
        <v>-15</v>
      </c>
      <c r="AT8" s="111" t="n">
        <v>-15</v>
      </c>
      <c r="AU8" s="111" t="n">
        <v>0</v>
      </c>
      <c r="AV8" s="111" t="n">
        <v>-90</v>
      </c>
      <c r="AW8" s="244" t="n"/>
      <c r="AX8" s="111">
        <f>+AX6*AX11</f>
        <v/>
      </c>
      <c r="AY8" s="615">
        <f>+AY6*AY11</f>
        <v/>
      </c>
      <c r="AZ8" s="111">
        <f>+AZ6*AZ11</f>
        <v/>
      </c>
      <c r="BA8" s="111">
        <f>+BA6*BA11</f>
        <v/>
      </c>
      <c r="BB8" s="111">
        <f>+BB6*BB11</f>
        <v/>
      </c>
      <c r="BC8" s="111">
        <f>+BC6*BC11</f>
        <v/>
      </c>
      <c r="BD8" s="111">
        <f>+BD6*BD11</f>
        <v/>
      </c>
      <c r="BE8" s="111">
        <f>+BE6*BE11</f>
        <v/>
      </c>
      <c r="BF8" s="111">
        <f>+BF6*BF11</f>
        <v/>
      </c>
      <c r="BG8" s="111">
        <f>+BG6*BG11</f>
        <v/>
      </c>
      <c r="BH8" s="111">
        <f>+BH6*BH11</f>
        <v/>
      </c>
      <c r="BI8" s="111">
        <f>+BI6*BI11</f>
        <v/>
      </c>
      <c r="BJ8" s="111">
        <f>+BJ6*BJ11</f>
        <v/>
      </c>
      <c r="BK8" s="244">
        <f>+BK6*BK11</f>
        <v/>
      </c>
      <c r="BL8" s="111">
        <f>+BL6*BL11</f>
        <v/>
      </c>
      <c r="BM8" s="111">
        <f>+BM6*BM11</f>
        <v/>
      </c>
      <c r="BN8" s="111">
        <f>+BN6*BN11</f>
        <v/>
      </c>
      <c r="BO8" s="111">
        <f>+BO6*BO11</f>
        <v/>
      </c>
      <c r="BP8" s="111">
        <f>+BP6*BP11</f>
        <v/>
      </c>
      <c r="BQ8" s="111">
        <f>+BQ6*BQ11</f>
        <v/>
      </c>
      <c r="BR8" s="111">
        <f>+BR6*BR11</f>
        <v/>
      </c>
      <c r="BS8" s="111">
        <f>+BS6*BS11</f>
        <v/>
      </c>
      <c r="BT8" s="111">
        <f>+BT6*BT11</f>
        <v/>
      </c>
      <c r="BU8" s="111">
        <f>+BU6*BU11</f>
        <v/>
      </c>
      <c r="BV8" s="111">
        <f>+BV6*BV11</f>
        <v/>
      </c>
      <c r="BW8" s="244">
        <f>+BW6*BW11</f>
        <v/>
      </c>
      <c r="BX8" s="111">
        <f>+BX6*BX11</f>
        <v/>
      </c>
      <c r="BY8" s="111">
        <f>+BY6*BY11</f>
        <v/>
      </c>
      <c r="BZ8" s="111">
        <f>+BZ6*BZ11</f>
        <v/>
      </c>
      <c r="CA8" s="111">
        <f>+CA6*CA11</f>
        <v/>
      </c>
      <c r="CB8" s="111">
        <f>+CB6*CB11</f>
        <v/>
      </c>
      <c r="CC8" s="111">
        <f>+CC6*CC11</f>
        <v/>
      </c>
      <c r="CD8" s="111">
        <f>+CD6*CD11</f>
        <v/>
      </c>
      <c r="CE8" s="111">
        <f>+CE6*CE11</f>
        <v/>
      </c>
      <c r="CF8" s="111">
        <f>+CF6*CF11</f>
        <v/>
      </c>
      <c r="CG8" s="111">
        <f>+CG6*CG11</f>
        <v/>
      </c>
      <c r="CH8" s="111">
        <f>+CH6*CH11</f>
        <v/>
      </c>
      <c r="CI8" s="244">
        <f>+CI6*CI11</f>
        <v/>
      </c>
      <c r="CJ8" s="111">
        <f>+CJ6*CJ11</f>
        <v/>
      </c>
      <c r="CK8" s="111">
        <f>+CK6*CK11</f>
        <v/>
      </c>
      <c r="CL8" s="111">
        <f>+CL6*CL11</f>
        <v/>
      </c>
      <c r="CM8" s="111">
        <f>+CM6*CM11</f>
        <v/>
      </c>
      <c r="CN8" s="111">
        <f>+CN6*CN11</f>
        <v/>
      </c>
      <c r="CO8" s="111">
        <f>+CO6*CO11</f>
        <v/>
      </c>
      <c r="CP8" s="111">
        <f>+CP6*CP11</f>
        <v/>
      </c>
      <c r="CQ8" s="111">
        <f>+CQ6*CQ11</f>
        <v/>
      </c>
      <c r="CR8" s="111">
        <f>+CR6*CR11</f>
        <v/>
      </c>
      <c r="CS8" s="111">
        <f>+CS6*CS11</f>
        <v/>
      </c>
      <c r="CT8" s="111">
        <f>+CT6*CT11</f>
        <v/>
      </c>
      <c r="CU8" s="244">
        <f>+CU6*CU11</f>
        <v/>
      </c>
      <c r="CV8" s="111">
        <f>+CV6*CV11</f>
        <v/>
      </c>
      <c r="CW8" s="111">
        <f>+CW6*CW11</f>
        <v/>
      </c>
      <c r="CX8" s="111">
        <f>+CX6*CX11</f>
        <v/>
      </c>
      <c r="CY8" s="111">
        <f>+CY6*CY11</f>
        <v/>
      </c>
      <c r="CZ8" s="111">
        <f>+CZ6*CZ11</f>
        <v/>
      </c>
      <c r="DA8" s="111">
        <f>+DA6*DA11</f>
        <v/>
      </c>
      <c r="DB8" s="111">
        <f>+DB6*DB11</f>
        <v/>
      </c>
      <c r="DC8" s="111">
        <f>+DC6*DC11</f>
        <v/>
      </c>
      <c r="DD8" s="111">
        <f>+DD6*DD11</f>
        <v/>
      </c>
      <c r="DE8" s="111">
        <f>+DE6*DE11</f>
        <v/>
      </c>
      <c r="DF8" s="111">
        <f>+DF6*DF11</f>
        <v/>
      </c>
      <c r="DG8" s="111">
        <f>+DG6*DG11</f>
        <v/>
      </c>
    </row>
    <row r="9" customFormat="1" s="3">
      <c r="B9" s="4" t="inlineStr">
        <is>
          <t xml:space="preserve">   Total 40000 Service Income</t>
        </is>
      </c>
      <c r="C9" s="601" t="inlineStr">
        <is>
          <t>Revenue</t>
        </is>
      </c>
      <c r="D9" s="823">
        <f>+(D6)</f>
        <v/>
      </c>
      <c r="E9" s="823">
        <f>+(E6)</f>
        <v/>
      </c>
      <c r="F9" s="823" t="n">
        <v>0</v>
      </c>
      <c r="G9" s="823" t="n">
        <v>0</v>
      </c>
      <c r="H9" s="823" t="n">
        <v>0</v>
      </c>
      <c r="I9" s="823" t="n">
        <v>0</v>
      </c>
      <c r="J9" s="823" t="n">
        <v>0</v>
      </c>
      <c r="K9" s="823">
        <f>SUM(K6:K6)</f>
        <v/>
      </c>
      <c r="L9" s="823">
        <f>SUM(L6:L6)</f>
        <v/>
      </c>
      <c r="M9" s="823">
        <f>SUM(M6:M6)</f>
        <v/>
      </c>
      <c r="N9" s="823">
        <f>SUM(N6:N6)</f>
        <v/>
      </c>
      <c r="O9" s="823">
        <f>SUM(O6:O6)</f>
        <v/>
      </c>
      <c r="P9" s="823">
        <f>SUM(P6:P6)</f>
        <v/>
      </c>
      <c r="Q9" s="823">
        <f>SUM(Q6:Q6)</f>
        <v/>
      </c>
      <c r="R9" s="823">
        <f>SUM(R6:R6)</f>
        <v/>
      </c>
      <c r="S9" s="823">
        <f>SUM(S6:S6)</f>
        <v/>
      </c>
      <c r="T9" s="823">
        <f>SUM(T6:T6)</f>
        <v/>
      </c>
      <c r="U9" s="823">
        <f>SUM(U6:U6)</f>
        <v/>
      </c>
      <c r="V9" s="823">
        <f>SUM(V6:V6)</f>
        <v/>
      </c>
      <c r="W9" s="823">
        <f>SUM(W6:W6)</f>
        <v/>
      </c>
      <c r="X9" s="823">
        <f>SUM(X6:X6)</f>
        <v/>
      </c>
      <c r="Y9" s="823">
        <f>SUM(Y6:Y6)</f>
        <v/>
      </c>
      <c r="Z9" s="823">
        <f>SUM(Z6:Z6)</f>
        <v/>
      </c>
      <c r="AA9" s="823">
        <f>SUM(AA6:AA6)</f>
        <v/>
      </c>
      <c r="AB9" s="823">
        <f>SUM(AB6:AB8)</f>
        <v/>
      </c>
      <c r="AC9" s="823">
        <f>SUM(AC6:AC8)</f>
        <v/>
      </c>
      <c r="AD9" s="823">
        <f>SUM(AD6:AD8)</f>
        <v/>
      </c>
      <c r="AE9" s="823">
        <f>SUM(AE6:AE8)</f>
        <v/>
      </c>
      <c r="AF9" s="823">
        <f>SUM(AF6:AF8)</f>
        <v/>
      </c>
      <c r="AG9" s="823">
        <f>SUM(AG6:AG8)</f>
        <v/>
      </c>
      <c r="AH9" s="823">
        <f>SUM(AH6:AH8)</f>
        <v/>
      </c>
      <c r="AI9" s="823">
        <f>SUM(AI6:AI8)</f>
        <v/>
      </c>
      <c r="AJ9" s="823">
        <f>SUM(AJ6:AJ8)</f>
        <v/>
      </c>
      <c r="AK9" s="823">
        <f>SUM(AK6:AK8)</f>
        <v/>
      </c>
      <c r="AL9" s="824">
        <f>SUM(AL6:AL8)</f>
        <v/>
      </c>
      <c r="AM9" s="824">
        <f>SUM(AM6:AM8)</f>
        <v/>
      </c>
      <c r="AN9" s="824">
        <f>SUM(AN6:AN8)</f>
        <v/>
      </c>
      <c r="AO9" s="824">
        <f>SUM(AO6:AO8)</f>
        <v/>
      </c>
      <c r="AP9" s="824">
        <f>SUM(AP6:AP8)</f>
        <v/>
      </c>
      <c r="AQ9" s="824">
        <f>SUM(AQ6:AQ8)</f>
        <v/>
      </c>
      <c r="AR9" s="824">
        <f>SUM(AR6:AR8)</f>
        <v/>
      </c>
      <c r="AS9" s="824">
        <f>SUM(AS6:AS8)</f>
        <v/>
      </c>
      <c r="AT9" s="824">
        <f>SUM(AT6:AT8)</f>
        <v/>
      </c>
      <c r="AU9" s="824">
        <f>SUM(AU6:AU8)</f>
        <v/>
      </c>
      <c r="AV9" s="824">
        <f>SUM(AV6:AV8)</f>
        <v/>
      </c>
      <c r="AW9" s="825">
        <f>SUM(AW6:AW8)</f>
        <v/>
      </c>
      <c r="AX9" s="826">
        <f>SUM(AX6:AX8)</f>
        <v/>
      </c>
      <c r="AY9" s="827">
        <f>SUM(AY6:AY8)</f>
        <v/>
      </c>
      <c r="AZ9" s="828">
        <f>SUM(AZ6:AZ8)</f>
        <v/>
      </c>
      <c r="BA9" s="828">
        <f>SUM(BA6:BA8)</f>
        <v/>
      </c>
      <c r="BB9" s="828">
        <f>SUM(BB6:BB8)</f>
        <v/>
      </c>
      <c r="BC9" s="828">
        <f>SUM(BC6:BC8)</f>
        <v/>
      </c>
      <c r="BD9" s="828">
        <f>SUM(BD6:BD8)</f>
        <v/>
      </c>
      <c r="BE9" s="828">
        <f>SUM(BE6:BE8)</f>
        <v/>
      </c>
      <c r="BF9" s="828">
        <f>SUM(BF6:BF8)</f>
        <v/>
      </c>
      <c r="BG9" s="828">
        <f>SUM(BG6:BG8)</f>
        <v/>
      </c>
      <c r="BH9" s="828">
        <f>SUM(BH6:BH8)</f>
        <v/>
      </c>
      <c r="BI9" s="828">
        <f>SUM(BI6:BI8)</f>
        <v/>
      </c>
      <c r="BJ9" s="828">
        <f>SUM(BJ6:BJ8)</f>
        <v/>
      </c>
      <c r="BK9" s="829">
        <f>SUM(BK6:BK8)</f>
        <v/>
      </c>
      <c r="BL9" s="828">
        <f>SUM(BL6:BL8)</f>
        <v/>
      </c>
      <c r="BM9" s="828">
        <f>SUM(BM6:BM8)</f>
        <v/>
      </c>
      <c r="BN9" s="828">
        <f>SUM(BN6:BN8)</f>
        <v/>
      </c>
      <c r="BO9" s="828">
        <f>SUM(BO6:BO8)</f>
        <v/>
      </c>
      <c r="BP9" s="828">
        <f>SUM(BP6:BP8)</f>
        <v/>
      </c>
      <c r="BQ9" s="828">
        <f>SUM(BQ6:BQ8)</f>
        <v/>
      </c>
      <c r="BR9" s="828">
        <f>SUM(BR6:BR8)</f>
        <v/>
      </c>
      <c r="BS9" s="828">
        <f>SUM(BS6:BS8)</f>
        <v/>
      </c>
      <c r="BT9" s="828">
        <f>SUM(BT6:BT8)</f>
        <v/>
      </c>
      <c r="BU9" s="828">
        <f>SUM(BU6:BU8)</f>
        <v/>
      </c>
      <c r="BV9" s="828">
        <f>SUM(BV6:BV8)</f>
        <v/>
      </c>
      <c r="BW9" s="829">
        <f>SUM(BW6:BW8)</f>
        <v/>
      </c>
      <c r="BX9" s="828">
        <f>SUM(BX6:BX8)</f>
        <v/>
      </c>
      <c r="BY9" s="828">
        <f>SUM(BY6:BY8)</f>
        <v/>
      </c>
      <c r="BZ9" s="828">
        <f>SUM(BZ6:BZ8)</f>
        <v/>
      </c>
      <c r="CA9" s="828">
        <f>SUM(CA6:CA8)</f>
        <v/>
      </c>
      <c r="CB9" s="828">
        <f>SUM(CB6:CB8)</f>
        <v/>
      </c>
      <c r="CC9" s="828">
        <f>SUM(CC6:CC8)</f>
        <v/>
      </c>
      <c r="CD9" s="828">
        <f>SUM(CD6:CD8)</f>
        <v/>
      </c>
      <c r="CE9" s="828">
        <f>SUM(CE6:CE8)</f>
        <v/>
      </c>
      <c r="CF9" s="828">
        <f>SUM(CF6:CF8)</f>
        <v/>
      </c>
      <c r="CG9" s="828">
        <f>SUM(CG6:CG8)</f>
        <v/>
      </c>
      <c r="CH9" s="828">
        <f>SUM(CH6:CH8)</f>
        <v/>
      </c>
      <c r="CI9" s="829">
        <f>SUM(CI6:CI8)</f>
        <v/>
      </c>
      <c r="CJ9" s="828">
        <f>SUM(CJ6:CJ8)</f>
        <v/>
      </c>
      <c r="CK9" s="828">
        <f>SUM(CK6:CK8)</f>
        <v/>
      </c>
      <c r="CL9" s="828">
        <f>SUM(CL6:CL8)</f>
        <v/>
      </c>
      <c r="CM9" s="828">
        <f>SUM(CM6:CM8)</f>
        <v/>
      </c>
      <c r="CN9" s="828">
        <f>SUM(CN6:CN8)</f>
        <v/>
      </c>
      <c r="CO9" s="828">
        <f>SUM(CO6:CO8)</f>
        <v/>
      </c>
      <c r="CP9" s="828">
        <f>SUM(CP6:CP8)</f>
        <v/>
      </c>
      <c r="CQ9" s="828">
        <f>SUM(CQ6:CQ8)</f>
        <v/>
      </c>
      <c r="CR9" s="828">
        <f>SUM(CR6:CR8)</f>
        <v/>
      </c>
      <c r="CS9" s="828">
        <f>SUM(CS6:CS8)</f>
        <v/>
      </c>
      <c r="CT9" s="828">
        <f>SUM(CT6:CT8)</f>
        <v/>
      </c>
      <c r="CU9" s="829">
        <f>SUM(CU6:CU8)</f>
        <v/>
      </c>
      <c r="CV9" s="828">
        <f>SUM(CV6:CV8)</f>
        <v/>
      </c>
      <c r="CW9" s="828">
        <f>SUM(CW6:CW8)</f>
        <v/>
      </c>
      <c r="CX9" s="828">
        <f>SUM(CX6:CX8)</f>
        <v/>
      </c>
      <c r="CY9" s="828">
        <f>SUM(CY6:CY8)</f>
        <v/>
      </c>
      <c r="CZ9" s="828">
        <f>SUM(CZ6:CZ8)</f>
        <v/>
      </c>
      <c r="DA9" s="828">
        <f>SUM(DA6:DA8)</f>
        <v/>
      </c>
      <c r="DB9" s="828">
        <f>SUM(DB6:DB8)</f>
        <v/>
      </c>
      <c r="DC9" s="828">
        <f>SUM(DC6:DC8)</f>
        <v/>
      </c>
      <c r="DD9" s="828">
        <f>SUM(DD6:DD8)</f>
        <v/>
      </c>
      <c r="DE9" s="828">
        <f>SUM(DE6:DE8)</f>
        <v/>
      </c>
      <c r="DF9" s="828">
        <f>SUM(DF6:DF8)</f>
        <v/>
      </c>
      <c r="DG9" s="828">
        <f>SUM(DG6:DG8)</f>
        <v/>
      </c>
      <c r="DH9" s="830" t="n"/>
    </row>
    <row r="10" customFormat="1" s="831">
      <c r="A10" s="465" t="n"/>
      <c r="B10" s="466" t="n"/>
      <c r="C10" s="602" t="inlineStr">
        <is>
          <t>Tips as a % of Revenue</t>
        </is>
      </c>
      <c r="W10" s="832" t="n"/>
      <c r="X10" s="832" t="n"/>
      <c r="Y10" s="832" t="n"/>
      <c r="Z10" s="832" t="n"/>
      <c r="AA10" s="832" t="n"/>
      <c r="AB10" s="832">
        <f>+AB7/AB9</f>
        <v/>
      </c>
      <c r="AC10" s="832">
        <f>+AC7/AC9</f>
        <v/>
      </c>
      <c r="AD10" s="832">
        <f>+AD7/AD9</f>
        <v/>
      </c>
      <c r="AE10" s="832">
        <f>+AE7/AE9</f>
        <v/>
      </c>
      <c r="AF10" s="832">
        <f>+AF7/AF9</f>
        <v/>
      </c>
      <c r="AG10" s="832">
        <f>+AG7/AG9</f>
        <v/>
      </c>
      <c r="AH10" s="832">
        <f>+AH7/AH9</f>
        <v/>
      </c>
      <c r="AI10" s="832">
        <f>+AI7/AI9</f>
        <v/>
      </c>
      <c r="AJ10" s="832">
        <f>+AJ7/AJ9</f>
        <v/>
      </c>
      <c r="AK10" s="832">
        <f>+AK7/AK9</f>
        <v/>
      </c>
      <c r="AL10" s="832">
        <f>+AL7/AL9</f>
        <v/>
      </c>
      <c r="AM10" s="832">
        <f>+AM7/AM9</f>
        <v/>
      </c>
      <c r="AN10" s="832">
        <f>+AN7/AN9</f>
        <v/>
      </c>
      <c r="AO10" s="832">
        <f>+AO7/AO9</f>
        <v/>
      </c>
      <c r="AP10" s="832">
        <f>+AP7/AP9</f>
        <v/>
      </c>
      <c r="AQ10" s="832">
        <f>+AQ7/AQ9</f>
        <v/>
      </c>
      <c r="AR10" s="832">
        <f>+AR7/AR9</f>
        <v/>
      </c>
      <c r="AS10" s="832">
        <f>+AS7/AS9</f>
        <v/>
      </c>
      <c r="AT10" s="832">
        <f>+AT7/AT9</f>
        <v/>
      </c>
      <c r="AU10" s="832">
        <f>+AU7/AU9</f>
        <v/>
      </c>
      <c r="AV10" s="832">
        <f>+AV7/AV9</f>
        <v/>
      </c>
      <c r="AW10" s="833">
        <f>+AW7/AW9</f>
        <v/>
      </c>
      <c r="AX10" s="834">
        <f>+AVERAGE(AR10:AW10)</f>
        <v/>
      </c>
      <c r="AY10" s="835">
        <f>+AX10</f>
        <v/>
      </c>
      <c r="AZ10" s="832">
        <f>+AY10</f>
        <v/>
      </c>
      <c r="BA10" s="832">
        <f>+AZ10</f>
        <v/>
      </c>
      <c r="BB10" s="832">
        <f>+BA10</f>
        <v/>
      </c>
      <c r="BC10" s="832">
        <f>+BB10</f>
        <v/>
      </c>
      <c r="BD10" s="832">
        <f>+BC10</f>
        <v/>
      </c>
      <c r="BE10" s="832">
        <f>+BD10</f>
        <v/>
      </c>
      <c r="BF10" s="832">
        <f>+BE10</f>
        <v/>
      </c>
      <c r="BG10" s="832">
        <f>+BF10</f>
        <v/>
      </c>
      <c r="BH10" s="832">
        <f>+BG10</f>
        <v/>
      </c>
      <c r="BI10" s="832">
        <f>+BH10</f>
        <v/>
      </c>
      <c r="BJ10" s="832">
        <f>+BI10</f>
        <v/>
      </c>
      <c r="BK10" s="833">
        <f>+BJ10</f>
        <v/>
      </c>
      <c r="BL10" s="832">
        <f>+BK10</f>
        <v/>
      </c>
      <c r="BM10" s="832">
        <f>+BL10</f>
        <v/>
      </c>
      <c r="BN10" s="832">
        <f>+BM10</f>
        <v/>
      </c>
      <c r="BO10" s="832">
        <f>+BN10</f>
        <v/>
      </c>
      <c r="BP10" s="832">
        <f>+BO10</f>
        <v/>
      </c>
      <c r="BQ10" s="832">
        <f>+BP10</f>
        <v/>
      </c>
      <c r="BR10" s="832">
        <f>+BQ10</f>
        <v/>
      </c>
      <c r="BS10" s="832">
        <f>+BR10</f>
        <v/>
      </c>
      <c r="BT10" s="832">
        <f>+BS10</f>
        <v/>
      </c>
      <c r="BU10" s="832">
        <f>+BT10</f>
        <v/>
      </c>
      <c r="BV10" s="832">
        <f>+BU10</f>
        <v/>
      </c>
      <c r="BW10" s="833">
        <f>+BV10</f>
        <v/>
      </c>
      <c r="BX10" s="832">
        <f>+BW10</f>
        <v/>
      </c>
      <c r="BY10" s="832">
        <f>+BX10</f>
        <v/>
      </c>
      <c r="BZ10" s="832">
        <f>+BY10</f>
        <v/>
      </c>
      <c r="CA10" s="832">
        <f>+BZ10</f>
        <v/>
      </c>
      <c r="CB10" s="832">
        <f>+CA10</f>
        <v/>
      </c>
      <c r="CC10" s="832">
        <f>+CB10</f>
        <v/>
      </c>
      <c r="CD10" s="832">
        <f>+CC10</f>
        <v/>
      </c>
      <c r="CE10" s="832">
        <f>+CD10</f>
        <v/>
      </c>
      <c r="CF10" s="832">
        <f>+CE10</f>
        <v/>
      </c>
      <c r="CG10" s="832">
        <f>+CF10</f>
        <v/>
      </c>
      <c r="CH10" s="832">
        <f>+CG10</f>
        <v/>
      </c>
      <c r="CI10" s="833">
        <f>+CH10</f>
        <v/>
      </c>
      <c r="CJ10" s="832">
        <f>+CI10</f>
        <v/>
      </c>
      <c r="CK10" s="832">
        <f>+CJ10</f>
        <v/>
      </c>
      <c r="CL10" s="832">
        <f>+CK10</f>
        <v/>
      </c>
      <c r="CM10" s="832">
        <f>+CL10</f>
        <v/>
      </c>
      <c r="CN10" s="832">
        <f>+CM10</f>
        <v/>
      </c>
      <c r="CO10" s="832">
        <f>+CN10</f>
        <v/>
      </c>
      <c r="CP10" s="832">
        <f>+CO10</f>
        <v/>
      </c>
      <c r="CQ10" s="832">
        <f>+CP10</f>
        <v/>
      </c>
      <c r="CR10" s="832">
        <f>+CQ10</f>
        <v/>
      </c>
      <c r="CS10" s="832">
        <f>+CR10</f>
        <v/>
      </c>
      <c r="CT10" s="832">
        <f>+CS10</f>
        <v/>
      </c>
      <c r="CU10" s="833">
        <f>+CT10</f>
        <v/>
      </c>
      <c r="CV10" s="832">
        <f>+CU10</f>
        <v/>
      </c>
      <c r="CW10" s="832">
        <f>+CV10</f>
        <v/>
      </c>
      <c r="CX10" s="832">
        <f>+CW10</f>
        <v/>
      </c>
      <c r="CY10" s="832">
        <f>+CX10</f>
        <v/>
      </c>
      <c r="CZ10" s="832">
        <f>+CY10</f>
        <v/>
      </c>
      <c r="DA10" s="832">
        <f>+CZ10</f>
        <v/>
      </c>
      <c r="DB10" s="832">
        <f>+DA10</f>
        <v/>
      </c>
      <c r="DC10" s="832">
        <f>+DB10</f>
        <v/>
      </c>
      <c r="DD10" s="832">
        <f>+DC10</f>
        <v/>
      </c>
      <c r="DE10" s="832">
        <f>+DD10</f>
        <v/>
      </c>
      <c r="DF10" s="832">
        <f>+DE10</f>
        <v/>
      </c>
      <c r="DG10" s="832">
        <f>+DF10</f>
        <v/>
      </c>
    </row>
    <row r="11" customFormat="1" s="831">
      <c r="A11" s="465" t="n"/>
      <c r="B11" s="466" t="n"/>
      <c r="C11" s="602" t="inlineStr">
        <is>
          <t>Refunds as a % of Revenue</t>
        </is>
      </c>
      <c r="W11" s="832" t="n"/>
      <c r="X11" s="832" t="n"/>
      <c r="Y11" s="832" t="n"/>
      <c r="Z11" s="832" t="n"/>
      <c r="AA11" s="832" t="n"/>
      <c r="AB11" s="832">
        <f>+AB8/AB9</f>
        <v/>
      </c>
      <c r="AC11" s="832">
        <f>+AC8/AC9</f>
        <v/>
      </c>
      <c r="AD11" s="832">
        <f>+AD8/AD9</f>
        <v/>
      </c>
      <c r="AE11" s="832">
        <f>+AE8/AE9</f>
        <v/>
      </c>
      <c r="AF11" s="832">
        <f>+AF8/AF9</f>
        <v/>
      </c>
      <c r="AG11" s="832">
        <f>+AG8/AG9</f>
        <v/>
      </c>
      <c r="AH11" s="832">
        <f>+AH8/AH9</f>
        <v/>
      </c>
      <c r="AI11" s="832">
        <f>+AI8/AI9</f>
        <v/>
      </c>
      <c r="AJ11" s="832">
        <f>+AJ8/AJ9</f>
        <v/>
      </c>
      <c r="AK11" s="832">
        <f>+AK8/AK9</f>
        <v/>
      </c>
      <c r="AL11" s="832">
        <f>+AL8/AL9</f>
        <v/>
      </c>
      <c r="AM11" s="832">
        <f>+AM8/AM9</f>
        <v/>
      </c>
      <c r="AN11" s="832">
        <f>+AN8/AN9</f>
        <v/>
      </c>
      <c r="AO11" s="832">
        <f>+AO8/AO9</f>
        <v/>
      </c>
      <c r="AP11" s="832">
        <f>+AP8/AP9</f>
        <v/>
      </c>
      <c r="AQ11" s="832">
        <f>+AQ8/AQ9</f>
        <v/>
      </c>
      <c r="AR11" s="832">
        <f>+AR8/AR9</f>
        <v/>
      </c>
      <c r="AS11" s="832">
        <f>+AS8/AS9</f>
        <v/>
      </c>
      <c r="AT11" s="832">
        <f>+AT8/AT9</f>
        <v/>
      </c>
      <c r="AU11" s="832">
        <f>+AU8/AU9</f>
        <v/>
      </c>
      <c r="AV11" s="832">
        <f>+AV8/AV9</f>
        <v/>
      </c>
      <c r="AW11" s="833">
        <f>+AW8/AW9</f>
        <v/>
      </c>
      <c r="AX11" s="834">
        <f>+AVERAGE(AR11:AW11)</f>
        <v/>
      </c>
      <c r="AY11" s="835">
        <f>+AX11</f>
        <v/>
      </c>
      <c r="AZ11" s="832">
        <f>+AY11</f>
        <v/>
      </c>
      <c r="BA11" s="832">
        <f>+AZ11</f>
        <v/>
      </c>
      <c r="BB11" s="832">
        <f>+BA11</f>
        <v/>
      </c>
      <c r="BC11" s="832">
        <f>+BB11</f>
        <v/>
      </c>
      <c r="BD11" s="832">
        <f>+BC11</f>
        <v/>
      </c>
      <c r="BE11" s="832">
        <f>+BD11</f>
        <v/>
      </c>
      <c r="BF11" s="832">
        <f>+BE11</f>
        <v/>
      </c>
      <c r="BG11" s="832">
        <f>+BF11</f>
        <v/>
      </c>
      <c r="BH11" s="832">
        <f>+BG11</f>
        <v/>
      </c>
      <c r="BI11" s="832">
        <f>+BH11</f>
        <v/>
      </c>
      <c r="BJ11" s="832">
        <f>+BI11</f>
        <v/>
      </c>
      <c r="BK11" s="833">
        <f>+BJ11</f>
        <v/>
      </c>
      <c r="BL11" s="832">
        <f>+BK11</f>
        <v/>
      </c>
      <c r="BM11" s="832">
        <f>+BL11</f>
        <v/>
      </c>
      <c r="BN11" s="832">
        <f>+BM11</f>
        <v/>
      </c>
      <c r="BO11" s="832">
        <f>+BN11</f>
        <v/>
      </c>
      <c r="BP11" s="832">
        <f>+BO11</f>
        <v/>
      </c>
      <c r="BQ11" s="832">
        <f>+BP11</f>
        <v/>
      </c>
      <c r="BR11" s="832">
        <f>+BQ11</f>
        <v/>
      </c>
      <c r="BS11" s="832">
        <f>+BR11</f>
        <v/>
      </c>
      <c r="BT11" s="832">
        <f>+BS11</f>
        <v/>
      </c>
      <c r="BU11" s="832">
        <f>+BT11</f>
        <v/>
      </c>
      <c r="BV11" s="832">
        <f>+BU11</f>
        <v/>
      </c>
      <c r="BW11" s="833">
        <f>+BV11</f>
        <v/>
      </c>
      <c r="BX11" s="832">
        <f>+BW11</f>
        <v/>
      </c>
      <c r="BY11" s="832">
        <f>+BX11</f>
        <v/>
      </c>
      <c r="BZ11" s="832">
        <f>+BY11</f>
        <v/>
      </c>
      <c r="CA11" s="832">
        <f>+BZ11</f>
        <v/>
      </c>
      <c r="CB11" s="832">
        <f>+CA11</f>
        <v/>
      </c>
      <c r="CC11" s="832">
        <f>+CB11</f>
        <v/>
      </c>
      <c r="CD11" s="832">
        <f>+CC11</f>
        <v/>
      </c>
      <c r="CE11" s="832">
        <f>+CD11</f>
        <v/>
      </c>
      <c r="CF11" s="832">
        <f>+CE11</f>
        <v/>
      </c>
      <c r="CG11" s="832">
        <f>+CF11</f>
        <v/>
      </c>
      <c r="CH11" s="832">
        <f>+CG11</f>
        <v/>
      </c>
      <c r="CI11" s="833">
        <f>+CH11</f>
        <v/>
      </c>
      <c r="CJ11" s="832">
        <f>+CI11</f>
        <v/>
      </c>
      <c r="CK11" s="832">
        <f>+CJ11</f>
        <v/>
      </c>
      <c r="CL11" s="832">
        <f>+CK11</f>
        <v/>
      </c>
      <c r="CM11" s="832">
        <f>+CL11</f>
        <v/>
      </c>
      <c r="CN11" s="832">
        <f>+CM11</f>
        <v/>
      </c>
      <c r="CO11" s="832">
        <f>+CN11</f>
        <v/>
      </c>
      <c r="CP11" s="832">
        <f>+CO11</f>
        <v/>
      </c>
      <c r="CQ11" s="832">
        <f>+CP11</f>
        <v/>
      </c>
      <c r="CR11" s="832">
        <f>+CQ11</f>
        <v/>
      </c>
      <c r="CS11" s="832">
        <f>+CR11</f>
        <v/>
      </c>
      <c r="CT11" s="832">
        <f>+CS11</f>
        <v/>
      </c>
      <c r="CU11" s="833">
        <f>+CT11</f>
        <v/>
      </c>
      <c r="CV11" s="832">
        <f>+CU11</f>
        <v/>
      </c>
      <c r="CW11" s="832">
        <f>+CV11</f>
        <v/>
      </c>
      <c r="CX11" s="832">
        <f>+CW11</f>
        <v/>
      </c>
      <c r="CY11" s="832">
        <f>+CX11</f>
        <v/>
      </c>
      <c r="CZ11" s="832">
        <f>+CY11</f>
        <v/>
      </c>
      <c r="DA11" s="832">
        <f>+CZ11</f>
        <v/>
      </c>
      <c r="DB11" s="832">
        <f>+DA11</f>
        <v/>
      </c>
      <c r="DC11" s="832">
        <f>+DB11</f>
        <v/>
      </c>
      <c r="DD11" s="832">
        <f>+DC11</f>
        <v/>
      </c>
      <c r="DE11" s="832">
        <f>+DD11</f>
        <v/>
      </c>
      <c r="DF11" s="832">
        <f>+DE11</f>
        <v/>
      </c>
      <c r="DG11" s="832">
        <f>+DF11</f>
        <v/>
      </c>
    </row>
    <row r="12" hidden="1" customFormat="1" s="111">
      <c r="B12" s="112" t="inlineStr">
        <is>
          <t xml:space="preserve">   70000 Miscellaneous</t>
        </is>
      </c>
      <c r="C12" s="603" t="n"/>
      <c r="D12" s="111">
        <f>0</f>
        <v/>
      </c>
      <c r="E12" s="111">
        <f>0</f>
        <v/>
      </c>
      <c r="F12" s="111">
        <f>0</f>
        <v/>
      </c>
      <c r="G12" s="111">
        <f>0</f>
        <v/>
      </c>
      <c r="H12" s="111">
        <f>0</f>
        <v/>
      </c>
      <c r="I12" s="111">
        <f>0</f>
        <v/>
      </c>
      <c r="J12" s="111">
        <f>0</f>
        <v/>
      </c>
      <c r="K12" s="111" t="n">
        <v>0</v>
      </c>
      <c r="L12" s="111" t="n">
        <v>0</v>
      </c>
      <c r="N12" s="111" t="n">
        <v>0</v>
      </c>
      <c r="O12" s="111" t="n">
        <v>0</v>
      </c>
      <c r="AW12" s="244" t="n"/>
      <c r="AX12" s="111">
        <f>AW12</f>
        <v/>
      </c>
      <c r="AY12" s="615">
        <f>AX12</f>
        <v/>
      </c>
      <c r="AZ12" s="111">
        <f>AY12</f>
        <v/>
      </c>
      <c r="BA12" s="111">
        <f>AZ12</f>
        <v/>
      </c>
      <c r="BB12" s="111">
        <f>BA12</f>
        <v/>
      </c>
      <c r="BC12" s="111">
        <f>BB12</f>
        <v/>
      </c>
      <c r="BD12" s="111">
        <f>BC12</f>
        <v/>
      </c>
      <c r="BE12" s="111">
        <f>BD12</f>
        <v/>
      </c>
      <c r="BF12" s="111">
        <f>BE12</f>
        <v/>
      </c>
      <c r="BG12" s="111">
        <f>BF12</f>
        <v/>
      </c>
      <c r="BH12" s="111">
        <f>BG12</f>
        <v/>
      </c>
      <c r="BI12" s="111">
        <f>BH12</f>
        <v/>
      </c>
      <c r="BJ12" s="111">
        <f>BI12</f>
        <v/>
      </c>
      <c r="BK12" s="244">
        <f>BJ12</f>
        <v/>
      </c>
      <c r="BL12" s="111">
        <f>BK12</f>
        <v/>
      </c>
      <c r="BM12" s="111">
        <f>BL12</f>
        <v/>
      </c>
      <c r="BN12" s="111">
        <f>BM12</f>
        <v/>
      </c>
      <c r="BO12" s="111">
        <f>BN12</f>
        <v/>
      </c>
      <c r="BP12" s="111">
        <f>BO12</f>
        <v/>
      </c>
      <c r="BQ12" s="111">
        <f>BP12</f>
        <v/>
      </c>
      <c r="BR12" s="111">
        <f>BQ12</f>
        <v/>
      </c>
      <c r="BS12" s="111">
        <f>BR12</f>
        <v/>
      </c>
      <c r="BT12" s="111">
        <f>BS12</f>
        <v/>
      </c>
      <c r="BU12" s="111">
        <f>BT12</f>
        <v/>
      </c>
      <c r="BV12" s="111">
        <f>BU12</f>
        <v/>
      </c>
      <c r="BW12" s="244">
        <f>BV12</f>
        <v/>
      </c>
      <c r="BX12" s="111">
        <f>BW12</f>
        <v/>
      </c>
      <c r="BY12" s="111">
        <f>BX12</f>
        <v/>
      </c>
      <c r="BZ12" s="111">
        <f>BY12</f>
        <v/>
      </c>
      <c r="CA12" s="111">
        <f>BZ12</f>
        <v/>
      </c>
      <c r="CB12" s="111">
        <f>CA12</f>
        <v/>
      </c>
      <c r="CC12" s="111">
        <f>CB12</f>
        <v/>
      </c>
      <c r="CD12" s="111">
        <f>CC12</f>
        <v/>
      </c>
      <c r="CE12" s="111">
        <f>CD12</f>
        <v/>
      </c>
      <c r="CF12" s="111">
        <f>CE12</f>
        <v/>
      </c>
      <c r="CG12" s="111">
        <f>CF12</f>
        <v/>
      </c>
      <c r="CH12" s="111">
        <f>CG12</f>
        <v/>
      </c>
      <c r="CI12" s="244">
        <f>CH12</f>
        <v/>
      </c>
      <c r="CJ12" s="111">
        <f>CI12</f>
        <v/>
      </c>
      <c r="CK12" s="111">
        <f>CJ12</f>
        <v/>
      </c>
      <c r="CL12" s="111">
        <f>CK12</f>
        <v/>
      </c>
      <c r="CM12" s="111">
        <f>CL12</f>
        <v/>
      </c>
      <c r="CN12" s="111">
        <f>CM12</f>
        <v/>
      </c>
      <c r="CO12" s="111">
        <f>CN12</f>
        <v/>
      </c>
      <c r="CP12" s="111">
        <f>CO12</f>
        <v/>
      </c>
      <c r="CQ12" s="111">
        <f>CP12</f>
        <v/>
      </c>
      <c r="CR12" s="111">
        <f>CQ12</f>
        <v/>
      </c>
      <c r="CS12" s="111">
        <f>CR12</f>
        <v/>
      </c>
      <c r="CT12" s="111">
        <f>CS12</f>
        <v/>
      </c>
      <c r="CU12" s="244">
        <f>CT12</f>
        <v/>
      </c>
      <c r="CV12" s="111">
        <f>CU12</f>
        <v/>
      </c>
      <c r="CW12" s="111">
        <f>CV12</f>
        <v/>
      </c>
      <c r="CX12" s="111">
        <f>CW12</f>
        <v/>
      </c>
      <c r="CY12" s="111">
        <f>CX12</f>
        <v/>
      </c>
      <c r="CZ12" s="111">
        <f>CY12</f>
        <v/>
      </c>
      <c r="DA12" s="111">
        <f>CZ12</f>
        <v/>
      </c>
      <c r="DB12" s="111">
        <f>DA12</f>
        <v/>
      </c>
      <c r="DC12" s="111">
        <f>DB12</f>
        <v/>
      </c>
      <c r="DD12" s="111">
        <f>DC12</f>
        <v/>
      </c>
      <c r="DE12" s="111">
        <f>DD12</f>
        <v/>
      </c>
      <c r="DF12" s="111">
        <f>DE12</f>
        <v/>
      </c>
      <c r="DG12" s="111">
        <f>DF12</f>
        <v/>
      </c>
    </row>
    <row r="13" hidden="1" customFormat="1" s="3">
      <c r="B13" s="4" t="inlineStr">
        <is>
          <t>Total Income</t>
        </is>
      </c>
      <c r="C13" s="604" t="n"/>
      <c r="D13" s="823">
        <f>(D9)+(D12)</f>
        <v/>
      </c>
      <c r="E13" s="823">
        <f>(E9)+(E12)</f>
        <v/>
      </c>
      <c r="F13" s="823">
        <f>(F9)+(F12)</f>
        <v/>
      </c>
      <c r="G13" s="823">
        <f>(G9)+(G12)</f>
        <v/>
      </c>
      <c r="H13" s="823">
        <f>(H9)+(H12)</f>
        <v/>
      </c>
      <c r="I13" s="823">
        <f>(I9)+(I12)</f>
        <v/>
      </c>
      <c r="J13" s="823">
        <f>(J9)+(J12)</f>
        <v/>
      </c>
      <c r="K13" s="823">
        <f>K12+K9</f>
        <v/>
      </c>
      <c r="L13" s="823">
        <f>L12+L9</f>
        <v/>
      </c>
      <c r="M13" s="823">
        <f>M12+M9</f>
        <v/>
      </c>
      <c r="N13" s="823">
        <f>N12+N9</f>
        <v/>
      </c>
      <c r="O13" s="823">
        <f>O12+O9</f>
        <v/>
      </c>
      <c r="P13" s="823">
        <f>P12+P9</f>
        <v/>
      </c>
      <c r="Q13" s="823">
        <f>Q12+Q9</f>
        <v/>
      </c>
      <c r="R13" s="823">
        <f>R12+R9</f>
        <v/>
      </c>
      <c r="S13" s="823">
        <f>S12+S9</f>
        <v/>
      </c>
      <c r="T13" s="823">
        <f>T12+T9</f>
        <v/>
      </c>
      <c r="U13" s="823">
        <f>U12+U9</f>
        <v/>
      </c>
      <c r="V13" s="823">
        <f>V12+V9</f>
        <v/>
      </c>
      <c r="W13" s="823">
        <f>W12+W9</f>
        <v/>
      </c>
      <c r="X13" s="823">
        <f>X12+X9</f>
        <v/>
      </c>
      <c r="Y13" s="823">
        <f>Y12+Y9</f>
        <v/>
      </c>
      <c r="Z13" s="823">
        <f>Z12+Z9</f>
        <v/>
      </c>
      <c r="AA13" s="823">
        <f>AA12+AA9</f>
        <v/>
      </c>
      <c r="AB13" s="823">
        <f>AB12+AB9</f>
        <v/>
      </c>
      <c r="AC13" s="823">
        <f>AC12+AC9</f>
        <v/>
      </c>
      <c r="AD13" s="823">
        <f>AD12+AD9</f>
        <v/>
      </c>
      <c r="AE13" s="823">
        <f>AE12+AE9</f>
        <v/>
      </c>
      <c r="AF13" s="823">
        <f>AF12+AF9</f>
        <v/>
      </c>
      <c r="AG13" s="823">
        <f>AG12+AG9</f>
        <v/>
      </c>
      <c r="AH13" s="823">
        <f>AH12+AH9</f>
        <v/>
      </c>
      <c r="AI13" s="823">
        <f>AI12+AI9</f>
        <v/>
      </c>
      <c r="AJ13" s="823">
        <f>AJ12+AJ9</f>
        <v/>
      </c>
      <c r="AK13" s="823">
        <f>AK12+AK9</f>
        <v/>
      </c>
      <c r="AL13" s="823">
        <f>AL12+AL9</f>
        <v/>
      </c>
      <c r="AM13" s="823">
        <f>AM12+AM9</f>
        <v/>
      </c>
      <c r="AN13" s="823">
        <f>AN12+AN9</f>
        <v/>
      </c>
      <c r="AO13" s="823">
        <f>AO12+AO9</f>
        <v/>
      </c>
      <c r="AP13" s="823">
        <f>AP12+AP9</f>
        <v/>
      </c>
      <c r="AQ13" s="823">
        <f>AQ12+AQ9</f>
        <v/>
      </c>
      <c r="AR13" s="823">
        <f>AR12+AR9</f>
        <v/>
      </c>
      <c r="AS13" s="823">
        <f>AS12+AS9</f>
        <v/>
      </c>
      <c r="AT13" s="823">
        <f>AT12+AT9</f>
        <v/>
      </c>
      <c r="AU13" s="823">
        <f>AU12+AU9</f>
        <v/>
      </c>
      <c r="AV13" s="823">
        <f>AV12+AV9</f>
        <v/>
      </c>
      <c r="AW13" s="836">
        <f>AW12+AW9</f>
        <v/>
      </c>
      <c r="AX13" s="823">
        <f>AX12+AX9</f>
        <v/>
      </c>
      <c r="AY13" s="837">
        <f>AY12+AY9</f>
        <v/>
      </c>
      <c r="AZ13" s="823">
        <f>AZ12+AZ9</f>
        <v/>
      </c>
      <c r="BA13" s="823">
        <f>BA12+BA9</f>
        <v/>
      </c>
      <c r="BB13" s="823">
        <f>BB12+BB9</f>
        <v/>
      </c>
      <c r="BC13" s="823">
        <f>BC12+BC9</f>
        <v/>
      </c>
      <c r="BD13" s="823">
        <f>BD12+BD9</f>
        <v/>
      </c>
      <c r="BE13" s="823">
        <f>BE12+BE9</f>
        <v/>
      </c>
      <c r="BF13" s="823">
        <f>BF12+BF9</f>
        <v/>
      </c>
      <c r="BG13" s="823">
        <f>BG12+BG9</f>
        <v/>
      </c>
      <c r="BH13" s="823">
        <f>BH12+BH9</f>
        <v/>
      </c>
      <c r="BI13" s="823">
        <f>BI12+BI9</f>
        <v/>
      </c>
      <c r="BJ13" s="823">
        <f>BJ12+BJ9</f>
        <v/>
      </c>
      <c r="BK13" s="836">
        <f>BK12+BK9</f>
        <v/>
      </c>
      <c r="BL13" s="823">
        <f>BL12+BL9</f>
        <v/>
      </c>
      <c r="BM13" s="823">
        <f>BM12+BM9</f>
        <v/>
      </c>
      <c r="BN13" s="823">
        <f>BN12+BN9</f>
        <v/>
      </c>
      <c r="BO13" s="823">
        <f>BO12+BO9</f>
        <v/>
      </c>
      <c r="BP13" s="823">
        <f>BP12+BP9</f>
        <v/>
      </c>
      <c r="BQ13" s="823">
        <f>BQ12+BQ9</f>
        <v/>
      </c>
      <c r="BR13" s="823">
        <f>BR12+BR9</f>
        <v/>
      </c>
      <c r="BS13" s="823">
        <f>BS12+BS9</f>
        <v/>
      </c>
      <c r="BT13" s="823">
        <f>BT12+BT9</f>
        <v/>
      </c>
      <c r="BU13" s="823">
        <f>BU12+BU9</f>
        <v/>
      </c>
      <c r="BV13" s="823">
        <f>BV12+BV9</f>
        <v/>
      </c>
      <c r="BW13" s="836">
        <f>BW12+BW9</f>
        <v/>
      </c>
      <c r="BX13" s="823">
        <f>BX12+BX9</f>
        <v/>
      </c>
      <c r="BY13" s="823">
        <f>BY12+BY9</f>
        <v/>
      </c>
      <c r="BZ13" s="823">
        <f>BZ12+BZ9</f>
        <v/>
      </c>
      <c r="CA13" s="823">
        <f>CA12+CA9</f>
        <v/>
      </c>
      <c r="CB13" s="823">
        <f>CB12+CB9</f>
        <v/>
      </c>
      <c r="CC13" s="823">
        <f>CC12+CC9</f>
        <v/>
      </c>
      <c r="CD13" s="823">
        <f>CD12+CD9</f>
        <v/>
      </c>
      <c r="CE13" s="823">
        <f>CE12+CE9</f>
        <v/>
      </c>
      <c r="CF13" s="823">
        <f>CF12+CF9</f>
        <v/>
      </c>
      <c r="CG13" s="823">
        <f>CG12+CG9</f>
        <v/>
      </c>
      <c r="CH13" s="823">
        <f>CH12+CH9</f>
        <v/>
      </c>
      <c r="CI13" s="836">
        <f>CI12+CI9</f>
        <v/>
      </c>
      <c r="CJ13" s="823">
        <f>CJ12+CJ9</f>
        <v/>
      </c>
      <c r="CK13" s="823">
        <f>CK12+CK9</f>
        <v/>
      </c>
      <c r="CL13" s="823">
        <f>CL12+CL9</f>
        <v/>
      </c>
      <c r="CM13" s="823">
        <f>CM12+CM9</f>
        <v/>
      </c>
      <c r="CN13" s="823">
        <f>CN12+CN9</f>
        <v/>
      </c>
      <c r="CO13" s="823">
        <f>CO12+CO9</f>
        <v/>
      </c>
      <c r="CP13" s="823">
        <f>CP12+CP9</f>
        <v/>
      </c>
      <c r="CQ13" s="823">
        <f>CQ12+CQ9</f>
        <v/>
      </c>
      <c r="CR13" s="823">
        <f>CR12+CR9</f>
        <v/>
      </c>
      <c r="CS13" s="823">
        <f>CS12+CS9</f>
        <v/>
      </c>
      <c r="CT13" s="823">
        <f>CT12+CT9</f>
        <v/>
      </c>
      <c r="CU13" s="836">
        <f>CU12+CU9</f>
        <v/>
      </c>
      <c r="CV13" s="823">
        <f>CV12+CV9</f>
        <v/>
      </c>
      <c r="CW13" s="823">
        <f>CW12+CW9</f>
        <v/>
      </c>
      <c r="CX13" s="823">
        <f>CX12+CX9</f>
        <v/>
      </c>
      <c r="CY13" s="823">
        <f>CY12+CY9</f>
        <v/>
      </c>
      <c r="CZ13" s="823">
        <f>CZ12+CZ9</f>
        <v/>
      </c>
      <c r="DA13" s="823">
        <f>DA12+DA9</f>
        <v/>
      </c>
      <c r="DB13" s="823">
        <f>DB12+DB9</f>
        <v/>
      </c>
      <c r="DC13" s="823">
        <f>DC12+DC9</f>
        <v/>
      </c>
      <c r="DD13" s="823">
        <f>DD12+DD9</f>
        <v/>
      </c>
      <c r="DE13" s="823">
        <f>DE12+DE9</f>
        <v/>
      </c>
      <c r="DF13" s="823">
        <f>DF12+DF9</f>
        <v/>
      </c>
      <c r="DG13" s="823">
        <f>DG12+DG9</f>
        <v/>
      </c>
    </row>
    <row r="14" hidden="1" s="627">
      <c r="B14" s="1" t="n"/>
      <c r="C14" s="600" t="n"/>
      <c r="D14" s="838" t="n"/>
      <c r="E14" s="838" t="n"/>
      <c r="F14" s="838" t="n"/>
      <c r="G14" s="838" t="n"/>
      <c r="H14" s="838" t="n"/>
      <c r="I14" s="838" t="n"/>
      <c r="J14" s="838" t="n"/>
      <c r="K14" s="838" t="n"/>
      <c r="L14" s="838" t="n"/>
      <c r="M14" s="838" t="n"/>
      <c r="N14" s="838" t="n"/>
      <c r="O14" s="838" t="n"/>
      <c r="P14" s="838" t="n"/>
      <c r="Q14" s="838" t="n"/>
      <c r="R14" s="838" t="n"/>
      <c r="S14" s="838" t="n"/>
      <c r="T14" s="838" t="n"/>
      <c r="U14" s="838" t="n"/>
      <c r="V14" s="838" t="n"/>
      <c r="W14" s="838" t="n"/>
      <c r="X14" s="838" t="n"/>
      <c r="Y14" s="838" t="n"/>
      <c r="Z14" s="838" t="n"/>
      <c r="AA14" s="838" t="n"/>
      <c r="AB14" s="838" t="n"/>
      <c r="AC14" s="838" t="n"/>
      <c r="AD14" s="838" t="n"/>
      <c r="AE14" s="838" t="n"/>
      <c r="AF14" s="838" t="n"/>
      <c r="AG14" s="838" t="n"/>
      <c r="AH14" s="838" t="n"/>
      <c r="AI14" s="838" t="n"/>
      <c r="AJ14" s="838" t="n"/>
      <c r="AK14" s="838" t="n"/>
      <c r="AL14" s="838" t="n"/>
      <c r="AM14" s="838" t="n"/>
      <c r="AN14" s="838" t="n"/>
      <c r="AO14" s="838" t="n"/>
      <c r="AP14" s="838" t="n"/>
      <c r="AQ14" s="838" t="n"/>
      <c r="AR14" s="838" t="n"/>
      <c r="AS14" s="838" t="n"/>
      <c r="AT14" s="838" t="n"/>
      <c r="AU14" s="838" t="n"/>
      <c r="AV14" s="838" t="n"/>
      <c r="AW14" s="839" t="n"/>
      <c r="AX14" s="838" t="n"/>
      <c r="AY14" s="840" t="n"/>
      <c r="AZ14" s="838" t="n"/>
      <c r="BA14" s="838" t="n"/>
      <c r="BB14" s="838" t="n"/>
      <c r="BC14" s="838" t="n"/>
      <c r="BD14" s="838" t="n"/>
      <c r="BE14" s="838" t="n"/>
      <c r="BF14" s="838" t="n"/>
      <c r="BG14" s="838" t="n"/>
      <c r="BH14" s="838" t="n"/>
      <c r="BI14" s="838" t="n"/>
      <c r="BJ14" s="838" t="n"/>
      <c r="BK14" s="839" t="n"/>
      <c r="BL14" s="838" t="n"/>
      <c r="BM14" s="838" t="n"/>
      <c r="BN14" s="838" t="n"/>
      <c r="BO14" s="838" t="n"/>
      <c r="BP14" s="838" t="n"/>
      <c r="BQ14" s="838" t="n"/>
      <c r="BR14" s="838" t="n"/>
      <c r="BS14" s="838" t="n"/>
      <c r="BT14" s="838" t="n"/>
      <c r="BU14" s="838" t="n"/>
      <c r="BV14" s="838" t="n"/>
      <c r="BW14" s="839" t="n"/>
      <c r="BX14" s="838" t="n"/>
      <c r="BY14" s="838" t="n"/>
      <c r="BZ14" s="838" t="n"/>
      <c r="CA14" s="838" t="n"/>
      <c r="CB14" s="838" t="n"/>
      <c r="CC14" s="838" t="n"/>
      <c r="CD14" s="838" t="n"/>
      <c r="CE14" s="838" t="n"/>
      <c r="CF14" s="838" t="n"/>
      <c r="CG14" s="838" t="n"/>
      <c r="CH14" s="838" t="n"/>
      <c r="CI14" s="839" t="n"/>
      <c r="CJ14" s="838" t="n"/>
      <c r="CK14" s="838" t="n"/>
      <c r="CL14" s="838" t="n"/>
      <c r="CM14" s="838" t="n"/>
      <c r="CN14" s="838" t="n"/>
      <c r="CO14" s="838" t="n"/>
      <c r="CP14" s="838" t="n"/>
      <c r="CQ14" s="838" t="n"/>
      <c r="CR14" s="838" t="n"/>
      <c r="CS14" s="838" t="n"/>
      <c r="CT14" s="838" t="n"/>
      <c r="CU14" s="839" t="n"/>
      <c r="CV14" s="838" t="n"/>
      <c r="CW14" s="838" t="n"/>
      <c r="CX14" s="838" t="n"/>
      <c r="CY14" s="838" t="n"/>
      <c r="CZ14" s="838" t="n"/>
      <c r="DA14" s="838" t="n"/>
      <c r="DB14" s="838" t="n"/>
      <c r="DC14" s="838" t="n"/>
      <c r="DD14" s="838" t="n"/>
      <c r="DE14" s="838" t="n"/>
      <c r="DF14" s="838" t="n"/>
      <c r="DG14" s="838" t="n"/>
    </row>
    <row r="15" customFormat="1" s="3">
      <c r="A15" s="141" t="n"/>
      <c r="B15" s="141" t="n"/>
      <c r="C15" s="605" t="inlineStr">
        <is>
          <t># of Successful Appointments</t>
        </is>
      </c>
      <c r="D15" s="841" t="n"/>
      <c r="E15" s="842" t="n">
        <v>12</v>
      </c>
      <c r="F15" s="842" t="n">
        <v>8</v>
      </c>
      <c r="G15" s="842" t="n">
        <v>7</v>
      </c>
      <c r="H15" s="842" t="n">
        <v>10</v>
      </c>
      <c r="I15" s="842" t="n">
        <v>13</v>
      </c>
      <c r="J15" s="842" t="n">
        <v>11</v>
      </c>
      <c r="K15" s="842" t="n">
        <v>5</v>
      </c>
      <c r="L15" s="842" t="n">
        <v>9</v>
      </c>
      <c r="M15" s="842" t="n">
        <v>17</v>
      </c>
      <c r="N15" s="842" t="n">
        <v>11</v>
      </c>
      <c r="O15" s="842" t="n">
        <v>7</v>
      </c>
      <c r="P15" s="842" t="n">
        <v>12</v>
      </c>
      <c r="Q15" s="842" t="n">
        <v>10</v>
      </c>
      <c r="R15" s="842" t="n">
        <v>10</v>
      </c>
      <c r="S15" s="842" t="n">
        <v>7</v>
      </c>
      <c r="T15" s="842" t="n">
        <v>9</v>
      </c>
      <c r="U15" s="842" t="n">
        <v>12</v>
      </c>
      <c r="V15" s="842">
        <f>99-24</f>
        <v/>
      </c>
      <c r="W15" s="842" t="n">
        <v>177</v>
      </c>
      <c r="X15" s="842" t="n">
        <v>191</v>
      </c>
      <c r="Y15" s="842" t="n">
        <v>190</v>
      </c>
      <c r="Z15" s="842" t="n">
        <v>188</v>
      </c>
      <c r="AA15" s="842" t="n">
        <v>207</v>
      </c>
      <c r="AB15" s="842" t="n">
        <v>67</v>
      </c>
      <c r="AC15" s="842" t="n">
        <v>74</v>
      </c>
      <c r="AD15" s="842" t="n">
        <v>77</v>
      </c>
      <c r="AE15" s="842" t="n">
        <v>78</v>
      </c>
      <c r="AF15" s="842" t="n">
        <v>82</v>
      </c>
      <c r="AG15" s="842" t="n">
        <v>75</v>
      </c>
      <c r="AH15" s="842" t="n">
        <v>66</v>
      </c>
      <c r="AI15" s="842" t="n">
        <v>74</v>
      </c>
      <c r="AJ15" s="842" t="n">
        <v>48</v>
      </c>
      <c r="AK15" s="842" t="n">
        <v>81</v>
      </c>
      <c r="AL15" s="842" t="n">
        <v>50</v>
      </c>
      <c r="AM15" s="842" t="n">
        <v>61</v>
      </c>
      <c r="AN15" s="842" t="n">
        <v>66</v>
      </c>
      <c r="AO15" s="842" t="n">
        <v>69</v>
      </c>
      <c r="AP15" s="842" t="n">
        <v>68</v>
      </c>
      <c r="AQ15" s="842" t="n">
        <v>82</v>
      </c>
      <c r="AR15" s="842" t="n">
        <v>83</v>
      </c>
      <c r="AS15" s="842" t="n">
        <v>72</v>
      </c>
      <c r="AT15" s="842" t="n">
        <v>76</v>
      </c>
      <c r="AU15" s="842" t="n">
        <v>73</v>
      </c>
      <c r="AV15" s="842" t="n">
        <v>62</v>
      </c>
      <c r="AW15" s="843" t="n">
        <v>72</v>
      </c>
      <c r="AX15" s="844">
        <f>+AX16*AX26</f>
        <v/>
      </c>
      <c r="AY15" s="845">
        <f>+AY16*AY26</f>
        <v/>
      </c>
      <c r="AZ15" s="844">
        <f>+AZ16*AZ26</f>
        <v/>
      </c>
      <c r="BA15" s="844">
        <f>+BA16*BA26</f>
        <v/>
      </c>
      <c r="BB15" s="844">
        <f>+BB16*BB26</f>
        <v/>
      </c>
      <c r="BC15" s="844">
        <f>+BC16*BC26</f>
        <v/>
      </c>
      <c r="BD15" s="844">
        <f>+BD16*BD26</f>
        <v/>
      </c>
      <c r="BE15" s="844">
        <f>+BE16*BE26</f>
        <v/>
      </c>
      <c r="BF15" s="844">
        <f>+BF16*BF26</f>
        <v/>
      </c>
      <c r="BG15" s="844">
        <f>+BG16*BG26</f>
        <v/>
      </c>
      <c r="BH15" s="844">
        <f>+BH16*BH26</f>
        <v/>
      </c>
      <c r="BI15" s="844">
        <f>+BI16*BI26</f>
        <v/>
      </c>
      <c r="BJ15" s="844">
        <f>+BJ16*BJ26</f>
        <v/>
      </c>
      <c r="BK15" s="846">
        <f>+BK16*BK26</f>
        <v/>
      </c>
      <c r="BL15" s="844">
        <f>+BL16*BL26</f>
        <v/>
      </c>
      <c r="BM15" s="844">
        <f>+BM16*BM26</f>
        <v/>
      </c>
      <c r="BN15" s="844">
        <f>+BN16*BN26</f>
        <v/>
      </c>
      <c r="BO15" s="844">
        <f>+BO16*BO26</f>
        <v/>
      </c>
      <c r="BP15" s="844">
        <f>+BP16*BP26</f>
        <v/>
      </c>
      <c r="BQ15" s="844">
        <f>+BQ16*BQ26</f>
        <v/>
      </c>
      <c r="BR15" s="844">
        <f>+BR16*BR26</f>
        <v/>
      </c>
      <c r="BS15" s="844">
        <f>+BS16*BS26</f>
        <v/>
      </c>
      <c r="BT15" s="844">
        <f>+BT16*BT26</f>
        <v/>
      </c>
      <c r="BU15" s="844">
        <f>+BU16*BU26</f>
        <v/>
      </c>
      <c r="BV15" s="844">
        <f>+BV16*BV26</f>
        <v/>
      </c>
      <c r="BW15" s="846">
        <f>+BW16*BW26</f>
        <v/>
      </c>
      <c r="BX15" s="844">
        <f>+BX16*BX26</f>
        <v/>
      </c>
      <c r="BY15" s="844">
        <f>+BY16*BY26</f>
        <v/>
      </c>
      <c r="BZ15" s="844">
        <f>+BZ16*BZ26</f>
        <v/>
      </c>
      <c r="CA15" s="844">
        <f>+CA16*CA26</f>
        <v/>
      </c>
      <c r="CB15" s="844">
        <f>+CB16*CB26</f>
        <v/>
      </c>
      <c r="CC15" s="844">
        <f>+CC16*CC26</f>
        <v/>
      </c>
      <c r="CD15" s="844">
        <f>+CD16*CD26</f>
        <v/>
      </c>
      <c r="CE15" s="844">
        <f>+CE16*CE26</f>
        <v/>
      </c>
      <c r="CF15" s="844">
        <f>+CF16*CF26</f>
        <v/>
      </c>
      <c r="CG15" s="844">
        <f>+CG16*CG26</f>
        <v/>
      </c>
      <c r="CH15" s="844">
        <f>+CH16*CH26</f>
        <v/>
      </c>
      <c r="CI15" s="846">
        <f>+CI16*CI26</f>
        <v/>
      </c>
      <c r="CJ15" s="844">
        <f>+CJ16*CJ26</f>
        <v/>
      </c>
      <c r="CK15" s="844">
        <f>+CK16*CK26</f>
        <v/>
      </c>
      <c r="CL15" s="844">
        <f>+CL16*CL26</f>
        <v/>
      </c>
      <c r="CM15" s="844">
        <f>+CM16*CM26</f>
        <v/>
      </c>
      <c r="CN15" s="844">
        <f>+CN16*CN26</f>
        <v/>
      </c>
      <c r="CO15" s="844">
        <f>+CO16*CO26</f>
        <v/>
      </c>
      <c r="CP15" s="844">
        <f>+CP16*CP26</f>
        <v/>
      </c>
      <c r="CQ15" s="844">
        <f>+CQ16*CQ26</f>
        <v/>
      </c>
      <c r="CR15" s="844">
        <f>+CR16*CR26</f>
        <v/>
      </c>
      <c r="CS15" s="844">
        <f>+CS16*CS26</f>
        <v/>
      </c>
      <c r="CT15" s="844">
        <f>+CT16*CT26</f>
        <v/>
      </c>
      <c r="CU15" s="846">
        <f>+CU16*CU26</f>
        <v/>
      </c>
      <c r="CV15" s="844">
        <f>+CV16*CV26</f>
        <v/>
      </c>
      <c r="CW15" s="844">
        <f>+CW16*CW26</f>
        <v/>
      </c>
      <c r="CX15" s="844">
        <f>+CX16*CX26</f>
        <v/>
      </c>
      <c r="CY15" s="844">
        <f>+CY16*CY26</f>
        <v/>
      </c>
      <c r="CZ15" s="844">
        <f>+CZ16*CZ26</f>
        <v/>
      </c>
      <c r="DA15" s="844">
        <f>+DA16*DA26</f>
        <v/>
      </c>
      <c r="DB15" s="844">
        <f>+DB16*DB26</f>
        <v/>
      </c>
      <c r="DC15" s="844">
        <f>+DC16*DC26</f>
        <v/>
      </c>
      <c r="DD15" s="844">
        <f>+DD16*DD26</f>
        <v/>
      </c>
      <c r="DE15" s="844">
        <f>+DE16*DE26</f>
        <v/>
      </c>
      <c r="DF15" s="844">
        <f>+DF16*DF26</f>
        <v/>
      </c>
      <c r="DG15" s="846">
        <f>+DG16*DG26</f>
        <v/>
      </c>
    </row>
    <row r="16">
      <c r="A16" s="33" t="n"/>
      <c r="B16" s="33" t="n"/>
      <c r="C16" s="606" t="inlineStr">
        <is>
          <t># of Active Clients</t>
        </is>
      </c>
      <c r="D16" s="847" t="n"/>
      <c r="E16" s="848" t="n"/>
      <c r="F16" s="848" t="n"/>
      <c r="G16" s="848" t="n"/>
      <c r="H16" s="848" t="n"/>
      <c r="I16" s="848" t="n"/>
      <c r="J16" s="848" t="n"/>
      <c r="K16" s="848" t="n"/>
      <c r="L16" s="848" t="n"/>
      <c r="M16" s="848" t="n"/>
      <c r="N16" s="848" t="n"/>
      <c r="O16" s="848" t="n"/>
      <c r="P16" s="848" t="n"/>
      <c r="Q16" s="848" t="n"/>
      <c r="R16" s="848" t="n"/>
      <c r="S16" s="848" t="n"/>
      <c r="T16" s="848" t="n"/>
      <c r="U16" s="848" t="n"/>
      <c r="V16" s="848" t="n"/>
      <c r="W16" s="848" t="n">
        <v>123</v>
      </c>
      <c r="X16" s="848" t="n">
        <v>123</v>
      </c>
      <c r="Y16" s="848" t="n">
        <v>129</v>
      </c>
      <c r="Z16" s="848" t="n">
        <v>127</v>
      </c>
      <c r="AA16" s="848" t="n">
        <v>126</v>
      </c>
      <c r="AB16" s="848" t="n">
        <v>55</v>
      </c>
      <c r="AC16" s="848" t="n">
        <v>69</v>
      </c>
      <c r="AD16" s="848" t="n">
        <v>68</v>
      </c>
      <c r="AE16" s="848" t="n">
        <v>66</v>
      </c>
      <c r="AF16" s="848" t="n">
        <v>69</v>
      </c>
      <c r="AG16" s="848" t="n">
        <v>65</v>
      </c>
      <c r="AH16" s="848" t="n">
        <v>54</v>
      </c>
      <c r="AI16" s="848" t="n">
        <v>65</v>
      </c>
      <c r="AJ16" s="848" t="n">
        <v>42</v>
      </c>
      <c r="AK16" s="848" t="n">
        <v>66</v>
      </c>
      <c r="AL16" s="848" t="n">
        <v>46</v>
      </c>
      <c r="AM16" s="848" t="n">
        <v>54</v>
      </c>
      <c r="AN16" s="848" t="n">
        <v>59</v>
      </c>
      <c r="AO16" s="848" t="n">
        <v>59</v>
      </c>
      <c r="AP16" s="848" t="n">
        <v>63</v>
      </c>
      <c r="AQ16" s="848" t="n">
        <v>69</v>
      </c>
      <c r="AR16" s="848" t="n">
        <v>78</v>
      </c>
      <c r="AS16" s="848" t="n">
        <v>62</v>
      </c>
      <c r="AT16" s="848" t="n">
        <v>67</v>
      </c>
      <c r="AU16" s="848" t="n">
        <v>60</v>
      </c>
      <c r="AV16" s="848" t="n">
        <v>54</v>
      </c>
      <c r="AW16" s="849" t="n">
        <v>58</v>
      </c>
      <c r="AX16" s="844">
        <f>+AX22*AX25</f>
        <v/>
      </c>
      <c r="AY16" s="845">
        <f>+AY22*AY25</f>
        <v/>
      </c>
      <c r="AZ16" s="844">
        <f>+AZ22*AZ25</f>
        <v/>
      </c>
      <c r="BA16" s="844">
        <f>+BA22*BA25</f>
        <v/>
      </c>
      <c r="BB16" s="844">
        <f>+BB22*BB25</f>
        <v/>
      </c>
      <c r="BC16" s="844">
        <f>+BC22*BC25</f>
        <v/>
      </c>
      <c r="BD16" s="844">
        <f>+BD22*BD25</f>
        <v/>
      </c>
      <c r="BE16" s="844">
        <f>+BE22*BE25</f>
        <v/>
      </c>
      <c r="BF16" s="844">
        <f>+BF22*BF25</f>
        <v/>
      </c>
      <c r="BG16" s="844">
        <f>+BG22*BG25</f>
        <v/>
      </c>
      <c r="BH16" s="844">
        <f>+BH22*BH25</f>
        <v/>
      </c>
      <c r="BI16" s="844">
        <f>+BI22*BI25</f>
        <v/>
      </c>
      <c r="BJ16" s="844">
        <f>+BJ22*BJ25</f>
        <v/>
      </c>
      <c r="BK16" s="846">
        <f>+BK22*BK25</f>
        <v/>
      </c>
      <c r="BL16" s="844">
        <f>+BL22*BL25</f>
        <v/>
      </c>
      <c r="BM16" s="844">
        <f>+BM22*BM25</f>
        <v/>
      </c>
      <c r="BN16" s="844">
        <f>+BN22*BN25</f>
        <v/>
      </c>
      <c r="BO16" s="844">
        <f>+BO22*BO25</f>
        <v/>
      </c>
      <c r="BP16" s="844">
        <f>+BP22*BP25</f>
        <v/>
      </c>
      <c r="BQ16" s="844">
        <f>+BQ22*BQ25</f>
        <v/>
      </c>
      <c r="BR16" s="844">
        <f>+BR22*BR25</f>
        <v/>
      </c>
      <c r="BS16" s="844">
        <f>+BS22*BS25</f>
        <v/>
      </c>
      <c r="BT16" s="844">
        <f>+BT22*BT25</f>
        <v/>
      </c>
      <c r="BU16" s="844">
        <f>+BU22*BU25</f>
        <v/>
      </c>
      <c r="BV16" s="844">
        <f>+BV22*BV25</f>
        <v/>
      </c>
      <c r="BW16" s="846">
        <f>+BW22*BW25</f>
        <v/>
      </c>
      <c r="BX16" s="844">
        <f>+BX22*BX25</f>
        <v/>
      </c>
      <c r="BY16" s="844">
        <f>+BY22*BY25</f>
        <v/>
      </c>
      <c r="BZ16" s="844">
        <f>+BZ22*BZ25</f>
        <v/>
      </c>
      <c r="CA16" s="844">
        <f>+CA22*CA25</f>
        <v/>
      </c>
      <c r="CB16" s="844">
        <f>+CB22*CB25</f>
        <v/>
      </c>
      <c r="CC16" s="844">
        <f>+CC22*CC25</f>
        <v/>
      </c>
      <c r="CD16" s="844">
        <f>+CD22*CD25</f>
        <v/>
      </c>
      <c r="CE16" s="844">
        <f>+CE22*CE25</f>
        <v/>
      </c>
      <c r="CF16" s="844">
        <f>+CF22*CF25</f>
        <v/>
      </c>
      <c r="CG16" s="844">
        <f>+CG22*CG25</f>
        <v/>
      </c>
      <c r="CH16" s="844">
        <f>+CH22*CH25</f>
        <v/>
      </c>
      <c r="CI16" s="846">
        <f>+CI22*CI25</f>
        <v/>
      </c>
      <c r="CJ16" s="844">
        <f>+CJ22*CJ25</f>
        <v/>
      </c>
      <c r="CK16" s="844">
        <f>+CK22*CK25</f>
        <v/>
      </c>
      <c r="CL16" s="844">
        <f>+CL22*CL25</f>
        <v/>
      </c>
      <c r="CM16" s="844">
        <f>+CM22*CM25</f>
        <v/>
      </c>
      <c r="CN16" s="844">
        <f>+CN22*CN25</f>
        <v/>
      </c>
      <c r="CO16" s="844">
        <f>+CO22*CO25</f>
        <v/>
      </c>
      <c r="CP16" s="844">
        <f>+CP22*CP25</f>
        <v/>
      </c>
      <c r="CQ16" s="844">
        <f>+CQ22*CQ25</f>
        <v/>
      </c>
      <c r="CR16" s="844">
        <f>+CR22*CR25</f>
        <v/>
      </c>
      <c r="CS16" s="844">
        <f>+CS22*CS25</f>
        <v/>
      </c>
      <c r="CT16" s="844">
        <f>+CT22*CT25</f>
        <v/>
      </c>
      <c r="CU16" s="846">
        <f>+CU22*CU25</f>
        <v/>
      </c>
      <c r="CV16" s="844">
        <f>+CV22*CV25</f>
        <v/>
      </c>
      <c r="CW16" s="844">
        <f>+CW22*CW25</f>
        <v/>
      </c>
      <c r="CX16" s="844">
        <f>+CX22*CX25</f>
        <v/>
      </c>
      <c r="CY16" s="844">
        <f>+CY22*CY25</f>
        <v/>
      </c>
      <c r="CZ16" s="844">
        <f>+CZ22*CZ25</f>
        <v/>
      </c>
      <c r="DA16" s="844">
        <f>+DA22*DA25</f>
        <v/>
      </c>
      <c r="DB16" s="844">
        <f>+DB22*DB25</f>
        <v/>
      </c>
      <c r="DC16" s="844">
        <f>+DC22*DC25</f>
        <v/>
      </c>
      <c r="DD16" s="844">
        <f>+DD22*DD25</f>
        <v/>
      </c>
      <c r="DE16" s="844">
        <f>+DE22*DE25</f>
        <v/>
      </c>
      <c r="DF16" s="844">
        <f>+DF22*DF25</f>
        <v/>
      </c>
      <c r="DG16" s="846">
        <f>+DG22*DG25</f>
        <v/>
      </c>
    </row>
    <row r="17">
      <c r="A17" s="33" t="n"/>
      <c r="B17" s="33" t="n"/>
      <c r="C17" s="606" t="inlineStr">
        <is>
          <t># of Recurring Client Base</t>
        </is>
      </c>
      <c r="D17" s="847" t="n"/>
      <c r="E17" s="848" t="n"/>
      <c r="F17" s="848" t="n"/>
      <c r="G17" s="848" t="n"/>
      <c r="H17" s="848" t="n"/>
      <c r="I17" s="848" t="n"/>
      <c r="J17" s="848" t="n"/>
      <c r="K17" s="848" t="n"/>
      <c r="L17" s="848" t="n"/>
      <c r="M17" s="848" t="n"/>
      <c r="N17" s="848" t="n"/>
      <c r="O17" s="848" t="n"/>
      <c r="P17" s="848" t="n"/>
      <c r="Q17" s="848" t="n"/>
      <c r="R17" s="848" t="n"/>
      <c r="S17" s="848" t="n"/>
      <c r="T17" s="848" t="n"/>
      <c r="U17" s="848" t="n"/>
      <c r="V17" s="848" t="n"/>
      <c r="W17" s="848" t="n"/>
      <c r="X17" s="848" t="n">
        <v>73</v>
      </c>
      <c r="Y17" s="848" t="n">
        <v>71</v>
      </c>
      <c r="Z17" s="848" t="n">
        <v>72</v>
      </c>
      <c r="AA17" s="848" t="n">
        <v>75</v>
      </c>
      <c r="AB17" s="848" t="n">
        <v>30</v>
      </c>
      <c r="AC17" s="848" t="n">
        <v>34</v>
      </c>
      <c r="AD17" s="848" t="n">
        <v>27</v>
      </c>
      <c r="AE17" s="848" t="n">
        <v>19</v>
      </c>
      <c r="AF17" s="848" t="n">
        <v>30</v>
      </c>
      <c r="AG17" s="848" t="n">
        <v>30</v>
      </c>
      <c r="AH17" s="848" t="n">
        <v>29</v>
      </c>
      <c r="AI17" s="848" t="n">
        <v>34</v>
      </c>
      <c r="AJ17" s="848" t="n">
        <v>37</v>
      </c>
      <c r="AK17" s="848" t="n">
        <v>29</v>
      </c>
      <c r="AL17" s="848" t="n">
        <v>28</v>
      </c>
      <c r="AM17" s="848" t="n">
        <v>25</v>
      </c>
      <c r="AN17" s="848" t="n">
        <v>35</v>
      </c>
      <c r="AO17" s="848" t="n">
        <v>32</v>
      </c>
      <c r="AP17" s="848" t="n">
        <v>31</v>
      </c>
      <c r="AQ17" s="848" t="n">
        <v>30</v>
      </c>
      <c r="AR17" s="848" t="n">
        <v>38</v>
      </c>
      <c r="AS17" s="848" t="n">
        <v>37</v>
      </c>
      <c r="AT17" s="848" t="n">
        <v>34</v>
      </c>
      <c r="AU17" s="848" t="n">
        <v>32</v>
      </c>
      <c r="AV17" s="848" t="n">
        <v>36</v>
      </c>
      <c r="AW17" s="849" t="n">
        <v>33</v>
      </c>
      <c r="AX17" s="844">
        <f>+AW17*(1+AX24)</f>
        <v/>
      </c>
      <c r="AY17" s="845">
        <f>+AX17*(1+AY24)</f>
        <v/>
      </c>
      <c r="AZ17" s="844">
        <f>+AY17*(1+AZ24)</f>
        <v/>
      </c>
      <c r="BA17" s="844">
        <f>+AZ17*(1+BA24)</f>
        <v/>
      </c>
      <c r="BB17" s="844">
        <f>+BA17*(1+BB24)</f>
        <v/>
      </c>
      <c r="BC17" s="844">
        <f>+BB17*(1+BC24)</f>
        <v/>
      </c>
      <c r="BD17" s="844">
        <f>+BC17*(1+BD24)</f>
        <v/>
      </c>
      <c r="BE17" s="844">
        <f>+BD17*(1+BE24)</f>
        <v/>
      </c>
      <c r="BF17" s="844">
        <f>+BE17*(1+BF24)</f>
        <v/>
      </c>
      <c r="BG17" s="844">
        <f>+BF17*(1+BG24)</f>
        <v/>
      </c>
      <c r="BH17" s="844">
        <f>+BG17*(1+BH24)</f>
        <v/>
      </c>
      <c r="BI17" s="844">
        <f>+BH17*(1+BI24)</f>
        <v/>
      </c>
      <c r="BJ17" s="844">
        <f>+BI17*(1+BJ24)</f>
        <v/>
      </c>
      <c r="BK17" s="846">
        <f>+BJ17*(1+BK24)</f>
        <v/>
      </c>
      <c r="BL17" s="844">
        <f>+BK17*(1+BL24)</f>
        <v/>
      </c>
      <c r="BM17" s="844">
        <f>+BL17*(1+BM24)</f>
        <v/>
      </c>
      <c r="BN17" s="844">
        <f>+BM17*(1+BN24)</f>
        <v/>
      </c>
      <c r="BO17" s="844">
        <f>+BN17*(1+BO24)</f>
        <v/>
      </c>
      <c r="BP17" s="844">
        <f>+BO17*(1+BP24)</f>
        <v/>
      </c>
      <c r="BQ17" s="844">
        <f>+BP17*(1+BQ24)</f>
        <v/>
      </c>
      <c r="BR17" s="844">
        <f>+BQ17*(1+BR24)</f>
        <v/>
      </c>
      <c r="BS17" s="844">
        <f>+BR17*(1+BS24)</f>
        <v/>
      </c>
      <c r="BT17" s="844">
        <f>+BS17*(1+BT24)</f>
        <v/>
      </c>
      <c r="BU17" s="844">
        <f>+BT17*(1+BU24)</f>
        <v/>
      </c>
      <c r="BV17" s="844">
        <f>+BU17*(1+BV24)</f>
        <v/>
      </c>
      <c r="BW17" s="846">
        <f>+BV17*(1+BW24)</f>
        <v/>
      </c>
      <c r="BX17" s="844">
        <f>+BW17*(1+BX24)</f>
        <v/>
      </c>
      <c r="BY17" s="844">
        <f>+BX17*(1+BY24)</f>
        <v/>
      </c>
      <c r="BZ17" s="844">
        <f>+BY17*(1+BZ24)</f>
        <v/>
      </c>
      <c r="CA17" s="844">
        <f>+BZ17*(1+CA24)</f>
        <v/>
      </c>
      <c r="CB17" s="844">
        <f>+CA17*(1+CB24)</f>
        <v/>
      </c>
      <c r="CC17" s="844">
        <f>+CB17*(1+CC24)</f>
        <v/>
      </c>
      <c r="CD17" s="844">
        <f>+CC17*(1+CD24)</f>
        <v/>
      </c>
      <c r="CE17" s="844">
        <f>+CD17*(1+CE24)</f>
        <v/>
      </c>
      <c r="CF17" s="844">
        <f>+CE17*(1+CF24)</f>
        <v/>
      </c>
      <c r="CG17" s="844">
        <f>+CF17*(1+CG24)</f>
        <v/>
      </c>
      <c r="CH17" s="844">
        <f>+CG17*(1+CH24)</f>
        <v/>
      </c>
      <c r="CI17" s="846">
        <f>+CH17*(1+CI24)</f>
        <v/>
      </c>
      <c r="CJ17" s="844">
        <f>+CI17*(1+CJ24)</f>
        <v/>
      </c>
      <c r="CK17" s="844">
        <f>+CJ17*(1+CK24)</f>
        <v/>
      </c>
      <c r="CL17" s="844">
        <f>+CK17*(1+CL24)</f>
        <v/>
      </c>
      <c r="CM17" s="844">
        <f>+CL17*(1+CM24)</f>
        <v/>
      </c>
      <c r="CN17" s="844">
        <f>+CM17*(1+CN24)</f>
        <v/>
      </c>
      <c r="CO17" s="844">
        <f>+CN17*(1+CO24)</f>
        <v/>
      </c>
      <c r="CP17" s="844">
        <f>+CO17*(1+CP24)</f>
        <v/>
      </c>
      <c r="CQ17" s="844">
        <f>+CP17*(1+CQ24)</f>
        <v/>
      </c>
      <c r="CR17" s="844">
        <f>+CQ17*(1+CR24)</f>
        <v/>
      </c>
      <c r="CS17" s="844">
        <f>+CR17*(1+CS24)</f>
        <v/>
      </c>
      <c r="CT17" s="844">
        <f>+CS17*(1+CT24)</f>
        <v/>
      </c>
      <c r="CU17" s="846">
        <f>+CT17*(1+CU24)</f>
        <v/>
      </c>
      <c r="CV17" s="844">
        <f>+CU17*(1+CV24)</f>
        <v/>
      </c>
      <c r="CW17" s="844">
        <f>+CV17*(1+CW24)</f>
        <v/>
      </c>
      <c r="CX17" s="844">
        <f>+CW17*(1+CX24)</f>
        <v/>
      </c>
      <c r="CY17" s="844">
        <f>+CX17*(1+CY24)</f>
        <v/>
      </c>
      <c r="CZ17" s="844">
        <f>+CY17*(1+CZ24)</f>
        <v/>
      </c>
      <c r="DA17" s="844">
        <f>+CZ17*(1+DA24)</f>
        <v/>
      </c>
      <c r="DB17" s="844">
        <f>+DA17*(1+DB24)</f>
        <v/>
      </c>
      <c r="DC17" s="844">
        <f>+DB17*(1+DC24)</f>
        <v/>
      </c>
      <c r="DD17" s="844">
        <f>+DC17*(1+DD24)</f>
        <v/>
      </c>
      <c r="DE17" s="844">
        <f>+DD17*(1+DE24)</f>
        <v/>
      </c>
      <c r="DF17" s="844">
        <f>+DE17*(1+DF24)</f>
        <v/>
      </c>
      <c r="DG17" s="846">
        <f>+DF17*(1+DG24)</f>
        <v/>
      </c>
    </row>
    <row r="18">
      <c r="A18" s="33" t="n"/>
      <c r="B18" s="33" t="n"/>
      <c r="C18" s="607" t="inlineStr">
        <is>
          <t>Net New Clients</t>
        </is>
      </c>
      <c r="D18" s="847" t="n"/>
      <c r="E18" s="850">
        <f>SUM(E19:E20)</f>
        <v/>
      </c>
      <c r="F18" s="850">
        <f>SUM(F19:F20)</f>
        <v/>
      </c>
      <c r="G18" s="850">
        <f>SUM(G19:G20)</f>
        <v/>
      </c>
      <c r="H18" s="850">
        <f>SUM(H19:H20)</f>
        <v/>
      </c>
      <c r="I18" s="850">
        <f>SUM(I19:I20)</f>
        <v/>
      </c>
      <c r="J18" s="850">
        <f>SUM(J19:J20)</f>
        <v/>
      </c>
      <c r="K18" s="850">
        <f>SUM(K19:K20)</f>
        <v/>
      </c>
      <c r="L18" s="850">
        <f>SUM(L19:L20)</f>
        <v/>
      </c>
      <c r="M18" s="850">
        <f>SUM(M19:M20)</f>
        <v/>
      </c>
      <c r="N18" s="850">
        <f>SUM(N19:N20)</f>
        <v/>
      </c>
      <c r="O18" s="850">
        <f>SUM(O19:O20)</f>
        <v/>
      </c>
      <c r="P18" s="850">
        <f>SUM(P19:P20)</f>
        <v/>
      </c>
      <c r="Q18" s="850">
        <f>SUM(Q19:Q20)</f>
        <v/>
      </c>
      <c r="R18" s="850">
        <f>SUM(R19:R20)</f>
        <v/>
      </c>
      <c r="S18" s="850">
        <f>SUM(S19:S20)</f>
        <v/>
      </c>
      <c r="T18" s="850">
        <f>SUM(T19:T20)</f>
        <v/>
      </c>
      <c r="U18" s="850">
        <f>SUM(U19:U20)</f>
        <v/>
      </c>
      <c r="V18" s="850">
        <f>SUM(V19:V20)</f>
        <v/>
      </c>
      <c r="W18" s="850">
        <f>SUM(W19:W20)</f>
        <v/>
      </c>
      <c r="X18" s="850">
        <f>SUM(X19:X20)</f>
        <v/>
      </c>
      <c r="Y18" s="850">
        <f>SUM(Y19:Y20)</f>
        <v/>
      </c>
      <c r="Z18" s="850">
        <f>SUM(Z19:Z20)</f>
        <v/>
      </c>
      <c r="AA18" s="850">
        <f>SUM(AA19:AA20)</f>
        <v/>
      </c>
      <c r="AB18" s="850">
        <f>SUM(AB19:AB20)</f>
        <v/>
      </c>
      <c r="AC18" s="850">
        <f>SUM(AC19:AC20)</f>
        <v/>
      </c>
      <c r="AD18" s="850">
        <f>SUM(AD19:AD20)</f>
        <v/>
      </c>
      <c r="AE18" s="850">
        <f>SUM(AE19:AE20)</f>
        <v/>
      </c>
      <c r="AF18" s="850">
        <f>SUM(AF19:AF20)</f>
        <v/>
      </c>
      <c r="AG18" s="850">
        <f>SUM(AG19:AG20)</f>
        <v/>
      </c>
      <c r="AH18" s="850">
        <f>SUM(AH19:AH20)</f>
        <v/>
      </c>
      <c r="AI18" s="850">
        <f>SUM(AI19:AI20)</f>
        <v/>
      </c>
      <c r="AJ18" s="850">
        <f>SUM(AJ19:AJ20)</f>
        <v/>
      </c>
      <c r="AK18" s="850">
        <f>SUM(AK19:AK20)</f>
        <v/>
      </c>
      <c r="AL18" s="850">
        <f>SUM(AL19:AL20)</f>
        <v/>
      </c>
      <c r="AM18" s="850">
        <f>SUM(AM19:AM20)</f>
        <v/>
      </c>
      <c r="AN18" s="850">
        <f>SUM(AN19:AN20)</f>
        <v/>
      </c>
      <c r="AO18" s="850">
        <f>SUM(AO19:AO20)</f>
        <v/>
      </c>
      <c r="AP18" s="850">
        <f>SUM(AP19:AP20)</f>
        <v/>
      </c>
      <c r="AQ18" s="850">
        <f>SUM(AQ19:AQ20)</f>
        <v/>
      </c>
      <c r="AR18" s="850">
        <f>SUM(AR19:AR20)</f>
        <v/>
      </c>
      <c r="AS18" s="850">
        <f>SUM(AS19:AS20)</f>
        <v/>
      </c>
      <c r="AT18" s="850">
        <f>SUM(AT19:AT20)</f>
        <v/>
      </c>
      <c r="AU18" s="850">
        <f>SUM(AU19:AU20)</f>
        <v/>
      </c>
      <c r="AV18" s="850">
        <f>SUM(AV19:AV20)</f>
        <v/>
      </c>
      <c r="AW18" s="851">
        <f>SUM(AW19:AW20)</f>
        <v/>
      </c>
      <c r="AX18" s="852">
        <f>SUM(AX19:AX20)</f>
        <v/>
      </c>
      <c r="AY18" s="853">
        <f>SUM(AY19:AY20)</f>
        <v/>
      </c>
      <c r="AZ18" s="852">
        <f>SUM(AZ19:AZ20)</f>
        <v/>
      </c>
      <c r="BA18" s="852">
        <f>SUM(BA19:BA20)</f>
        <v/>
      </c>
      <c r="BB18" s="852">
        <f>SUM(BB19:BB20)</f>
        <v/>
      </c>
      <c r="BC18" s="852">
        <f>SUM(BC19:BC20)</f>
        <v/>
      </c>
      <c r="BD18" s="852">
        <f>SUM(BD19:BD20)</f>
        <v/>
      </c>
      <c r="BE18" s="852">
        <f>SUM(BE19:BE20)</f>
        <v/>
      </c>
      <c r="BF18" s="852">
        <f>SUM(BF19:BF20)</f>
        <v/>
      </c>
      <c r="BG18" s="852">
        <f>SUM(BG19:BG20)</f>
        <v/>
      </c>
      <c r="BH18" s="852">
        <f>SUM(BH19:BH20)</f>
        <v/>
      </c>
      <c r="BI18" s="852">
        <f>SUM(BI19:BI20)</f>
        <v/>
      </c>
      <c r="BJ18" s="852">
        <f>SUM(BJ19:BJ20)</f>
        <v/>
      </c>
      <c r="BK18" s="854">
        <f>SUM(BK19:BK20)</f>
        <v/>
      </c>
      <c r="BL18" s="852">
        <f>SUM(BL19:BL20)</f>
        <v/>
      </c>
      <c r="BM18" s="852">
        <f>SUM(BM19:BM20)</f>
        <v/>
      </c>
      <c r="BN18" s="852">
        <f>SUM(BN19:BN20)</f>
        <v/>
      </c>
      <c r="BO18" s="852">
        <f>SUM(BO19:BO20)</f>
        <v/>
      </c>
      <c r="BP18" s="852">
        <f>SUM(BP19:BP20)</f>
        <v/>
      </c>
      <c r="BQ18" s="852">
        <f>SUM(BQ19:BQ20)</f>
        <v/>
      </c>
      <c r="BR18" s="852">
        <f>SUM(BR19:BR20)</f>
        <v/>
      </c>
      <c r="BS18" s="852">
        <f>SUM(BS19:BS20)</f>
        <v/>
      </c>
      <c r="BT18" s="852">
        <f>SUM(BT19:BT20)</f>
        <v/>
      </c>
      <c r="BU18" s="852">
        <f>SUM(BU19:BU20)</f>
        <v/>
      </c>
      <c r="BV18" s="852">
        <f>SUM(BV19:BV20)</f>
        <v/>
      </c>
      <c r="BW18" s="854">
        <f>SUM(BW19:BW20)</f>
        <v/>
      </c>
      <c r="BX18" s="852">
        <f>SUM(BX19:BX20)</f>
        <v/>
      </c>
      <c r="BY18" s="852">
        <f>SUM(BY19:BY20)</f>
        <v/>
      </c>
      <c r="BZ18" s="852">
        <f>SUM(BZ19:BZ20)</f>
        <v/>
      </c>
      <c r="CA18" s="852">
        <f>SUM(CA19:CA20)</f>
        <v/>
      </c>
      <c r="CB18" s="852">
        <f>SUM(CB19:CB20)</f>
        <v/>
      </c>
      <c r="CC18" s="852">
        <f>SUM(CC19:CC20)</f>
        <v/>
      </c>
      <c r="CD18" s="852">
        <f>SUM(CD19:CD20)</f>
        <v/>
      </c>
      <c r="CE18" s="852">
        <f>SUM(CE19:CE20)</f>
        <v/>
      </c>
      <c r="CF18" s="852">
        <f>SUM(CF19:CF20)</f>
        <v/>
      </c>
      <c r="CG18" s="852">
        <f>SUM(CG19:CG20)</f>
        <v/>
      </c>
      <c r="CH18" s="852">
        <f>SUM(CH19:CH20)</f>
        <v/>
      </c>
      <c r="CI18" s="854">
        <f>SUM(CI19:CI20)</f>
        <v/>
      </c>
      <c r="CJ18" s="852">
        <f>SUM(CJ19:CJ20)</f>
        <v/>
      </c>
      <c r="CK18" s="852">
        <f>SUM(CK19:CK20)</f>
        <v/>
      </c>
      <c r="CL18" s="852">
        <f>SUM(CL19:CL20)</f>
        <v/>
      </c>
      <c r="CM18" s="852">
        <f>SUM(CM19:CM20)</f>
        <v/>
      </c>
      <c r="CN18" s="852">
        <f>SUM(CN19:CN20)</f>
        <v/>
      </c>
      <c r="CO18" s="852">
        <f>SUM(CO19:CO20)</f>
        <v/>
      </c>
      <c r="CP18" s="852">
        <f>SUM(CP19:CP20)</f>
        <v/>
      </c>
      <c r="CQ18" s="852">
        <f>SUM(CQ19:CQ20)</f>
        <v/>
      </c>
      <c r="CR18" s="852">
        <f>SUM(CR19:CR20)</f>
        <v/>
      </c>
      <c r="CS18" s="852">
        <f>SUM(CS19:CS20)</f>
        <v/>
      </c>
      <c r="CT18" s="852">
        <f>SUM(CT19:CT20)</f>
        <v/>
      </c>
      <c r="CU18" s="854">
        <f>SUM(CU19:CU20)</f>
        <v/>
      </c>
      <c r="CV18" s="852">
        <f>SUM(CV19:CV20)</f>
        <v/>
      </c>
      <c r="CW18" s="852">
        <f>SUM(CW19:CW20)</f>
        <v/>
      </c>
      <c r="CX18" s="852">
        <f>SUM(CX19:CX20)</f>
        <v/>
      </c>
      <c r="CY18" s="852">
        <f>SUM(CY19:CY20)</f>
        <v/>
      </c>
      <c r="CZ18" s="852">
        <f>SUM(CZ19:CZ20)</f>
        <v/>
      </c>
      <c r="DA18" s="852">
        <f>SUM(DA19:DA20)</f>
        <v/>
      </c>
      <c r="DB18" s="852">
        <f>SUM(DB19:DB20)</f>
        <v/>
      </c>
      <c r="DC18" s="852">
        <f>SUM(DC19:DC20)</f>
        <v/>
      </c>
      <c r="DD18" s="852">
        <f>SUM(DD19:DD20)</f>
        <v/>
      </c>
      <c r="DE18" s="852">
        <f>SUM(DE19:DE20)</f>
        <v/>
      </c>
      <c r="DF18" s="852">
        <f>SUM(DF19:DF20)</f>
        <v/>
      </c>
      <c r="DG18" s="854">
        <f>SUM(DG19:DG20)</f>
        <v/>
      </c>
    </row>
    <row r="19">
      <c r="A19" s="33" t="n"/>
      <c r="B19" s="33" t="n"/>
      <c r="C19" s="607" t="inlineStr">
        <is>
          <t>Additions</t>
        </is>
      </c>
      <c r="D19" s="847" t="n"/>
      <c r="E19" s="850" t="n"/>
      <c r="F19" s="850">
        <f>+IF(F15&gt;E15,F15-E15, 0)</f>
        <v/>
      </c>
      <c r="G19" s="850">
        <f>+IF(G15&gt;F15,G15-F15, 0)</f>
        <v/>
      </c>
      <c r="H19" s="850">
        <f>+IF(H15&gt;G15,H15-G15, 0)</f>
        <v/>
      </c>
      <c r="I19" s="850">
        <f>+IF(I15&gt;H15,I15-H15, 0)</f>
        <v/>
      </c>
      <c r="J19" s="850">
        <f>+IF(J15&gt;I15,J15-I15, 0)</f>
        <v/>
      </c>
      <c r="K19" s="850">
        <f>+IF(K15&gt;J15,K15-J15, 0)</f>
        <v/>
      </c>
      <c r="L19" s="850">
        <f>+IF(L15&gt;K15,L15-K15, 0)</f>
        <v/>
      </c>
      <c r="M19" s="850">
        <f>+IF(M15&gt;L15,M15-L15, 0)</f>
        <v/>
      </c>
      <c r="N19" s="850">
        <f>+IF(N15&gt;M15,N15-M15, 0)</f>
        <v/>
      </c>
      <c r="O19" s="850">
        <f>+IF(O15&gt;N15,O15-N15, 0)</f>
        <v/>
      </c>
      <c r="P19" s="850">
        <f>+IF(P15&gt;O15,P15-O15, 0)</f>
        <v/>
      </c>
      <c r="Q19" s="850">
        <f>+IF(Q15&gt;P15,Q15-P15, 0)</f>
        <v/>
      </c>
      <c r="R19" s="850">
        <f>+IF(R15&gt;Q15,R15-Q15, 0)</f>
        <v/>
      </c>
      <c r="S19" s="850">
        <f>+IF(S15&gt;R15,S15-R15, 0)</f>
        <v/>
      </c>
      <c r="T19" s="850">
        <f>+IF(T15&gt;S15,T15-S15, 0)</f>
        <v/>
      </c>
      <c r="U19" s="850">
        <f>+IF(U15&gt;T15,U15-T15, 0)</f>
        <v/>
      </c>
      <c r="V19" s="850">
        <f>+IF(V15&gt;U15,V15-U15, 0)</f>
        <v/>
      </c>
      <c r="W19" s="850" t="n">
        <v>62</v>
      </c>
      <c r="X19" s="850" t="n">
        <v>62</v>
      </c>
      <c r="Y19" s="850" t="n">
        <v>56</v>
      </c>
      <c r="Z19" s="850" t="n">
        <v>29</v>
      </c>
      <c r="AA19" s="850" t="n">
        <v>19</v>
      </c>
      <c r="AB19" s="850" t="n">
        <v>0</v>
      </c>
      <c r="AC19" s="850" t="n">
        <v>37</v>
      </c>
      <c r="AD19" s="850" t="n">
        <v>42</v>
      </c>
      <c r="AE19" s="850" t="n">
        <v>50</v>
      </c>
      <c r="AF19" s="850" t="n">
        <v>40</v>
      </c>
      <c r="AG19" s="850" t="n">
        <v>35</v>
      </c>
      <c r="AH19" s="855" t="n">
        <v>25</v>
      </c>
      <c r="AI19" s="855" t="n">
        <v>31</v>
      </c>
      <c r="AJ19" s="855" t="n">
        <v>8</v>
      </c>
      <c r="AK19" s="855" t="n">
        <v>37</v>
      </c>
      <c r="AL19" s="855" t="n">
        <v>18</v>
      </c>
      <c r="AM19" s="855" t="n">
        <v>29</v>
      </c>
      <c r="AN19" s="855" t="n">
        <v>24</v>
      </c>
      <c r="AO19" s="855" t="n">
        <v>27</v>
      </c>
      <c r="AP19" s="855" t="n">
        <v>32</v>
      </c>
      <c r="AQ19" s="855" t="n">
        <v>39</v>
      </c>
      <c r="AR19" s="855" t="n">
        <v>40</v>
      </c>
      <c r="AS19" s="855" t="n">
        <v>25</v>
      </c>
      <c r="AT19" s="855" t="n">
        <v>33</v>
      </c>
      <c r="AU19" s="855" t="n">
        <v>28</v>
      </c>
      <c r="AV19" s="855" t="n">
        <v>18</v>
      </c>
      <c r="AW19" s="856" t="n">
        <v>24</v>
      </c>
      <c r="AX19" s="857">
        <f>IF(AX2="Trough",INDEX($I$50:$I$52,MATCH(AX2,$E$50:$E$52,0)),IF(AX2="Shoulder",INDEX($I$50:$I$52,MATCH(AX2,$E$50:$E$52,0)),INDEX($I$50:$I$52,MATCH(AX2,$E$50:$E$52,0))))</f>
        <v/>
      </c>
      <c r="AY19" s="858">
        <f>IF(AY2="Trough",INDEX($I$50:$I$52,MATCH(AY2,$E$50:$E$52,0)),IF(AY2="Shoulder",INDEX($I$50:$I$52,MATCH(AY2,$E$50:$E$52,0)),INDEX($I$50:$I$52,MATCH(AY2,$E$50:$E$52,0))))</f>
        <v/>
      </c>
      <c r="AZ19" s="857">
        <f>IF(AZ2="Trough",INDEX($J$50:$J$52,MATCH(AZ2,$E$50:$E$52,0)),IF(AZ2="Shoulder",INDEX($J$50:$J$52,MATCH(AZ2,$E$50:$E$52,0)),INDEX($J$50:$J$52,MATCH(AZ2,$E$50:$E$52,0))))</f>
        <v/>
      </c>
      <c r="BA19" s="857">
        <f>IF(BA2="Trough",INDEX($J$50:$J$52,MATCH(BA2,$E$50:$E$52,0)),IF(BA2="Shoulder",INDEX($J$50:$J$52,MATCH(BA2,$E$50:$E$52,0)),INDEX($J$50:$J$52,MATCH(BA2,$E$50:$E$52,0))))</f>
        <v/>
      </c>
      <c r="BB19" s="857">
        <f>IF(BB2="Trough",INDEX($J$50:$J$52,MATCH(BB2,$E$50:$E$52,0)),IF(BB2="Shoulder",INDEX($J$50:$J$52,MATCH(BB2,$E$50:$E$52,0)),INDEX($J$50:$J$52,MATCH(BB2,$E$50:$E$52,0))))</f>
        <v/>
      </c>
      <c r="BC19" s="857">
        <f>IF(BC2="Trough",INDEX($J$50:$J$52,MATCH(BC2,$E$50:$E$52,0)),IF(BC2="Shoulder",INDEX($J$50:$J$52,MATCH(BC2,$E$50:$E$52,0)),INDEX($J$50:$J$52,MATCH(BC2,$E$50:$E$52,0))))</f>
        <v/>
      </c>
      <c r="BD19" s="857">
        <f>IF(BD2="Trough",INDEX($J$50:$J$52,MATCH(BD2,$E$50:$E$52,0)),IF(BD2="Shoulder",INDEX($J$50:$J$52,MATCH(BD2,$E$50:$E$52,0)),INDEX($J$50:$J$52,MATCH(BD2,$E$50:$E$52,0))))</f>
        <v/>
      </c>
      <c r="BE19" s="857">
        <f>IF(BE2="Trough",INDEX($J$50:$J$52,MATCH(BE2,$E$50:$E$52,0)),IF(BE2="Shoulder",INDEX($J$50:$J$52,MATCH(BE2,$E$50:$E$52,0)),INDEX($J$50:$J$52,MATCH(BE2,$E$50:$E$52,0))))</f>
        <v/>
      </c>
      <c r="BF19" s="857">
        <f>IF(BF2="Trough",INDEX($J$50:$J$52,MATCH(BF2,$E$50:$E$52,0)),IF(BF2="Shoulder",INDEX($J$50:$J$52,MATCH(BF2,$E$50:$E$52,0)),INDEX($J$50:$J$52,MATCH(BF2,$E$50:$E$52,0))))</f>
        <v/>
      </c>
      <c r="BG19" s="857">
        <f>IF(BG2="Trough",INDEX($J$50:$J$52,MATCH(BG2,$E$50:$E$52,0)),IF(BG2="Shoulder",INDEX($J$50:$J$52,MATCH(BG2,$E$50:$E$52,0)),INDEX($J$50:$J$52,MATCH(BG2,$E$50:$E$52,0))))</f>
        <v/>
      </c>
      <c r="BH19" s="857">
        <f>IF(BH2="Trough",INDEX($J$50:$J$52,MATCH(BH2,$E$50:$E$52,0)),IF(BH2="Shoulder",INDEX($J$50:$J$52,MATCH(BH2,$E$50:$E$52,0)),INDEX($J$50:$J$52,MATCH(BH2,$E$50:$E$52,0))))</f>
        <v/>
      </c>
      <c r="BI19" s="857">
        <f>IF(BI2="Trough",INDEX($J$50:$J$52,MATCH(BI2,$E$50:$E$52,0)),IF(BI2="Shoulder",INDEX($J$50:$J$52,MATCH(BI2,$E$50:$E$52,0)),INDEX($J$50:$J$52,MATCH(BI2,$E$50:$E$52,0))))</f>
        <v/>
      </c>
      <c r="BJ19" s="857">
        <f>IF(BJ2="Trough",INDEX($J$50:$J$52,MATCH(BJ2,$E$50:$E$52,0)),IF(BJ2="Shoulder",INDEX($J$50:$J$52,MATCH(BJ2,$E$50:$E$52,0)),INDEX($J$50:$J$52,MATCH(BJ2,$E$50:$E$52,0))))</f>
        <v/>
      </c>
      <c r="BK19" s="859">
        <f>IF(BK2="Trough",INDEX($J$50:$J$52,MATCH(BK2,$E$50:$E$52,0)),IF(BK2="Shoulder",INDEX($J$50:$J$52,MATCH(BK2,$E$50:$E$52,0)),INDEX($J$50:$J$52,MATCH(BK2,$E$50:$E$52,0))))</f>
        <v/>
      </c>
      <c r="BL19" s="857">
        <f>+IF(BL2="Trough",INDEX($K$50:$K$52,MATCH(BL2,$E$50:$E$52,0)),IF(BL2="Shoulder",INDEX($K$50:$K$52,MATCH(BL2,$E$50:$E$52,0)),INDEX($K$50:$K$52,MATCH(BL2,$E$50:$E$52,0))))</f>
        <v/>
      </c>
      <c r="BM19" s="857">
        <f>+IF(BM2="Trough",INDEX($K$50:$K$52,MATCH(BM2,$E$50:$E$52,0)),IF(BM2="Shoulder",INDEX($K$50:$K$52,MATCH(BM2,$E$50:$E$52,0)),INDEX($K$50:$K$52,MATCH(BM2,$E$50:$E$52,0))))</f>
        <v/>
      </c>
      <c r="BN19" s="857">
        <f>+IF(BN2="Trough",INDEX($K$50:$K$52,MATCH(BN2,$E$50:$E$52,0)),IF(BN2="Shoulder",INDEX($K$50:$K$52,MATCH(BN2,$E$50:$E$52,0)),INDEX($K$50:$K$52,MATCH(BN2,$E$50:$E$52,0))))</f>
        <v/>
      </c>
      <c r="BO19" s="857">
        <f>+IF(BO2="Trough",INDEX($K$50:$K$52,MATCH(BO2,$E$50:$E$52,0)),IF(BO2="Shoulder",INDEX($K$50:$K$52,MATCH(BO2,$E$50:$E$52,0)),INDEX($K$50:$K$52,MATCH(BO2,$E$50:$E$52,0))))</f>
        <v/>
      </c>
      <c r="BP19" s="857">
        <f>+IF(BP2="Trough",INDEX($K$50:$K$52,MATCH(BP2,$E$50:$E$52,0)),IF(BP2="Shoulder",INDEX($K$50:$K$52,MATCH(BP2,$E$50:$E$52,0)),INDEX($K$50:$K$52,MATCH(BP2,$E$50:$E$52,0))))</f>
        <v/>
      </c>
      <c r="BQ19" s="857">
        <f>+IF(BQ2="Trough",INDEX($K$50:$K$52,MATCH(BQ2,$E$50:$E$52,0)),IF(BQ2="Shoulder",INDEX($K$50:$K$52,MATCH(BQ2,$E$50:$E$52,0)),INDEX($K$50:$K$52,MATCH(BQ2,$E$50:$E$52,0))))</f>
        <v/>
      </c>
      <c r="BR19" s="857">
        <f>+IF(BR2="Trough",INDEX($K$50:$K$52,MATCH(BR2,$E$50:$E$52,0)),IF(BR2="Shoulder",INDEX($K$50:$K$52,MATCH(BR2,$E$50:$E$52,0)),INDEX($K$50:$K$52,MATCH(BR2,$E$50:$E$52,0))))</f>
        <v/>
      </c>
      <c r="BS19" s="857">
        <f>+IF(BS2="Trough",INDEX($K$50:$K$52,MATCH(BS2,$E$50:$E$52,0)),IF(BS2="Shoulder",INDEX($K$50:$K$52,MATCH(BS2,$E$50:$E$52,0)),INDEX($K$50:$K$52,MATCH(BS2,$E$50:$E$52,0))))</f>
        <v/>
      </c>
      <c r="BT19" s="857">
        <f>+IF(BT2="Trough",INDEX($K$50:$K$52,MATCH(BT2,$E$50:$E$52,0)),IF(BT2="Shoulder",INDEX($K$50:$K$52,MATCH(BT2,$E$50:$E$52,0)),INDEX($K$50:$K$52,MATCH(BT2,$E$50:$E$52,0))))</f>
        <v/>
      </c>
      <c r="BU19" s="857">
        <f>+IF(BU2="Trough",INDEX($K$50:$K$52,MATCH(BU2,$E$50:$E$52,0)),IF(BU2="Shoulder",INDEX($K$50:$K$52,MATCH(BU2,$E$50:$E$52,0)),INDEX($K$50:$K$52,MATCH(BU2,$E$50:$E$52,0))))</f>
        <v/>
      </c>
      <c r="BV19" s="857">
        <f>+IF(BV2="Trough",INDEX($K$50:$K$52,MATCH(BV2,$E$50:$E$52,0)),IF(BV2="Shoulder",INDEX($K$50:$K$52,MATCH(BV2,$E$50:$E$52,0)),INDEX($K$50:$K$52,MATCH(BV2,$E$50:$E$52,0))))</f>
        <v/>
      </c>
      <c r="BW19" s="859">
        <f>+IF(BW2="Trough",INDEX($K$50:$K$52,MATCH(BW2,$E$50:$E$52,0)),IF(BW2="Shoulder",INDEX($K$50:$K$52,MATCH(BW2,$E$50:$E$52,0)),INDEX($K$50:$K$52,MATCH(BW2,$E$50:$E$52,0))))</f>
        <v/>
      </c>
      <c r="BX19" s="857">
        <f>IF(BX2="Trough",INDEX($L$50:$L$52,MATCH(BX2,$E$50:$E$52,0)),IF(BX2="Shoulder",INDEX($L$50:$L$52,MATCH(BX2,$E$50:$E$52,0)),INDEX($L$50:$L$52,MATCH(BX2,$E$50:$E$52,0))))</f>
        <v/>
      </c>
      <c r="BY19" s="857">
        <f>IF(BY2="Trough",INDEX($L$50:$L$52,MATCH(BY2,$E$50:$E$52,0)),IF(BY2="Shoulder",INDEX($L$50:$L$52,MATCH(BY2,$E$50:$E$52,0)),INDEX($L$50:$L$52,MATCH(BY2,$E$50:$E$52,0))))</f>
        <v/>
      </c>
      <c r="BZ19" s="857">
        <f>IF(BZ2="Trough",INDEX($L$50:$L$52,MATCH(BZ2,$E$50:$E$52,0)),IF(BZ2="Shoulder",INDEX($L$50:$L$52,MATCH(BZ2,$E$50:$E$52,0)),INDEX($L$50:$L$52,MATCH(BZ2,$E$50:$E$52,0))))</f>
        <v/>
      </c>
      <c r="CA19" s="857">
        <f>IF(CA2="Trough",INDEX($L$50:$L$52,MATCH(CA2,$E$50:$E$52,0)),IF(CA2="Shoulder",INDEX($L$50:$L$52,MATCH(CA2,$E$50:$E$52,0)),INDEX($L$50:$L$52,MATCH(CA2,$E$50:$E$52,0))))</f>
        <v/>
      </c>
      <c r="CB19" s="857">
        <f>IF(CB2="Trough",INDEX($L$50:$L$52,MATCH(CB2,$E$50:$E$52,0)),IF(CB2="Shoulder",INDEX($L$50:$L$52,MATCH(CB2,$E$50:$E$52,0)),INDEX($L$50:$L$52,MATCH(CB2,$E$50:$E$52,0))))</f>
        <v/>
      </c>
      <c r="CC19" s="857">
        <f>IF(CC2="Trough",INDEX($L$50:$L$52,MATCH(CC2,$E$50:$E$52,0)),IF(CC2="Shoulder",INDEX($L$50:$L$52,MATCH(CC2,$E$50:$E$52,0)),INDEX($L$50:$L$52,MATCH(CC2,$E$50:$E$52,0))))</f>
        <v/>
      </c>
      <c r="CD19" s="857">
        <f>IF(CD2="Trough",INDEX($L$50:$L$52,MATCH(CD2,$E$50:$E$52,0)),IF(CD2="Shoulder",INDEX($L$50:$L$52,MATCH(CD2,$E$50:$E$52,0)),INDEX($L$50:$L$52,MATCH(CD2,$E$50:$E$52,0))))</f>
        <v/>
      </c>
      <c r="CE19" s="857">
        <f>IF(CE2="Trough",INDEX($L$50:$L$52,MATCH(CE2,$E$50:$E$52,0)),IF(CE2="Shoulder",INDEX($L$50:$L$52,MATCH(CE2,$E$50:$E$52,0)),INDEX($L$50:$L$52,MATCH(CE2,$E$50:$E$52,0))))</f>
        <v/>
      </c>
      <c r="CF19" s="857">
        <f>IF(CF2="Trough",INDEX($L$50:$L$52,MATCH(CF2,$E$50:$E$52,0)),IF(CF2="Shoulder",INDEX($L$50:$L$52,MATCH(CF2,$E$50:$E$52,0)),INDEX($L$50:$L$52,MATCH(CF2,$E$50:$E$52,0))))</f>
        <v/>
      </c>
      <c r="CG19" s="857">
        <f>IF(CG2="Trough",INDEX($L$50:$L$52,MATCH(CG2,$E$50:$E$52,0)),IF(CG2="Shoulder",INDEX($L$50:$L$52,MATCH(CG2,$E$50:$E$52,0)),INDEX($L$50:$L$52,MATCH(CG2,$E$50:$E$52,0))))</f>
        <v/>
      </c>
      <c r="CH19" s="857">
        <f>IF(CH2="Trough",INDEX($L$50:$L$52,MATCH(CH2,$E$50:$E$52,0)),IF(CH2="Shoulder",INDEX($L$50:$L$52,MATCH(CH2,$E$50:$E$52,0)),INDEX($L$50:$L$52,MATCH(CH2,$E$50:$E$52,0))))</f>
        <v/>
      </c>
      <c r="CI19" s="859">
        <f>IF(CI2="Trough",INDEX($L$50:$L$52,MATCH(CI2,$E$50:$E$52,0)),IF(CI2="Shoulder",INDEX($L$50:$L$52,MATCH(CI2,$E$50:$E$52,0)),INDEX($L$50:$L$52,MATCH(CI2,$E$50:$E$52,0))))</f>
        <v/>
      </c>
      <c r="CJ19" s="857">
        <f>IF(CJ2="Trough",INDEX($M$50:$M$52,MATCH(CJ2,$E$50:$E$52,0)),IF(CJ2="Shoulder",INDEX($M$50:$M$52,MATCH(CJ2,$E$50:$E$52,0)),INDEX($M$50:$M$52,MATCH(CJ2,$E$50:$E$52,0))))</f>
        <v/>
      </c>
      <c r="CK19" s="857">
        <f>IF(CK2="Trough",INDEX($M$50:$M$52,MATCH(CK2,$E$50:$E$52,0)),IF(CK2="Shoulder",INDEX($M$50:$M$52,MATCH(CK2,$E$50:$E$52,0)),INDEX($M$50:$M$52,MATCH(CK2,$E$50:$E$52,0))))</f>
        <v/>
      </c>
      <c r="CL19" s="857">
        <f>IF(CL2="Trough",INDEX($M$50:$M$52,MATCH(CL2,$E$50:$E$52,0)),IF(CL2="Shoulder",INDEX($M$50:$M$52,MATCH(CL2,$E$50:$E$52,0)),INDEX($M$50:$M$52,MATCH(CL2,$E$50:$E$52,0))))</f>
        <v/>
      </c>
      <c r="CM19" s="857">
        <f>IF(CM2="Trough",INDEX($M$50:$M$52,MATCH(CM2,$E$50:$E$52,0)),IF(CM2="Shoulder",INDEX($M$50:$M$52,MATCH(CM2,$E$50:$E$52,0)),INDEX($M$50:$M$52,MATCH(CM2,$E$50:$E$52,0))))</f>
        <v/>
      </c>
      <c r="CN19" s="857">
        <f>IF(CN2="Trough",INDEX($M$50:$M$52,MATCH(CN2,$E$50:$E$52,0)),IF(CN2="Shoulder",INDEX($M$50:$M$52,MATCH(CN2,$E$50:$E$52,0)),INDEX($M$50:$M$52,MATCH(CN2,$E$50:$E$52,0))))</f>
        <v/>
      </c>
      <c r="CO19" s="857">
        <f>IF(CO2="Trough",INDEX($M$50:$M$52,MATCH(CO2,$E$50:$E$52,0)),IF(CO2="Shoulder",INDEX($M$50:$M$52,MATCH(CO2,$E$50:$E$52,0)),INDEX($M$50:$M$52,MATCH(CO2,$E$50:$E$52,0))))</f>
        <v/>
      </c>
      <c r="CP19" s="857">
        <f>IF(CP2="Trough",INDEX($M$50:$M$52,MATCH(CP2,$E$50:$E$52,0)),IF(CP2="Shoulder",INDEX($M$50:$M$52,MATCH(CP2,$E$50:$E$52,0)),INDEX($M$50:$M$52,MATCH(CP2,$E$50:$E$52,0))))</f>
        <v/>
      </c>
      <c r="CQ19" s="857">
        <f>IF(CQ2="Trough",INDEX($M$50:$M$52,MATCH(CQ2,$E$50:$E$52,0)),IF(CQ2="Shoulder",INDEX($M$50:$M$52,MATCH(CQ2,$E$50:$E$52,0)),INDEX($M$50:$M$52,MATCH(CQ2,$E$50:$E$52,0))))</f>
        <v/>
      </c>
      <c r="CR19" s="857">
        <f>IF(CR2="Trough",INDEX($M$50:$M$52,MATCH(CR2,$E$50:$E$52,0)),IF(CR2="Shoulder",INDEX($M$50:$M$52,MATCH(CR2,$E$50:$E$52,0)),INDEX($M$50:$M$52,MATCH(CR2,$E$50:$E$52,0))))</f>
        <v/>
      </c>
      <c r="CS19" s="857">
        <f>IF(CS2="Trough",INDEX($M$50:$M$52,MATCH(CS2,$E$50:$E$52,0)),IF(CS2="Shoulder",INDEX($M$50:$M$52,MATCH(CS2,$E$50:$E$52,0)),INDEX($M$50:$M$52,MATCH(CS2,$E$50:$E$52,0))))</f>
        <v/>
      </c>
      <c r="CT19" s="857">
        <f>IF(CT2="Trough",INDEX($M$50:$M$52,MATCH(CT2,$E$50:$E$52,0)),IF(CT2="Shoulder",INDEX($M$50:$M$52,MATCH(CT2,$E$50:$E$52,0)),INDEX($M$50:$M$52,MATCH(CT2,$E$50:$E$52,0))))</f>
        <v/>
      </c>
      <c r="CU19" s="859">
        <f>IF(CU2="Trough",INDEX($M$50:$M$52,MATCH(CU2,$E$50:$E$52,0)),IF(CU2="Shoulder",INDEX($M$50:$M$52,MATCH(CU2,$E$50:$E$52,0)),INDEX($M$50:$M$52,MATCH(CU2,$E$50:$E$52,0))))</f>
        <v/>
      </c>
      <c r="CV19" s="857">
        <f>IF(CV2="Trough",INDEX($N$50:$N$52,MATCH(CV2,$E$50:$E$52,0)),IF(CV2="Shoulder",INDEX($N$50:$N$52,MATCH(CV2,$E$50:$E$52,0)),INDEX($N$50:$N$52,MATCH(CV2,$E$50:$E$52,0))))</f>
        <v/>
      </c>
      <c r="CW19" s="857">
        <f>IF(CW2="Trough",INDEX($N$50:$N$52,MATCH(CW2,$E$50:$E$52,0)),IF(CW2="Shoulder",INDEX($N$50:$N$52,MATCH(CW2,$E$50:$E$52,0)),INDEX($N$50:$N$52,MATCH(CW2,$E$50:$E$52,0))))</f>
        <v/>
      </c>
      <c r="CX19" s="857">
        <f>IF(CX2="Trough",INDEX($N$50:$N$52,MATCH(CX2,$E$50:$E$52,0)),IF(CX2="Shoulder",INDEX($N$50:$N$52,MATCH(CX2,$E$50:$E$52,0)),INDEX($N$50:$N$52,MATCH(CX2,$E$50:$E$52,0))))</f>
        <v/>
      </c>
      <c r="CY19" s="857">
        <f>IF(CY2="Trough",INDEX($N$50:$N$52,MATCH(CY2,$E$50:$E$52,0)),IF(CY2="Shoulder",INDEX($N$50:$N$52,MATCH(CY2,$E$50:$E$52,0)),INDEX($N$50:$N$52,MATCH(CY2,$E$50:$E$52,0))))</f>
        <v/>
      </c>
      <c r="CZ19" s="857">
        <f>IF(CZ2="Trough",INDEX($N$50:$N$52,MATCH(CZ2,$E$50:$E$52,0)),IF(CZ2="Shoulder",INDEX($N$50:$N$52,MATCH(CZ2,$E$50:$E$52,0)),INDEX($N$50:$N$52,MATCH(CZ2,$E$50:$E$52,0))))</f>
        <v/>
      </c>
      <c r="DA19" s="857">
        <f>IF(DA2="Trough",INDEX($N$50:$N$52,MATCH(DA2,$E$50:$E$52,0)),IF(DA2="Shoulder",INDEX($N$50:$N$52,MATCH(DA2,$E$50:$E$52,0)),INDEX($N$50:$N$52,MATCH(DA2,$E$50:$E$52,0))))</f>
        <v/>
      </c>
      <c r="DB19" s="857">
        <f>IF(DB2="Trough",INDEX($N$50:$N$52,MATCH(DB2,$E$50:$E$52,0)),IF(DB2="Shoulder",INDEX($N$50:$N$52,MATCH(DB2,$E$50:$E$52,0)),INDEX($N$50:$N$52,MATCH(DB2,$E$50:$E$52,0))))</f>
        <v/>
      </c>
      <c r="DC19" s="857">
        <f>IF(DC2="Trough",INDEX($N$50:$N$52,MATCH(DC2,$E$50:$E$52,0)),IF(DC2="Shoulder",INDEX($N$50:$N$52,MATCH(DC2,$E$50:$E$52,0)),INDEX($N$50:$N$52,MATCH(DC2,$E$50:$E$52,0))))</f>
        <v/>
      </c>
      <c r="DD19" s="857">
        <f>IF(DD2="Trough",INDEX($N$50:$N$52,MATCH(DD2,$E$50:$E$52,0)),IF(DD2="Shoulder",INDEX($N$50:$N$52,MATCH(DD2,$E$50:$E$52,0)),INDEX($N$50:$N$52,MATCH(DD2,$E$50:$E$52,0))))</f>
        <v/>
      </c>
      <c r="DE19" s="857">
        <f>IF(DE2="Trough",INDEX($N$50:$N$52,MATCH(DE2,$E$50:$E$52,0)),IF(DE2="Shoulder",INDEX($N$50:$N$52,MATCH(DE2,$E$50:$E$52,0)),INDEX($N$50:$N$52,MATCH(DE2,$E$50:$E$52,0))))</f>
        <v/>
      </c>
      <c r="DF19" s="857">
        <f>IF(DF2="Trough",INDEX($N$50:$N$52,MATCH(DF2,$E$50:$E$52,0)),IF(DF2="Shoulder",INDEX($N$50:$N$52,MATCH(DF2,$E$50:$E$52,0)),INDEX($N$50:$N$52,MATCH(DF2,$E$50:$E$52,0))))</f>
        <v/>
      </c>
      <c r="DG19" s="859">
        <f>IF(DG2="Trough",INDEX($N$50:$N$52,MATCH(DG2,$E$50:$E$52,0)),IF(DG2="Shoulder",INDEX($N$50:$N$52,MATCH(DG2,$E$50:$E$52,0)),INDEX($N$50:$N$52,MATCH(DG2,$E$50:$E$52,0))))</f>
        <v/>
      </c>
    </row>
    <row r="20">
      <c r="A20" s="33" t="n"/>
      <c r="B20" s="33" t="n"/>
      <c r="C20" s="607" t="inlineStr">
        <is>
          <t>Subtrctions</t>
        </is>
      </c>
      <c r="D20" s="847" t="n"/>
      <c r="E20" s="850" t="n"/>
      <c r="F20" s="850">
        <f>+IF(F15&lt;E15,F15-E15, 0)</f>
        <v/>
      </c>
      <c r="G20" s="850">
        <f>+IF(G15&lt;F15,G15-F15, 0)</f>
        <v/>
      </c>
      <c r="H20" s="850">
        <f>+IF(H15&lt;G15,H15-G15, 0)</f>
        <v/>
      </c>
      <c r="I20" s="850">
        <f>+IF(I15&lt;H15,I15-H15, 0)</f>
        <v/>
      </c>
      <c r="J20" s="850">
        <f>+IF(J15&lt;I15,J15-I15, 0)</f>
        <v/>
      </c>
      <c r="K20" s="850">
        <f>+IF(K15&lt;J15,K15-J15, 0)</f>
        <v/>
      </c>
      <c r="L20" s="850">
        <f>+IF(L15&lt;K15,L15-K15, 0)</f>
        <v/>
      </c>
      <c r="M20" s="850">
        <f>+IF(M15&lt;L15,M15-L15, 0)</f>
        <v/>
      </c>
      <c r="N20" s="850">
        <f>+IF(N15&lt;M15,N15-M15, 0)</f>
        <v/>
      </c>
      <c r="O20" s="850">
        <f>+IF(O15&lt;N15,O15-N15, 0)</f>
        <v/>
      </c>
      <c r="P20" s="850">
        <f>+IF(P15&lt;O15,P15-O15, 0)</f>
        <v/>
      </c>
      <c r="Q20" s="850">
        <f>+IF(Q15&lt;P15,Q15-P15, 0)</f>
        <v/>
      </c>
      <c r="R20" s="850">
        <f>+IF(R15&lt;Q15,R15-Q15, 0)</f>
        <v/>
      </c>
      <c r="S20" s="850">
        <f>+IF(S15&lt;R15,S15-R15, 0)</f>
        <v/>
      </c>
      <c r="T20" s="850">
        <f>+IF(T15&lt;S15,T15-S15, 0)</f>
        <v/>
      </c>
      <c r="U20" s="850">
        <f>+IF(U15&lt;T15,U15-T15, 0)</f>
        <v/>
      </c>
      <c r="V20" s="850">
        <f>+IF(V15&lt;U15,V15-U15, 0)</f>
        <v/>
      </c>
      <c r="W20" s="850" t="n">
        <v>-38</v>
      </c>
      <c r="X20" s="850" t="n">
        <v>-38</v>
      </c>
      <c r="Y20" s="850" t="n">
        <v>-53</v>
      </c>
      <c r="Z20" s="850" t="n">
        <v>-20</v>
      </c>
      <c r="AA20" s="850" t="n">
        <v>-17</v>
      </c>
      <c r="AB20" s="850" t="n">
        <v>0</v>
      </c>
      <c r="AC20" s="850" t="n">
        <v>-23</v>
      </c>
      <c r="AD20" s="850" t="n">
        <v>-43</v>
      </c>
      <c r="AE20" s="850" t="n">
        <v>-52</v>
      </c>
      <c r="AF20" s="850" t="n">
        <v>-37</v>
      </c>
      <c r="AG20" s="850" t="n">
        <v>-39</v>
      </c>
      <c r="AH20" s="855" t="n">
        <v>-36</v>
      </c>
      <c r="AI20" s="855" t="n">
        <v>-20</v>
      </c>
      <c r="AJ20" s="855" t="n">
        <v>-31</v>
      </c>
      <c r="AK20" s="855" t="n">
        <v>-13</v>
      </c>
      <c r="AL20" s="855" t="n">
        <v>-38</v>
      </c>
      <c r="AM20" s="855" t="n">
        <v>-21</v>
      </c>
      <c r="AN20" s="855" t="n">
        <v>-19</v>
      </c>
      <c r="AO20" s="855" t="n">
        <v>-27</v>
      </c>
      <c r="AP20" s="855" t="n">
        <v>-28</v>
      </c>
      <c r="AQ20" s="855" t="n">
        <v>-33</v>
      </c>
      <c r="AR20" s="855" t="n">
        <v>-31</v>
      </c>
      <c r="AS20" s="855" t="n">
        <v>-40</v>
      </c>
      <c r="AT20" s="855" t="n">
        <v>-28</v>
      </c>
      <c r="AU20" s="855" t="n">
        <v>-35</v>
      </c>
      <c r="AV20" s="855" t="n">
        <v>-24</v>
      </c>
      <c r="AW20" s="856" t="n">
        <v>-21</v>
      </c>
      <c r="AX20" s="857">
        <f>ROUNDUP(AW16*AX36, 0)</f>
        <v/>
      </c>
      <c r="AY20" s="858">
        <f>ROUNDUP(AX16*AY36, 0)</f>
        <v/>
      </c>
      <c r="AZ20" s="857">
        <f>ROUNDUP(AY16*AZ36, 0)</f>
        <v/>
      </c>
      <c r="BA20" s="857">
        <f>ROUNDUP(AZ16*BA36, 0)</f>
        <v/>
      </c>
      <c r="BB20" s="857">
        <f>ROUNDUP(BA16*BB36, 0)</f>
        <v/>
      </c>
      <c r="BC20" s="857">
        <f>ROUNDUP(BB16*BC36, 0)</f>
        <v/>
      </c>
      <c r="BD20" s="857">
        <f>ROUNDUP(BC16*BD36, 0)</f>
        <v/>
      </c>
      <c r="BE20" s="857">
        <f>ROUNDUP(BD16*BE36, 0)</f>
        <v/>
      </c>
      <c r="BF20" s="857">
        <f>ROUNDUP(BE16*BF36, 0)</f>
        <v/>
      </c>
      <c r="BG20" s="857">
        <f>ROUNDUP(BF16*BG36, 0)</f>
        <v/>
      </c>
      <c r="BH20" s="857">
        <f>ROUNDUP(BG16*BH36, 0)</f>
        <v/>
      </c>
      <c r="BI20" s="857">
        <f>ROUNDUP(BH16*BI36, 0)</f>
        <v/>
      </c>
      <c r="BJ20" s="857">
        <f>ROUNDUP(BI16*BJ36, 0)</f>
        <v/>
      </c>
      <c r="BK20" s="859">
        <f>ROUNDUP(BJ16*BK36, 0)</f>
        <v/>
      </c>
      <c r="BL20" s="857">
        <f>ROUNDUP(BK16*BL36, 0)</f>
        <v/>
      </c>
      <c r="BM20" s="857">
        <f>ROUNDUP(BL16*BM36, 0)</f>
        <v/>
      </c>
      <c r="BN20" s="857">
        <f>ROUNDUP(BM16*BN36, 0)</f>
        <v/>
      </c>
      <c r="BO20" s="857">
        <f>ROUNDUP(BN16*BO36, 0)</f>
        <v/>
      </c>
      <c r="BP20" s="857">
        <f>ROUNDUP(BO16*BP36, 0)</f>
        <v/>
      </c>
      <c r="BQ20" s="857">
        <f>ROUNDUP(BP16*BQ36, 0)</f>
        <v/>
      </c>
      <c r="BR20" s="857">
        <f>ROUNDUP(BQ16*BR36, 0)</f>
        <v/>
      </c>
      <c r="BS20" s="857">
        <f>ROUNDUP(BR16*BS36, 0)</f>
        <v/>
      </c>
      <c r="BT20" s="857">
        <f>ROUNDUP(BS16*BT36, 0)</f>
        <v/>
      </c>
      <c r="BU20" s="857">
        <f>ROUNDUP(BT16*BU36, 0)</f>
        <v/>
      </c>
      <c r="BV20" s="857">
        <f>ROUNDUP(BU16*BV36, 0)</f>
        <v/>
      </c>
      <c r="BW20" s="859">
        <f>ROUNDUP(BV16*BW36, 0)</f>
        <v/>
      </c>
      <c r="BX20" s="857">
        <f>ROUNDUP(BW16*BX36, 0)</f>
        <v/>
      </c>
      <c r="BY20" s="857">
        <f>ROUNDUP(BX16*BY36, 0)</f>
        <v/>
      </c>
      <c r="BZ20" s="857">
        <f>ROUNDUP(BY16*BZ36, 0)</f>
        <v/>
      </c>
      <c r="CA20" s="857">
        <f>ROUNDUP(BZ16*CA36, 0)</f>
        <v/>
      </c>
      <c r="CB20" s="857">
        <f>ROUNDUP(CA16*CB36, 0)</f>
        <v/>
      </c>
      <c r="CC20" s="857">
        <f>ROUNDUP(CB16*CC36, 0)</f>
        <v/>
      </c>
      <c r="CD20" s="857">
        <f>ROUNDUP(CC16*CD36, 0)</f>
        <v/>
      </c>
      <c r="CE20" s="857">
        <f>ROUNDUP(CD16*CE36, 0)</f>
        <v/>
      </c>
      <c r="CF20" s="857">
        <f>ROUNDUP(CE16*CF36, 0)</f>
        <v/>
      </c>
      <c r="CG20" s="857">
        <f>ROUNDUP(CF16*CG36, 0)</f>
        <v/>
      </c>
      <c r="CH20" s="857">
        <f>ROUNDUP(CG16*CH36, 0)</f>
        <v/>
      </c>
      <c r="CI20" s="859">
        <f>ROUNDUP(CH16*CI36, 0)</f>
        <v/>
      </c>
      <c r="CJ20" s="857">
        <f>ROUNDUP(CI16*CJ36, 0)</f>
        <v/>
      </c>
      <c r="CK20" s="857">
        <f>ROUNDUP(CJ16*CK36, 0)</f>
        <v/>
      </c>
      <c r="CL20" s="857">
        <f>ROUNDUP(CK16*CL36, 0)</f>
        <v/>
      </c>
      <c r="CM20" s="857">
        <f>ROUNDUP(CL16*CM36, 0)</f>
        <v/>
      </c>
      <c r="CN20" s="857">
        <f>ROUNDUP(CM16*CN36, 0)</f>
        <v/>
      </c>
      <c r="CO20" s="857">
        <f>ROUNDUP(CN16*CO36, 0)</f>
        <v/>
      </c>
      <c r="CP20" s="857">
        <f>ROUNDUP(CO16*CP36, 0)</f>
        <v/>
      </c>
      <c r="CQ20" s="857">
        <f>ROUNDUP(CP16*CQ36, 0)</f>
        <v/>
      </c>
      <c r="CR20" s="857">
        <f>ROUNDUP(CQ16*CR36, 0)</f>
        <v/>
      </c>
      <c r="CS20" s="857">
        <f>ROUNDUP(CR16*CS36, 0)</f>
        <v/>
      </c>
      <c r="CT20" s="857">
        <f>ROUNDUP(CS16*CT36, 0)</f>
        <v/>
      </c>
      <c r="CU20" s="859">
        <f>ROUNDUP(CT16*CU36, 0)</f>
        <v/>
      </c>
      <c r="CV20" s="857">
        <f>ROUNDUP(CU16*CV36, 0)</f>
        <v/>
      </c>
      <c r="CW20" s="857">
        <f>ROUNDUP(CV16*CW36, 0)</f>
        <v/>
      </c>
      <c r="CX20" s="857">
        <f>ROUNDUP(CW16*CX36, 0)</f>
        <v/>
      </c>
      <c r="CY20" s="857">
        <f>ROUNDUP(CX16*CY36, 0)</f>
        <v/>
      </c>
      <c r="CZ20" s="857">
        <f>ROUNDUP(CY16*CZ36, 0)</f>
        <v/>
      </c>
      <c r="DA20" s="857">
        <f>ROUNDUP(CZ16*DA36, 0)</f>
        <v/>
      </c>
      <c r="DB20" s="857">
        <f>ROUNDUP(DA16*DB36, 0)</f>
        <v/>
      </c>
      <c r="DC20" s="857">
        <f>ROUNDUP(DB16*DC36, 0)</f>
        <v/>
      </c>
      <c r="DD20" s="857">
        <f>ROUNDUP(DC16*DD36, 0)</f>
        <v/>
      </c>
      <c r="DE20" s="857">
        <f>ROUNDUP(DD16*DE36, 0)</f>
        <v/>
      </c>
      <c r="DF20" s="857">
        <f>ROUNDUP(DE16*DF36, 0)</f>
        <v/>
      </c>
      <c r="DG20" s="859">
        <f>ROUNDUP(DF16*DG36, 0)</f>
        <v/>
      </c>
    </row>
    <row r="21">
      <c r="A21" s="33" t="n"/>
      <c r="B21" s="33" t="n"/>
      <c r="C21" s="606" t="inlineStr">
        <is>
          <t># of Anticipated Appointments</t>
        </is>
      </c>
      <c r="D21" s="847" t="n"/>
      <c r="E21" s="850" t="n"/>
      <c r="F21" s="850" t="n"/>
      <c r="G21" s="850" t="n"/>
      <c r="H21" s="850" t="n"/>
      <c r="I21" s="850" t="n"/>
      <c r="J21" s="850" t="n"/>
      <c r="K21" s="850" t="n"/>
      <c r="L21" s="850" t="n"/>
      <c r="M21" s="850" t="n"/>
      <c r="N21" s="850" t="n"/>
      <c r="O21" s="850" t="n"/>
      <c r="P21" s="848" t="n">
        <v>21</v>
      </c>
      <c r="Q21" s="848" t="n">
        <v>22</v>
      </c>
      <c r="R21" s="848" t="n">
        <v>20</v>
      </c>
      <c r="S21" s="848" t="n">
        <v>16</v>
      </c>
      <c r="T21" s="848" t="n">
        <v>25</v>
      </c>
      <c r="U21" s="848" t="n">
        <v>22</v>
      </c>
      <c r="V21" s="848" t="n">
        <v>100</v>
      </c>
      <c r="W21" s="848" t="n">
        <v>218</v>
      </c>
      <c r="X21" s="848" t="n">
        <v>243</v>
      </c>
      <c r="Y21" s="848" t="n">
        <v>240</v>
      </c>
      <c r="Z21" s="848" t="n">
        <v>237</v>
      </c>
      <c r="AA21" s="848" t="n">
        <v>224</v>
      </c>
      <c r="AB21" s="848" t="n">
        <v>71</v>
      </c>
      <c r="AC21" s="848" t="n">
        <v>82</v>
      </c>
      <c r="AD21" s="848" t="n">
        <v>85</v>
      </c>
      <c r="AE21" s="848" t="n">
        <v>87</v>
      </c>
      <c r="AF21" s="848" t="n">
        <v>89</v>
      </c>
      <c r="AG21" s="848" t="n">
        <v>80</v>
      </c>
      <c r="AH21" s="848" t="n">
        <v>79</v>
      </c>
      <c r="AI21" s="848" t="n">
        <v>88</v>
      </c>
      <c r="AJ21" s="848" t="n">
        <v>52</v>
      </c>
      <c r="AK21" s="848" t="n">
        <v>91</v>
      </c>
      <c r="AL21" s="848" t="n">
        <v>55</v>
      </c>
      <c r="AM21" s="848" t="n">
        <v>66</v>
      </c>
      <c r="AN21" s="848" t="n">
        <v>70</v>
      </c>
      <c r="AO21" s="848" t="n">
        <v>74</v>
      </c>
      <c r="AP21" s="848" t="n">
        <v>72</v>
      </c>
      <c r="AQ21" s="848" t="n">
        <v>90</v>
      </c>
      <c r="AR21" s="848" t="n">
        <v>90</v>
      </c>
      <c r="AS21" s="848" t="n">
        <v>77</v>
      </c>
      <c r="AT21" s="848" t="n">
        <v>88</v>
      </c>
      <c r="AU21" s="848" t="n">
        <v>84</v>
      </c>
      <c r="AV21" s="848" t="n">
        <v>68</v>
      </c>
      <c r="AW21" s="849" t="n">
        <v>76</v>
      </c>
      <c r="AX21" s="844">
        <f>+(AX23*AW15)+AX15</f>
        <v/>
      </c>
      <c r="AY21" s="845">
        <f>+(AY23*AX15)+AY15</f>
        <v/>
      </c>
      <c r="AZ21" s="844">
        <f>+(AZ23*AY15)+AZ15</f>
        <v/>
      </c>
      <c r="BA21" s="844">
        <f>+(BA23*AZ15)+BA15</f>
        <v/>
      </c>
      <c r="BB21" s="844">
        <f>+(BB23*BA15)+BB15</f>
        <v/>
      </c>
      <c r="BC21" s="844">
        <f>+(BC23*BB15)+BC15</f>
        <v/>
      </c>
      <c r="BD21" s="844">
        <f>+(BD23*BC15)+BD15</f>
        <v/>
      </c>
      <c r="BE21" s="844">
        <f>+(BE23*BD15)+BE15</f>
        <v/>
      </c>
      <c r="BF21" s="844">
        <f>+(BF23*BE15)+BF15</f>
        <v/>
      </c>
      <c r="BG21" s="844">
        <f>+(BG23*BF15)+BG15</f>
        <v/>
      </c>
      <c r="BH21" s="844">
        <f>+(BH23*BG15)+BH15</f>
        <v/>
      </c>
      <c r="BI21" s="844">
        <f>+(BI23*BH15)+BI15</f>
        <v/>
      </c>
      <c r="BJ21" s="844">
        <f>+(BJ23*BI15)+BJ15</f>
        <v/>
      </c>
      <c r="BK21" s="846">
        <f>+(BK23*BJ15)+BK15</f>
        <v/>
      </c>
      <c r="BL21" s="844">
        <f>+(BL23*BK15)+BL15</f>
        <v/>
      </c>
      <c r="BM21" s="844">
        <f>+(BM23*BL15)+BM15</f>
        <v/>
      </c>
      <c r="BN21" s="844">
        <f>+(BN23*BM15)+BN15</f>
        <v/>
      </c>
      <c r="BO21" s="844">
        <f>+(BO23*BN15)+BO15</f>
        <v/>
      </c>
      <c r="BP21" s="844">
        <f>+(BP23*BO15)+BP15</f>
        <v/>
      </c>
      <c r="BQ21" s="844">
        <f>+(BQ23*BP15)+BQ15</f>
        <v/>
      </c>
      <c r="BR21" s="844">
        <f>+(BR23*BQ15)+BR15</f>
        <v/>
      </c>
      <c r="BS21" s="844">
        <f>+(BS23*BR15)+BS15</f>
        <v/>
      </c>
      <c r="BT21" s="844">
        <f>+(BT23*BS15)+BT15</f>
        <v/>
      </c>
      <c r="BU21" s="844">
        <f>+(BU23*BT15)+BU15</f>
        <v/>
      </c>
      <c r="BV21" s="844">
        <f>+(BV23*BU15)+BV15</f>
        <v/>
      </c>
      <c r="BW21" s="846">
        <f>+(BW23*BV15)+BW15</f>
        <v/>
      </c>
      <c r="BX21" s="844">
        <f>+(BX23*BW15)+BX15</f>
        <v/>
      </c>
      <c r="BY21" s="844">
        <f>+(BY23*BX15)+BY15</f>
        <v/>
      </c>
      <c r="BZ21" s="844">
        <f>+(BZ23*BY15)+BZ15</f>
        <v/>
      </c>
      <c r="CA21" s="844">
        <f>+(CA23*BZ15)+CA15</f>
        <v/>
      </c>
      <c r="CB21" s="844">
        <f>+(CB23*CA15)+CB15</f>
        <v/>
      </c>
      <c r="CC21" s="844">
        <f>+(CC23*CB15)+CC15</f>
        <v/>
      </c>
      <c r="CD21" s="844">
        <f>+(CD23*CC15)+CD15</f>
        <v/>
      </c>
      <c r="CE21" s="844">
        <f>+(CE23*CD15)+CE15</f>
        <v/>
      </c>
      <c r="CF21" s="844">
        <f>+(CF23*CE15)+CF15</f>
        <v/>
      </c>
      <c r="CG21" s="844">
        <f>+(CG23*CF15)+CG15</f>
        <v/>
      </c>
      <c r="CH21" s="844">
        <f>+(CH23*CG15)+CH15</f>
        <v/>
      </c>
      <c r="CI21" s="846">
        <f>+(CI23*CH15)+CI15</f>
        <v/>
      </c>
      <c r="CJ21" s="844">
        <f>+(CJ23*CI15)+CJ15</f>
        <v/>
      </c>
      <c r="CK21" s="844">
        <f>+(CK23*CJ15)+CK15</f>
        <v/>
      </c>
      <c r="CL21" s="844">
        <f>+(CL23*CK15)+CL15</f>
        <v/>
      </c>
      <c r="CM21" s="844">
        <f>+(CM23*CL15)+CM15</f>
        <v/>
      </c>
      <c r="CN21" s="844">
        <f>+(CN23*CM15)+CN15</f>
        <v/>
      </c>
      <c r="CO21" s="844">
        <f>+(CO23*CN15)+CO15</f>
        <v/>
      </c>
      <c r="CP21" s="844">
        <f>+(CP23*CO15)+CP15</f>
        <v/>
      </c>
      <c r="CQ21" s="844">
        <f>+(CQ23*CP15)+CQ15</f>
        <v/>
      </c>
      <c r="CR21" s="844">
        <f>+(CR23*CQ15)+CR15</f>
        <v/>
      </c>
      <c r="CS21" s="844">
        <f>+(CS23*CR15)+CS15</f>
        <v/>
      </c>
      <c r="CT21" s="844">
        <f>+(CT23*CS15)+CT15</f>
        <v/>
      </c>
      <c r="CU21" s="846">
        <f>+(CU23*CT15)+CU15</f>
        <v/>
      </c>
      <c r="CV21" s="844">
        <f>+(CV23*CU15)+CV15</f>
        <v/>
      </c>
      <c r="CW21" s="844">
        <f>+(CW23*CV15)+CW15</f>
        <v/>
      </c>
      <c r="CX21" s="844">
        <f>+(CX23*CW15)+CX15</f>
        <v/>
      </c>
      <c r="CY21" s="844">
        <f>+(CY23*CX15)+CY15</f>
        <v/>
      </c>
      <c r="CZ21" s="844">
        <f>+(CZ23*CY15)+CZ15</f>
        <v/>
      </c>
      <c r="DA21" s="844">
        <f>+(DA23*CZ15)+DA15</f>
        <v/>
      </c>
      <c r="DB21" s="844">
        <f>+(DB23*DA15)+DB15</f>
        <v/>
      </c>
      <c r="DC21" s="844">
        <f>+(DC23*DB15)+DC15</f>
        <v/>
      </c>
      <c r="DD21" s="844">
        <f>+(DD23*DC15)+DD15</f>
        <v/>
      </c>
      <c r="DE21" s="844">
        <f>+(DE23*DD15)+DE15</f>
        <v/>
      </c>
      <c r="DF21" s="844">
        <f>+(DF23*DE15)+DF15</f>
        <v/>
      </c>
      <c r="DG21" s="846">
        <f>+(DG23*DF15)+DG15</f>
        <v/>
      </c>
    </row>
    <row r="22">
      <c r="A22" s="33" t="n"/>
      <c r="B22" s="33" t="n"/>
      <c r="C22" s="606" t="inlineStr">
        <is>
          <t># of Anticipated Clients</t>
        </is>
      </c>
      <c r="D22" s="847" t="n"/>
      <c r="E22" s="850" t="n"/>
      <c r="F22" s="850" t="n"/>
      <c r="G22" s="850" t="n"/>
      <c r="H22" s="850" t="n"/>
      <c r="I22" s="850" t="n"/>
      <c r="J22" s="850" t="n"/>
      <c r="K22" s="850" t="n"/>
      <c r="L22" s="850" t="n"/>
      <c r="M22" s="850" t="n"/>
      <c r="N22" s="850" t="n"/>
      <c r="O22" s="850" t="n"/>
      <c r="P22" s="848" t="n"/>
      <c r="Q22" s="848" t="n"/>
      <c r="R22" s="848" t="n"/>
      <c r="S22" s="848" t="n"/>
      <c r="T22" s="848" t="n"/>
      <c r="U22" s="848" t="n"/>
      <c r="V22" s="848" t="n"/>
      <c r="W22" s="848" t="n">
        <v>135</v>
      </c>
      <c r="X22" s="848" t="n">
        <v>139</v>
      </c>
      <c r="Y22" s="848" t="n">
        <v>144</v>
      </c>
      <c r="Z22" s="848" t="n">
        <v>143</v>
      </c>
      <c r="AA22" s="848" t="n">
        <v>135</v>
      </c>
      <c r="AB22" s="848" t="n">
        <v>59</v>
      </c>
      <c r="AC22" s="848" t="n">
        <v>74</v>
      </c>
      <c r="AD22" s="848" t="n">
        <v>74</v>
      </c>
      <c r="AE22" s="848" t="n">
        <v>73</v>
      </c>
      <c r="AF22" s="848" t="n">
        <v>72</v>
      </c>
      <c r="AG22" s="848" t="n">
        <v>68</v>
      </c>
      <c r="AH22" s="848" t="n">
        <v>65</v>
      </c>
      <c r="AI22" s="848" t="n">
        <v>73</v>
      </c>
      <c r="AJ22" s="848" t="n">
        <v>43</v>
      </c>
      <c r="AK22" s="848" t="n">
        <v>70</v>
      </c>
      <c r="AL22" s="848" t="n">
        <v>47</v>
      </c>
      <c r="AM22" s="848" t="n">
        <v>57</v>
      </c>
      <c r="AN22" s="848" t="n">
        <v>63</v>
      </c>
      <c r="AO22" s="848" t="n">
        <v>60</v>
      </c>
      <c r="AP22" s="848" t="n">
        <v>65</v>
      </c>
      <c r="AQ22" s="848" t="n">
        <v>70</v>
      </c>
      <c r="AR22" s="848" t="n">
        <v>80</v>
      </c>
      <c r="AS22" s="848" t="n">
        <v>64</v>
      </c>
      <c r="AT22" s="848" t="n">
        <v>74</v>
      </c>
      <c r="AU22" s="848" t="n">
        <v>66</v>
      </c>
      <c r="AV22" s="848" t="n">
        <v>56</v>
      </c>
      <c r="AW22" s="849" t="n">
        <v>61</v>
      </c>
      <c r="AX22" s="860">
        <f>+AW22+AX18</f>
        <v/>
      </c>
      <c r="AY22" s="861">
        <f>+AX22+AY18</f>
        <v/>
      </c>
      <c r="AZ22" s="860">
        <f>+AY22+AZ18</f>
        <v/>
      </c>
      <c r="BA22" s="860">
        <f>+AZ22+BA18</f>
        <v/>
      </c>
      <c r="BB22" s="860">
        <f>+BA22+BB18</f>
        <v/>
      </c>
      <c r="BC22" s="860">
        <f>+BB22+BC18</f>
        <v/>
      </c>
      <c r="BD22" s="860">
        <f>+BC22+BD18</f>
        <v/>
      </c>
      <c r="BE22" s="860">
        <f>+BD22+BE18</f>
        <v/>
      </c>
      <c r="BF22" s="860">
        <f>+BE22+BF18</f>
        <v/>
      </c>
      <c r="BG22" s="860">
        <f>+BF22+BG18</f>
        <v/>
      </c>
      <c r="BH22" s="860">
        <f>+BG22+BH18</f>
        <v/>
      </c>
      <c r="BI22" s="860">
        <f>+BH22+BI18</f>
        <v/>
      </c>
      <c r="BJ22" s="860">
        <f>+BI22+BJ18</f>
        <v/>
      </c>
      <c r="BK22" s="862">
        <f>+BJ22+BK18</f>
        <v/>
      </c>
      <c r="BL22" s="860">
        <f>+BK22+BL18</f>
        <v/>
      </c>
      <c r="BM22" s="860">
        <f>+BL22+BM18</f>
        <v/>
      </c>
      <c r="BN22" s="860">
        <f>+BM22+BN18</f>
        <v/>
      </c>
      <c r="BO22" s="860">
        <f>+BN22+BO18</f>
        <v/>
      </c>
      <c r="BP22" s="860">
        <f>+BO22+BP18</f>
        <v/>
      </c>
      <c r="BQ22" s="860">
        <f>+BP22+BQ18</f>
        <v/>
      </c>
      <c r="BR22" s="860">
        <f>+BQ22+BR18</f>
        <v/>
      </c>
      <c r="BS22" s="860">
        <f>+BR22+BS18</f>
        <v/>
      </c>
      <c r="BT22" s="860">
        <f>+BS22+BT18</f>
        <v/>
      </c>
      <c r="BU22" s="860">
        <f>+BT22+BU18</f>
        <v/>
      </c>
      <c r="BV22" s="860">
        <f>+BU22+BV18</f>
        <v/>
      </c>
      <c r="BW22" s="862">
        <f>+BV22+BW18</f>
        <v/>
      </c>
      <c r="BX22" s="860">
        <f>+BW22+BX18</f>
        <v/>
      </c>
      <c r="BY22" s="860">
        <f>+BX22+BY18</f>
        <v/>
      </c>
      <c r="BZ22" s="860">
        <f>+BY22+BZ18</f>
        <v/>
      </c>
      <c r="CA22" s="860">
        <f>+BZ22+CA18</f>
        <v/>
      </c>
      <c r="CB22" s="860">
        <f>+CA22+CB18</f>
        <v/>
      </c>
      <c r="CC22" s="860">
        <f>+CB22+CC18</f>
        <v/>
      </c>
      <c r="CD22" s="860">
        <f>+CC22+CD18</f>
        <v/>
      </c>
      <c r="CE22" s="860">
        <f>+CD22+CE18</f>
        <v/>
      </c>
      <c r="CF22" s="860">
        <f>+CE22+CF18</f>
        <v/>
      </c>
      <c r="CG22" s="860">
        <f>+CF22+CG18</f>
        <v/>
      </c>
      <c r="CH22" s="860">
        <f>+CG22+CH18</f>
        <v/>
      </c>
      <c r="CI22" s="862">
        <f>+CH22+CI18</f>
        <v/>
      </c>
      <c r="CJ22" s="860">
        <f>+CI22+CJ18</f>
        <v/>
      </c>
      <c r="CK22" s="860">
        <f>+CJ22+CK18</f>
        <v/>
      </c>
      <c r="CL22" s="860">
        <f>+CK22+CL18</f>
        <v/>
      </c>
      <c r="CM22" s="860">
        <f>+CL22+CM18</f>
        <v/>
      </c>
      <c r="CN22" s="860">
        <f>+CM22+CN18</f>
        <v/>
      </c>
      <c r="CO22" s="860">
        <f>+CN22+CO18</f>
        <v/>
      </c>
      <c r="CP22" s="860">
        <f>+CO22+CP18</f>
        <v/>
      </c>
      <c r="CQ22" s="860">
        <f>+CP22+CQ18</f>
        <v/>
      </c>
      <c r="CR22" s="860">
        <f>+CQ22+CR18</f>
        <v/>
      </c>
      <c r="CS22" s="860">
        <f>+CR22+CS18</f>
        <v/>
      </c>
      <c r="CT22" s="860">
        <f>+CS22+CT18</f>
        <v/>
      </c>
      <c r="CU22" s="862">
        <f>+CT22+CU18</f>
        <v/>
      </c>
      <c r="CV22" s="860">
        <f>+CU22+CV18</f>
        <v/>
      </c>
      <c r="CW22" s="860">
        <f>+CV22+CW18</f>
        <v/>
      </c>
      <c r="CX22" s="860">
        <f>+CW22+CX18</f>
        <v/>
      </c>
      <c r="CY22" s="860">
        <f>+CX22+CY18</f>
        <v/>
      </c>
      <c r="CZ22" s="860">
        <f>+CY22+CZ18</f>
        <v/>
      </c>
      <c r="DA22" s="860">
        <f>+CZ22+DA18</f>
        <v/>
      </c>
      <c r="DB22" s="860">
        <f>+DA22+DB18</f>
        <v/>
      </c>
      <c r="DC22" s="860">
        <f>+DB22+DC18</f>
        <v/>
      </c>
      <c r="DD22" s="860">
        <f>+DC22+DD18</f>
        <v/>
      </c>
      <c r="DE22" s="860">
        <f>+DD22+DE18</f>
        <v/>
      </c>
      <c r="DF22" s="860">
        <f>+DE22+DF18</f>
        <v/>
      </c>
      <c r="DG22" s="860">
        <f>+DF22+DG18</f>
        <v/>
      </c>
    </row>
    <row r="23">
      <c r="A23" s="33" t="n"/>
      <c r="B23" s="33" t="n"/>
      <c r="C23" s="606" t="inlineStr">
        <is>
          <t>Reschedule/Cancellation Rate</t>
        </is>
      </c>
      <c r="D23" s="847" t="n"/>
      <c r="E23" s="850" t="n"/>
      <c r="F23" s="850" t="n"/>
      <c r="G23" s="850" t="n"/>
      <c r="H23" s="850" t="n"/>
      <c r="I23" s="850" t="n"/>
      <c r="J23" s="850" t="n"/>
      <c r="K23" s="850" t="n"/>
      <c r="L23" s="850" t="n"/>
      <c r="M23" s="850" t="n"/>
      <c r="N23" s="850" t="n"/>
      <c r="O23" s="850" t="n"/>
      <c r="P23" s="848" t="n"/>
      <c r="Q23" s="848" t="n"/>
      <c r="R23" s="848" t="n"/>
      <c r="S23" s="848" t="n"/>
      <c r="T23" s="848" t="n"/>
      <c r="U23" s="848" t="n"/>
      <c r="V23" s="863">
        <f>+(V21-V15)/V21</f>
        <v/>
      </c>
      <c r="W23" s="863">
        <f>+(W21-W15)/W21</f>
        <v/>
      </c>
      <c r="X23" s="863">
        <f>+(X21-X15)/X21</f>
        <v/>
      </c>
      <c r="Y23" s="863">
        <f>+(Y21-Y15)/Y21</f>
        <v/>
      </c>
      <c r="Z23" s="863">
        <f>+(Z21-Z15)/Z21</f>
        <v/>
      </c>
      <c r="AA23" s="863">
        <f>+(AA21-AA15)/AA21</f>
        <v/>
      </c>
      <c r="AB23" s="863">
        <f>+(AB21-AB15)/AB21</f>
        <v/>
      </c>
      <c r="AC23" s="863">
        <f>+(AC21-AC15)/AC21</f>
        <v/>
      </c>
      <c r="AD23" s="863">
        <f>+(AD21-AD15)/AD21</f>
        <v/>
      </c>
      <c r="AE23" s="863">
        <f>+(AE21-AE15)/AE21</f>
        <v/>
      </c>
      <c r="AF23" s="863">
        <f>+(AF21-AF15)/AF21</f>
        <v/>
      </c>
      <c r="AG23" s="863">
        <f>+(AG21-AG15)/AG21</f>
        <v/>
      </c>
      <c r="AH23" s="863">
        <f>+(AH21-AH15)/AH21</f>
        <v/>
      </c>
      <c r="AI23" s="863">
        <f>+(AI21-AI15)/AI21</f>
        <v/>
      </c>
      <c r="AJ23" s="863">
        <f>+(AJ21-AJ15)/AJ21</f>
        <v/>
      </c>
      <c r="AK23" s="863">
        <f>+(AK21-AK15)/AK21</f>
        <v/>
      </c>
      <c r="AL23" s="863">
        <f>+(AL21-AL15)/AL21</f>
        <v/>
      </c>
      <c r="AM23" s="863">
        <f>+(AM21-AM15)/AM21</f>
        <v/>
      </c>
      <c r="AN23" s="863">
        <f>+(AN21-AN15)/AN21</f>
        <v/>
      </c>
      <c r="AO23" s="863">
        <f>+(AO21-AO15)/AO21</f>
        <v/>
      </c>
      <c r="AP23" s="863">
        <f>+(AP21-AP15)/AP21</f>
        <v/>
      </c>
      <c r="AQ23" s="863">
        <f>+(AQ21-AQ15)/AQ21</f>
        <v/>
      </c>
      <c r="AR23" s="863">
        <f>+(AR21-AR15)/AR21</f>
        <v/>
      </c>
      <c r="AS23" s="863">
        <f>+(AS21-AS15)/AS21</f>
        <v/>
      </c>
      <c r="AT23" s="863">
        <f>+(AT21-AT15)/AT21</f>
        <v/>
      </c>
      <c r="AU23" s="863">
        <f>+(AU21-AU15)/AU21</f>
        <v/>
      </c>
      <c r="AV23" s="863">
        <f>+(AV21-AV15)/AV21</f>
        <v/>
      </c>
      <c r="AW23" s="864">
        <f>+(AW21-AW15)/AW21</f>
        <v/>
      </c>
      <c r="AX23" s="865">
        <f>+AVERAGE(AR23:AW23)</f>
        <v/>
      </c>
      <c r="AY23" s="866">
        <f>+AX23</f>
        <v/>
      </c>
      <c r="AZ23" s="867" t="n">
        <v>0.08</v>
      </c>
      <c r="BA23" s="868">
        <f>+AZ23</f>
        <v/>
      </c>
      <c r="BB23" s="868">
        <f>+BA23</f>
        <v/>
      </c>
      <c r="BC23" s="868">
        <f>+BB23</f>
        <v/>
      </c>
      <c r="BD23" s="868">
        <f>+BC23</f>
        <v/>
      </c>
      <c r="BE23" s="868">
        <f>+BD23</f>
        <v/>
      </c>
      <c r="BF23" s="868">
        <f>+BE23</f>
        <v/>
      </c>
      <c r="BG23" s="868">
        <f>+BF23</f>
        <v/>
      </c>
      <c r="BH23" s="868">
        <f>+BG23</f>
        <v/>
      </c>
      <c r="BI23" s="868">
        <f>+BH23</f>
        <v/>
      </c>
      <c r="BJ23" s="868">
        <f>+BI23</f>
        <v/>
      </c>
      <c r="BK23" s="869">
        <f>+BJ23</f>
        <v/>
      </c>
      <c r="BL23" s="867" t="n">
        <v>0.05</v>
      </c>
      <c r="BM23" s="868">
        <f>+BL23</f>
        <v/>
      </c>
      <c r="BN23" s="868">
        <f>+BM23</f>
        <v/>
      </c>
      <c r="BO23" s="868">
        <f>+BN23</f>
        <v/>
      </c>
      <c r="BP23" s="868">
        <f>+BO23</f>
        <v/>
      </c>
      <c r="BQ23" s="868">
        <f>+BP23</f>
        <v/>
      </c>
      <c r="BR23" s="868">
        <f>+BQ23</f>
        <v/>
      </c>
      <c r="BS23" s="868">
        <f>+BR23</f>
        <v/>
      </c>
      <c r="BT23" s="868">
        <f>+BS23</f>
        <v/>
      </c>
      <c r="BU23" s="868">
        <f>+BT23</f>
        <v/>
      </c>
      <c r="BV23" s="868">
        <f>+BU23</f>
        <v/>
      </c>
      <c r="BW23" s="869">
        <f>+BV23</f>
        <v/>
      </c>
      <c r="BX23" s="867" t="n">
        <v>0.03</v>
      </c>
      <c r="BY23" s="868">
        <f>+BX23</f>
        <v/>
      </c>
      <c r="BZ23" s="868">
        <f>+BY23</f>
        <v/>
      </c>
      <c r="CA23" s="868">
        <f>+BZ23</f>
        <v/>
      </c>
      <c r="CB23" s="868">
        <f>+CA23</f>
        <v/>
      </c>
      <c r="CC23" s="868">
        <f>+CB23</f>
        <v/>
      </c>
      <c r="CD23" s="868">
        <f>+CC23</f>
        <v/>
      </c>
      <c r="CE23" s="868">
        <f>+CD23</f>
        <v/>
      </c>
      <c r="CF23" s="868">
        <f>+CE23</f>
        <v/>
      </c>
      <c r="CG23" s="868">
        <f>+CF23</f>
        <v/>
      </c>
      <c r="CH23" s="868">
        <f>+CG23</f>
        <v/>
      </c>
      <c r="CI23" s="869">
        <f>+CH23</f>
        <v/>
      </c>
      <c r="CJ23" s="868">
        <f>+CI23</f>
        <v/>
      </c>
      <c r="CK23" s="868">
        <f>+CJ23</f>
        <v/>
      </c>
      <c r="CL23" s="868">
        <f>+CK23</f>
        <v/>
      </c>
      <c r="CM23" s="868">
        <f>+CL23</f>
        <v/>
      </c>
      <c r="CN23" s="868">
        <f>+CM23</f>
        <v/>
      </c>
      <c r="CO23" s="868">
        <f>+CN23</f>
        <v/>
      </c>
      <c r="CP23" s="868">
        <f>+CO23</f>
        <v/>
      </c>
      <c r="CQ23" s="868">
        <f>+CP23</f>
        <v/>
      </c>
      <c r="CR23" s="868">
        <f>+CQ23</f>
        <v/>
      </c>
      <c r="CS23" s="868">
        <f>+CR23</f>
        <v/>
      </c>
      <c r="CT23" s="868">
        <f>+CS23</f>
        <v/>
      </c>
      <c r="CU23" s="869">
        <f>+CT23</f>
        <v/>
      </c>
      <c r="CV23" s="868">
        <f>+CU23</f>
        <v/>
      </c>
      <c r="CW23" s="868">
        <f>+CV23</f>
        <v/>
      </c>
      <c r="CX23" s="868">
        <f>+CW23</f>
        <v/>
      </c>
      <c r="CY23" s="868">
        <f>+CX23</f>
        <v/>
      </c>
      <c r="CZ23" s="868">
        <f>+CY23</f>
        <v/>
      </c>
      <c r="DA23" s="868">
        <f>+CZ23</f>
        <v/>
      </c>
      <c r="DB23" s="868">
        <f>+DA23</f>
        <v/>
      </c>
      <c r="DC23" s="868">
        <f>+DB23</f>
        <v/>
      </c>
      <c r="DD23" s="868">
        <f>+DC23</f>
        <v/>
      </c>
      <c r="DE23" s="868">
        <f>+DD23</f>
        <v/>
      </c>
      <c r="DF23" s="868">
        <f>+DE23</f>
        <v/>
      </c>
      <c r="DG23" s="868">
        <f>+DF23</f>
        <v/>
      </c>
    </row>
    <row r="24" customFormat="1" s="299">
      <c r="A24" s="33" t="n"/>
      <c r="B24" s="33" t="n"/>
      <c r="C24" s="606" t="inlineStr">
        <is>
          <t>Client Base Growth Rate</t>
        </is>
      </c>
      <c r="D24" s="847" t="n"/>
      <c r="E24" s="850" t="n"/>
      <c r="F24" s="850" t="n"/>
      <c r="G24" s="850" t="n"/>
      <c r="H24" s="850" t="n"/>
      <c r="I24" s="850" t="n"/>
      <c r="J24" s="850" t="n"/>
      <c r="K24" s="850" t="n"/>
      <c r="L24" s="850" t="n"/>
      <c r="M24" s="850" t="n"/>
      <c r="N24" s="850" t="n"/>
      <c r="O24" s="850" t="n"/>
      <c r="P24" s="848" t="n"/>
      <c r="Q24" s="848" t="n"/>
      <c r="R24" s="848" t="n"/>
      <c r="S24" s="848" t="n"/>
      <c r="T24" s="848" t="n"/>
      <c r="U24" s="848" t="n"/>
      <c r="V24" s="870" t="n"/>
      <c r="W24" s="870" t="n"/>
      <c r="X24" s="870">
        <f>+(X16/W16)-1</f>
        <v/>
      </c>
      <c r="Y24" s="870">
        <f>+(Y16/X16)-1</f>
        <v/>
      </c>
      <c r="Z24" s="870">
        <f>+(Z16/Y16)-1</f>
        <v/>
      </c>
      <c r="AA24" s="870">
        <f>+(AA16/Z16)-1</f>
        <v/>
      </c>
      <c r="AB24" s="870">
        <f>+(AB16/AA16)-1</f>
        <v/>
      </c>
      <c r="AC24" s="870">
        <f>+(AC16/AB16)-1</f>
        <v/>
      </c>
      <c r="AD24" s="870">
        <f>+(AD16/AC16)-1</f>
        <v/>
      </c>
      <c r="AE24" s="870">
        <f>+(AE16/AD16)-1</f>
        <v/>
      </c>
      <c r="AF24" s="870">
        <f>+(AF16/AE16)-1</f>
        <v/>
      </c>
      <c r="AG24" s="870">
        <f>+(AG16/AF16)-1</f>
        <v/>
      </c>
      <c r="AH24" s="870">
        <f>+(AH16/AG16)-1</f>
        <v/>
      </c>
      <c r="AI24" s="870">
        <f>+(AI16/AH16)-1</f>
        <v/>
      </c>
      <c r="AJ24" s="870">
        <f>+(AJ16/AI16)-1</f>
        <v/>
      </c>
      <c r="AK24" s="870">
        <f>+(AK16/AJ16)-1</f>
        <v/>
      </c>
      <c r="AL24" s="870">
        <f>+(AL16/AK16)-1</f>
        <v/>
      </c>
      <c r="AM24" s="870">
        <f>+(AM16/AL16)-1</f>
        <v/>
      </c>
      <c r="AN24" s="870">
        <f>+(AN16/AM16)-1</f>
        <v/>
      </c>
      <c r="AO24" s="870">
        <f>+(AO16/AN16)-1</f>
        <v/>
      </c>
      <c r="AP24" s="870">
        <f>+(AP16/AO16)-1</f>
        <v/>
      </c>
      <c r="AQ24" s="870">
        <f>+(AQ16/AP16)-1</f>
        <v/>
      </c>
      <c r="AR24" s="870">
        <f>+(AR16/AQ16)-1</f>
        <v/>
      </c>
      <c r="AS24" s="870">
        <f>+(AS16/AR16)-1</f>
        <v/>
      </c>
      <c r="AT24" s="870">
        <f>+(AT16/AS16)-1</f>
        <v/>
      </c>
      <c r="AU24" s="870">
        <f>+(AU16/AT16)-1</f>
        <v/>
      </c>
      <c r="AV24" s="870">
        <f>+(AV16/AU16)-1</f>
        <v/>
      </c>
      <c r="AW24" s="871">
        <f>+(AW16/AV16)-1</f>
        <v/>
      </c>
      <c r="AX24" s="872">
        <f>+(AX16/AW16)-1</f>
        <v/>
      </c>
      <c r="AY24" s="873">
        <f>+(AY16/AX16)-1</f>
        <v/>
      </c>
      <c r="AZ24" s="872">
        <f>+(AZ16/AY16)-1</f>
        <v/>
      </c>
      <c r="BA24" s="872">
        <f>+(BA16/AZ16)-1</f>
        <v/>
      </c>
      <c r="BB24" s="872">
        <f>+(BB16/BA16)-1</f>
        <v/>
      </c>
      <c r="BC24" s="872">
        <f>+(BC16/BB16)-1</f>
        <v/>
      </c>
      <c r="BD24" s="872">
        <f>+(BD16/BC16)-1</f>
        <v/>
      </c>
      <c r="BE24" s="872">
        <f>+(BE16/BD16)-1</f>
        <v/>
      </c>
      <c r="BF24" s="872">
        <f>+(BF16/BE16)-1</f>
        <v/>
      </c>
      <c r="BG24" s="872">
        <f>+(BG16/BF16)-1</f>
        <v/>
      </c>
      <c r="BH24" s="872">
        <f>+(BH16/BG16)-1</f>
        <v/>
      </c>
      <c r="BI24" s="872">
        <f>+(BI16/BH16)-1</f>
        <v/>
      </c>
      <c r="BJ24" s="872">
        <f>+(BJ16/BI16)-1</f>
        <v/>
      </c>
      <c r="BK24" s="874">
        <f>+(BK16/BJ16)-1</f>
        <v/>
      </c>
      <c r="BL24" s="872">
        <f>+(BL16/BK16)-1</f>
        <v/>
      </c>
      <c r="BM24" s="872">
        <f>+(BM16/BL16)-1</f>
        <v/>
      </c>
      <c r="BN24" s="872">
        <f>+(BN16/BM16)-1</f>
        <v/>
      </c>
      <c r="BO24" s="872">
        <f>+(BO16/BN16)-1</f>
        <v/>
      </c>
      <c r="BP24" s="872">
        <f>+(BP16/BO16)-1</f>
        <v/>
      </c>
      <c r="BQ24" s="872">
        <f>+(BQ16/BP16)-1</f>
        <v/>
      </c>
      <c r="BR24" s="872">
        <f>+(BR16/BQ16)-1</f>
        <v/>
      </c>
      <c r="BS24" s="872">
        <f>+(BS16/BR16)-1</f>
        <v/>
      </c>
      <c r="BT24" s="872">
        <f>+(BT16/BS16)-1</f>
        <v/>
      </c>
      <c r="BU24" s="872">
        <f>+(BU16/BT16)-1</f>
        <v/>
      </c>
      <c r="BV24" s="872">
        <f>+(BV16/BU16)-1</f>
        <v/>
      </c>
      <c r="BW24" s="874">
        <f>+(BW16/BV16)-1</f>
        <v/>
      </c>
      <c r="BX24" s="872">
        <f>+(BX16/BW16)-1</f>
        <v/>
      </c>
      <c r="BY24" s="872">
        <f>+(BY16/BX16)-1</f>
        <v/>
      </c>
      <c r="BZ24" s="872">
        <f>+(BZ16/BY16)-1</f>
        <v/>
      </c>
      <c r="CA24" s="872">
        <f>+(CA16/BZ16)-1</f>
        <v/>
      </c>
      <c r="CB24" s="872">
        <f>+(CB16/CA16)-1</f>
        <v/>
      </c>
      <c r="CC24" s="872">
        <f>+(CC16/CB16)-1</f>
        <v/>
      </c>
      <c r="CD24" s="872">
        <f>+(CD16/CC16)-1</f>
        <v/>
      </c>
      <c r="CE24" s="872">
        <f>+(CE16/CD16)-1</f>
        <v/>
      </c>
      <c r="CF24" s="872">
        <f>+(CF16/CE16)-1</f>
        <v/>
      </c>
      <c r="CG24" s="872">
        <f>+(CG16/CF16)-1</f>
        <v/>
      </c>
      <c r="CH24" s="872">
        <f>+(CH16/CG16)-1</f>
        <v/>
      </c>
      <c r="CI24" s="874">
        <f>+(CI16/CH16)-1</f>
        <v/>
      </c>
      <c r="CJ24" s="872">
        <f>+(CJ16/CI16)-1</f>
        <v/>
      </c>
      <c r="CK24" s="872">
        <f>+(CK16/CJ16)-1</f>
        <v/>
      </c>
      <c r="CL24" s="872">
        <f>+(CL16/CK16)-1</f>
        <v/>
      </c>
      <c r="CM24" s="872">
        <f>+(CM16/CL16)-1</f>
        <v/>
      </c>
      <c r="CN24" s="872">
        <f>+(CN16/CM16)-1</f>
        <v/>
      </c>
      <c r="CO24" s="872">
        <f>+(CO16/CN16)-1</f>
        <v/>
      </c>
      <c r="CP24" s="872">
        <f>+(CP16/CO16)-1</f>
        <v/>
      </c>
      <c r="CQ24" s="872">
        <f>+(CQ16/CP16)-1</f>
        <v/>
      </c>
      <c r="CR24" s="872">
        <f>+(CR16/CQ16)-1</f>
        <v/>
      </c>
      <c r="CS24" s="872">
        <f>+(CS16/CR16)-1</f>
        <v/>
      </c>
      <c r="CT24" s="872">
        <f>+(CT16/CS16)-1</f>
        <v/>
      </c>
      <c r="CU24" s="874">
        <f>+(CU16/CT16)-1</f>
        <v/>
      </c>
      <c r="CV24" s="872">
        <f>+(CV16/CU16)-1</f>
        <v/>
      </c>
      <c r="CW24" s="872">
        <f>+(CW16/CV16)-1</f>
        <v/>
      </c>
      <c r="CX24" s="872">
        <f>+(CX16/CW16)-1</f>
        <v/>
      </c>
      <c r="CY24" s="872">
        <f>+(CY16/CX16)-1</f>
        <v/>
      </c>
      <c r="CZ24" s="872">
        <f>+(CZ16/CY16)-1</f>
        <v/>
      </c>
      <c r="DA24" s="872">
        <f>+(DA16/CZ16)-1</f>
        <v/>
      </c>
      <c r="DB24" s="872">
        <f>+(DB16/DA16)-1</f>
        <v/>
      </c>
      <c r="DC24" s="872">
        <f>+(DC16/DB16)-1</f>
        <v/>
      </c>
      <c r="DD24" s="872">
        <f>+(DD16/DC16)-1</f>
        <v/>
      </c>
      <c r="DE24" s="872">
        <f>+(DE16/DD16)-1</f>
        <v/>
      </c>
      <c r="DF24" s="872">
        <f>+(DF16/DE16)-1</f>
        <v/>
      </c>
      <c r="DG24" s="872">
        <f>+(DG16/DF16)-1</f>
        <v/>
      </c>
    </row>
    <row r="25" customFormat="1" s="299">
      <c r="A25" s="33" t="n"/>
      <c r="B25" s="33" t="n"/>
      <c r="C25" s="606" t="inlineStr">
        <is>
          <t>Client Hit Rate</t>
        </is>
      </c>
      <c r="D25" s="847" t="n"/>
      <c r="E25" s="850" t="n"/>
      <c r="F25" s="850" t="n"/>
      <c r="G25" s="850" t="n"/>
      <c r="H25" s="850" t="n"/>
      <c r="I25" s="850" t="n"/>
      <c r="J25" s="850" t="n"/>
      <c r="K25" s="850" t="n"/>
      <c r="L25" s="850" t="n"/>
      <c r="M25" s="850" t="n"/>
      <c r="N25" s="850" t="n"/>
      <c r="O25" s="850" t="n"/>
      <c r="P25" s="848" t="n"/>
      <c r="Q25" s="848" t="n"/>
      <c r="R25" s="848" t="n"/>
      <c r="S25" s="848" t="n"/>
      <c r="T25" s="848" t="n"/>
      <c r="U25" s="848" t="n"/>
      <c r="V25" s="870" t="n"/>
      <c r="W25" s="870">
        <f>+(W16/W22)</f>
        <v/>
      </c>
      <c r="X25" s="870">
        <f>+(X16/X22)</f>
        <v/>
      </c>
      <c r="Y25" s="870">
        <f>+(Y16/Y22)</f>
        <v/>
      </c>
      <c r="Z25" s="870">
        <f>+(Z16/Z22)</f>
        <v/>
      </c>
      <c r="AA25" s="870">
        <f>+(AA16/AA22)</f>
        <v/>
      </c>
      <c r="AB25" s="870">
        <f>+(AB16/AB22)</f>
        <v/>
      </c>
      <c r="AC25" s="870">
        <f>+(AC16/AC22)</f>
        <v/>
      </c>
      <c r="AD25" s="870">
        <f>+(AD16/AD22)</f>
        <v/>
      </c>
      <c r="AE25" s="870">
        <f>+(AE16/AE22)</f>
        <v/>
      </c>
      <c r="AF25" s="870">
        <f>+(AF16/AF22)</f>
        <v/>
      </c>
      <c r="AG25" s="870">
        <f>+(AG16/AG22)</f>
        <v/>
      </c>
      <c r="AH25" s="870">
        <f>+(AH16/AH22)</f>
        <v/>
      </c>
      <c r="AI25" s="870">
        <f>+(AI16/AI22)</f>
        <v/>
      </c>
      <c r="AJ25" s="870">
        <f>+(AJ16/AJ22)</f>
        <v/>
      </c>
      <c r="AK25" s="870">
        <f>+(AK16/AK22)</f>
        <v/>
      </c>
      <c r="AL25" s="870">
        <f>+(AL16/AL22)</f>
        <v/>
      </c>
      <c r="AM25" s="870">
        <f>+(AM16/AM22)</f>
        <v/>
      </c>
      <c r="AN25" s="870">
        <f>+(AN16/AN22)</f>
        <v/>
      </c>
      <c r="AO25" s="870">
        <f>+(AO16/AO22)</f>
        <v/>
      </c>
      <c r="AP25" s="870">
        <f>+(AP16/AP22)</f>
        <v/>
      </c>
      <c r="AQ25" s="870">
        <f>+(AQ16/AQ22)</f>
        <v/>
      </c>
      <c r="AR25" s="870">
        <f>+(AR16/AR22)</f>
        <v/>
      </c>
      <c r="AS25" s="870">
        <f>+(AS16/AS22)</f>
        <v/>
      </c>
      <c r="AT25" s="870">
        <f>+(AT16/AT22)</f>
        <v/>
      </c>
      <c r="AU25" s="870">
        <f>+(AU16/AU22)</f>
        <v/>
      </c>
      <c r="AV25" s="870">
        <f>+(AV16/AV22)</f>
        <v/>
      </c>
      <c r="AW25" s="871">
        <f>+(AW16/AW22)</f>
        <v/>
      </c>
      <c r="AX25" s="875">
        <f>+AVERAGE(AR25:AW25)</f>
        <v/>
      </c>
      <c r="AY25" s="873">
        <f>+AX25</f>
        <v/>
      </c>
      <c r="AZ25" s="872">
        <f>+AY25</f>
        <v/>
      </c>
      <c r="BA25" s="872">
        <f>+AZ25</f>
        <v/>
      </c>
      <c r="BB25" s="872">
        <f>+BA25</f>
        <v/>
      </c>
      <c r="BC25" s="872">
        <f>+BB25</f>
        <v/>
      </c>
      <c r="BD25" s="872">
        <f>+BC25</f>
        <v/>
      </c>
      <c r="BE25" s="872">
        <f>+BD25</f>
        <v/>
      </c>
      <c r="BF25" s="872">
        <f>+BE25</f>
        <v/>
      </c>
      <c r="BG25" s="872">
        <f>+BF25</f>
        <v/>
      </c>
      <c r="BH25" s="872">
        <f>+BG25</f>
        <v/>
      </c>
      <c r="BI25" s="872">
        <f>+BH25</f>
        <v/>
      </c>
      <c r="BJ25" s="872">
        <f>+BI25</f>
        <v/>
      </c>
      <c r="BK25" s="874">
        <f>+BJ25</f>
        <v/>
      </c>
      <c r="BL25" s="872">
        <f>+BK25</f>
        <v/>
      </c>
      <c r="BM25" s="872">
        <f>+BL25</f>
        <v/>
      </c>
      <c r="BN25" s="872">
        <f>+BM25</f>
        <v/>
      </c>
      <c r="BO25" s="872">
        <f>+BN25</f>
        <v/>
      </c>
      <c r="BP25" s="872">
        <f>+BO25</f>
        <v/>
      </c>
      <c r="BQ25" s="872">
        <f>+BP25</f>
        <v/>
      </c>
      <c r="BR25" s="872">
        <f>+BQ25</f>
        <v/>
      </c>
      <c r="BS25" s="872">
        <f>+BR25</f>
        <v/>
      </c>
      <c r="BT25" s="872">
        <f>+BS25</f>
        <v/>
      </c>
      <c r="BU25" s="872">
        <f>+BT25</f>
        <v/>
      </c>
      <c r="BV25" s="872">
        <f>+BU25</f>
        <v/>
      </c>
      <c r="BW25" s="874">
        <f>+BV25</f>
        <v/>
      </c>
      <c r="BX25" s="872">
        <f>+BW25</f>
        <v/>
      </c>
      <c r="BY25" s="872">
        <f>+BX25</f>
        <v/>
      </c>
      <c r="BZ25" s="872">
        <f>+BY25</f>
        <v/>
      </c>
      <c r="CA25" s="872">
        <f>+BZ25</f>
        <v/>
      </c>
      <c r="CB25" s="872">
        <f>+CA25</f>
        <v/>
      </c>
      <c r="CC25" s="872">
        <f>+CB25</f>
        <v/>
      </c>
      <c r="CD25" s="872">
        <f>+CC25</f>
        <v/>
      </c>
      <c r="CE25" s="872">
        <f>+CD25</f>
        <v/>
      </c>
      <c r="CF25" s="872">
        <f>+CE25</f>
        <v/>
      </c>
      <c r="CG25" s="872">
        <f>+CF25</f>
        <v/>
      </c>
      <c r="CH25" s="872">
        <f>+CG25</f>
        <v/>
      </c>
      <c r="CI25" s="874">
        <f>+CH25</f>
        <v/>
      </c>
      <c r="CJ25" s="872">
        <f>+CI25</f>
        <v/>
      </c>
      <c r="CK25" s="872">
        <f>+CJ25</f>
        <v/>
      </c>
      <c r="CL25" s="872">
        <f>+CK25</f>
        <v/>
      </c>
      <c r="CM25" s="872">
        <f>+CL25</f>
        <v/>
      </c>
      <c r="CN25" s="872">
        <f>+CM25</f>
        <v/>
      </c>
      <c r="CO25" s="872">
        <f>+CN25</f>
        <v/>
      </c>
      <c r="CP25" s="872">
        <f>+CO25</f>
        <v/>
      </c>
      <c r="CQ25" s="872">
        <f>+CP25</f>
        <v/>
      </c>
      <c r="CR25" s="872">
        <f>+CQ25</f>
        <v/>
      </c>
      <c r="CS25" s="872">
        <f>+CR25</f>
        <v/>
      </c>
      <c r="CT25" s="872">
        <f>+CS25</f>
        <v/>
      </c>
      <c r="CU25" s="874">
        <f>+CT25</f>
        <v/>
      </c>
      <c r="CV25" s="872">
        <f>+CU25</f>
        <v/>
      </c>
      <c r="CW25" s="872">
        <f>+CV25</f>
        <v/>
      </c>
      <c r="CX25" s="872">
        <f>+CW25</f>
        <v/>
      </c>
      <c r="CY25" s="872">
        <f>+CX25</f>
        <v/>
      </c>
      <c r="CZ25" s="872">
        <f>+CY25</f>
        <v/>
      </c>
      <c r="DA25" s="872">
        <f>+CZ25</f>
        <v/>
      </c>
      <c r="DB25" s="872">
        <f>+DA25</f>
        <v/>
      </c>
      <c r="DC25" s="872">
        <f>+DB25</f>
        <v/>
      </c>
      <c r="DD25" s="872">
        <f>+DC25</f>
        <v/>
      </c>
      <c r="DE25" s="872">
        <f>+DD25</f>
        <v/>
      </c>
      <c r="DF25" s="872">
        <f>+DE25</f>
        <v/>
      </c>
      <c r="DG25" s="872">
        <f>+DF25</f>
        <v/>
      </c>
    </row>
    <row r="26" ht="18.75" customHeight="1" s="627">
      <c r="A26" s="35" t="n"/>
      <c r="B26" s="35" t="n"/>
      <c r="C26" s="608" t="inlineStr">
        <is>
          <t>Appt Multiplier</t>
        </is>
      </c>
      <c r="D26" s="876" t="n"/>
      <c r="E26" s="876" t="n"/>
      <c r="F26" s="876" t="n"/>
      <c r="G26" s="876" t="n"/>
      <c r="H26" s="876" t="n"/>
      <c r="I26" s="876" t="n"/>
      <c r="J26" s="876" t="n"/>
      <c r="K26" s="877" t="n"/>
      <c r="L26" s="877" t="n"/>
      <c r="M26" s="877" t="n"/>
      <c r="N26" s="877" t="n"/>
      <c r="O26" s="877" t="n"/>
      <c r="P26" s="877" t="n"/>
      <c r="Q26" s="877" t="n"/>
      <c r="R26" s="877" t="n"/>
      <c r="S26" s="877" t="n"/>
      <c r="T26" s="877" t="n"/>
      <c r="U26" s="878" t="n"/>
      <c r="V26" s="879" t="n"/>
      <c r="W26" s="878">
        <f>+W15/W16</f>
        <v/>
      </c>
      <c r="X26" s="878">
        <f>+X15/X16</f>
        <v/>
      </c>
      <c r="Y26" s="878">
        <f>+Y15/Y16</f>
        <v/>
      </c>
      <c r="Z26" s="878">
        <f>+Z15/Z16</f>
        <v/>
      </c>
      <c r="AA26" s="878">
        <f>+AA15/AA16</f>
        <v/>
      </c>
      <c r="AB26" s="878">
        <f>+AB15/AB16</f>
        <v/>
      </c>
      <c r="AC26" s="878">
        <f>+AC15/AC16</f>
        <v/>
      </c>
      <c r="AD26" s="878">
        <f>+AD15/AD16</f>
        <v/>
      </c>
      <c r="AE26" s="878">
        <f>+AE15/AE16</f>
        <v/>
      </c>
      <c r="AF26" s="878">
        <f>+AF15/AF16</f>
        <v/>
      </c>
      <c r="AG26" s="878">
        <f>+AG15/AG16</f>
        <v/>
      </c>
      <c r="AH26" s="878">
        <f>+AH15/AH16</f>
        <v/>
      </c>
      <c r="AI26" s="878">
        <f>+AI15/AI16</f>
        <v/>
      </c>
      <c r="AJ26" s="878">
        <f>+AJ15/AJ16</f>
        <v/>
      </c>
      <c r="AK26" s="878">
        <f>+AK15/AK16</f>
        <v/>
      </c>
      <c r="AL26" s="878">
        <f>+AL15/AL16</f>
        <v/>
      </c>
      <c r="AM26" s="878">
        <f>+AM15/AM16</f>
        <v/>
      </c>
      <c r="AN26" s="878">
        <f>+AN15/AN16</f>
        <v/>
      </c>
      <c r="AO26" s="878">
        <f>+AO15/AO16</f>
        <v/>
      </c>
      <c r="AP26" s="878">
        <f>+AP15/AP16</f>
        <v/>
      </c>
      <c r="AQ26" s="878">
        <f>+AQ15/AQ16</f>
        <v/>
      </c>
      <c r="AR26" s="878">
        <f>+AR15/AR16</f>
        <v/>
      </c>
      <c r="AS26" s="878">
        <f>+AS15/AS16</f>
        <v/>
      </c>
      <c r="AT26" s="878">
        <f>+AT15/AT16</f>
        <v/>
      </c>
      <c r="AU26" s="878">
        <f>+AU15/AU16</f>
        <v/>
      </c>
      <c r="AV26" s="878">
        <f>+AV15/AV16</f>
        <v/>
      </c>
      <c r="AW26" s="880">
        <f>+AW15/AW16</f>
        <v/>
      </c>
      <c r="AX26" s="881">
        <f>+AL26</f>
        <v/>
      </c>
      <c r="AY26" s="882">
        <f>+AM26</f>
        <v/>
      </c>
      <c r="AZ26" s="883">
        <f>+AN26</f>
        <v/>
      </c>
      <c r="BA26" s="883">
        <f>+AO26</f>
        <v/>
      </c>
      <c r="BB26" s="883">
        <f>+AP26</f>
        <v/>
      </c>
      <c r="BC26" s="883">
        <f>+AQ26</f>
        <v/>
      </c>
      <c r="BD26" s="883">
        <f>+AR26</f>
        <v/>
      </c>
      <c r="BE26" s="883">
        <f>+AS26</f>
        <v/>
      </c>
      <c r="BF26" s="883">
        <f>+AT26</f>
        <v/>
      </c>
      <c r="BG26" s="883">
        <f>+AU26</f>
        <v/>
      </c>
      <c r="BH26" s="883">
        <f>+AV26</f>
        <v/>
      </c>
      <c r="BI26" s="883">
        <f>+AW26</f>
        <v/>
      </c>
      <c r="BJ26" s="883">
        <f>+AX26</f>
        <v/>
      </c>
      <c r="BK26" s="884">
        <f>+AY26</f>
        <v/>
      </c>
      <c r="BL26" s="883">
        <f>+AZ26</f>
        <v/>
      </c>
      <c r="BM26" s="883">
        <f>+BA26</f>
        <v/>
      </c>
      <c r="BN26" s="883">
        <f>+BB26</f>
        <v/>
      </c>
      <c r="BO26" s="883">
        <f>+BC26</f>
        <v/>
      </c>
      <c r="BP26" s="883">
        <f>+BD26</f>
        <v/>
      </c>
      <c r="BQ26" s="883">
        <f>+BE26</f>
        <v/>
      </c>
      <c r="BR26" s="883">
        <f>+BF26</f>
        <v/>
      </c>
      <c r="BS26" s="883">
        <f>+BG26</f>
        <v/>
      </c>
      <c r="BT26" s="883">
        <f>+BH26</f>
        <v/>
      </c>
      <c r="BU26" s="883">
        <f>+BI26</f>
        <v/>
      </c>
      <c r="BV26" s="883">
        <f>+BJ26</f>
        <v/>
      </c>
      <c r="BW26" s="884">
        <f>+BK26</f>
        <v/>
      </c>
      <c r="BX26" s="883">
        <f>+BL26</f>
        <v/>
      </c>
      <c r="BY26" s="883">
        <f>+BM26</f>
        <v/>
      </c>
      <c r="BZ26" s="883">
        <f>+BN26</f>
        <v/>
      </c>
      <c r="CA26" s="883">
        <f>+BO26</f>
        <v/>
      </c>
      <c r="CB26" s="883">
        <f>+BP26</f>
        <v/>
      </c>
      <c r="CC26" s="883">
        <f>+BQ26</f>
        <v/>
      </c>
      <c r="CD26" s="883">
        <f>+BR26</f>
        <v/>
      </c>
      <c r="CE26" s="883">
        <f>+BS26</f>
        <v/>
      </c>
      <c r="CF26" s="883">
        <f>+BT26</f>
        <v/>
      </c>
      <c r="CG26" s="883">
        <f>+BU26</f>
        <v/>
      </c>
      <c r="CH26" s="883">
        <f>+BV26</f>
        <v/>
      </c>
      <c r="CI26" s="884">
        <f>+BW26</f>
        <v/>
      </c>
      <c r="CJ26" s="883">
        <f>+BX26</f>
        <v/>
      </c>
      <c r="CK26" s="883">
        <f>+BY26</f>
        <v/>
      </c>
      <c r="CL26" s="883">
        <f>+BZ26</f>
        <v/>
      </c>
      <c r="CM26" s="883">
        <f>+CA26</f>
        <v/>
      </c>
      <c r="CN26" s="883">
        <f>+CB26</f>
        <v/>
      </c>
      <c r="CO26" s="883">
        <f>+CC26</f>
        <v/>
      </c>
      <c r="CP26" s="883">
        <f>+CD26</f>
        <v/>
      </c>
      <c r="CQ26" s="883">
        <f>+CE26</f>
        <v/>
      </c>
      <c r="CR26" s="883">
        <f>+CF26</f>
        <v/>
      </c>
      <c r="CS26" s="883">
        <f>+CG26</f>
        <v/>
      </c>
      <c r="CT26" s="883">
        <f>+CH26</f>
        <v/>
      </c>
      <c r="CU26" s="884">
        <f>+CI26</f>
        <v/>
      </c>
      <c r="CV26" s="883">
        <f>+CJ26</f>
        <v/>
      </c>
      <c r="CW26" s="883">
        <f>+CK26</f>
        <v/>
      </c>
      <c r="CX26" s="883">
        <f>+CL26</f>
        <v/>
      </c>
      <c r="CY26" s="883">
        <f>+CM26</f>
        <v/>
      </c>
      <c r="CZ26" s="883">
        <f>+CN26</f>
        <v/>
      </c>
      <c r="DA26" s="883">
        <f>+CO26</f>
        <v/>
      </c>
      <c r="DB26" s="883">
        <f>+CP26</f>
        <v/>
      </c>
      <c r="DC26" s="883">
        <f>+CQ26</f>
        <v/>
      </c>
      <c r="DD26" s="883">
        <f>+CR26</f>
        <v/>
      </c>
      <c r="DE26" s="883">
        <f>+CS26</f>
        <v/>
      </c>
      <c r="DF26" s="883">
        <f>+CT26</f>
        <v/>
      </c>
      <c r="DG26" s="882">
        <f>+CU26</f>
        <v/>
      </c>
    </row>
    <row r="27">
      <c r="A27" s="33" t="n"/>
      <c r="B27" s="109" t="inlineStr">
        <is>
          <t>Coverage</t>
        </is>
      </c>
      <c r="C27" s="607" t="n"/>
      <c r="D27" s="847" t="n"/>
      <c r="E27" s="847" t="n"/>
      <c r="F27" s="847" t="n"/>
      <c r="G27" s="847" t="n"/>
      <c r="H27" s="847" t="n"/>
      <c r="I27" s="847" t="n"/>
      <c r="J27" s="847" t="n"/>
      <c r="K27" s="847" t="n"/>
      <c r="L27" s="847" t="n"/>
      <c r="M27" s="847" t="n"/>
      <c r="N27" s="847" t="n"/>
      <c r="O27" s="847" t="n"/>
      <c r="P27" s="847" t="n"/>
      <c r="Q27" s="847" t="n"/>
      <c r="R27" s="847" t="n"/>
      <c r="S27" s="847" t="n"/>
      <c r="T27" s="847" t="n"/>
      <c r="U27" s="847" t="n"/>
      <c r="V27" s="847" t="n"/>
      <c r="W27" s="847" t="n"/>
      <c r="X27" s="847" t="n"/>
      <c r="Y27" s="847" t="n"/>
      <c r="Z27" s="847" t="n"/>
      <c r="AA27" s="847" t="n"/>
      <c r="AB27" s="847" t="n"/>
      <c r="AC27" s="847" t="n"/>
      <c r="AD27" s="847" t="n"/>
      <c r="AE27" s="847" t="n"/>
      <c r="AF27" s="847" t="n"/>
      <c r="AG27" s="847" t="n"/>
      <c r="AH27" s="847" t="n"/>
      <c r="AI27" s="847" t="n"/>
      <c r="AJ27" s="847" t="n"/>
      <c r="AK27" s="847" t="n"/>
      <c r="AL27" s="847" t="n"/>
      <c r="AM27" s="847" t="n"/>
      <c r="AN27" s="847" t="n"/>
      <c r="AO27" s="847" t="n"/>
      <c r="AP27" s="847" t="n"/>
      <c r="AQ27" s="847" t="n"/>
      <c r="AR27" s="847" t="n"/>
      <c r="AS27" s="847" t="n"/>
      <c r="AT27" s="847" t="n"/>
      <c r="AU27" s="847" t="n"/>
      <c r="AV27" s="847" t="n"/>
      <c r="AW27" s="885" t="n"/>
      <c r="AX27" s="860" t="n"/>
      <c r="AY27" s="861" t="n"/>
      <c r="AZ27" s="860" t="n"/>
      <c r="BA27" s="860" t="n"/>
      <c r="BB27" s="860" t="n"/>
      <c r="BC27" s="860" t="n"/>
      <c r="BD27" s="860" t="n"/>
      <c r="BE27" s="860" t="n"/>
      <c r="BF27" s="860" t="n"/>
      <c r="BG27" s="860" t="n"/>
      <c r="BH27" s="860" t="n"/>
      <c r="BI27" s="860" t="n"/>
      <c r="BJ27" s="860" t="n"/>
      <c r="BK27" s="862" t="n"/>
      <c r="BL27" s="860" t="n"/>
      <c r="BM27" s="860" t="n"/>
      <c r="BN27" s="860" t="n"/>
      <c r="BO27" s="860" t="n"/>
      <c r="BP27" s="860" t="n"/>
      <c r="BQ27" s="860" t="n"/>
      <c r="BR27" s="860" t="n"/>
      <c r="BS27" s="860" t="n"/>
      <c r="BT27" s="860" t="n"/>
      <c r="BU27" s="860" t="n"/>
      <c r="BV27" s="860" t="n"/>
      <c r="BW27" s="862" t="n"/>
      <c r="BX27" s="860" t="n"/>
      <c r="BY27" s="860" t="n"/>
      <c r="BZ27" s="860" t="n"/>
      <c r="CA27" s="860" t="n"/>
      <c r="CB27" s="860" t="n"/>
      <c r="CC27" s="860" t="n"/>
      <c r="CD27" s="860" t="n"/>
      <c r="CE27" s="860" t="n"/>
      <c r="CF27" s="860" t="n"/>
      <c r="CG27" s="860" t="n"/>
      <c r="CH27" s="860" t="n"/>
      <c r="CI27" s="862" t="n"/>
      <c r="CJ27" s="860" t="n"/>
      <c r="CK27" s="860" t="n"/>
      <c r="CL27" s="860" t="n"/>
      <c r="CM27" s="860" t="n"/>
      <c r="CN27" s="860" t="n"/>
      <c r="CO27" s="860" t="n"/>
      <c r="CP27" s="860" t="n"/>
      <c r="CQ27" s="860" t="n"/>
      <c r="CR27" s="860" t="n"/>
      <c r="CS27" s="860" t="n"/>
      <c r="CT27" s="860" t="n"/>
      <c r="CU27" s="862" t="n"/>
      <c r="CV27" s="860" t="n"/>
      <c r="CW27" s="860" t="n"/>
      <c r="CX27" s="860" t="n"/>
      <c r="CY27" s="860" t="n"/>
      <c r="CZ27" s="860" t="n"/>
      <c r="DA27" s="860" t="n"/>
      <c r="DB27" s="860" t="n"/>
      <c r="DC27" s="860" t="n"/>
      <c r="DD27" s="860" t="n"/>
      <c r="DE27" s="860" t="n"/>
      <c r="DF27" s="860" t="n"/>
      <c r="DG27" s="861" t="n"/>
    </row>
    <row r="28">
      <c r="A28" s="34" t="n"/>
      <c r="B28" s="886" t="n">
        <v>90</v>
      </c>
      <c r="C28" s="608" t="inlineStr">
        <is>
          <t>Billing Days</t>
        </is>
      </c>
      <c r="D28" s="887" t="n"/>
      <c r="E28" s="887">
        <f>NETWORKDAYS(D4+1,E4,Holidays!$B$3:$B$62)</f>
        <v/>
      </c>
      <c r="F28" s="887">
        <f>NETWORKDAYS(E4+1,F4,Holidays!$B$3:$B$62)</f>
        <v/>
      </c>
      <c r="G28" s="887">
        <f>NETWORKDAYS(F4+1,G4,Holidays!$B$3:$B$62)</f>
        <v/>
      </c>
      <c r="H28" s="887">
        <f>NETWORKDAYS(G4+1,H4,Holidays!$B$3:$B$62)</f>
        <v/>
      </c>
      <c r="I28" s="887">
        <f>NETWORKDAYS(H4+1,I4,Holidays!$B$3:$B$62)</f>
        <v/>
      </c>
      <c r="J28" s="887">
        <f>NETWORKDAYS(I4+1,J4,Holidays!$B$3:$B$62)</f>
        <v/>
      </c>
      <c r="K28" s="887">
        <f>NETWORKDAYS(J4+1,K4,Holidays!$B$3:$B$62)</f>
        <v/>
      </c>
      <c r="L28" s="887">
        <f>NETWORKDAYS(K4+1,L4,Holidays!$B$3:$B$62)</f>
        <v/>
      </c>
      <c r="M28" s="887">
        <f>NETWORKDAYS(L4+1,M4,Holidays!$B$3:$B$62)</f>
        <v/>
      </c>
      <c r="N28" s="887">
        <f>NETWORKDAYS(M4+1,N4,Holidays!$B$3:$B$62)</f>
        <v/>
      </c>
      <c r="O28" s="887">
        <f>NETWORKDAYS(N4+1,O4,Holidays!$B$3:$B$62)</f>
        <v/>
      </c>
      <c r="P28" s="887">
        <f>NETWORKDAYS(O4+1,P4,Holidays!$B$3:$B$62)</f>
        <v/>
      </c>
      <c r="Q28" s="887">
        <f>NETWORKDAYS(P4+1,Q4,Holidays!$B$3:$B$62)</f>
        <v/>
      </c>
      <c r="R28" s="887">
        <f>NETWORKDAYS(Q4+1,R4,Holidays!$B$3:$B$62)</f>
        <v/>
      </c>
      <c r="S28" s="887">
        <f>NETWORKDAYS(R4+1,S4,Holidays!$B$3:$B$62)</f>
        <v/>
      </c>
      <c r="T28" s="887">
        <f>NETWORKDAYS(S4+1,T4,Holidays!$B$3:$B$62)</f>
        <v/>
      </c>
      <c r="U28" s="887">
        <f>NETWORKDAYS(T4+1,U4,Holidays!$B$3:$B$62)</f>
        <v/>
      </c>
      <c r="V28" s="887">
        <f>NETWORKDAYS(U4+1,V4,Holidays!$B$3:$B$62)</f>
        <v/>
      </c>
      <c r="W28" s="887">
        <f>NETWORKDAYS(V4+1,W4,Holidays!$B$3:$B$62)</f>
        <v/>
      </c>
      <c r="X28" s="887">
        <f>NETWORKDAYS(W4+1,X4,Holidays!$B$3:$B$62)</f>
        <v/>
      </c>
      <c r="Y28" s="887">
        <f>NETWORKDAYS(X4+1,Y4,Holidays!$B$3:$B$62)</f>
        <v/>
      </c>
      <c r="Z28" s="887">
        <f>NETWORKDAYS(Y4+1,Z4,Holidays!$B$3:$B$62)</f>
        <v/>
      </c>
      <c r="AA28" s="887">
        <f>NETWORKDAYS(Z4+1,AA4,Holidays!$B$3:$B$62)</f>
        <v/>
      </c>
      <c r="AB28" s="887">
        <f>NETWORKDAYS(AA4+1,AB4,Holidays!$B$3:$B$62)</f>
        <v/>
      </c>
      <c r="AC28" s="887">
        <f>NETWORKDAYS(AB4+1,AC4,Holidays!$B$3:$B$62)</f>
        <v/>
      </c>
      <c r="AD28" s="887">
        <f>NETWORKDAYS(AC4+1,AD4,Holidays!$B$3:$B$62)</f>
        <v/>
      </c>
      <c r="AE28" s="887">
        <f>NETWORKDAYS(AD4+1,AE4,Holidays!$B$3:$B$62)</f>
        <v/>
      </c>
      <c r="AF28" s="887">
        <f>NETWORKDAYS(AE4+1,AF4,Holidays!$B$3:$B$62)</f>
        <v/>
      </c>
      <c r="AG28" s="887">
        <f>NETWORKDAYS(AF4+1,AG4,Holidays!$B$3:$B$62)</f>
        <v/>
      </c>
      <c r="AH28" s="887">
        <f>NETWORKDAYS(AG4+1,AH4,Holidays!$B$3:$B$62)</f>
        <v/>
      </c>
      <c r="AI28" s="887">
        <f>NETWORKDAYS(AH4+1,AI4,Holidays!$B$3:$B$62)</f>
        <v/>
      </c>
      <c r="AJ28" s="887">
        <f>NETWORKDAYS(AI4+1,AJ4,Holidays!$B$3:$B$62)</f>
        <v/>
      </c>
      <c r="AK28" s="887">
        <f>NETWORKDAYS(AJ4+1,AK4,Holidays!$B$3:$B$62)</f>
        <v/>
      </c>
      <c r="AL28" s="887">
        <f>NETWORKDAYS(AK4+1,AL4,Holidays!$B$3:$B$62)</f>
        <v/>
      </c>
      <c r="AM28" s="887">
        <f>NETWORKDAYS(AL4+1,AM4,Holidays!$B$3:$B$62)</f>
        <v/>
      </c>
      <c r="AN28" s="887">
        <f>NETWORKDAYS(AM4+1,AN4,Holidays!$B$3:$B$62)</f>
        <v/>
      </c>
      <c r="AO28" s="887">
        <f>NETWORKDAYS(AN4+1,AO4,Holidays!$B$3:$B$62)</f>
        <v/>
      </c>
      <c r="AP28" s="887">
        <f>NETWORKDAYS(AO4+1,AP4,Holidays!$B$3:$B$62)</f>
        <v/>
      </c>
      <c r="AQ28" s="887">
        <f>NETWORKDAYS(AP4+1,AQ4,Holidays!$B$3:$B$62)</f>
        <v/>
      </c>
      <c r="AR28" s="887">
        <f>NETWORKDAYS(AQ4+1,AR4,Holidays!$B$3:$B$62)</f>
        <v/>
      </c>
      <c r="AS28" s="887">
        <f>NETWORKDAYS(AR4+1,AS4,Holidays!$B$3:$B$62)</f>
        <v/>
      </c>
      <c r="AT28" s="887">
        <f>NETWORKDAYS(AS4+1,AT4,Holidays!$B$3:$B$62)</f>
        <v/>
      </c>
      <c r="AU28" s="887">
        <f>NETWORKDAYS(AT4+1,AU4,Holidays!$B$3:$B$62)</f>
        <v/>
      </c>
      <c r="AV28" s="887">
        <f>NETWORKDAYS(AU4+1,AV4,Holidays!$B$3:$B$62)</f>
        <v/>
      </c>
      <c r="AW28" s="888">
        <f>NETWORKDAYS(AV4+1,AW4,Holidays!$B$3:$B$62)</f>
        <v/>
      </c>
      <c r="AX28" s="889">
        <f>NETWORKDAYS(AW4+1,AX4,Holidays!$B$3:$B$62)</f>
        <v/>
      </c>
      <c r="AY28" s="890">
        <f>NETWORKDAYS(AX4+1,AY4,Holidays!$B$3:$B$62)</f>
        <v/>
      </c>
      <c r="AZ28" s="889">
        <f>NETWORKDAYS(AY4+1,AZ4,Holidays!$B$3:$B$62)</f>
        <v/>
      </c>
      <c r="BA28" s="889">
        <f>NETWORKDAYS(AZ4+1,BA4,Holidays!$B$3:$B$62)</f>
        <v/>
      </c>
      <c r="BB28" s="889">
        <f>NETWORKDAYS(BA4+1,BB4,Holidays!$B$3:$B$62)</f>
        <v/>
      </c>
      <c r="BC28" s="889">
        <f>NETWORKDAYS(BB4+1,BC4,Holidays!$B$3:$B$62)</f>
        <v/>
      </c>
      <c r="BD28" s="889">
        <f>NETWORKDAYS(BC4+1,BD4,Holidays!$B$3:$B$62)</f>
        <v/>
      </c>
      <c r="BE28" s="889">
        <f>NETWORKDAYS(BD4+1,BE4,Holidays!$B$3:$B$62)</f>
        <v/>
      </c>
      <c r="BF28" s="889">
        <f>NETWORKDAYS(BE4+1,BF4,Holidays!$B$3:$B$62)</f>
        <v/>
      </c>
      <c r="BG28" s="889">
        <f>NETWORKDAYS(BF4+1,BG4,Holidays!$B$3:$B$62)</f>
        <v/>
      </c>
      <c r="BH28" s="889">
        <f>NETWORKDAYS(BG4+1,BH4,Holidays!$B$3:$B$62)</f>
        <v/>
      </c>
      <c r="BI28" s="889">
        <f>NETWORKDAYS(BH4+1,BI4,Holidays!$B$3:$B$62)</f>
        <v/>
      </c>
      <c r="BJ28" s="889">
        <f>NETWORKDAYS(BI4+1,BJ4,Holidays!$B$3:$B$62)</f>
        <v/>
      </c>
      <c r="BK28" s="891">
        <f>NETWORKDAYS(BJ4+1,BK4,Holidays!$B$3:$B$62)</f>
        <v/>
      </c>
      <c r="BL28" s="889">
        <f>NETWORKDAYS(BK4+1,BL4,Holidays!$B$3:$B$62)</f>
        <v/>
      </c>
      <c r="BM28" s="889">
        <f>NETWORKDAYS(BL4+1,BM4,Holidays!$B$3:$B$62)</f>
        <v/>
      </c>
      <c r="BN28" s="889">
        <f>NETWORKDAYS(BM4+1,BN4,Holidays!$B$3:$B$62)</f>
        <v/>
      </c>
      <c r="BO28" s="889">
        <f>NETWORKDAYS(BN4+1,BO4,Holidays!$B$3:$B$62)</f>
        <v/>
      </c>
      <c r="BP28" s="889">
        <f>NETWORKDAYS(BO4+1,BP4,Holidays!$B$3:$B$62)</f>
        <v/>
      </c>
      <c r="BQ28" s="889">
        <f>NETWORKDAYS(BP4+1,BQ4,Holidays!$B$3:$B$62)</f>
        <v/>
      </c>
      <c r="BR28" s="889">
        <f>NETWORKDAYS(BQ4+1,BR4,Holidays!$B$3:$B$62)</f>
        <v/>
      </c>
      <c r="BS28" s="889">
        <f>NETWORKDAYS(BR4+1,BS4,Holidays!$B$3:$B$62)</f>
        <v/>
      </c>
      <c r="BT28" s="889">
        <f>NETWORKDAYS(BS4+1,BT4,Holidays!$B$3:$B$62)</f>
        <v/>
      </c>
      <c r="BU28" s="889">
        <f>NETWORKDAYS(BT4+1,BU4,Holidays!$B$3:$B$62)</f>
        <v/>
      </c>
      <c r="BV28" s="889">
        <f>NETWORKDAYS(BU4+1,BV4,Holidays!$B$3:$B$62)</f>
        <v/>
      </c>
      <c r="BW28" s="891">
        <f>NETWORKDAYS(BV4+1,BW4,Holidays!$B$3:$B$62)</f>
        <v/>
      </c>
      <c r="BX28" s="889">
        <f>NETWORKDAYS(BW4+1,BX4,Holidays!$B$3:$B$62)</f>
        <v/>
      </c>
      <c r="BY28" s="889">
        <f>NETWORKDAYS(BX4+1,BY4,Holidays!$B$3:$B$62)</f>
        <v/>
      </c>
      <c r="BZ28" s="889">
        <f>NETWORKDAYS(BY4+1,BZ4,Holidays!$B$3:$B$62)</f>
        <v/>
      </c>
      <c r="CA28" s="889">
        <f>NETWORKDAYS(BZ4+1,CA4,Holidays!$B$3:$B$62)</f>
        <v/>
      </c>
      <c r="CB28" s="889">
        <f>NETWORKDAYS(CA4+1,CB4,Holidays!$B$3:$B$62)</f>
        <v/>
      </c>
      <c r="CC28" s="889">
        <f>NETWORKDAYS(CB4+1,CC4,Holidays!$B$3:$B$62)</f>
        <v/>
      </c>
      <c r="CD28" s="889">
        <f>NETWORKDAYS(CC4+1,CD4,Holidays!$B$3:$B$62)</f>
        <v/>
      </c>
      <c r="CE28" s="889">
        <f>NETWORKDAYS(CD4+1,CE4,Holidays!$B$3:$B$62)</f>
        <v/>
      </c>
      <c r="CF28" s="889">
        <f>NETWORKDAYS(CE4+1,CF4,Holidays!$B$3:$B$62)</f>
        <v/>
      </c>
      <c r="CG28" s="889">
        <f>NETWORKDAYS(CF4+1,CG4,Holidays!$B$3:$B$62)</f>
        <v/>
      </c>
      <c r="CH28" s="889">
        <f>NETWORKDAYS(CG4+1,CH4,Holidays!$B$3:$B$62)</f>
        <v/>
      </c>
      <c r="CI28" s="891">
        <f>NETWORKDAYS(CH4+1,CI4,Holidays!$B$3:$B$62)</f>
        <v/>
      </c>
      <c r="CJ28" s="889">
        <f>NETWORKDAYS(CI4+1,CJ4,Holidays!$B$3:$B$62)</f>
        <v/>
      </c>
      <c r="CK28" s="889">
        <f>NETWORKDAYS(CJ4+1,CK4,Holidays!$B$3:$B$62)</f>
        <v/>
      </c>
      <c r="CL28" s="889">
        <f>NETWORKDAYS(CK4+1,CL4,Holidays!$B$3:$B$62)</f>
        <v/>
      </c>
      <c r="CM28" s="889">
        <f>NETWORKDAYS(CL4+1,CM4,Holidays!$B$3:$B$62)</f>
        <v/>
      </c>
      <c r="CN28" s="889">
        <f>NETWORKDAYS(CM4+1,CN4,Holidays!$B$3:$B$62)</f>
        <v/>
      </c>
      <c r="CO28" s="889">
        <f>NETWORKDAYS(CN4+1,CO4,Holidays!$B$3:$B$62)</f>
        <v/>
      </c>
      <c r="CP28" s="889">
        <f>NETWORKDAYS(CO4+1,CP4,Holidays!$B$3:$B$62)</f>
        <v/>
      </c>
      <c r="CQ28" s="889">
        <f>NETWORKDAYS(CP4+1,CQ4,Holidays!$B$3:$B$62)</f>
        <v/>
      </c>
      <c r="CR28" s="889">
        <f>NETWORKDAYS(CQ4+1,CR4,Holidays!$B$3:$B$62)</f>
        <v/>
      </c>
      <c r="CS28" s="889">
        <f>NETWORKDAYS(CR4+1,CS4,Holidays!$B$3:$B$62)</f>
        <v/>
      </c>
      <c r="CT28" s="889">
        <f>NETWORKDAYS(CS4+1,CT4,Holidays!$B$3:$B$62)</f>
        <v/>
      </c>
      <c r="CU28" s="891">
        <f>NETWORKDAYS(CT4+1,CU4,Holidays!$B$3:$B$62)</f>
        <v/>
      </c>
      <c r="CV28" s="889">
        <f>NETWORKDAYS(CU4+1,CV4,Holidays!$B$3:$B$62)</f>
        <v/>
      </c>
      <c r="CW28" s="889">
        <f>NETWORKDAYS(CV4+1,CW4,Holidays!$B$3:$B$62)</f>
        <v/>
      </c>
      <c r="CX28" s="889">
        <f>NETWORKDAYS(CW4+1,CX4,Holidays!$B$3:$B$62)</f>
        <v/>
      </c>
      <c r="CY28" s="889">
        <f>NETWORKDAYS(CX4+1,CY4,Holidays!$B$3:$B$62)</f>
        <v/>
      </c>
      <c r="CZ28" s="889">
        <f>NETWORKDAYS(CY4+1,CZ4,Holidays!$B$3:$B$62)</f>
        <v/>
      </c>
      <c r="DA28" s="889">
        <f>NETWORKDAYS(CZ4+1,DA4,Holidays!$B$3:$B$62)</f>
        <v/>
      </c>
      <c r="DB28" s="889">
        <f>NETWORKDAYS(DA4+1,DB4,Holidays!$B$3:$B$62)</f>
        <v/>
      </c>
      <c r="DC28" s="889">
        <f>NETWORKDAYS(DB4+1,DC4,Holidays!$B$3:$B$62)</f>
        <v/>
      </c>
      <c r="DD28" s="889">
        <f>NETWORKDAYS(DC4+1,DD4,Holidays!$B$3:$B$62)</f>
        <v/>
      </c>
      <c r="DE28" s="889">
        <f>NETWORKDAYS(DD4+1,DE4,Holidays!$B$3:$B$62)</f>
        <v/>
      </c>
      <c r="DF28" s="889">
        <f>NETWORKDAYS(DE4+1,DF4,Holidays!$B$3:$B$62)</f>
        <v/>
      </c>
      <c r="DG28" s="890">
        <f>NETWORKDAYS(DF4+1,DG4,Holidays!$B$3:$B$62)</f>
        <v/>
      </c>
    </row>
    <row r="29" ht="18.75" customHeight="1" s="627">
      <c r="A29" s="35" t="n"/>
      <c r="B29" s="35" t="n"/>
      <c r="C29" s="608" t="inlineStr">
        <is>
          <t>Hours / Day / Client</t>
        </is>
      </c>
      <c r="D29" s="21" t="n"/>
      <c r="E29" s="21">
        <f>+E30/E28/E15</f>
        <v/>
      </c>
      <c r="F29" s="21">
        <f>+F30/F28/F15</f>
        <v/>
      </c>
      <c r="G29" s="21">
        <f>+G30/G28/G15</f>
        <v/>
      </c>
      <c r="H29" s="21">
        <f>+H30/H28/H15</f>
        <v/>
      </c>
      <c r="I29" s="21">
        <f>+I30/I28/I15</f>
        <v/>
      </c>
      <c r="J29" s="21">
        <f>+J30/J28/J15</f>
        <v/>
      </c>
      <c r="K29" s="21">
        <f>+K30/K28/K15</f>
        <v/>
      </c>
      <c r="L29" s="21">
        <f>+L30/L28/L15</f>
        <v/>
      </c>
      <c r="M29" s="21">
        <f>+M30/M28/M15</f>
        <v/>
      </c>
      <c r="N29" s="21">
        <f>+N30/N28/N15</f>
        <v/>
      </c>
      <c r="O29" s="21">
        <f>+O30/O28/O15</f>
        <v/>
      </c>
      <c r="P29" s="21">
        <f>+P30/P28/P15</f>
        <v/>
      </c>
      <c r="Q29" s="21">
        <f>+Q30/Q28/Q15</f>
        <v/>
      </c>
      <c r="R29" s="21">
        <f>+R30/R28/R15</f>
        <v/>
      </c>
      <c r="S29" s="21">
        <f>+S30/S28/S15</f>
        <v/>
      </c>
      <c r="T29" s="21">
        <f>+T30/T28/T15</f>
        <v/>
      </c>
      <c r="U29" s="21">
        <f>+U30/U28/U15</f>
        <v/>
      </c>
      <c r="V29" s="21">
        <f>+V30/V28/V15</f>
        <v/>
      </c>
      <c r="W29" s="21">
        <f>+W30/W28/W15</f>
        <v/>
      </c>
      <c r="X29" s="21">
        <f>+X30/X28/X15</f>
        <v/>
      </c>
      <c r="Y29" s="21">
        <f>+Y30/Y28/Y15</f>
        <v/>
      </c>
      <c r="Z29" s="21">
        <f>+Z30/Z28/Z15</f>
        <v/>
      </c>
      <c r="AA29" s="21">
        <f>+AA30/AA28/AA15</f>
        <v/>
      </c>
      <c r="AB29" s="21">
        <f>+AB30/AB28/AB15</f>
        <v/>
      </c>
      <c r="AC29" s="21">
        <f>+AC30/AC28/AC15</f>
        <v/>
      </c>
      <c r="AD29" s="21">
        <f>+AD30/AD28/AD15</f>
        <v/>
      </c>
      <c r="AE29" s="21">
        <f>+AE30/AE28/AE15</f>
        <v/>
      </c>
      <c r="AF29" s="21">
        <f>+AF30/AF28/AF15</f>
        <v/>
      </c>
      <c r="AG29" s="21">
        <f>+AG30/AG28/AG15</f>
        <v/>
      </c>
      <c r="AH29" s="21">
        <f>+AH30/AH28/AH15</f>
        <v/>
      </c>
      <c r="AI29" s="21">
        <f>+AI30/AI28/AI15</f>
        <v/>
      </c>
      <c r="AJ29" s="21">
        <f>+AJ30/AJ28/AJ15</f>
        <v/>
      </c>
      <c r="AK29" s="21">
        <f>+AK30/AK28/AK15</f>
        <v/>
      </c>
      <c r="AL29" s="21">
        <f>+AL30/AL28/AL15</f>
        <v/>
      </c>
      <c r="AM29" s="21">
        <f>+AM30/AM28/AM15</f>
        <v/>
      </c>
      <c r="AN29" s="21">
        <f>+AN30/AN28/AN15</f>
        <v/>
      </c>
      <c r="AO29" s="21">
        <f>+AO30/AO28/AO15</f>
        <v/>
      </c>
      <c r="AP29" s="21">
        <f>+AP30/AP28/AP15</f>
        <v/>
      </c>
      <c r="AQ29" s="21">
        <f>+AQ30/AQ28/AQ15</f>
        <v/>
      </c>
      <c r="AR29" s="21">
        <f>+AR30/AR28/AR15</f>
        <v/>
      </c>
      <c r="AS29" s="21">
        <f>+AS30/AS28/AS15</f>
        <v/>
      </c>
      <c r="AT29" s="21">
        <f>+AT30/AT28/AT15</f>
        <v/>
      </c>
      <c r="AU29" s="21">
        <f>+AU30/AU28/AU15</f>
        <v/>
      </c>
      <c r="AV29" s="21">
        <f>+AV30/AV28/AV15</f>
        <v/>
      </c>
      <c r="AW29" s="564">
        <f>+AW30/AW28/AW15</f>
        <v/>
      </c>
      <c r="AX29" s="522">
        <f>+AL29</f>
        <v/>
      </c>
      <c r="AY29" s="24">
        <f>+AM29</f>
        <v/>
      </c>
      <c r="AZ29" s="23">
        <f>+AN29</f>
        <v/>
      </c>
      <c r="BA29" s="23">
        <f>+AO29</f>
        <v/>
      </c>
      <c r="BB29" s="23">
        <f>+AP29</f>
        <v/>
      </c>
      <c r="BC29" s="23">
        <f>+AQ29</f>
        <v/>
      </c>
      <c r="BD29" s="23">
        <f>+AR29</f>
        <v/>
      </c>
      <c r="BE29" s="23">
        <f>+AS29</f>
        <v/>
      </c>
      <c r="BF29" s="23">
        <f>+AT29</f>
        <v/>
      </c>
      <c r="BG29" s="23">
        <f>+AU29</f>
        <v/>
      </c>
      <c r="BH29" s="23">
        <f>+AV29</f>
        <v/>
      </c>
      <c r="BI29" s="23">
        <f>+AW29</f>
        <v/>
      </c>
      <c r="BJ29" s="23">
        <f>+AX29</f>
        <v/>
      </c>
      <c r="BK29" s="265">
        <f>+AY29</f>
        <v/>
      </c>
      <c r="BL29" s="23">
        <f>+AZ29</f>
        <v/>
      </c>
      <c r="BM29" s="23">
        <f>+BA29</f>
        <v/>
      </c>
      <c r="BN29" s="23">
        <f>+BB29</f>
        <v/>
      </c>
      <c r="BO29" s="23">
        <f>+BC29</f>
        <v/>
      </c>
      <c r="BP29" s="23">
        <f>+BD29</f>
        <v/>
      </c>
      <c r="BQ29" s="23">
        <f>+BE29</f>
        <v/>
      </c>
      <c r="BR29" s="23">
        <f>+BF29</f>
        <v/>
      </c>
      <c r="BS29" s="23">
        <f>+BG29</f>
        <v/>
      </c>
      <c r="BT29" s="23">
        <f>+BH29</f>
        <v/>
      </c>
      <c r="BU29" s="23">
        <f>+BI29</f>
        <v/>
      </c>
      <c r="BV29" s="23">
        <f>+BJ29</f>
        <v/>
      </c>
      <c r="BW29" s="265">
        <f>+BK29</f>
        <v/>
      </c>
      <c r="BX29" s="23">
        <f>+BL29</f>
        <v/>
      </c>
      <c r="BY29" s="23">
        <f>+BM29</f>
        <v/>
      </c>
      <c r="BZ29" s="23">
        <f>+BN29</f>
        <v/>
      </c>
      <c r="CA29" s="23">
        <f>+BO29</f>
        <v/>
      </c>
      <c r="CB29" s="23">
        <f>+BP29</f>
        <v/>
      </c>
      <c r="CC29" s="23">
        <f>+BQ29</f>
        <v/>
      </c>
      <c r="CD29" s="23">
        <f>+BR29</f>
        <v/>
      </c>
      <c r="CE29" s="23">
        <f>+BS29</f>
        <v/>
      </c>
      <c r="CF29" s="23">
        <f>+BT29</f>
        <v/>
      </c>
      <c r="CG29" s="23">
        <f>+BU29</f>
        <v/>
      </c>
      <c r="CH29" s="23">
        <f>+BV29</f>
        <v/>
      </c>
      <c r="CI29" s="265">
        <f>+BW29</f>
        <v/>
      </c>
      <c r="CJ29" s="23">
        <f>+BX29</f>
        <v/>
      </c>
      <c r="CK29" s="23">
        <f>+BY29</f>
        <v/>
      </c>
      <c r="CL29" s="23">
        <f>+BZ29</f>
        <v/>
      </c>
      <c r="CM29" s="23">
        <f>+CA29</f>
        <v/>
      </c>
      <c r="CN29" s="23">
        <f>+CB29</f>
        <v/>
      </c>
      <c r="CO29" s="23">
        <f>+CC29</f>
        <v/>
      </c>
      <c r="CP29" s="23">
        <f>+CD29</f>
        <v/>
      </c>
      <c r="CQ29" s="23">
        <f>+CE29</f>
        <v/>
      </c>
      <c r="CR29" s="23">
        <f>+CF29</f>
        <v/>
      </c>
      <c r="CS29" s="23">
        <f>+CG29</f>
        <v/>
      </c>
      <c r="CT29" s="23">
        <f>+CH29</f>
        <v/>
      </c>
      <c r="CU29" s="265">
        <f>+CI29</f>
        <v/>
      </c>
      <c r="CV29" s="23">
        <f>+CJ29</f>
        <v/>
      </c>
      <c r="CW29" s="23">
        <f>+CK29</f>
        <v/>
      </c>
      <c r="CX29" s="23">
        <f>+CL29</f>
        <v/>
      </c>
      <c r="CY29" s="23">
        <f>+CM29</f>
        <v/>
      </c>
      <c r="CZ29" s="23">
        <f>+CN29</f>
        <v/>
      </c>
      <c r="DA29" s="23">
        <f>+CO29</f>
        <v/>
      </c>
      <c r="DB29" s="23">
        <f>+CP29</f>
        <v/>
      </c>
      <c r="DC29" s="23">
        <f>+CQ29</f>
        <v/>
      </c>
      <c r="DD29" s="23">
        <f>+CR29</f>
        <v/>
      </c>
      <c r="DE29" s="23">
        <f>+CS29</f>
        <v/>
      </c>
      <c r="DF29" s="23">
        <f>+CT29</f>
        <v/>
      </c>
      <c r="DG29" s="24">
        <f>+CU29</f>
        <v/>
      </c>
    </row>
    <row r="30" ht="18.75" customHeight="1" s="627">
      <c r="A30" s="35" t="n"/>
      <c r="B30" s="35" t="n"/>
      <c r="C30" s="608" t="inlineStr">
        <is>
          <t>Total Billable Hours</t>
        </is>
      </c>
      <c r="D30" s="847" t="n"/>
      <c r="E30" s="847" t="n">
        <v>1</v>
      </c>
      <c r="F30" s="847" t="n">
        <v>1</v>
      </c>
      <c r="G30" s="847" t="n">
        <v>1</v>
      </c>
      <c r="H30" s="847" t="n">
        <v>1</v>
      </c>
      <c r="I30" s="847" t="n">
        <v>1</v>
      </c>
      <c r="J30" s="847" t="n">
        <v>1</v>
      </c>
      <c r="K30" s="848" t="n">
        <v>7.5</v>
      </c>
      <c r="L30" s="848">
        <f>20.5</f>
        <v/>
      </c>
      <c r="M30" s="848" t="n">
        <v>57.25</v>
      </c>
      <c r="N30" s="848" t="n">
        <v>31</v>
      </c>
      <c r="O30" s="848" t="n">
        <v>15</v>
      </c>
      <c r="P30" s="848" t="n">
        <v>26.33</v>
      </c>
      <c r="Q30" s="848" t="n">
        <v>21.25</v>
      </c>
      <c r="R30" s="848" t="n">
        <v>19.75</v>
      </c>
      <c r="S30" s="848" t="n">
        <v>18.25</v>
      </c>
      <c r="T30" s="848" t="n">
        <v>41.25</v>
      </c>
      <c r="U30" s="848" t="n">
        <v>41.5</v>
      </c>
      <c r="V30" s="848" t="n">
        <v>32.25</v>
      </c>
      <c r="W30" s="848" t="n">
        <v>115.25</v>
      </c>
      <c r="X30" s="848" t="n">
        <v>123.25</v>
      </c>
      <c r="Y30" s="848" t="n">
        <v>120.5</v>
      </c>
      <c r="Z30" s="848" t="n">
        <v>121.25</v>
      </c>
      <c r="AA30" s="848" t="n">
        <v>129.5</v>
      </c>
      <c r="AB30" s="848" t="n">
        <v>134.5</v>
      </c>
      <c r="AC30" s="848" t="n">
        <v>155</v>
      </c>
      <c r="AD30" s="848" t="n">
        <v>183.75</v>
      </c>
      <c r="AE30" s="848" t="n">
        <v>176.75</v>
      </c>
      <c r="AF30" s="848" t="n">
        <v>180</v>
      </c>
      <c r="AG30" s="848" t="n">
        <v>157.5</v>
      </c>
      <c r="AH30" s="848" t="n">
        <v>143</v>
      </c>
      <c r="AI30" s="848" t="n">
        <v>165.5</v>
      </c>
      <c r="AJ30" s="848" t="n">
        <v>92.75</v>
      </c>
      <c r="AK30" s="848" t="n">
        <v>177.5</v>
      </c>
      <c r="AL30" s="848" t="n">
        <v>113</v>
      </c>
      <c r="AM30" s="848" t="n">
        <v>135</v>
      </c>
      <c r="AN30" s="848" t="n">
        <v>138.5</v>
      </c>
      <c r="AO30" s="848" t="n">
        <v>143.75</v>
      </c>
      <c r="AP30" s="848" t="n">
        <v>155.5</v>
      </c>
      <c r="AQ30" s="848" t="n">
        <v>170.75</v>
      </c>
      <c r="AR30" s="848" t="n">
        <v>168.75</v>
      </c>
      <c r="AS30" s="848" t="n">
        <v>135</v>
      </c>
      <c r="AT30" s="848" t="n">
        <v>146</v>
      </c>
      <c r="AU30" s="848" t="n">
        <v>150.85</v>
      </c>
      <c r="AV30" s="848" t="n">
        <v>124</v>
      </c>
      <c r="AW30" s="849" t="n">
        <v>140</v>
      </c>
      <c r="AX30" s="860">
        <f>+AX15*AX28*AX29</f>
        <v/>
      </c>
      <c r="AY30" s="861">
        <f>+AY15*AY28*AY29</f>
        <v/>
      </c>
      <c r="AZ30" s="860">
        <f>+AZ15*AZ28*AZ29</f>
        <v/>
      </c>
      <c r="BA30" s="860">
        <f>+BA15*BA28*BA29</f>
        <v/>
      </c>
      <c r="BB30" s="860">
        <f>+BB15*BB28*BB29</f>
        <v/>
      </c>
      <c r="BC30" s="860">
        <f>+BC15*BC28*BC29</f>
        <v/>
      </c>
      <c r="BD30" s="860">
        <f>+BD15*BD28*BD29</f>
        <v/>
      </c>
      <c r="BE30" s="860">
        <f>+BE15*BE28*BE29</f>
        <v/>
      </c>
      <c r="BF30" s="860">
        <f>+BF15*BF28*BF29</f>
        <v/>
      </c>
      <c r="BG30" s="860">
        <f>+BG15*BG28*BG29</f>
        <v/>
      </c>
      <c r="BH30" s="860">
        <f>+BH15*BH28*BH29</f>
        <v/>
      </c>
      <c r="BI30" s="860">
        <f>+BI15*BI28*BI29</f>
        <v/>
      </c>
      <c r="BJ30" s="860">
        <f>+BJ15*BJ28*BJ29</f>
        <v/>
      </c>
      <c r="BK30" s="862">
        <f>+BK15*BK28*BK29</f>
        <v/>
      </c>
      <c r="BL30" s="860">
        <f>+BL15*BL28*BL29</f>
        <v/>
      </c>
      <c r="BM30" s="860">
        <f>+BM15*BM28*BM29</f>
        <v/>
      </c>
      <c r="BN30" s="860">
        <f>+BN15*BN28*BN29</f>
        <v/>
      </c>
      <c r="BO30" s="860">
        <f>+BO15*BO28*BO29</f>
        <v/>
      </c>
      <c r="BP30" s="860">
        <f>+BP15*BP28*BP29</f>
        <v/>
      </c>
      <c r="BQ30" s="860">
        <f>+BQ15*BQ28*BQ29</f>
        <v/>
      </c>
      <c r="BR30" s="860">
        <f>+BR15*BR28*BR29</f>
        <v/>
      </c>
      <c r="BS30" s="860">
        <f>+BS15*BS28*BS29</f>
        <v/>
      </c>
      <c r="BT30" s="860">
        <f>+BT15*BT28*BT29</f>
        <v/>
      </c>
      <c r="BU30" s="860">
        <f>+BU15*BU28*BU29</f>
        <v/>
      </c>
      <c r="BV30" s="860">
        <f>+BV15*BV28*BV29</f>
        <v/>
      </c>
      <c r="BW30" s="862">
        <f>+BW15*BW28*BW29</f>
        <v/>
      </c>
      <c r="BX30" s="860">
        <f>+BX15*BX28*BX29</f>
        <v/>
      </c>
      <c r="BY30" s="860">
        <f>+BY15*BY28*BY29</f>
        <v/>
      </c>
      <c r="BZ30" s="860">
        <f>+BZ15*BZ28*BZ29</f>
        <v/>
      </c>
      <c r="CA30" s="860">
        <f>+CA15*CA28*CA29</f>
        <v/>
      </c>
      <c r="CB30" s="860">
        <f>+CB15*CB28*CB29</f>
        <v/>
      </c>
      <c r="CC30" s="860">
        <f>+CC15*CC28*CC29</f>
        <v/>
      </c>
      <c r="CD30" s="860">
        <f>+CD15*CD28*CD29</f>
        <v/>
      </c>
      <c r="CE30" s="860">
        <f>+CE15*CE28*CE29</f>
        <v/>
      </c>
      <c r="CF30" s="860">
        <f>+CF15*CF28*CF29</f>
        <v/>
      </c>
      <c r="CG30" s="860">
        <f>+CG15*CG28*CG29</f>
        <v/>
      </c>
      <c r="CH30" s="860">
        <f>+CH15*CH28*CH29</f>
        <v/>
      </c>
      <c r="CI30" s="862">
        <f>+CI15*CI28*CI29</f>
        <v/>
      </c>
      <c r="CJ30" s="860">
        <f>+CJ15*CJ28*CJ29</f>
        <v/>
      </c>
      <c r="CK30" s="860">
        <f>+CK15*CK28*CK29</f>
        <v/>
      </c>
      <c r="CL30" s="860">
        <f>+CL15*CL28*CL29</f>
        <v/>
      </c>
      <c r="CM30" s="860">
        <f>+CM15*CM28*CM29</f>
        <v/>
      </c>
      <c r="CN30" s="860">
        <f>+CN15*CN28*CN29</f>
        <v/>
      </c>
      <c r="CO30" s="860">
        <f>+CO15*CO28*CO29</f>
        <v/>
      </c>
      <c r="CP30" s="860">
        <f>+CP15*CP28*CP29</f>
        <v/>
      </c>
      <c r="CQ30" s="860">
        <f>+CQ15*CQ28*CQ29</f>
        <v/>
      </c>
      <c r="CR30" s="860">
        <f>+CR15*CR28*CR29</f>
        <v/>
      </c>
      <c r="CS30" s="860">
        <f>+CS15*CS28*CS29</f>
        <v/>
      </c>
      <c r="CT30" s="860">
        <f>+CT15*CT28*CT29</f>
        <v/>
      </c>
      <c r="CU30" s="862">
        <f>+CU15*CU28*CU29</f>
        <v/>
      </c>
      <c r="CV30" s="860">
        <f>+CV15*CV28*CV29</f>
        <v/>
      </c>
      <c r="CW30" s="860">
        <f>+CW15*CW28*CW29</f>
        <v/>
      </c>
      <c r="CX30" s="860">
        <f>+CX15*CX28*CX29</f>
        <v/>
      </c>
      <c r="CY30" s="860">
        <f>+CY15*CY28*CY29</f>
        <v/>
      </c>
      <c r="CZ30" s="860">
        <f>+CZ15*CZ28*CZ29</f>
        <v/>
      </c>
      <c r="DA30" s="860">
        <f>+DA15*DA28*DA29</f>
        <v/>
      </c>
      <c r="DB30" s="860">
        <f>+DB15*DB28*DB29</f>
        <v/>
      </c>
      <c r="DC30" s="860">
        <f>+DC15*DC28*DC29</f>
        <v/>
      </c>
      <c r="DD30" s="860">
        <f>+DD15*DD28*DD29</f>
        <v/>
      </c>
      <c r="DE30" s="860">
        <f>+DE15*DE28*DE29</f>
        <v/>
      </c>
      <c r="DF30" s="860">
        <f>+DF15*DF28*DF29</f>
        <v/>
      </c>
      <c r="DG30" s="861">
        <f>+DG15*DG28*DG29</f>
        <v/>
      </c>
    </row>
    <row r="31" ht="18.75" customHeight="1" s="627">
      <c r="A31" s="35" t="n"/>
      <c r="B31" s="35" t="n"/>
      <c r="C31" s="608" t="inlineStr">
        <is>
          <t>Nonbillable Hours</t>
        </is>
      </c>
      <c r="D31" s="847" t="n"/>
      <c r="E31" s="847" t="n"/>
      <c r="F31" s="847" t="n"/>
      <c r="G31" s="847" t="n"/>
      <c r="H31" s="847" t="n"/>
      <c r="I31" s="847" t="n"/>
      <c r="J31" s="847" t="n"/>
      <c r="K31" s="848" t="n"/>
      <c r="L31" s="848" t="n">
        <v>3.75</v>
      </c>
      <c r="M31" s="848" t="n">
        <v>14.75</v>
      </c>
      <c r="N31" s="848" t="n">
        <v>13.5</v>
      </c>
      <c r="O31" s="848" t="n">
        <v>14</v>
      </c>
      <c r="P31" s="848" t="n">
        <v>14</v>
      </c>
      <c r="Q31" s="848" t="n">
        <v>14</v>
      </c>
      <c r="R31" s="848" t="n">
        <v>5.5</v>
      </c>
      <c r="S31" s="848" t="n">
        <v>4.5</v>
      </c>
      <c r="T31" s="848" t="n">
        <v>5</v>
      </c>
      <c r="U31" s="848" t="n">
        <v>25.75</v>
      </c>
      <c r="V31" s="848" t="n">
        <v>11.75</v>
      </c>
      <c r="W31" s="848" t="n">
        <v>26.75</v>
      </c>
      <c r="X31" s="848" t="n">
        <v>33.75</v>
      </c>
      <c r="Y31" s="848" t="n">
        <v>32.5</v>
      </c>
      <c r="Z31" s="848" t="n">
        <v>31.5</v>
      </c>
      <c r="AA31" s="848" t="n">
        <v>10.75</v>
      </c>
      <c r="AB31" s="848" t="n">
        <v>7.75</v>
      </c>
      <c r="AC31" s="848" t="n">
        <v>16</v>
      </c>
      <c r="AD31" s="848" t="n">
        <v>19.75</v>
      </c>
      <c r="AE31" s="848" t="n">
        <v>23.75</v>
      </c>
      <c r="AF31" s="848" t="n">
        <v>21</v>
      </c>
      <c r="AG31" s="848" t="n">
        <v>14.5</v>
      </c>
      <c r="AH31" s="848" t="n">
        <v>31.75</v>
      </c>
      <c r="AI31" s="848" t="n">
        <v>33</v>
      </c>
      <c r="AJ31" s="848" t="n">
        <v>11.5</v>
      </c>
      <c r="AK31" s="848" t="n">
        <v>21.5</v>
      </c>
      <c r="AL31" s="848" t="n">
        <v>11.25</v>
      </c>
      <c r="AM31" s="848" t="n">
        <v>11.25</v>
      </c>
      <c r="AN31" s="848" t="n">
        <v>11</v>
      </c>
      <c r="AO31" s="848" t="n">
        <v>14.25</v>
      </c>
      <c r="AP31" s="848" t="n">
        <v>6.25</v>
      </c>
      <c r="AQ31" s="848" t="n">
        <v>15</v>
      </c>
      <c r="AR31" s="848" t="n">
        <v>12.5</v>
      </c>
      <c r="AS31" s="848" t="n">
        <v>8</v>
      </c>
      <c r="AT31" s="848" t="n">
        <v>26</v>
      </c>
      <c r="AU31" s="848" t="n">
        <v>20</v>
      </c>
      <c r="AV31" s="848" t="n">
        <v>11.25</v>
      </c>
      <c r="AW31" s="849" t="n">
        <v>6.25</v>
      </c>
      <c r="AX31" s="860">
        <f>+AX33*(AX21-AX15)</f>
        <v/>
      </c>
      <c r="AY31" s="861">
        <f>+AY33*(AY21-AY15)</f>
        <v/>
      </c>
      <c r="AZ31" s="860">
        <f>+AZ33*(AZ21-AZ15)</f>
        <v/>
      </c>
      <c r="BA31" s="860">
        <f>+BA33*(BA21-BA15)</f>
        <v/>
      </c>
      <c r="BB31" s="860">
        <f>+BB33*(BB21-BB15)</f>
        <v/>
      </c>
      <c r="BC31" s="860">
        <f>+BC33*(BC21-BC15)</f>
        <v/>
      </c>
      <c r="BD31" s="860">
        <f>+BD33*(BD21-BD15)</f>
        <v/>
      </c>
      <c r="BE31" s="860">
        <f>+BE33*(BE21-BE15)</f>
        <v/>
      </c>
      <c r="BF31" s="860">
        <f>+BF33*(BF21-BF15)</f>
        <v/>
      </c>
      <c r="BG31" s="860">
        <f>+BG33*(BG21-BG15)</f>
        <v/>
      </c>
      <c r="BH31" s="860">
        <f>+BH33*(BH21-BH15)</f>
        <v/>
      </c>
      <c r="BI31" s="860">
        <f>+BI33*(BI21-BI15)</f>
        <v/>
      </c>
      <c r="BJ31" s="860">
        <f>+BJ33*(BJ21-BJ15)</f>
        <v/>
      </c>
      <c r="BK31" s="862">
        <f>+BK33*(BK21-BK15)</f>
        <v/>
      </c>
      <c r="BL31" s="860">
        <f>+BL33*(BL21-BL15)</f>
        <v/>
      </c>
      <c r="BM31" s="860">
        <f>+BM33*(BM21-BM15)</f>
        <v/>
      </c>
      <c r="BN31" s="860">
        <f>+BN33*(BN21-BN15)</f>
        <v/>
      </c>
      <c r="BO31" s="860">
        <f>+BO33*(BO21-BO15)</f>
        <v/>
      </c>
      <c r="BP31" s="860">
        <f>+BP33*(BP21-BP15)</f>
        <v/>
      </c>
      <c r="BQ31" s="860">
        <f>+BQ33*(BQ21-BQ15)</f>
        <v/>
      </c>
      <c r="BR31" s="860">
        <f>+BR33*(BR21-BR15)</f>
        <v/>
      </c>
      <c r="BS31" s="860">
        <f>+BS33*(BS21-BS15)</f>
        <v/>
      </c>
      <c r="BT31" s="860">
        <f>+BT33*(BT21-BT15)</f>
        <v/>
      </c>
      <c r="BU31" s="860">
        <f>+BU33*(BU21-BU15)</f>
        <v/>
      </c>
      <c r="BV31" s="860">
        <f>+BV33*(BV21-BV15)</f>
        <v/>
      </c>
      <c r="BW31" s="862">
        <f>+BW33*(BW21-BW15)</f>
        <v/>
      </c>
      <c r="BX31" s="860">
        <f>+BX33*(BX21-BX15)</f>
        <v/>
      </c>
      <c r="BY31" s="860">
        <f>+BY33*(BY21-BY15)</f>
        <v/>
      </c>
      <c r="BZ31" s="860">
        <f>+BZ33*(BZ21-BZ15)</f>
        <v/>
      </c>
      <c r="CA31" s="860">
        <f>+CA33*(CA21-CA15)</f>
        <v/>
      </c>
      <c r="CB31" s="860">
        <f>+CB33*(CB21-CB15)</f>
        <v/>
      </c>
      <c r="CC31" s="860">
        <f>+CC33*(CC21-CC15)</f>
        <v/>
      </c>
      <c r="CD31" s="860">
        <f>+CD33*(CD21-CD15)</f>
        <v/>
      </c>
      <c r="CE31" s="860">
        <f>+CE33*(CE21-CE15)</f>
        <v/>
      </c>
      <c r="CF31" s="860">
        <f>+CF33*(CF21-CF15)</f>
        <v/>
      </c>
      <c r="CG31" s="860">
        <f>+CG33*(CG21-CG15)</f>
        <v/>
      </c>
      <c r="CH31" s="860">
        <f>+CH33*(CH21-CH15)</f>
        <v/>
      </c>
      <c r="CI31" s="862">
        <f>+CI33*(CI21-CI15)</f>
        <v/>
      </c>
      <c r="CJ31" s="860">
        <f>+CJ33*(CJ21-CJ15)</f>
        <v/>
      </c>
      <c r="CK31" s="860">
        <f>+CK33*(CK21-CK15)</f>
        <v/>
      </c>
      <c r="CL31" s="860">
        <f>+CL33*(CL21-CL15)</f>
        <v/>
      </c>
      <c r="CM31" s="860">
        <f>+CM33*(CM21-CM15)</f>
        <v/>
      </c>
      <c r="CN31" s="860">
        <f>+CN33*(CN21-CN15)</f>
        <v/>
      </c>
      <c r="CO31" s="860">
        <f>+CO33*(CO21-CO15)</f>
        <v/>
      </c>
      <c r="CP31" s="860">
        <f>+CP33*(CP21-CP15)</f>
        <v/>
      </c>
      <c r="CQ31" s="860">
        <f>+CQ33*(CQ21-CQ15)</f>
        <v/>
      </c>
      <c r="CR31" s="860">
        <f>+CR33*(CR21-CR15)</f>
        <v/>
      </c>
      <c r="CS31" s="860">
        <f>+CS33*(CS21-CS15)</f>
        <v/>
      </c>
      <c r="CT31" s="860">
        <f>+CT33*(CT21-CT15)</f>
        <v/>
      </c>
      <c r="CU31" s="862">
        <f>+CU33*(CU21-CU15)</f>
        <v/>
      </c>
      <c r="CV31" s="860">
        <f>+CV33*(CV21-CV15)</f>
        <v/>
      </c>
      <c r="CW31" s="860">
        <f>+CW33*(CW21-CW15)</f>
        <v/>
      </c>
      <c r="CX31" s="860">
        <f>+CX33*(CX21-CX15)</f>
        <v/>
      </c>
      <c r="CY31" s="860">
        <f>+CY33*(CY21-CY15)</f>
        <v/>
      </c>
      <c r="CZ31" s="860">
        <f>+CZ33*(CZ21-CZ15)</f>
        <v/>
      </c>
      <c r="DA31" s="860">
        <f>+DA33*(DA21-DA15)</f>
        <v/>
      </c>
      <c r="DB31" s="860">
        <f>+DB33*(DB21-DB15)</f>
        <v/>
      </c>
      <c r="DC31" s="860">
        <f>+DC33*(DC21-DC15)</f>
        <v/>
      </c>
      <c r="DD31" s="860">
        <f>+DD33*(DD21-DD15)</f>
        <v/>
      </c>
      <c r="DE31" s="860">
        <f>+DE33*(DE21-DE15)</f>
        <v/>
      </c>
      <c r="DF31" s="860">
        <f>+DF33*(DF21-DF15)</f>
        <v/>
      </c>
      <c r="DG31" s="861">
        <f>+DG33*(DG21-DG15)</f>
        <v/>
      </c>
    </row>
    <row r="32" ht="18.75" customFormat="1" customHeight="1" s="3">
      <c r="A32" s="35" t="n"/>
      <c r="B32" s="35" t="n"/>
      <c r="C32" s="608" t="inlineStr">
        <is>
          <t>Realized / Effective Bill Rate</t>
        </is>
      </c>
      <c r="D32" s="876" t="n"/>
      <c r="E32" s="876">
        <f>+E13/(E30+E31)</f>
        <v/>
      </c>
      <c r="F32" s="876">
        <f>+F13/(F30+F31)</f>
        <v/>
      </c>
      <c r="G32" s="876">
        <f>+G13/(G30+G31)</f>
        <v/>
      </c>
      <c r="H32" s="876">
        <f>+H13/(H30+H31)</f>
        <v/>
      </c>
      <c r="I32" s="876">
        <f>+I13/(I30+I31)</f>
        <v/>
      </c>
      <c r="J32" s="876">
        <f>+J13/(J30+J31)</f>
        <v/>
      </c>
      <c r="K32" s="876">
        <f>+K13/(K30+K31)</f>
        <v/>
      </c>
      <c r="L32" s="876">
        <f>+L13/(L30+L31)</f>
        <v/>
      </c>
      <c r="M32" s="876">
        <f>+M13/(M30+M31)</f>
        <v/>
      </c>
      <c r="N32" s="876">
        <f>+N13/(N30+N31)</f>
        <v/>
      </c>
      <c r="O32" s="876">
        <f>+O13/(O30+O31)</f>
        <v/>
      </c>
      <c r="P32" s="876">
        <f>+P13/(P30+P31)</f>
        <v/>
      </c>
      <c r="Q32" s="876">
        <f>+Q13/(Q30+Q31)</f>
        <v/>
      </c>
      <c r="R32" s="876">
        <f>+R13/(R30+R31)</f>
        <v/>
      </c>
      <c r="S32" s="876">
        <f>+S13/(S30+S31)</f>
        <v/>
      </c>
      <c r="T32" s="876">
        <f>+T13/(T30+T31)</f>
        <v/>
      </c>
      <c r="U32" s="876">
        <f>+U13/(U30+U31)</f>
        <v/>
      </c>
      <c r="V32" s="876">
        <f>+V13/(V30+V31)</f>
        <v/>
      </c>
      <c r="W32" s="876">
        <f>+W13/(W30+W31)</f>
        <v/>
      </c>
      <c r="X32" s="876">
        <f>+X13/(X30+X31)</f>
        <v/>
      </c>
      <c r="Y32" s="876">
        <f>+Y13/(Y30+Y31)</f>
        <v/>
      </c>
      <c r="Z32" s="876">
        <f>+Z13/(Z30+Z31)</f>
        <v/>
      </c>
      <c r="AA32" s="876">
        <f>+AA13/(AA30+AA31)</f>
        <v/>
      </c>
      <c r="AB32" s="876">
        <f>+AB13/(AB30+AB31)</f>
        <v/>
      </c>
      <c r="AC32" s="876">
        <f>+AC13/(AC30+AC31)</f>
        <v/>
      </c>
      <c r="AD32" s="876">
        <f>+AD13/(AD30+AD31)</f>
        <v/>
      </c>
      <c r="AE32" s="876">
        <f>+AE13/(AE30+AE31)</f>
        <v/>
      </c>
      <c r="AF32" s="876">
        <f>+AF13/(AF30+AF31)</f>
        <v/>
      </c>
      <c r="AG32" s="876">
        <f>+AG13/(AG30+AG31)</f>
        <v/>
      </c>
      <c r="AH32" s="876">
        <f>+AH13/(AH30+AH31)</f>
        <v/>
      </c>
      <c r="AI32" s="876">
        <f>+AI13/(AI30+AI31)</f>
        <v/>
      </c>
      <c r="AJ32" s="876">
        <f>+AJ13/(AJ30+AJ31)</f>
        <v/>
      </c>
      <c r="AK32" s="876">
        <f>+AK13/(AK30+AK31)</f>
        <v/>
      </c>
      <c r="AL32" s="876">
        <f>+AL13/(AL30+AL31)</f>
        <v/>
      </c>
      <c r="AM32" s="876">
        <f>+AM13/(AM30+AM31)</f>
        <v/>
      </c>
      <c r="AN32" s="876">
        <f>+AN13/(AN30+AN31)</f>
        <v/>
      </c>
      <c r="AO32" s="876">
        <f>+AO13/(AO30+AO31)</f>
        <v/>
      </c>
      <c r="AP32" s="876">
        <f>+AP13/(AP30+AP31)</f>
        <v/>
      </c>
      <c r="AQ32" s="876">
        <f>+AQ13/(AQ30+AQ31)</f>
        <v/>
      </c>
      <c r="AR32" s="876">
        <f>+AR13/(AR30+AR31)</f>
        <v/>
      </c>
      <c r="AS32" s="876">
        <f>+AS13/(AS30+AS31)</f>
        <v/>
      </c>
      <c r="AT32" s="876">
        <f>+AT13/(AT30+AT31)</f>
        <v/>
      </c>
      <c r="AU32" s="876">
        <f>+AU13/(AU30+AU31)</f>
        <v/>
      </c>
      <c r="AV32" s="876">
        <f>+AV13/(AV30+AV31)</f>
        <v/>
      </c>
      <c r="AW32" s="892">
        <f>+AW13/(AW30+AW31)</f>
        <v/>
      </c>
      <c r="AX32" s="893">
        <f>+AVERAGE(AR32:AW32)+3</f>
        <v/>
      </c>
      <c r="AY32" s="894">
        <f>+AX32</f>
        <v/>
      </c>
      <c r="AZ32" s="22">
        <f>+IF(AZ1&lt;&gt;AY1, AY32*1.05, AY32)</f>
        <v/>
      </c>
      <c r="BA32" s="895">
        <f>+IF(BA1&lt;&gt;AZ1, AZ32*1.05, AZ32)</f>
        <v/>
      </c>
      <c r="BB32" s="895">
        <f>+IF(BB1&lt;&gt;BA1, BA32*1.05, BA32)</f>
        <v/>
      </c>
      <c r="BC32" s="895">
        <f>+IF(BC1&lt;&gt;BB1, BB32*1.05, BB32)</f>
        <v/>
      </c>
      <c r="BD32" s="895">
        <f>+IF(BD1&lt;&gt;BC1, BC32*1.05, BC32)</f>
        <v/>
      </c>
      <c r="BE32" s="895">
        <f>+IF(BE1&lt;&gt;BD1, BD32*1.05, BD32)</f>
        <v/>
      </c>
      <c r="BF32" s="895">
        <f>+IF(BF1&lt;&gt;BE1, BE32*1.05, BE32)</f>
        <v/>
      </c>
      <c r="BG32" s="895">
        <f>+IF(BG1&lt;&gt;BF1, BF32*1.05, BF32)</f>
        <v/>
      </c>
      <c r="BH32" s="895">
        <f>+IF(BH1&lt;&gt;BG1, BG32*1.05, BG32)</f>
        <v/>
      </c>
      <c r="BI32" s="895">
        <f>+IF(BI1&lt;&gt;BH1, BH32*1.05, BH32)</f>
        <v/>
      </c>
      <c r="BJ32" s="895">
        <f>+IF(BJ1&lt;&gt;BI1, BI32*1.05, BI32)</f>
        <v/>
      </c>
      <c r="BK32" s="896">
        <f>+IF(BK1&lt;&gt;BJ1, BJ32*1.05, BJ32)</f>
        <v/>
      </c>
      <c r="BL32" s="895">
        <f>+IF(BL1&lt;&gt;BK1, BK32*1.05, BK32)</f>
        <v/>
      </c>
      <c r="BM32" s="895">
        <f>+IF(BM1&lt;&gt;BL1, BL32*1.05, BL32)</f>
        <v/>
      </c>
      <c r="BN32" s="895">
        <f>+IF(BN1&lt;&gt;BM1, BM32*1.05, BM32)</f>
        <v/>
      </c>
      <c r="BO32" s="895">
        <f>+IF(BO1&lt;&gt;BN1, BN32*1.05, BN32)</f>
        <v/>
      </c>
      <c r="BP32" s="895">
        <f>+IF(BP1&lt;&gt;BO1, BO32*1.05, BO32)</f>
        <v/>
      </c>
      <c r="BQ32" s="895">
        <f>+IF(BQ1&lt;&gt;BP1, BP32*1.05, BP32)</f>
        <v/>
      </c>
      <c r="BR32" s="895">
        <f>+IF(BR1&lt;&gt;BQ1, BQ32*1.05, BQ32)</f>
        <v/>
      </c>
      <c r="BS32" s="895">
        <f>+IF(BS1&lt;&gt;BR1, BR32*1.05, BR32)</f>
        <v/>
      </c>
      <c r="BT32" s="895">
        <f>+IF(BT1&lt;&gt;BS1, BS32*1.05, BS32)</f>
        <v/>
      </c>
      <c r="BU32" s="895">
        <f>+IF(BU1&lt;&gt;BT1, BT32*1.05, BT32)</f>
        <v/>
      </c>
      <c r="BV32" s="895">
        <f>+IF(BV1&lt;&gt;BU1, BU32*1.05, BU32)</f>
        <v/>
      </c>
      <c r="BW32" s="896">
        <f>+IF(BW1&lt;&gt;BV1, BV32*1.05, BV32)</f>
        <v/>
      </c>
      <c r="BX32" s="895">
        <f>+IF(BX1&lt;&gt;BW1, BW32*1.05, BW32)</f>
        <v/>
      </c>
      <c r="BY32" s="895">
        <f>+IF(BY1&lt;&gt;BX1, BX32*1.05, BX32)</f>
        <v/>
      </c>
      <c r="BZ32" s="895">
        <f>+IF(BZ1&lt;&gt;BY1, BY32*1.05, BY32)</f>
        <v/>
      </c>
      <c r="CA32" s="895">
        <f>+IF(CA1&lt;&gt;BZ1, BZ32*1.05, BZ32)</f>
        <v/>
      </c>
      <c r="CB32" s="895">
        <f>+IF(CB1&lt;&gt;CA1, CA32*1.05, CA32)</f>
        <v/>
      </c>
      <c r="CC32" s="895">
        <f>+IF(CC1&lt;&gt;CB1, CB32*1.05, CB32)</f>
        <v/>
      </c>
      <c r="CD32" s="895">
        <f>+IF(CD1&lt;&gt;CC1, CC32*1.05, CC32)</f>
        <v/>
      </c>
      <c r="CE32" s="895">
        <f>+IF(CE1&lt;&gt;CD1, CD32*1.05, CD32)</f>
        <v/>
      </c>
      <c r="CF32" s="895">
        <f>+IF(CF1&lt;&gt;CE1, CE32*1.05, CE32)</f>
        <v/>
      </c>
      <c r="CG32" s="895">
        <f>+IF(CG1&lt;&gt;CF1, CF32*1.05, CF32)</f>
        <v/>
      </c>
      <c r="CH32" s="895">
        <f>+IF(CH1&lt;&gt;CG1, CG32*1.05, CG32)</f>
        <v/>
      </c>
      <c r="CI32" s="896">
        <f>+IF(CI1&lt;&gt;CH1, CH32*1.05, CH32)</f>
        <v/>
      </c>
      <c r="CJ32" s="895">
        <f>+IF(CJ1&lt;&gt;CI1, CI32*1.05, CI32)</f>
        <v/>
      </c>
      <c r="CK32" s="895">
        <f>+IF(CK1&lt;&gt;CJ1, CJ32*1.05, CJ32)</f>
        <v/>
      </c>
      <c r="CL32" s="895">
        <f>+IF(CL1&lt;&gt;CK1, CK32*1.05, CK32)</f>
        <v/>
      </c>
      <c r="CM32" s="895">
        <f>+IF(CM1&lt;&gt;CL1, CL32*1.05, CL32)</f>
        <v/>
      </c>
      <c r="CN32" s="895">
        <f>+IF(CN1&lt;&gt;CM1, CM32*1.05, CM32)</f>
        <v/>
      </c>
      <c r="CO32" s="895">
        <f>+IF(CO1&lt;&gt;CN1, CN32*1.05, CN32)</f>
        <v/>
      </c>
      <c r="CP32" s="895">
        <f>+IF(CP1&lt;&gt;CO1, CO32*1.05, CO32)</f>
        <v/>
      </c>
      <c r="CQ32" s="895">
        <f>+IF(CQ1&lt;&gt;CP1, CP32*1.05, CP32)</f>
        <v/>
      </c>
      <c r="CR32" s="895">
        <f>+IF(CR1&lt;&gt;CQ1, CQ32*1.05, CQ32)</f>
        <v/>
      </c>
      <c r="CS32" s="895">
        <f>+IF(CS1&lt;&gt;CR1, CR32*1.05, CR32)</f>
        <v/>
      </c>
      <c r="CT32" s="895">
        <f>+IF(CT1&lt;&gt;CS1, CS32*1.05, CS32)</f>
        <v/>
      </c>
      <c r="CU32" s="896">
        <f>+IF(CU1&lt;&gt;CT1, CT32*1.05, CT32)</f>
        <v/>
      </c>
      <c r="CV32" s="895">
        <f>+IF(CV1&lt;&gt;CU1, CU32*1.05, CU32)</f>
        <v/>
      </c>
      <c r="CW32" s="895">
        <f>+IF(CW1&lt;&gt;CV1, CV32*1.05, CV32)</f>
        <v/>
      </c>
      <c r="CX32" s="895">
        <f>+IF(CX1&lt;&gt;CW1, CW32*1.05, CW32)</f>
        <v/>
      </c>
      <c r="CY32" s="895">
        <f>+IF(CY1&lt;&gt;CX1, CX32*1.05, CX32)</f>
        <v/>
      </c>
      <c r="CZ32" s="895">
        <f>+IF(CZ1&lt;&gt;CY1, CY32*1.05, CY32)</f>
        <v/>
      </c>
      <c r="DA32" s="895">
        <f>+IF(DA1&lt;&gt;CZ1, CZ32*1.05, CZ32)</f>
        <v/>
      </c>
      <c r="DB32" s="895">
        <f>+IF(DB1&lt;&gt;DA1, DA32*1.05, DA32)</f>
        <v/>
      </c>
      <c r="DC32" s="895">
        <f>+IF(DC1&lt;&gt;DB1, DB32*1.05, DB32)</f>
        <v/>
      </c>
      <c r="DD32" s="895">
        <f>+IF(DD1&lt;&gt;DC1, DC32*1.05, DC32)</f>
        <v/>
      </c>
      <c r="DE32" s="895">
        <f>+IF(DE1&lt;&gt;DD1, DD32*1.05, DD32)</f>
        <v/>
      </c>
      <c r="DF32" s="895">
        <f>+IF(DF1&lt;&gt;DE1, DE32*1.05, DE32)</f>
        <v/>
      </c>
      <c r="DG32" s="894">
        <f>+IF(DG1&lt;&gt;DF1, DF32*1.05, DF32)</f>
        <v/>
      </c>
    </row>
    <row r="33" ht="18.75" customHeight="1" s="627">
      <c r="A33" s="35" t="n"/>
      <c r="B33" s="35" t="n"/>
      <c r="C33" s="608" t="inlineStr">
        <is>
          <t>Nonbillable Hours/Lost Appt</t>
        </is>
      </c>
      <c r="D33" s="876" t="n"/>
      <c r="E33" s="876" t="n"/>
      <c r="F33" s="876" t="n"/>
      <c r="G33" s="876" t="n"/>
      <c r="H33" s="876" t="n"/>
      <c r="I33" s="876" t="n"/>
      <c r="J33" s="876" t="n"/>
      <c r="K33" s="876" t="n"/>
      <c r="L33" s="876" t="n"/>
      <c r="M33" s="876" t="n"/>
      <c r="N33" s="876" t="n"/>
      <c r="O33" s="876" t="n"/>
      <c r="P33" s="876" t="n"/>
      <c r="Q33" s="876" t="n"/>
      <c r="R33" s="876" t="n"/>
      <c r="S33" s="876" t="n"/>
      <c r="T33" s="876" t="n"/>
      <c r="U33" s="876" t="n"/>
      <c r="V33" s="876" t="n"/>
      <c r="W33" s="300">
        <f>+(W31/(W21-W15))</f>
        <v/>
      </c>
      <c r="X33" s="300">
        <f>+(X31/(X21-X15))</f>
        <v/>
      </c>
      <c r="Y33" s="300">
        <f>+(Y31/(Y21-Y15))</f>
        <v/>
      </c>
      <c r="Z33" s="300">
        <f>+(Z31/(Z21-Z15))</f>
        <v/>
      </c>
      <c r="AA33" s="300">
        <f>+(AA31/(AA21-AA15))</f>
        <v/>
      </c>
      <c r="AB33" s="897">
        <f>(AB31/(AB21-AB15))</f>
        <v/>
      </c>
      <c r="AC33" s="897">
        <f>(AC31/(AC21-AC15))</f>
        <v/>
      </c>
      <c r="AD33" s="897">
        <f>(AD31/(AD21-AD15))</f>
        <v/>
      </c>
      <c r="AE33" s="897">
        <f>(AE31/(AE21-AE15))</f>
        <v/>
      </c>
      <c r="AF33" s="897">
        <f>(AF31/(AF21-AF15))</f>
        <v/>
      </c>
      <c r="AG33" s="897">
        <f>(AG31/(AG21-AG15))</f>
        <v/>
      </c>
      <c r="AH33" s="897">
        <f>(AH31/(AH21-AH15))</f>
        <v/>
      </c>
      <c r="AI33" s="897">
        <f>(AI31/(AI21-AI15))</f>
        <v/>
      </c>
      <c r="AJ33" s="897">
        <f>(AJ31/(AJ21-AJ15))</f>
        <v/>
      </c>
      <c r="AK33" s="897">
        <f>(AK31/(AK21-AK15))</f>
        <v/>
      </c>
      <c r="AL33" s="897">
        <f>(AL31/(AL21-AL15))</f>
        <v/>
      </c>
      <c r="AM33" s="897">
        <f>(AM31/(AM21-AM15))</f>
        <v/>
      </c>
      <c r="AN33" s="897">
        <f>(AN31/(AN21-AN15))</f>
        <v/>
      </c>
      <c r="AO33" s="897">
        <f>(AO31/(AO21-AO15))</f>
        <v/>
      </c>
      <c r="AP33" s="897">
        <f>(AP31/(AP21-AP15))</f>
        <v/>
      </c>
      <c r="AQ33" s="897">
        <f>(AQ31/(AQ21-AQ15))</f>
        <v/>
      </c>
      <c r="AR33" s="897">
        <f>(AR31/(AR21-AR15))</f>
        <v/>
      </c>
      <c r="AS33" s="897">
        <f>(AS31/(AS21-AS15))</f>
        <v/>
      </c>
      <c r="AT33" s="897">
        <f>(AT31/(AT21-AT15))</f>
        <v/>
      </c>
      <c r="AU33" s="897">
        <f>(AU31/(AU21-AU15))</f>
        <v/>
      </c>
      <c r="AV33" s="897">
        <f>(AV31/(AV21-AV15))</f>
        <v/>
      </c>
      <c r="AW33" s="898">
        <f>(AW31/(AW21-AW15))</f>
        <v/>
      </c>
      <c r="AX33" s="899">
        <f>+AVERAGE(AR33:AW33)</f>
        <v/>
      </c>
      <c r="AY33" s="866">
        <f>+AX33</f>
        <v/>
      </c>
      <c r="AZ33" s="899">
        <f>+AY33</f>
        <v/>
      </c>
      <c r="BA33" s="868">
        <f>+AZ33</f>
        <v/>
      </c>
      <c r="BB33" s="868">
        <f>+BA33</f>
        <v/>
      </c>
      <c r="BC33" s="868">
        <f>+BB33</f>
        <v/>
      </c>
      <c r="BD33" s="868">
        <f>+BC33</f>
        <v/>
      </c>
      <c r="BE33" s="868">
        <f>+BD33</f>
        <v/>
      </c>
      <c r="BF33" s="868">
        <f>+BE33</f>
        <v/>
      </c>
      <c r="BG33" s="868">
        <f>+BF33</f>
        <v/>
      </c>
      <c r="BH33" s="868">
        <f>+BG33</f>
        <v/>
      </c>
      <c r="BI33" s="868">
        <f>+BH33</f>
        <v/>
      </c>
      <c r="BJ33" s="868">
        <f>+BI33</f>
        <v/>
      </c>
      <c r="BK33" s="869">
        <f>+BJ33</f>
        <v/>
      </c>
      <c r="BL33" s="868">
        <f>+BK33</f>
        <v/>
      </c>
      <c r="BM33" s="868">
        <f>+BL33</f>
        <v/>
      </c>
      <c r="BN33" s="868">
        <f>+BM33</f>
        <v/>
      </c>
      <c r="BO33" s="868">
        <f>+BN33</f>
        <v/>
      </c>
      <c r="BP33" s="868">
        <f>+BO33</f>
        <v/>
      </c>
      <c r="BQ33" s="868">
        <f>+BP33</f>
        <v/>
      </c>
      <c r="BR33" s="868">
        <f>+BQ33</f>
        <v/>
      </c>
      <c r="BS33" s="868">
        <f>+BR33</f>
        <v/>
      </c>
      <c r="BT33" s="868">
        <f>+BS33</f>
        <v/>
      </c>
      <c r="BU33" s="868">
        <f>+BT33</f>
        <v/>
      </c>
      <c r="BV33" s="868">
        <f>+BU33</f>
        <v/>
      </c>
      <c r="BW33" s="869">
        <f>+BV33</f>
        <v/>
      </c>
      <c r="BX33" s="868">
        <f>+BW33</f>
        <v/>
      </c>
      <c r="BY33" s="868">
        <f>+BX33</f>
        <v/>
      </c>
      <c r="BZ33" s="868">
        <f>+BY33</f>
        <v/>
      </c>
      <c r="CA33" s="868">
        <f>+BZ33</f>
        <v/>
      </c>
      <c r="CB33" s="868">
        <f>+CA33</f>
        <v/>
      </c>
      <c r="CC33" s="868">
        <f>+CB33</f>
        <v/>
      </c>
      <c r="CD33" s="868">
        <f>+CC33</f>
        <v/>
      </c>
      <c r="CE33" s="868">
        <f>+CD33</f>
        <v/>
      </c>
      <c r="CF33" s="868">
        <f>+CE33</f>
        <v/>
      </c>
      <c r="CG33" s="868">
        <f>+CF33</f>
        <v/>
      </c>
      <c r="CH33" s="868">
        <f>+CG33</f>
        <v/>
      </c>
      <c r="CI33" s="869">
        <f>+CH33</f>
        <v/>
      </c>
      <c r="CJ33" s="868">
        <f>+CI33</f>
        <v/>
      </c>
      <c r="CK33" s="868">
        <f>+CJ33</f>
        <v/>
      </c>
      <c r="CL33" s="868">
        <f>+CK33</f>
        <v/>
      </c>
      <c r="CM33" s="868">
        <f>+CL33</f>
        <v/>
      </c>
      <c r="CN33" s="868">
        <f>+CM33</f>
        <v/>
      </c>
      <c r="CO33" s="868">
        <f>+CN33</f>
        <v/>
      </c>
      <c r="CP33" s="868">
        <f>+CO33</f>
        <v/>
      </c>
      <c r="CQ33" s="868">
        <f>+CP33</f>
        <v/>
      </c>
      <c r="CR33" s="868">
        <f>+CQ33</f>
        <v/>
      </c>
      <c r="CS33" s="868">
        <f>+CR33</f>
        <v/>
      </c>
      <c r="CT33" s="868">
        <f>+CS33</f>
        <v/>
      </c>
      <c r="CU33" s="869">
        <f>+CT33</f>
        <v/>
      </c>
      <c r="CV33" s="868">
        <f>+CU33</f>
        <v/>
      </c>
      <c r="CW33" s="868">
        <f>+CV33</f>
        <v/>
      </c>
      <c r="CX33" s="868">
        <f>+CW33</f>
        <v/>
      </c>
      <c r="CY33" s="868">
        <f>+CX33</f>
        <v/>
      </c>
      <c r="CZ33" s="868">
        <f>+CY33</f>
        <v/>
      </c>
      <c r="DA33" s="868">
        <f>+CZ33</f>
        <v/>
      </c>
      <c r="DB33" s="868">
        <f>+DA33</f>
        <v/>
      </c>
      <c r="DC33" s="868">
        <f>+DB33</f>
        <v/>
      </c>
      <c r="DD33" s="868">
        <f>+DC33</f>
        <v/>
      </c>
      <c r="DE33" s="868">
        <f>+DD33</f>
        <v/>
      </c>
      <c r="DF33" s="868">
        <f>+DE33</f>
        <v/>
      </c>
      <c r="DG33" s="866">
        <f>+DF33</f>
        <v/>
      </c>
    </row>
    <row r="34" ht="18.75" customHeight="1" s="627">
      <c r="A34" s="35" t="n"/>
      <c r="B34" s="35" t="n"/>
      <c r="C34" s="608" t="inlineStr">
        <is>
          <t>Productivity Utilization</t>
        </is>
      </c>
      <c r="D34" s="876" t="n"/>
      <c r="E34" s="876" t="n"/>
      <c r="F34" s="876" t="n"/>
      <c r="G34" s="876" t="n"/>
      <c r="H34" s="876" t="n"/>
      <c r="I34" s="876" t="n"/>
      <c r="J34" s="876" t="n"/>
      <c r="K34" s="876" t="n"/>
      <c r="L34" s="876" t="n"/>
      <c r="M34" s="876" t="n"/>
      <c r="N34" s="876" t="n"/>
      <c r="O34" s="876" t="n"/>
      <c r="P34" s="876" t="n"/>
      <c r="Q34" s="876" t="n"/>
      <c r="R34" s="876" t="n"/>
      <c r="S34" s="876" t="n"/>
      <c r="T34" s="876" t="n"/>
      <c r="U34" s="876" t="n"/>
      <c r="V34" s="900">
        <f>+V30/(V30+V31)</f>
        <v/>
      </c>
      <c r="W34" s="900">
        <f>+W30/(W30+W31)</f>
        <v/>
      </c>
      <c r="X34" s="900">
        <f>+X30/(X30+X31)</f>
        <v/>
      </c>
      <c r="Y34" s="900">
        <f>+Y30/(Y30+Y31)</f>
        <v/>
      </c>
      <c r="Z34" s="900">
        <f>+Z30/(Z30+Z31)</f>
        <v/>
      </c>
      <c r="AA34" s="900">
        <f>+AA30/(AA30+AA31)</f>
        <v/>
      </c>
      <c r="AB34" s="900">
        <f>+AB30/(AB30+AB31)</f>
        <v/>
      </c>
      <c r="AC34" s="900">
        <f>+AC30/(AC30+AC31)</f>
        <v/>
      </c>
      <c r="AD34" s="900">
        <f>+AD30/(AD30+AD31)</f>
        <v/>
      </c>
      <c r="AE34" s="900">
        <f>+AE30/(AE30+AE31)</f>
        <v/>
      </c>
      <c r="AF34" s="900">
        <f>+AF30/(AF30+AF31)</f>
        <v/>
      </c>
      <c r="AG34" s="900">
        <f>+AG30/(AG30+AG31)</f>
        <v/>
      </c>
      <c r="AH34" s="900">
        <f>+AH30/(AH30+AH31)</f>
        <v/>
      </c>
      <c r="AI34" s="900">
        <f>+AI30/(AI30+AI31)</f>
        <v/>
      </c>
      <c r="AJ34" s="900">
        <f>+AJ30/(AJ30+AJ31)</f>
        <v/>
      </c>
      <c r="AK34" s="900">
        <f>+AK30/(AK30+AK31)</f>
        <v/>
      </c>
      <c r="AL34" s="900">
        <f>+AL30/(AL30+AL31)</f>
        <v/>
      </c>
      <c r="AM34" s="900">
        <f>+AM30/(AM30+AM31)</f>
        <v/>
      </c>
      <c r="AN34" s="900">
        <f>+AN30/(AN30+AN31)</f>
        <v/>
      </c>
      <c r="AO34" s="900">
        <f>+AO30/(AO30+AO31)</f>
        <v/>
      </c>
      <c r="AP34" s="900">
        <f>+AP30/(AP30+AP31)</f>
        <v/>
      </c>
      <c r="AQ34" s="900">
        <f>+AQ30/(AQ30+AQ31)</f>
        <v/>
      </c>
      <c r="AR34" s="900">
        <f>+AR30/(AR30+AR31)</f>
        <v/>
      </c>
      <c r="AS34" s="900">
        <f>+AS30/(AS30+AS31)</f>
        <v/>
      </c>
      <c r="AT34" s="900">
        <f>+AT30/(AT30+AT31)</f>
        <v/>
      </c>
      <c r="AU34" s="900">
        <f>+AU30/(AU30+AU31)</f>
        <v/>
      </c>
      <c r="AV34" s="900">
        <f>+AV30/(AV30+AV31)</f>
        <v/>
      </c>
      <c r="AW34" s="901">
        <f>+AW30/(AW30+AW31)</f>
        <v/>
      </c>
      <c r="AX34" s="902">
        <f>+AX30/(AX30+AX31)</f>
        <v/>
      </c>
      <c r="AY34" s="903">
        <f>+AY30/(AY30+AY31)</f>
        <v/>
      </c>
      <c r="AZ34" s="904">
        <f>+AZ30/(AZ30+AZ31)</f>
        <v/>
      </c>
      <c r="BA34" s="904">
        <f>+BA30/(BA30+BA31)</f>
        <v/>
      </c>
      <c r="BB34" s="904">
        <f>+BB30/(BB30+BB31)</f>
        <v/>
      </c>
      <c r="BC34" s="904">
        <f>+BC30/(BC30+BC31)</f>
        <v/>
      </c>
      <c r="BD34" s="904">
        <f>+BD30/(BD30+BD31)</f>
        <v/>
      </c>
      <c r="BE34" s="904">
        <f>+BE30/(BE30+BE31)</f>
        <v/>
      </c>
      <c r="BF34" s="904">
        <f>+BF30/(BF30+BF31)</f>
        <v/>
      </c>
      <c r="BG34" s="904">
        <f>+BG30/(BG30+BG31)</f>
        <v/>
      </c>
      <c r="BH34" s="904">
        <f>+BH30/(BH30+BH31)</f>
        <v/>
      </c>
      <c r="BI34" s="904">
        <f>+BI30/(BI30+BI31)</f>
        <v/>
      </c>
      <c r="BJ34" s="904">
        <f>+BJ30/(BJ30+BJ31)</f>
        <v/>
      </c>
      <c r="BK34" s="905">
        <f>+BK30/(BK30+BK31)</f>
        <v/>
      </c>
      <c r="BL34" s="904">
        <f>+BL30/(BL30+BL31)</f>
        <v/>
      </c>
      <c r="BM34" s="904">
        <f>+BM30/(BM30+BM31)</f>
        <v/>
      </c>
      <c r="BN34" s="904">
        <f>+BN30/(BN30+BN31)</f>
        <v/>
      </c>
      <c r="BO34" s="904">
        <f>+BO30/(BO30+BO31)</f>
        <v/>
      </c>
      <c r="BP34" s="904">
        <f>+BP30/(BP30+BP31)</f>
        <v/>
      </c>
      <c r="BQ34" s="904">
        <f>+BQ30/(BQ30+BQ31)</f>
        <v/>
      </c>
      <c r="BR34" s="904">
        <f>+BR30/(BR30+BR31)</f>
        <v/>
      </c>
      <c r="BS34" s="904">
        <f>+BS30/(BS30+BS31)</f>
        <v/>
      </c>
      <c r="BT34" s="904">
        <f>+BT30/(BT30+BT31)</f>
        <v/>
      </c>
      <c r="BU34" s="904">
        <f>+BU30/(BU30+BU31)</f>
        <v/>
      </c>
      <c r="BV34" s="904">
        <f>+BV30/(BV30+BV31)</f>
        <v/>
      </c>
      <c r="BW34" s="905">
        <f>+BW30/(BW30+BW31)</f>
        <v/>
      </c>
      <c r="BX34" s="904">
        <f>+BX30/(BX30+BX31)</f>
        <v/>
      </c>
      <c r="BY34" s="904">
        <f>+BY30/(BY30+BY31)</f>
        <v/>
      </c>
      <c r="BZ34" s="904">
        <f>+BZ30/(BZ30+BZ31)</f>
        <v/>
      </c>
      <c r="CA34" s="904">
        <f>+CA30/(CA30+CA31)</f>
        <v/>
      </c>
      <c r="CB34" s="904">
        <f>+CB30/(CB30+CB31)</f>
        <v/>
      </c>
      <c r="CC34" s="904">
        <f>+CC30/(CC30+CC31)</f>
        <v/>
      </c>
      <c r="CD34" s="904">
        <f>+CD30/(CD30+CD31)</f>
        <v/>
      </c>
      <c r="CE34" s="904">
        <f>+CE30/(CE30+CE31)</f>
        <v/>
      </c>
      <c r="CF34" s="904">
        <f>+CF30/(CF30+CF31)</f>
        <v/>
      </c>
      <c r="CG34" s="904">
        <f>+CG30/(CG30+CG31)</f>
        <v/>
      </c>
      <c r="CH34" s="904">
        <f>+CH30/(CH30+CH31)</f>
        <v/>
      </c>
      <c r="CI34" s="905">
        <f>+CI30/(CI30+CI31)</f>
        <v/>
      </c>
      <c r="CJ34" s="904">
        <f>+CJ30/(CJ30+CJ31)</f>
        <v/>
      </c>
      <c r="CK34" s="904">
        <f>+CK30/(CK30+CK31)</f>
        <v/>
      </c>
      <c r="CL34" s="904">
        <f>+CL30/(CL30+CL31)</f>
        <v/>
      </c>
      <c r="CM34" s="904">
        <f>+CM30/(CM30+CM31)</f>
        <v/>
      </c>
      <c r="CN34" s="904">
        <f>+CN30/(CN30+CN31)</f>
        <v/>
      </c>
      <c r="CO34" s="904">
        <f>+CO30/(CO30+CO31)</f>
        <v/>
      </c>
      <c r="CP34" s="904">
        <f>+CP30/(CP30+CP31)</f>
        <v/>
      </c>
      <c r="CQ34" s="904">
        <f>+CQ30/(CQ30+CQ31)</f>
        <v/>
      </c>
      <c r="CR34" s="904">
        <f>+CR30/(CR30+CR31)</f>
        <v/>
      </c>
      <c r="CS34" s="904">
        <f>+CS30/(CS30+CS31)</f>
        <v/>
      </c>
      <c r="CT34" s="904">
        <f>+CT30/(CT30+CT31)</f>
        <v/>
      </c>
      <c r="CU34" s="905">
        <f>+CU30/(CU30+CU31)</f>
        <v/>
      </c>
      <c r="CV34" s="904">
        <f>+CV30/(CV30+CV31)</f>
        <v/>
      </c>
      <c r="CW34" s="904">
        <f>+CW30/(CW30+CW31)</f>
        <v/>
      </c>
      <c r="CX34" s="904">
        <f>+CX30/(CX30+CX31)</f>
        <v/>
      </c>
      <c r="CY34" s="904">
        <f>+CY30/(CY30+CY31)</f>
        <v/>
      </c>
      <c r="CZ34" s="904">
        <f>+CZ30/(CZ30+CZ31)</f>
        <v/>
      </c>
      <c r="DA34" s="904">
        <f>+DA30/(DA30+DA31)</f>
        <v/>
      </c>
      <c r="DB34" s="904">
        <f>+DB30/(DB30+DB31)</f>
        <v/>
      </c>
      <c r="DC34" s="904">
        <f>+DC30/(DC30+DC31)</f>
        <v/>
      </c>
      <c r="DD34" s="904">
        <f>+DD30/(DD30+DD31)</f>
        <v/>
      </c>
      <c r="DE34" s="904">
        <f>+DE30/(DE30+DE31)</f>
        <v/>
      </c>
      <c r="DF34" s="904">
        <f>+DF30/(DF30+DF31)</f>
        <v/>
      </c>
      <c r="DG34" s="903">
        <f>+DG30/(DG30+DG31)</f>
        <v/>
      </c>
    </row>
    <row r="35" ht="18.75" customHeight="1" s="627">
      <c r="A35" s="35" t="n"/>
      <c r="B35" s="35" t="n"/>
      <c r="C35" s="608" t="n"/>
      <c r="D35" s="876" t="n"/>
      <c r="E35" s="876" t="n"/>
      <c r="F35" s="876" t="n"/>
      <c r="G35" s="876" t="n"/>
      <c r="H35" s="876" t="n"/>
      <c r="I35" s="876" t="n"/>
      <c r="J35" s="876" t="n"/>
      <c r="K35" s="876" t="n"/>
      <c r="L35" s="876" t="n"/>
      <c r="M35" s="876" t="n"/>
      <c r="N35" s="876" t="n"/>
      <c r="O35" s="876" t="n"/>
      <c r="P35" s="876" t="n"/>
      <c r="Q35" s="876" t="n"/>
      <c r="R35" s="876" t="n"/>
      <c r="S35" s="876" t="n"/>
      <c r="T35" s="876" t="n"/>
      <c r="U35" s="876" t="n"/>
      <c r="V35" s="876" t="n"/>
      <c r="W35" s="876" t="n"/>
      <c r="X35" s="876" t="n"/>
      <c r="Y35" s="876" t="n"/>
      <c r="Z35" s="876" t="n"/>
      <c r="AA35" s="876" t="n"/>
      <c r="AB35" s="876" t="n"/>
      <c r="AC35" s="876" t="n"/>
      <c r="AD35" s="876" t="n"/>
      <c r="AE35" s="876" t="n"/>
      <c r="AF35" s="876" t="n"/>
      <c r="AG35" s="876" t="n"/>
      <c r="AH35" s="876" t="n"/>
      <c r="AI35" s="876" t="n"/>
      <c r="AJ35" s="876" t="n"/>
      <c r="AK35" s="876" t="n"/>
      <c r="AL35" s="876" t="n"/>
      <c r="AM35" s="876" t="n"/>
      <c r="AN35" s="876" t="n"/>
      <c r="AO35" s="876" t="n"/>
      <c r="AP35" s="876" t="n"/>
      <c r="AQ35" s="876" t="n"/>
      <c r="AR35" s="876" t="n"/>
      <c r="AS35" s="876" t="n"/>
      <c r="AT35" s="876" t="n"/>
      <c r="AU35" s="876" t="n"/>
      <c r="AV35" s="876" t="n"/>
      <c r="AW35" s="892" t="n"/>
      <c r="AX35" s="904" t="n"/>
      <c r="AY35" s="894" t="n"/>
      <c r="AZ35" s="895" t="n"/>
      <c r="BA35" s="895" t="n"/>
      <c r="BB35" s="895" t="n"/>
      <c r="BC35" s="895" t="n"/>
      <c r="BD35" s="895" t="n"/>
      <c r="BE35" s="895" t="n"/>
      <c r="BF35" s="895" t="n"/>
      <c r="BG35" s="895" t="n"/>
      <c r="BH35" s="895" t="n"/>
      <c r="BI35" s="895" t="n"/>
      <c r="BJ35" s="895" t="n"/>
      <c r="BK35" s="896" t="n"/>
      <c r="BL35" s="895" t="n"/>
      <c r="BM35" s="895" t="n"/>
      <c r="BN35" s="895" t="n"/>
      <c r="BO35" s="895" t="n"/>
      <c r="BP35" s="895" t="n"/>
      <c r="BQ35" s="895" t="n"/>
      <c r="BR35" s="895" t="n"/>
      <c r="BS35" s="895" t="n"/>
      <c r="BT35" s="895" t="n"/>
      <c r="BU35" s="895" t="n"/>
      <c r="BV35" s="895" t="n"/>
      <c r="BW35" s="896" t="n"/>
      <c r="BX35" s="895" t="n"/>
      <c r="BY35" s="895" t="n"/>
      <c r="BZ35" s="895" t="n"/>
      <c r="CA35" s="895" t="n"/>
      <c r="CB35" s="895" t="n"/>
      <c r="CC35" s="895" t="n"/>
      <c r="CD35" s="895" t="n"/>
      <c r="CE35" s="895" t="n"/>
      <c r="CF35" s="895" t="n"/>
      <c r="CG35" s="895" t="n"/>
      <c r="CH35" s="895" t="n"/>
      <c r="CI35" s="896" t="n"/>
      <c r="CJ35" s="895" t="n"/>
      <c r="CK35" s="895" t="n"/>
      <c r="CL35" s="895" t="n"/>
      <c r="CM35" s="895" t="n"/>
      <c r="CN35" s="895" t="n"/>
      <c r="CO35" s="895" t="n"/>
      <c r="CP35" s="895" t="n"/>
      <c r="CQ35" s="895" t="n"/>
      <c r="CR35" s="895" t="n"/>
      <c r="CS35" s="895" t="n"/>
      <c r="CT35" s="895" t="n"/>
      <c r="CU35" s="896" t="n"/>
      <c r="CV35" s="895" t="n"/>
      <c r="CW35" s="895" t="n"/>
      <c r="CX35" s="895" t="n"/>
      <c r="CY35" s="895" t="n"/>
      <c r="CZ35" s="895" t="n"/>
      <c r="DA35" s="895" t="n"/>
      <c r="DB35" s="895" t="n"/>
      <c r="DC35" s="895" t="n"/>
      <c r="DD35" s="895" t="n"/>
      <c r="DE35" s="895" t="n"/>
      <c r="DF35" s="895" t="n"/>
      <c r="DG35" s="894" t="n"/>
    </row>
    <row r="36" ht="18.75" customHeight="1" s="627">
      <c r="A36" s="35" t="n"/>
      <c r="B36" s="35" t="n"/>
      <c r="C36" s="608" t="inlineStr">
        <is>
          <t>T6M Avg Monthly Attrition</t>
        </is>
      </c>
      <c r="D36" s="876" t="n"/>
      <c r="E36" s="876" t="n"/>
      <c r="F36" s="876" t="n"/>
      <c r="G36" s="876" t="n"/>
      <c r="H36" s="876" t="n"/>
      <c r="I36" s="171" t="n"/>
      <c r="J36" s="171" t="n"/>
      <c r="K36" s="171" t="n"/>
      <c r="L36" s="171">
        <f>+AVERAGE(F20:L20)/L15</f>
        <v/>
      </c>
      <c r="M36" s="171">
        <f>+AVERAGE(G20:M20)/M15</f>
        <v/>
      </c>
      <c r="N36" s="171">
        <f>+AVERAGE(H20:N20)/N15</f>
        <v/>
      </c>
      <c r="O36" s="171">
        <f>+AVERAGE(I20:O20)/O15</f>
        <v/>
      </c>
      <c r="P36" s="900">
        <f>+AVERAGE(J20:P20)/P15</f>
        <v/>
      </c>
      <c r="Q36" s="900">
        <f>+AVERAGE(K20:Q20)/Q15</f>
        <v/>
      </c>
      <c r="R36" s="900">
        <f>+AVERAGE(L20:R20)/R15</f>
        <v/>
      </c>
      <c r="S36" s="900">
        <f>+AVERAGE(M20:S20)/S15</f>
        <v/>
      </c>
      <c r="T36" s="900">
        <f>+AVERAGE(N20:T20)/T15</f>
        <v/>
      </c>
      <c r="U36" s="900">
        <f>+AVERAGE(O20:U20)/U15</f>
        <v/>
      </c>
      <c r="V36" s="900">
        <f>+AVERAGE(P20:V20)/V15</f>
        <v/>
      </c>
      <c r="W36" s="900">
        <f>+AVERAGE(Q20:W20)/W16</f>
        <v/>
      </c>
      <c r="X36" s="900">
        <f>+AVERAGE(Q20:W20)/AVERAGE(Q16:W16)</f>
        <v/>
      </c>
      <c r="Y36" s="900">
        <f>+AVERAGE(R20:X20)/AVERAGE(R16:X16)</f>
        <v/>
      </c>
      <c r="Z36" s="900">
        <f>+AVERAGE(S20:Y20)/AVERAGE(S16:Y16)</f>
        <v/>
      </c>
      <c r="AA36" s="900">
        <f>+AVERAGE(T20:Z20)/AVERAGE(T16:Z16)</f>
        <v/>
      </c>
      <c r="AB36" s="900">
        <f>+AVERAGE(U20:AA20)/AVERAGE(U16:AA16)</f>
        <v/>
      </c>
      <c r="AC36" s="900">
        <f>+AVERAGE(V20:AB20)/AVERAGE(V16:AB16)</f>
        <v/>
      </c>
      <c r="AD36" s="900">
        <f>+AVERAGE(W20:AC20)/AVERAGE(W16:AC16)</f>
        <v/>
      </c>
      <c r="AE36" s="900">
        <f>+AVERAGE(X20:AD20)/AVERAGE(X16:AD16)</f>
        <v/>
      </c>
      <c r="AF36" s="900">
        <f>+AVERAGE(Y20:AE20)/AVERAGE(Y16:AE16)</f>
        <v/>
      </c>
      <c r="AG36" s="900">
        <f>+AVERAGE(Z20:AF20)/AVERAGE(Z16:AF16)</f>
        <v/>
      </c>
      <c r="AH36" s="900">
        <f>+AVERAGE(AA20:AG20)/AVERAGE(AA16:AG16)</f>
        <v/>
      </c>
      <c r="AI36" s="900">
        <f>+AVERAGE(AB20:AH20)/AVERAGE(AB16:AH16)</f>
        <v/>
      </c>
      <c r="AJ36" s="900">
        <f>+AVERAGE(AC20:AI20)/AVERAGE(AC16:AI16)</f>
        <v/>
      </c>
      <c r="AK36" s="900">
        <f>+AVERAGE(AD20:AJ20)/AVERAGE(AD16:AJ16)</f>
        <v/>
      </c>
      <c r="AL36" s="900">
        <f>+AVERAGE(AE20:AK20)/AVERAGE(AE16:AK16)</f>
        <v/>
      </c>
      <c r="AM36" s="900">
        <f>+AVERAGE(AF20:AL20)/AVERAGE(AF16:AL16)</f>
        <v/>
      </c>
      <c r="AN36" s="900">
        <f>+AVERAGE(AG20:AM20)/AVERAGE(AG16:AM16)</f>
        <v/>
      </c>
      <c r="AO36" s="900">
        <f>+AVERAGE(AH20:AN20)/AVERAGE(AH16:AN16)</f>
        <v/>
      </c>
      <c r="AP36" s="900">
        <f>+AVERAGE(AI20:AO20)/AVERAGE(AI16:AO16)</f>
        <v/>
      </c>
      <c r="AQ36" s="900">
        <f>+AVERAGE(AJ20:AP20)/AVERAGE(AJ16:AP16)</f>
        <v/>
      </c>
      <c r="AR36" s="900">
        <f>+AVERAGE(AK20:AQ20)/AVERAGE(AK16:AQ16)</f>
        <v/>
      </c>
      <c r="AS36" s="900">
        <f>+AVERAGE(AL20:AR20)/AVERAGE(AL16:AR16)</f>
        <v/>
      </c>
      <c r="AT36" s="900">
        <f>+AVERAGE(AM20:AS20)/AVERAGE(AM16:AS16)</f>
        <v/>
      </c>
      <c r="AU36" s="900">
        <f>+AVERAGE(AN20:AT20)/AVERAGE(AN16:AT16)</f>
        <v/>
      </c>
      <c r="AV36" s="900">
        <f>+AVERAGE(AO20:AU20)/AVERAGE(AO16:AU16)</f>
        <v/>
      </c>
      <c r="AW36" s="901">
        <f>+AVERAGE(AP20:AV20)/AVERAGE(AP16:AV16)</f>
        <v/>
      </c>
      <c r="AX36" s="904">
        <f>+AVERAGE(AQ20:AW20)/AVERAGE(AQ16:AW16)</f>
        <v/>
      </c>
      <c r="AY36" s="903">
        <f>+AVERAGE(AR20:AX20)/AVERAGE(AR16:AX16)</f>
        <v/>
      </c>
      <c r="AZ36" s="904">
        <f>+AVERAGE(AS20:AY20)/AVERAGE(AS16:AY16)</f>
        <v/>
      </c>
      <c r="BA36" s="904">
        <f>+AVERAGE(AT20:AZ20)/AVERAGE(AT16:AZ16)</f>
        <v/>
      </c>
      <c r="BB36" s="904">
        <f>+AVERAGE(AU20:BA20)/AVERAGE(AU16:BA16)</f>
        <v/>
      </c>
      <c r="BC36" s="904">
        <f>+AVERAGE(AV20:BB20)/AVERAGE(AV16:BB16)</f>
        <v/>
      </c>
      <c r="BD36" s="904">
        <f>+AVERAGE(AW20:BC20)/AVERAGE(AW16:BC16)</f>
        <v/>
      </c>
      <c r="BE36" s="904">
        <f>+AVERAGE(AX20:BD20)/AVERAGE(AX16:BD16)</f>
        <v/>
      </c>
      <c r="BF36" s="904">
        <f>+AVERAGE(AY20:BE20)/AVERAGE(AY16:BE16)</f>
        <v/>
      </c>
      <c r="BG36" s="904">
        <f>+AVERAGE(AZ20:BF20)/AVERAGE(AZ16:BF16)</f>
        <v/>
      </c>
      <c r="BH36" s="904">
        <f>+AVERAGE(BA20:BG20)/AVERAGE(BA16:BG16)</f>
        <v/>
      </c>
      <c r="BI36" s="904">
        <f>+AVERAGE(BB20:BH20)/AVERAGE(BB16:BH16)</f>
        <v/>
      </c>
      <c r="BJ36" s="904">
        <f>+AVERAGE(BC20:BI20)/AVERAGE(BC16:BI16)</f>
        <v/>
      </c>
      <c r="BK36" s="905">
        <f>+AVERAGE(BD20:BJ20)/AVERAGE(BD16:BJ16)</f>
        <v/>
      </c>
      <c r="BL36" s="904">
        <f>+AVERAGE(BE20:BK20)/AVERAGE(BE16:BK16)</f>
        <v/>
      </c>
      <c r="BM36" s="904">
        <f>+AVERAGE(BF20:BL20)/AVERAGE(BF16:BL16)</f>
        <v/>
      </c>
      <c r="BN36" s="904">
        <f>+AVERAGE(BG20:BM20)/AVERAGE(BG16:BM16)</f>
        <v/>
      </c>
      <c r="BO36" s="904">
        <f>+AVERAGE(BH20:BN20)/AVERAGE(BH16:BN16)</f>
        <v/>
      </c>
      <c r="BP36" s="904">
        <f>+AVERAGE(BI20:BO20)/AVERAGE(BI16:BO16)</f>
        <v/>
      </c>
      <c r="BQ36" s="904">
        <f>+AVERAGE(BJ20:BP20)/AVERAGE(BJ16:BP16)</f>
        <v/>
      </c>
      <c r="BR36" s="904">
        <f>+AVERAGE(BK20:BQ20)/AVERAGE(BK16:BQ16)</f>
        <v/>
      </c>
      <c r="BS36" s="904">
        <f>+AVERAGE(BL20:BR20)/AVERAGE(BL16:BR16)</f>
        <v/>
      </c>
      <c r="BT36" s="904">
        <f>+AVERAGE(BM20:BS20)/AVERAGE(BM16:BS16)</f>
        <v/>
      </c>
      <c r="BU36" s="904">
        <f>+AVERAGE(BN20:BT20)/AVERAGE(BN16:BT16)</f>
        <v/>
      </c>
      <c r="BV36" s="904">
        <f>+AVERAGE(BO20:BU20)/AVERAGE(BO16:BU16)</f>
        <v/>
      </c>
      <c r="BW36" s="905">
        <f>+AVERAGE(BP20:BV20)/AVERAGE(BP16:BV16)</f>
        <v/>
      </c>
      <c r="BX36" s="904">
        <f>+AVERAGE(BQ20:BW20)/AVERAGE(BQ16:BW16)</f>
        <v/>
      </c>
      <c r="BY36" s="904">
        <f>+AVERAGE(BR20:BX20)/AVERAGE(BR16:BX16)</f>
        <v/>
      </c>
      <c r="BZ36" s="904">
        <f>+AVERAGE(BS20:BY20)/AVERAGE(BS16:BY16)</f>
        <v/>
      </c>
      <c r="CA36" s="904">
        <f>+AVERAGE(BT20:BZ20)/AVERAGE(BT16:BZ16)</f>
        <v/>
      </c>
      <c r="CB36" s="904">
        <f>+AVERAGE(BU20:CA20)/AVERAGE(BU16:CA16)</f>
        <v/>
      </c>
      <c r="CC36" s="904">
        <f>+AVERAGE(BV20:CB20)/AVERAGE(BV16:CB16)</f>
        <v/>
      </c>
      <c r="CD36" s="904">
        <f>+AVERAGE(BW20:CC20)/AVERAGE(BW16:CC16)</f>
        <v/>
      </c>
      <c r="CE36" s="904">
        <f>+AVERAGE(BX20:CD20)/AVERAGE(BX16:CD16)</f>
        <v/>
      </c>
      <c r="CF36" s="904">
        <f>+AVERAGE(BY20:CE20)/AVERAGE(BY16:CE16)</f>
        <v/>
      </c>
      <c r="CG36" s="904">
        <f>+AVERAGE(BZ20:CF20)/AVERAGE(BZ16:CF16)</f>
        <v/>
      </c>
      <c r="CH36" s="904">
        <f>+AVERAGE(CA20:CG20)/AVERAGE(CA16:CG16)</f>
        <v/>
      </c>
      <c r="CI36" s="905">
        <f>+AVERAGE(CB20:CH20)/AVERAGE(CB16:CH16)</f>
        <v/>
      </c>
      <c r="CJ36" s="904">
        <f>+AVERAGE(CC20:CI20)/AVERAGE(CC16:CI16)</f>
        <v/>
      </c>
      <c r="CK36" s="904">
        <f>+AVERAGE(CD20:CJ20)/AVERAGE(CD16:CJ16)</f>
        <v/>
      </c>
      <c r="CL36" s="904">
        <f>+AVERAGE(CE20:CK20)/AVERAGE(CE16:CK16)</f>
        <v/>
      </c>
      <c r="CM36" s="904">
        <f>+AVERAGE(CF20:CL20)/AVERAGE(CF16:CL16)</f>
        <v/>
      </c>
      <c r="CN36" s="904">
        <f>+AVERAGE(CG20:CM20)/AVERAGE(CG16:CM16)</f>
        <v/>
      </c>
      <c r="CO36" s="904">
        <f>+AVERAGE(CH20:CN20)/AVERAGE(CH16:CN16)</f>
        <v/>
      </c>
      <c r="CP36" s="904">
        <f>+AVERAGE(CI20:CO20)/AVERAGE(CI16:CO16)</f>
        <v/>
      </c>
      <c r="CQ36" s="904">
        <f>+AVERAGE(CJ20:CP20)/AVERAGE(CJ16:CP16)</f>
        <v/>
      </c>
      <c r="CR36" s="904">
        <f>+AVERAGE(CK20:CQ20)/AVERAGE(CK16:CQ16)</f>
        <v/>
      </c>
      <c r="CS36" s="904">
        <f>+AVERAGE(CL20:CR20)/AVERAGE(CL16:CR16)</f>
        <v/>
      </c>
      <c r="CT36" s="904">
        <f>+AVERAGE(CM20:CS20)/AVERAGE(CM16:CS16)</f>
        <v/>
      </c>
      <c r="CU36" s="905">
        <f>+AVERAGE(CN20:CT20)/AVERAGE(CN16:CT16)</f>
        <v/>
      </c>
      <c r="CV36" s="904">
        <f>+AVERAGE(CO20:CU20)/AVERAGE(CO16:CU16)</f>
        <v/>
      </c>
      <c r="CW36" s="904">
        <f>+AVERAGE(CP20:CV20)/AVERAGE(CP16:CV16)</f>
        <v/>
      </c>
      <c r="CX36" s="904">
        <f>+AVERAGE(CQ20:CW20)/AVERAGE(CQ16:CW16)</f>
        <v/>
      </c>
      <c r="CY36" s="904">
        <f>+AVERAGE(CR20:CX20)/AVERAGE(CR16:CX16)</f>
        <v/>
      </c>
      <c r="CZ36" s="904">
        <f>+AVERAGE(CS20:CY20)/AVERAGE(CS16:CY16)</f>
        <v/>
      </c>
      <c r="DA36" s="904">
        <f>+AVERAGE(CT20:CZ20)/AVERAGE(CT16:CZ16)</f>
        <v/>
      </c>
      <c r="DB36" s="904">
        <f>+AVERAGE(CU20:DA20)/AVERAGE(CU16:DA16)</f>
        <v/>
      </c>
      <c r="DC36" s="904">
        <f>+AVERAGE(CV20:DB20)/AVERAGE(CV16:DB16)</f>
        <v/>
      </c>
      <c r="DD36" s="904">
        <f>+AVERAGE(CW20:DC20)/AVERAGE(CW16:DC16)</f>
        <v/>
      </c>
      <c r="DE36" s="904">
        <f>+AVERAGE(CX20:DD20)/AVERAGE(CX16:DD16)</f>
        <v/>
      </c>
      <c r="DF36" s="904">
        <f>+AVERAGE(CY20:DE20)/AVERAGE(CY16:DE16)</f>
        <v/>
      </c>
      <c r="DG36" s="903">
        <f>+AVERAGE(CZ20:DF20)/AVERAGE(CZ16:DF16)</f>
        <v/>
      </c>
    </row>
    <row r="37" ht="18.75" customHeight="1" s="627">
      <c r="A37" s="35" t="n"/>
      <c r="B37" s="35" t="n"/>
      <c r="C37" s="608" t="inlineStr">
        <is>
          <t>Implied Tenure</t>
        </is>
      </c>
      <c r="D37" s="876" t="n"/>
      <c r="E37" s="876" t="n"/>
      <c r="F37" s="876" t="n"/>
      <c r="G37" s="876" t="n"/>
      <c r="H37" s="876" t="n"/>
      <c r="I37" s="176" t="n"/>
      <c r="J37" s="176" t="n"/>
      <c r="K37" s="176" t="n"/>
      <c r="L37" s="176">
        <f>1/-L36</f>
        <v/>
      </c>
      <c r="M37" s="176">
        <f>1/-M36</f>
        <v/>
      </c>
      <c r="N37" s="176">
        <f>1/-N36</f>
        <v/>
      </c>
      <c r="O37" s="176">
        <f>1/-O36</f>
        <v/>
      </c>
      <c r="P37" s="176">
        <f>1/-P36</f>
        <v/>
      </c>
      <c r="Q37" s="176">
        <f>1/-Q36</f>
        <v/>
      </c>
      <c r="R37" s="176">
        <f>1/-R36</f>
        <v/>
      </c>
      <c r="S37" s="176">
        <f>1/-S36</f>
        <v/>
      </c>
      <c r="T37" s="176">
        <f>1/-T36</f>
        <v/>
      </c>
      <c r="U37" s="176">
        <f>1/-U36</f>
        <v/>
      </c>
      <c r="V37" s="176">
        <f>1/-V36</f>
        <v/>
      </c>
      <c r="W37" s="176">
        <f>1/-W36</f>
        <v/>
      </c>
      <c r="X37" s="176">
        <f>1/-X36</f>
        <v/>
      </c>
      <c r="Y37" s="176">
        <f>1/-Y36</f>
        <v/>
      </c>
      <c r="Z37" s="176">
        <f>1/-Z36</f>
        <v/>
      </c>
      <c r="AA37" s="176">
        <f>1/-AA36</f>
        <v/>
      </c>
      <c r="AB37" s="176">
        <f>1/-AB36</f>
        <v/>
      </c>
      <c r="AC37" s="176">
        <f>1/-AC36</f>
        <v/>
      </c>
      <c r="AD37" s="176">
        <f>1/-AD36</f>
        <v/>
      </c>
      <c r="AE37" s="176">
        <f>1/-AE36</f>
        <v/>
      </c>
      <c r="AF37" s="176">
        <f>1/-AF36</f>
        <v/>
      </c>
      <c r="AG37" s="176">
        <f>1/-AG36</f>
        <v/>
      </c>
      <c r="AH37" s="176">
        <f>1/-AH36</f>
        <v/>
      </c>
      <c r="AI37" s="176">
        <f>1/-AI36</f>
        <v/>
      </c>
      <c r="AJ37" s="176">
        <f>1/-AJ36</f>
        <v/>
      </c>
      <c r="AK37" s="176">
        <f>1/-AK36</f>
        <v/>
      </c>
      <c r="AL37" s="176">
        <f>1/-AL36</f>
        <v/>
      </c>
      <c r="AM37" s="176">
        <f>1/-AM36</f>
        <v/>
      </c>
      <c r="AN37" s="176">
        <f>1/-AN36</f>
        <v/>
      </c>
      <c r="AO37" s="176">
        <f>1/-AO36</f>
        <v/>
      </c>
      <c r="AP37" s="176">
        <f>1/-AP36</f>
        <v/>
      </c>
      <c r="AQ37" s="176">
        <f>1/-AQ36</f>
        <v/>
      </c>
      <c r="AR37" s="176">
        <f>1/-AR36</f>
        <v/>
      </c>
      <c r="AS37" s="176">
        <f>1/-AS36</f>
        <v/>
      </c>
      <c r="AT37" s="176">
        <f>1/-AT36</f>
        <v/>
      </c>
      <c r="AU37" s="176">
        <f>1/-AU36</f>
        <v/>
      </c>
      <c r="AV37" s="176">
        <f>1/-AV36</f>
        <v/>
      </c>
      <c r="AW37" s="568">
        <f>1/-AW36</f>
        <v/>
      </c>
      <c r="AX37" s="525">
        <f>1/-AX36</f>
        <v/>
      </c>
      <c r="AY37" s="178">
        <f>1/-AY36</f>
        <v/>
      </c>
      <c r="AZ37" s="177">
        <f>1/-AZ36</f>
        <v/>
      </c>
      <c r="BA37" s="177">
        <f>1/-BA36</f>
        <v/>
      </c>
      <c r="BB37" s="177">
        <f>1/-BB36</f>
        <v/>
      </c>
      <c r="BC37" s="177">
        <f>1/-BC36</f>
        <v/>
      </c>
      <c r="BD37" s="177">
        <f>1/-BD36</f>
        <v/>
      </c>
      <c r="BE37" s="177">
        <f>1/-BE36</f>
        <v/>
      </c>
      <c r="BF37" s="177">
        <f>1/-BF36</f>
        <v/>
      </c>
      <c r="BG37" s="177">
        <f>1/-BG36</f>
        <v/>
      </c>
      <c r="BH37" s="177">
        <f>1/-BH36</f>
        <v/>
      </c>
      <c r="BI37" s="177">
        <f>1/-BI36</f>
        <v/>
      </c>
      <c r="BJ37" s="177">
        <f>1/-BJ36</f>
        <v/>
      </c>
      <c r="BK37" s="268">
        <f>1/-BK36</f>
        <v/>
      </c>
      <c r="BL37" s="177">
        <f>1/-BL36</f>
        <v/>
      </c>
      <c r="BM37" s="177">
        <f>1/-BM36</f>
        <v/>
      </c>
      <c r="BN37" s="177">
        <f>1/-BN36</f>
        <v/>
      </c>
      <c r="BO37" s="177">
        <f>1/-BO36</f>
        <v/>
      </c>
      <c r="BP37" s="177">
        <f>1/-BP36</f>
        <v/>
      </c>
      <c r="BQ37" s="177">
        <f>1/-BQ36</f>
        <v/>
      </c>
      <c r="BR37" s="177">
        <f>1/-BR36</f>
        <v/>
      </c>
      <c r="BS37" s="177">
        <f>1/-BS36</f>
        <v/>
      </c>
      <c r="BT37" s="177">
        <f>1/-BT36</f>
        <v/>
      </c>
      <c r="BU37" s="177">
        <f>1/-BU36</f>
        <v/>
      </c>
      <c r="BV37" s="177">
        <f>1/-BV36</f>
        <v/>
      </c>
      <c r="BW37" s="268">
        <f>1/-BW36</f>
        <v/>
      </c>
      <c r="BX37" s="177">
        <f>1/-BX36</f>
        <v/>
      </c>
      <c r="BY37" s="177">
        <f>1/-BY36</f>
        <v/>
      </c>
      <c r="BZ37" s="177">
        <f>1/-BZ36</f>
        <v/>
      </c>
      <c r="CA37" s="177">
        <f>1/-CA36</f>
        <v/>
      </c>
      <c r="CB37" s="177">
        <f>1/-CB36</f>
        <v/>
      </c>
      <c r="CC37" s="177">
        <f>1/-CC36</f>
        <v/>
      </c>
      <c r="CD37" s="177">
        <f>1/-CD36</f>
        <v/>
      </c>
      <c r="CE37" s="177">
        <f>1/-CE36</f>
        <v/>
      </c>
      <c r="CF37" s="177">
        <f>1/-CF36</f>
        <v/>
      </c>
      <c r="CG37" s="177">
        <f>1/-CG36</f>
        <v/>
      </c>
      <c r="CH37" s="177">
        <f>1/-CH36</f>
        <v/>
      </c>
      <c r="CI37" s="268">
        <f>1/-CI36</f>
        <v/>
      </c>
      <c r="CJ37" s="177">
        <f>1/-CJ36</f>
        <v/>
      </c>
      <c r="CK37" s="177">
        <f>1/-CK36</f>
        <v/>
      </c>
      <c r="CL37" s="177">
        <f>1/-CL36</f>
        <v/>
      </c>
      <c r="CM37" s="177">
        <f>1/-CM36</f>
        <v/>
      </c>
      <c r="CN37" s="177">
        <f>1/-CN36</f>
        <v/>
      </c>
      <c r="CO37" s="177">
        <f>1/-CO36</f>
        <v/>
      </c>
      <c r="CP37" s="177">
        <f>1/-CP36</f>
        <v/>
      </c>
      <c r="CQ37" s="177">
        <f>1/-CQ36</f>
        <v/>
      </c>
      <c r="CR37" s="177">
        <f>1/-CR36</f>
        <v/>
      </c>
      <c r="CS37" s="177">
        <f>1/-CS36</f>
        <v/>
      </c>
      <c r="CT37" s="177">
        <f>1/-CT36</f>
        <v/>
      </c>
      <c r="CU37" s="268">
        <f>1/-CU36</f>
        <v/>
      </c>
      <c r="CV37" s="177">
        <f>1/-CV36</f>
        <v/>
      </c>
      <c r="CW37" s="177">
        <f>1/-CW36</f>
        <v/>
      </c>
      <c r="CX37" s="177">
        <f>1/-CX36</f>
        <v/>
      </c>
      <c r="CY37" s="177">
        <f>1/-CY36</f>
        <v/>
      </c>
      <c r="CZ37" s="177">
        <f>1/-CZ36</f>
        <v/>
      </c>
      <c r="DA37" s="177">
        <f>1/-DA36</f>
        <v/>
      </c>
      <c r="DB37" s="177">
        <f>1/-DB36</f>
        <v/>
      </c>
      <c r="DC37" s="177">
        <f>1/-DC36</f>
        <v/>
      </c>
      <c r="DD37" s="177">
        <f>1/-DD36</f>
        <v/>
      </c>
      <c r="DE37" s="177">
        <f>1/-DE36</f>
        <v/>
      </c>
      <c r="DF37" s="177">
        <f>1/-DF36</f>
        <v/>
      </c>
      <c r="DG37" s="178">
        <f>1/-DG36</f>
        <v/>
      </c>
    </row>
    <row r="38" ht="18.75" customHeight="1" s="627">
      <c r="A38" s="35" t="n"/>
      <c r="B38" s="35" t="n"/>
      <c r="C38" s="608" t="inlineStr">
        <is>
          <t>Average Revenue</t>
        </is>
      </c>
      <c r="D38" s="876" t="n"/>
      <c r="E38" s="876" t="n"/>
      <c r="F38" s="876" t="n"/>
      <c r="G38" s="876" t="n"/>
      <c r="H38" s="876" t="n"/>
      <c r="I38" s="876" t="n"/>
      <c r="J38" s="876" t="n"/>
      <c r="K38" s="876" t="n"/>
      <c r="L38" s="876">
        <f>+L13/L15</f>
        <v/>
      </c>
      <c r="M38" s="876">
        <f>+M13/M15</f>
        <v/>
      </c>
      <c r="N38" s="876">
        <f>+N13/N15</f>
        <v/>
      </c>
      <c r="O38" s="876">
        <f>+O13/O15</f>
        <v/>
      </c>
      <c r="P38" s="876">
        <f>+P13/P15</f>
        <v/>
      </c>
      <c r="Q38" s="876">
        <f>+Q13/Q15</f>
        <v/>
      </c>
      <c r="R38" s="876">
        <f>+R13/R15</f>
        <v/>
      </c>
      <c r="S38" s="876">
        <f>+S13/S15</f>
        <v/>
      </c>
      <c r="T38" s="876">
        <f>+T13/T15</f>
        <v/>
      </c>
      <c r="U38" s="876">
        <f>+U13/U15</f>
        <v/>
      </c>
      <c r="V38" s="876">
        <f>+V13/V15</f>
        <v/>
      </c>
      <c r="W38" s="876">
        <f>+W13/W16</f>
        <v/>
      </c>
      <c r="X38" s="876">
        <f>+X13/X16</f>
        <v/>
      </c>
      <c r="Y38" s="876">
        <f>+Y13/Y16</f>
        <v/>
      </c>
      <c r="Z38" s="876">
        <f>+Z13/Z16</f>
        <v/>
      </c>
      <c r="AA38" s="876">
        <f>+AA13/AA16</f>
        <v/>
      </c>
      <c r="AB38" s="876">
        <f>+(AB13/AB16)*AB26</f>
        <v/>
      </c>
      <c r="AC38" s="876">
        <f>+(AC13/AC16)*AC26</f>
        <v/>
      </c>
      <c r="AD38" s="876">
        <f>+(AD13/AD16)*AD26</f>
        <v/>
      </c>
      <c r="AE38" s="876">
        <f>+(AE13/AE16)*AE26</f>
        <v/>
      </c>
      <c r="AF38" s="876">
        <f>+(AF13/AF16)*AF26</f>
        <v/>
      </c>
      <c r="AG38" s="876">
        <f>+(AG13/AG16)*AG26</f>
        <v/>
      </c>
      <c r="AH38" s="876">
        <f>+(AH13/AH16)*AH26</f>
        <v/>
      </c>
      <c r="AI38" s="876">
        <f>+(AI13/AI16)*AI26</f>
        <v/>
      </c>
      <c r="AJ38" s="876">
        <f>+(AJ13/AJ16)*AJ26</f>
        <v/>
      </c>
      <c r="AK38" s="876">
        <f>+(AK13/AK16)*AK26</f>
        <v/>
      </c>
      <c r="AL38" s="876">
        <f>+(AL13/AL16)*AL26</f>
        <v/>
      </c>
      <c r="AM38" s="876">
        <f>+(AM13/AM16)*AM26</f>
        <v/>
      </c>
      <c r="AN38" s="876">
        <f>+(AN13/AN16)*AN26</f>
        <v/>
      </c>
      <c r="AO38" s="876">
        <f>+(AO13/AO16)*AO26</f>
        <v/>
      </c>
      <c r="AP38" s="876">
        <f>+(AP13/AP16)*AP26</f>
        <v/>
      </c>
      <c r="AQ38" s="876">
        <f>+(AQ13/AQ16)*AQ26</f>
        <v/>
      </c>
      <c r="AR38" s="876">
        <f>+(AR13/AR16)*AR26</f>
        <v/>
      </c>
      <c r="AS38" s="876">
        <f>+(AS13/AS16)*AS26</f>
        <v/>
      </c>
      <c r="AT38" s="876">
        <f>+(AT13/AT16)*AT26</f>
        <v/>
      </c>
      <c r="AU38" s="876">
        <f>+(AU13/AU16)*AU26</f>
        <v/>
      </c>
      <c r="AV38" s="876">
        <f>+(AV13/AV16)*AV26</f>
        <v/>
      </c>
      <c r="AW38" s="892">
        <f>+(AW13/AW16)*AW26</f>
        <v/>
      </c>
      <c r="AX38" s="895">
        <f>+(AX13/AX16)*AX26</f>
        <v/>
      </c>
      <c r="AY38" s="894">
        <f>+(AY13/AY16)*AY26</f>
        <v/>
      </c>
      <c r="AZ38" s="895">
        <f>+(AZ13/AZ16)*AZ26</f>
        <v/>
      </c>
      <c r="BA38" s="895">
        <f>+(BA13/BA16)*BA26</f>
        <v/>
      </c>
      <c r="BB38" s="895">
        <f>+(BB13/BB16)*BB26</f>
        <v/>
      </c>
      <c r="BC38" s="895">
        <f>+(BC13/BC16)*BC26</f>
        <v/>
      </c>
      <c r="BD38" s="895">
        <f>+(BD13/BD16)*BD26</f>
        <v/>
      </c>
      <c r="BE38" s="895">
        <f>+(BE13/BE16)*BE26</f>
        <v/>
      </c>
      <c r="BF38" s="895">
        <f>+(BF13/BF16)*BF26</f>
        <v/>
      </c>
      <c r="BG38" s="895">
        <f>+(BG13/BG16)*BG26</f>
        <v/>
      </c>
      <c r="BH38" s="895">
        <f>+(BH13/BH16)*BH26</f>
        <v/>
      </c>
      <c r="BI38" s="895">
        <f>+(BI13/BI16)*BI26</f>
        <v/>
      </c>
      <c r="BJ38" s="895">
        <f>+(BJ13/BJ16)*BJ26</f>
        <v/>
      </c>
      <c r="BK38" s="896">
        <f>+(BK13/BK16)*BK26</f>
        <v/>
      </c>
      <c r="BL38" s="895">
        <f>+(BL13/BL16)*BL26</f>
        <v/>
      </c>
      <c r="BM38" s="895">
        <f>+(BM13/BM16)*BM26</f>
        <v/>
      </c>
      <c r="BN38" s="895">
        <f>+(BN13/BN16)*BN26</f>
        <v/>
      </c>
      <c r="BO38" s="895">
        <f>+(BO13/BO16)*BO26</f>
        <v/>
      </c>
      <c r="BP38" s="895">
        <f>+(BP13/BP16)*BP26</f>
        <v/>
      </c>
      <c r="BQ38" s="895">
        <f>+(BQ13/BQ16)*BQ26</f>
        <v/>
      </c>
      <c r="BR38" s="895">
        <f>+(BR13/BR16)*BR26</f>
        <v/>
      </c>
      <c r="BS38" s="895">
        <f>+(BS13/BS16)*BS26</f>
        <v/>
      </c>
      <c r="BT38" s="895">
        <f>+(BT13/BT16)*BT26</f>
        <v/>
      </c>
      <c r="BU38" s="895">
        <f>+(BU13/BU16)*BU26</f>
        <v/>
      </c>
      <c r="BV38" s="895">
        <f>+(BV13/BV16)*BV26</f>
        <v/>
      </c>
      <c r="BW38" s="896">
        <f>+(BW13/BW16)*BW26</f>
        <v/>
      </c>
      <c r="BX38" s="895">
        <f>+(BX13/BX16)*BX26</f>
        <v/>
      </c>
      <c r="BY38" s="895">
        <f>+(BY13/BY16)*BY26</f>
        <v/>
      </c>
      <c r="BZ38" s="895">
        <f>+(BZ13/BZ16)*BZ26</f>
        <v/>
      </c>
      <c r="CA38" s="895">
        <f>+(CA13/CA16)*CA26</f>
        <v/>
      </c>
      <c r="CB38" s="895">
        <f>+(CB13/CB16)*CB26</f>
        <v/>
      </c>
      <c r="CC38" s="895">
        <f>+(CC13/CC16)*CC26</f>
        <v/>
      </c>
      <c r="CD38" s="895">
        <f>+(CD13/CD16)*CD26</f>
        <v/>
      </c>
      <c r="CE38" s="895">
        <f>+(CE13/CE16)*CE26</f>
        <v/>
      </c>
      <c r="CF38" s="895">
        <f>+(CF13/CF16)*CF26</f>
        <v/>
      </c>
      <c r="CG38" s="895">
        <f>+(CG13/CG16)*CG26</f>
        <v/>
      </c>
      <c r="CH38" s="895">
        <f>+(CH13/CH16)*CH26</f>
        <v/>
      </c>
      <c r="CI38" s="896">
        <f>+(CI13/CI16)*CI26</f>
        <v/>
      </c>
      <c r="CJ38" s="895">
        <f>+(CJ13/CJ16)*CJ26</f>
        <v/>
      </c>
      <c r="CK38" s="895">
        <f>+(CK13/CK16)*CK26</f>
        <v/>
      </c>
      <c r="CL38" s="895">
        <f>+(CL13/CL16)*CL26</f>
        <v/>
      </c>
      <c r="CM38" s="895">
        <f>+(CM13/CM16)*CM26</f>
        <v/>
      </c>
      <c r="CN38" s="895">
        <f>+(CN13/CN16)*CN26</f>
        <v/>
      </c>
      <c r="CO38" s="895">
        <f>+(CO13/CO16)*CO26</f>
        <v/>
      </c>
      <c r="CP38" s="895">
        <f>+(CP13/CP16)*CP26</f>
        <v/>
      </c>
      <c r="CQ38" s="895">
        <f>+(CQ13/CQ16)*CQ26</f>
        <v/>
      </c>
      <c r="CR38" s="895">
        <f>+(CR13/CR16)*CR26</f>
        <v/>
      </c>
      <c r="CS38" s="895">
        <f>+(CS13/CS16)*CS26</f>
        <v/>
      </c>
      <c r="CT38" s="895">
        <f>+(CT13/CT16)*CT26</f>
        <v/>
      </c>
      <c r="CU38" s="896">
        <f>+(CU13/CU16)*CU26</f>
        <v/>
      </c>
      <c r="CV38" s="895">
        <f>+(CV13/CV16)*CV26</f>
        <v/>
      </c>
      <c r="CW38" s="895">
        <f>+(CW13/CW16)*CW26</f>
        <v/>
      </c>
      <c r="CX38" s="895">
        <f>+(CX13/CX16)*CX26</f>
        <v/>
      </c>
      <c r="CY38" s="895">
        <f>+(CY13/CY16)*CY26</f>
        <v/>
      </c>
      <c r="CZ38" s="895">
        <f>+(CZ13/CZ16)*CZ26</f>
        <v/>
      </c>
      <c r="DA38" s="895">
        <f>+(DA13/DA16)*DA26</f>
        <v/>
      </c>
      <c r="DB38" s="895">
        <f>+(DB13/DB16)*DB26</f>
        <v/>
      </c>
      <c r="DC38" s="895">
        <f>+(DC13/DC16)*DC26</f>
        <v/>
      </c>
      <c r="DD38" s="895">
        <f>+(DD13/DD16)*DD26</f>
        <v/>
      </c>
      <c r="DE38" s="895">
        <f>+(DE13/DE16)*DE26</f>
        <v/>
      </c>
      <c r="DF38" s="895">
        <f>+(DF13/DF16)*DF26</f>
        <v/>
      </c>
      <c r="DG38" s="894">
        <f>+(DG13/DG16)*DG26</f>
        <v/>
      </c>
    </row>
    <row r="39" ht="18.75" customHeight="1" s="627">
      <c r="A39" s="35" t="n"/>
      <c r="B39" s="35" t="n"/>
      <c r="C39" s="608" t="inlineStr">
        <is>
          <t>Lifetime Revenue</t>
        </is>
      </c>
      <c r="D39" s="876" t="n"/>
      <c r="E39" s="876" t="n"/>
      <c r="F39" s="876" t="n"/>
      <c r="G39" s="876" t="n"/>
      <c r="H39" s="876" t="n"/>
      <c r="I39" s="876" t="n"/>
      <c r="J39" s="876" t="n"/>
      <c r="K39" s="876" t="n"/>
      <c r="L39" s="876">
        <f>+L38*L37</f>
        <v/>
      </c>
      <c r="M39" s="876">
        <f>+M38*M37</f>
        <v/>
      </c>
      <c r="N39" s="876">
        <f>+N38*N37</f>
        <v/>
      </c>
      <c r="O39" s="876">
        <f>+O38*O37</f>
        <v/>
      </c>
      <c r="P39" s="876">
        <f>+P38*P37</f>
        <v/>
      </c>
      <c r="Q39" s="876">
        <f>+Q38*Q37</f>
        <v/>
      </c>
      <c r="R39" s="876">
        <f>+R38*R37</f>
        <v/>
      </c>
      <c r="S39" s="876">
        <f>+S38*S37</f>
        <v/>
      </c>
      <c r="T39" s="876">
        <f>+T38*T37</f>
        <v/>
      </c>
      <c r="U39" s="876">
        <f>+U38*U37</f>
        <v/>
      </c>
      <c r="V39" s="876">
        <f>+V38*V37</f>
        <v/>
      </c>
      <c r="W39" s="876">
        <f>+W38*W37</f>
        <v/>
      </c>
      <c r="X39" s="876">
        <f>+X38*X37</f>
        <v/>
      </c>
      <c r="Y39" s="876">
        <f>+Y38*Y37</f>
        <v/>
      </c>
      <c r="Z39" s="876">
        <f>+Z38*Z37</f>
        <v/>
      </c>
      <c r="AA39" s="876">
        <f>+AA38*AA37</f>
        <v/>
      </c>
      <c r="AB39" s="876">
        <f>+AB38*AB37</f>
        <v/>
      </c>
      <c r="AC39" s="876">
        <f>+AC38*AC37</f>
        <v/>
      </c>
      <c r="AD39" s="876">
        <f>+AD38*AD37</f>
        <v/>
      </c>
      <c r="AE39" s="876">
        <f>+AE38*AE37</f>
        <v/>
      </c>
      <c r="AF39" s="876">
        <f>+AF38*AF37</f>
        <v/>
      </c>
      <c r="AG39" s="876">
        <f>+AG38*AG37</f>
        <v/>
      </c>
      <c r="AH39" s="876">
        <f>+AH38*AH37</f>
        <v/>
      </c>
      <c r="AI39" s="876">
        <f>+AI38*AI37</f>
        <v/>
      </c>
      <c r="AJ39" s="876">
        <f>+AJ38*AJ37</f>
        <v/>
      </c>
      <c r="AK39" s="876">
        <f>+AK38*AK37</f>
        <v/>
      </c>
      <c r="AL39" s="876">
        <f>+AL38*AL37</f>
        <v/>
      </c>
      <c r="AM39" s="876">
        <f>+AM38*AM37</f>
        <v/>
      </c>
      <c r="AN39" s="876">
        <f>+AN38*AN37</f>
        <v/>
      </c>
      <c r="AO39" s="876">
        <f>+AO38*AO37</f>
        <v/>
      </c>
      <c r="AP39" s="876">
        <f>+AP38*AP37</f>
        <v/>
      </c>
      <c r="AQ39" s="876">
        <f>+AQ38*AQ37</f>
        <v/>
      </c>
      <c r="AR39" s="876">
        <f>+AR38*AR37</f>
        <v/>
      </c>
      <c r="AS39" s="876">
        <f>+AS38*AS37</f>
        <v/>
      </c>
      <c r="AT39" s="876">
        <f>+AT38*AT37</f>
        <v/>
      </c>
      <c r="AU39" s="876">
        <f>+AU38*AU37</f>
        <v/>
      </c>
      <c r="AV39" s="876">
        <f>+AV38*AV37</f>
        <v/>
      </c>
      <c r="AW39" s="892">
        <f>+AW38*AW37</f>
        <v/>
      </c>
      <c r="AX39" s="895">
        <f>+AX38*AX37</f>
        <v/>
      </c>
      <c r="AY39" s="894">
        <f>+AY38*AY37</f>
        <v/>
      </c>
      <c r="AZ39" s="895">
        <f>+AZ38*AZ37</f>
        <v/>
      </c>
      <c r="BA39" s="895">
        <f>+BA38*BA37</f>
        <v/>
      </c>
      <c r="BB39" s="895">
        <f>+BB38*BB37</f>
        <v/>
      </c>
      <c r="BC39" s="895">
        <f>+BC38*BC37</f>
        <v/>
      </c>
      <c r="BD39" s="895">
        <f>+BD38*BD37</f>
        <v/>
      </c>
      <c r="BE39" s="895">
        <f>+BE38*BE37</f>
        <v/>
      </c>
      <c r="BF39" s="895">
        <f>+BF38*BF37</f>
        <v/>
      </c>
      <c r="BG39" s="895">
        <f>+BG38*BG37</f>
        <v/>
      </c>
      <c r="BH39" s="895">
        <f>+BH38*BH37</f>
        <v/>
      </c>
      <c r="BI39" s="895">
        <f>+BI38*BI37</f>
        <v/>
      </c>
      <c r="BJ39" s="895">
        <f>+BJ38*BJ37</f>
        <v/>
      </c>
      <c r="BK39" s="896">
        <f>+BK38*BK37</f>
        <v/>
      </c>
      <c r="BL39" s="895">
        <f>+BL38*BL37</f>
        <v/>
      </c>
      <c r="BM39" s="895">
        <f>+BM38*BM37</f>
        <v/>
      </c>
      <c r="BN39" s="895">
        <f>+BN38*BN37</f>
        <v/>
      </c>
      <c r="BO39" s="895">
        <f>+BO38*BO37</f>
        <v/>
      </c>
      <c r="BP39" s="895">
        <f>+BP38*BP37</f>
        <v/>
      </c>
      <c r="BQ39" s="895">
        <f>+BQ38*BQ37</f>
        <v/>
      </c>
      <c r="BR39" s="895">
        <f>+BR38*BR37</f>
        <v/>
      </c>
      <c r="BS39" s="895">
        <f>+BS38*BS37</f>
        <v/>
      </c>
      <c r="BT39" s="895">
        <f>+BT38*BT37</f>
        <v/>
      </c>
      <c r="BU39" s="895">
        <f>+BU38*BU37</f>
        <v/>
      </c>
      <c r="BV39" s="895">
        <f>+BV38*BV37</f>
        <v/>
      </c>
      <c r="BW39" s="896">
        <f>+BW38*BW37</f>
        <v/>
      </c>
      <c r="BX39" s="895">
        <f>+BX38*BX37</f>
        <v/>
      </c>
      <c r="BY39" s="895">
        <f>+BY38*BY37</f>
        <v/>
      </c>
      <c r="BZ39" s="895">
        <f>+BZ38*BZ37</f>
        <v/>
      </c>
      <c r="CA39" s="895">
        <f>+CA38*CA37</f>
        <v/>
      </c>
      <c r="CB39" s="895">
        <f>+CB38*CB37</f>
        <v/>
      </c>
      <c r="CC39" s="895">
        <f>+CC38*CC37</f>
        <v/>
      </c>
      <c r="CD39" s="895">
        <f>+CD38*CD37</f>
        <v/>
      </c>
      <c r="CE39" s="895">
        <f>+CE38*CE37</f>
        <v/>
      </c>
      <c r="CF39" s="895">
        <f>+CF38*CF37</f>
        <v/>
      </c>
      <c r="CG39" s="895">
        <f>+CG38*CG37</f>
        <v/>
      </c>
      <c r="CH39" s="895">
        <f>+CH38*CH37</f>
        <v/>
      </c>
      <c r="CI39" s="896">
        <f>+CI38*CI37</f>
        <v/>
      </c>
      <c r="CJ39" s="895">
        <f>+CJ38*CJ37</f>
        <v/>
      </c>
      <c r="CK39" s="895">
        <f>+CK38*CK37</f>
        <v/>
      </c>
      <c r="CL39" s="895">
        <f>+CL38*CL37</f>
        <v/>
      </c>
      <c r="CM39" s="895">
        <f>+CM38*CM37</f>
        <v/>
      </c>
      <c r="CN39" s="895">
        <f>+CN38*CN37</f>
        <v/>
      </c>
      <c r="CO39" s="895">
        <f>+CO38*CO37</f>
        <v/>
      </c>
      <c r="CP39" s="895">
        <f>+CP38*CP37</f>
        <v/>
      </c>
      <c r="CQ39" s="895">
        <f>+CQ38*CQ37</f>
        <v/>
      </c>
      <c r="CR39" s="895">
        <f>+CR38*CR37</f>
        <v/>
      </c>
      <c r="CS39" s="895">
        <f>+CS38*CS37</f>
        <v/>
      </c>
      <c r="CT39" s="895">
        <f>+CT38*CT37</f>
        <v/>
      </c>
      <c r="CU39" s="896">
        <f>+CU38*CU37</f>
        <v/>
      </c>
      <c r="CV39" s="895">
        <f>+CV38*CV37</f>
        <v/>
      </c>
      <c r="CW39" s="895">
        <f>+CW38*CW37</f>
        <v/>
      </c>
      <c r="CX39" s="895">
        <f>+CX38*CX37</f>
        <v/>
      </c>
      <c r="CY39" s="895">
        <f>+CY38*CY37</f>
        <v/>
      </c>
      <c r="CZ39" s="895">
        <f>+CZ38*CZ37</f>
        <v/>
      </c>
      <c r="DA39" s="895">
        <f>+DA38*DA37</f>
        <v/>
      </c>
      <c r="DB39" s="895">
        <f>+DB38*DB37</f>
        <v/>
      </c>
      <c r="DC39" s="895">
        <f>+DC38*DC37</f>
        <v/>
      </c>
      <c r="DD39" s="895">
        <f>+DD38*DD37</f>
        <v/>
      </c>
      <c r="DE39" s="895">
        <f>+DE38*DE37</f>
        <v/>
      </c>
      <c r="DF39" s="895">
        <f>+DF38*DF37</f>
        <v/>
      </c>
      <c r="DG39" s="894">
        <f>+DG38*DG37</f>
        <v/>
      </c>
    </row>
    <row r="40" ht="18.75" customHeight="1" s="627">
      <c r="A40" s="35" t="n"/>
      <c r="B40" s="35" t="n"/>
      <c r="C40" s="608" t="inlineStr">
        <is>
          <t>GM%</t>
        </is>
      </c>
      <c r="D40" s="876" t="n"/>
      <c r="E40" s="876" t="n"/>
      <c r="F40" s="876" t="n"/>
      <c r="G40" s="876" t="n"/>
      <c r="H40" s="876" t="n"/>
      <c r="I40" s="900" t="n"/>
      <c r="J40" s="900" t="n"/>
      <c r="K40" s="900" t="n"/>
      <c r="L40" s="900">
        <f>+L92/L13</f>
        <v/>
      </c>
      <c r="M40" s="900">
        <f>+M92/M13</f>
        <v/>
      </c>
      <c r="N40" s="900">
        <f>+N92/N13</f>
        <v/>
      </c>
      <c r="O40" s="900">
        <f>+O92/O13</f>
        <v/>
      </c>
      <c r="P40" s="906">
        <f>+P92/P13</f>
        <v/>
      </c>
      <c r="Q40" s="906" t="n">
        <v>0</v>
      </c>
      <c r="R40" s="906" t="n">
        <v>0</v>
      </c>
      <c r="S40" s="906" t="n">
        <v>0</v>
      </c>
      <c r="T40" s="906" t="n">
        <v>0</v>
      </c>
      <c r="U40" s="906" t="n">
        <v>0</v>
      </c>
      <c r="V40" s="906" t="n">
        <v>0</v>
      </c>
      <c r="W40" s="906">
        <f>+W92/W13</f>
        <v/>
      </c>
      <c r="X40" s="906">
        <f>+X92/X13</f>
        <v/>
      </c>
      <c r="Y40" s="906">
        <f>+Y92/Y13</f>
        <v/>
      </c>
      <c r="Z40" s="906">
        <f>+Z92/Z13</f>
        <v/>
      </c>
      <c r="AA40" s="906">
        <f>+AA92/AA13</f>
        <v/>
      </c>
      <c r="AB40" s="906">
        <f>+AB65/AB13</f>
        <v/>
      </c>
      <c r="AC40" s="906">
        <f>+AC65/AC13</f>
        <v/>
      </c>
      <c r="AD40" s="906">
        <f>+AD65/AD13</f>
        <v/>
      </c>
      <c r="AE40" s="906">
        <f>+AE65/AE13</f>
        <v/>
      </c>
      <c r="AF40" s="906">
        <f>+AF65/AF13</f>
        <v/>
      </c>
      <c r="AG40" s="906">
        <f>+AG65/AG13</f>
        <v/>
      </c>
      <c r="AH40" s="906">
        <f>+AH65/AH13</f>
        <v/>
      </c>
      <c r="AI40" s="906">
        <f>+AI65/AI13</f>
        <v/>
      </c>
      <c r="AJ40" s="906">
        <f>+AJ65/AJ13</f>
        <v/>
      </c>
      <c r="AK40" s="906">
        <f>+AK65/AK13</f>
        <v/>
      </c>
      <c r="AL40" s="906">
        <f>+AL65/AL13</f>
        <v/>
      </c>
      <c r="AM40" s="906">
        <f>+AM65/AM13</f>
        <v/>
      </c>
      <c r="AN40" s="906">
        <f>+AN65/AN13</f>
        <v/>
      </c>
      <c r="AO40" s="906">
        <f>+AO65/AO13</f>
        <v/>
      </c>
      <c r="AP40" s="906">
        <f>+AP65/AP13</f>
        <v/>
      </c>
      <c r="AQ40" s="906">
        <f>+AQ65/AQ13</f>
        <v/>
      </c>
      <c r="AR40" s="906">
        <f>+AR65/AR13</f>
        <v/>
      </c>
      <c r="AS40" s="906">
        <f>+AS65/AS13</f>
        <v/>
      </c>
      <c r="AT40" s="906">
        <f>+AT65/AT13</f>
        <v/>
      </c>
      <c r="AU40" s="906">
        <f>+AU65/AU13</f>
        <v/>
      </c>
      <c r="AV40" s="906">
        <f>+AV65/AV13</f>
        <v/>
      </c>
      <c r="AW40" s="907">
        <f>+AW65/AW13</f>
        <v/>
      </c>
      <c r="AX40" s="872">
        <f>+AX65/AX13</f>
        <v/>
      </c>
      <c r="AY40" s="873">
        <f>+AY65/AY13</f>
        <v/>
      </c>
      <c r="AZ40" s="872">
        <f>+AZ65/AZ13</f>
        <v/>
      </c>
      <c r="BA40" s="872">
        <f>+BA65/BA13</f>
        <v/>
      </c>
      <c r="BB40" s="872">
        <f>+BB65/BB13</f>
        <v/>
      </c>
      <c r="BC40" s="872">
        <f>+BC65/BC13</f>
        <v/>
      </c>
      <c r="BD40" s="872">
        <f>+BD65/BD13</f>
        <v/>
      </c>
      <c r="BE40" s="872">
        <f>+BE65/BE13</f>
        <v/>
      </c>
      <c r="BF40" s="872">
        <f>+BF65/BF13</f>
        <v/>
      </c>
      <c r="BG40" s="872">
        <f>+BG65/BG13</f>
        <v/>
      </c>
      <c r="BH40" s="872">
        <f>+BH65/BH13</f>
        <v/>
      </c>
      <c r="BI40" s="872">
        <f>+BI65/BI13</f>
        <v/>
      </c>
      <c r="BJ40" s="872">
        <f>+BJ65/BJ13</f>
        <v/>
      </c>
      <c r="BK40" s="874">
        <f>+BK65/BK13</f>
        <v/>
      </c>
      <c r="BL40" s="872">
        <f>+BL65/BL13</f>
        <v/>
      </c>
      <c r="BM40" s="872">
        <f>+BM65/BM13</f>
        <v/>
      </c>
      <c r="BN40" s="872">
        <f>+BN65/BN13</f>
        <v/>
      </c>
      <c r="BO40" s="872">
        <f>+BO65/BO13</f>
        <v/>
      </c>
      <c r="BP40" s="872">
        <f>+BP65/BP13</f>
        <v/>
      </c>
      <c r="BQ40" s="872">
        <f>+BQ65/BQ13</f>
        <v/>
      </c>
      <c r="BR40" s="872">
        <f>+BR65/BR13</f>
        <v/>
      </c>
      <c r="BS40" s="872">
        <f>+BS65/BS13</f>
        <v/>
      </c>
      <c r="BT40" s="872">
        <f>+BT65/BT13</f>
        <v/>
      </c>
      <c r="BU40" s="872">
        <f>+BU65/BU13</f>
        <v/>
      </c>
      <c r="BV40" s="872">
        <f>+BV65/BV13</f>
        <v/>
      </c>
      <c r="BW40" s="874">
        <f>+BW65/BW13</f>
        <v/>
      </c>
      <c r="BX40" s="872">
        <f>+BX65/BX13</f>
        <v/>
      </c>
      <c r="BY40" s="872">
        <f>+BY65/BY13</f>
        <v/>
      </c>
      <c r="BZ40" s="872">
        <f>+BZ65/BZ13</f>
        <v/>
      </c>
      <c r="CA40" s="872">
        <f>+CA65/CA13</f>
        <v/>
      </c>
      <c r="CB40" s="872">
        <f>+CB65/CB13</f>
        <v/>
      </c>
      <c r="CC40" s="872">
        <f>+CC65/CC13</f>
        <v/>
      </c>
      <c r="CD40" s="872">
        <f>+CD65/CD13</f>
        <v/>
      </c>
      <c r="CE40" s="872">
        <f>+CE65/CE13</f>
        <v/>
      </c>
      <c r="CF40" s="872">
        <f>+CF65/CF13</f>
        <v/>
      </c>
      <c r="CG40" s="872">
        <f>+CG65/CG13</f>
        <v/>
      </c>
      <c r="CH40" s="872">
        <f>+CH65/CH13</f>
        <v/>
      </c>
      <c r="CI40" s="874">
        <f>+CI65/CI13</f>
        <v/>
      </c>
      <c r="CJ40" s="872">
        <f>+CJ65/CJ13</f>
        <v/>
      </c>
      <c r="CK40" s="872">
        <f>+CK65/CK13</f>
        <v/>
      </c>
      <c r="CL40" s="872">
        <f>+CL65/CL13</f>
        <v/>
      </c>
      <c r="CM40" s="872">
        <f>+CM65/CM13</f>
        <v/>
      </c>
      <c r="CN40" s="872">
        <f>+CN65/CN13</f>
        <v/>
      </c>
      <c r="CO40" s="872">
        <f>+CO65/CO13</f>
        <v/>
      </c>
      <c r="CP40" s="872">
        <f>+CP65/CP13</f>
        <v/>
      </c>
      <c r="CQ40" s="872">
        <f>+CQ65/CQ13</f>
        <v/>
      </c>
      <c r="CR40" s="872">
        <f>+CR65/CR13</f>
        <v/>
      </c>
      <c r="CS40" s="872">
        <f>+CS65/CS13</f>
        <v/>
      </c>
      <c r="CT40" s="872">
        <f>+CT65/CT13</f>
        <v/>
      </c>
      <c r="CU40" s="874">
        <f>+CU65/CU13</f>
        <v/>
      </c>
      <c r="CV40" s="872">
        <f>+CV65/CV13</f>
        <v/>
      </c>
      <c r="CW40" s="872">
        <f>+CW65/CW13</f>
        <v/>
      </c>
      <c r="CX40" s="872">
        <f>+CX65/CX13</f>
        <v/>
      </c>
      <c r="CY40" s="872">
        <f>+CY65/CY13</f>
        <v/>
      </c>
      <c r="CZ40" s="872">
        <f>+CZ65/CZ13</f>
        <v/>
      </c>
      <c r="DA40" s="872">
        <f>+DA65/DA13</f>
        <v/>
      </c>
      <c r="DB40" s="872">
        <f>+DB65/DB13</f>
        <v/>
      </c>
      <c r="DC40" s="872">
        <f>+DC65/DC13</f>
        <v/>
      </c>
      <c r="DD40" s="872">
        <f>+DD65/DD13</f>
        <v/>
      </c>
      <c r="DE40" s="872">
        <f>+DE65/DE13</f>
        <v/>
      </c>
      <c r="DF40" s="872">
        <f>+DF65/DF13</f>
        <v/>
      </c>
      <c r="DG40" s="873">
        <f>+DG65/DG13</f>
        <v/>
      </c>
    </row>
    <row r="41" ht="18.75" customHeight="1" s="627">
      <c r="A41" s="35" t="n"/>
      <c r="B41" s="35" t="n"/>
      <c r="C41" s="608" t="inlineStr">
        <is>
          <t>MRR</t>
        </is>
      </c>
      <c r="D41" s="876" t="n"/>
      <c r="E41" s="876" t="n"/>
      <c r="F41" s="876" t="n"/>
      <c r="G41" s="876" t="n"/>
      <c r="H41" s="876" t="n"/>
      <c r="I41" s="900" t="n"/>
      <c r="J41" s="900" t="n"/>
      <c r="K41" s="900" t="n"/>
      <c r="L41" s="900" t="n"/>
      <c r="M41" s="900" t="n"/>
      <c r="N41" s="900" t="n"/>
      <c r="O41" s="900" t="n"/>
      <c r="P41" s="906" t="n"/>
      <c r="Q41" s="906" t="n"/>
      <c r="R41" s="906" t="n"/>
      <c r="S41" s="906" t="n"/>
      <c r="T41" s="906" t="n"/>
      <c r="U41" s="906" t="n"/>
      <c r="V41" s="906" t="n"/>
      <c r="W41" s="908">
        <f>+(W38)*W17*W26</f>
        <v/>
      </c>
      <c r="X41" s="908">
        <f>+(X38)*X17*X26</f>
        <v/>
      </c>
      <c r="Y41" s="908">
        <f>+(Y38)*Y17*Y26</f>
        <v/>
      </c>
      <c r="Z41" s="908">
        <f>+(Z38)*Z17*Z26</f>
        <v/>
      </c>
      <c r="AA41" s="908">
        <f>+(AA38)*AA17*AA26</f>
        <v/>
      </c>
      <c r="AB41" s="908">
        <f>+(AB38)*AB17</f>
        <v/>
      </c>
      <c r="AC41" s="908">
        <f>+(AC38)*AC17</f>
        <v/>
      </c>
      <c r="AD41" s="908">
        <f>+(AD38)*AD17</f>
        <v/>
      </c>
      <c r="AE41" s="908">
        <f>+(AE38)*AE17</f>
        <v/>
      </c>
      <c r="AF41" s="908">
        <f>+(AF38)*AF17</f>
        <v/>
      </c>
      <c r="AG41" s="908">
        <f>+(AG38)*AG17</f>
        <v/>
      </c>
      <c r="AH41" s="908">
        <f>+(AH38)*AH17</f>
        <v/>
      </c>
      <c r="AI41" s="908">
        <f>+(AI38)*AI17</f>
        <v/>
      </c>
      <c r="AJ41" s="908">
        <f>+(AJ38)*AJ17</f>
        <v/>
      </c>
      <c r="AK41" s="908">
        <f>+(AK38)*AK17</f>
        <v/>
      </c>
      <c r="AL41" s="908">
        <f>+(AL38)*AL17</f>
        <v/>
      </c>
      <c r="AM41" s="908">
        <f>+(AM38)*AM17</f>
        <v/>
      </c>
      <c r="AN41" s="908">
        <f>+(AN38)*AN17</f>
        <v/>
      </c>
      <c r="AO41" s="908">
        <f>+(AO38)*AO17</f>
        <v/>
      </c>
      <c r="AP41" s="908">
        <f>+(AP38)*AP17</f>
        <v/>
      </c>
      <c r="AQ41" s="908">
        <f>+(AQ38)*AQ17</f>
        <v/>
      </c>
      <c r="AR41" s="908">
        <f>+(AR38)*AR17</f>
        <v/>
      </c>
      <c r="AS41" s="908">
        <f>+(AS38)*AS17</f>
        <v/>
      </c>
      <c r="AT41" s="908">
        <f>+(AT38)*AT17</f>
        <v/>
      </c>
      <c r="AU41" s="908">
        <f>+(AU38)*AU17</f>
        <v/>
      </c>
      <c r="AV41" s="908">
        <f>+(AV38)*AV17</f>
        <v/>
      </c>
      <c r="AW41" s="909">
        <f>+(AW38)*AW17</f>
        <v/>
      </c>
      <c r="AX41" s="910">
        <f>+(AX38)*AX17</f>
        <v/>
      </c>
      <c r="AY41" s="911">
        <f>+(AY38)*AY17</f>
        <v/>
      </c>
      <c r="AZ41" s="910">
        <f>+(AZ38)*AZ17</f>
        <v/>
      </c>
      <c r="BA41" s="910">
        <f>+(BA38)*BA17</f>
        <v/>
      </c>
      <c r="BB41" s="910">
        <f>+(BB38)*BB17</f>
        <v/>
      </c>
      <c r="BC41" s="910">
        <f>+(BC38)*BC17</f>
        <v/>
      </c>
      <c r="BD41" s="910">
        <f>+(BD38)*BD17</f>
        <v/>
      </c>
      <c r="BE41" s="910">
        <f>+(BE38)*BE17</f>
        <v/>
      </c>
      <c r="BF41" s="910">
        <f>+(BF38)*BF17</f>
        <v/>
      </c>
      <c r="BG41" s="910">
        <f>+(BG38)*BG17</f>
        <v/>
      </c>
      <c r="BH41" s="910">
        <f>+(BH38)*BH17</f>
        <v/>
      </c>
      <c r="BI41" s="910">
        <f>+(BI38)*BI17</f>
        <v/>
      </c>
      <c r="BJ41" s="910">
        <f>+(BJ38)*BJ17</f>
        <v/>
      </c>
      <c r="BK41" s="912">
        <f>+(BK38)*BK17</f>
        <v/>
      </c>
      <c r="BL41" s="910">
        <f>+(BL38)*BL17</f>
        <v/>
      </c>
      <c r="BM41" s="910">
        <f>+(BM38)*BM17</f>
        <v/>
      </c>
      <c r="BN41" s="910">
        <f>+(BN38)*BN17</f>
        <v/>
      </c>
      <c r="BO41" s="910">
        <f>+(BO38)*BO17</f>
        <v/>
      </c>
      <c r="BP41" s="910">
        <f>+(BP38)*BP17</f>
        <v/>
      </c>
      <c r="BQ41" s="910">
        <f>+(BQ38)*BQ17</f>
        <v/>
      </c>
      <c r="BR41" s="910">
        <f>+(BR38)*BR17</f>
        <v/>
      </c>
      <c r="BS41" s="910">
        <f>+(BS38)*BS17</f>
        <v/>
      </c>
      <c r="BT41" s="910">
        <f>+(BT38)*BT17</f>
        <v/>
      </c>
      <c r="BU41" s="910">
        <f>+(BU38)*BU17</f>
        <v/>
      </c>
      <c r="BV41" s="910">
        <f>+(BV38)*BV17</f>
        <v/>
      </c>
      <c r="BW41" s="912">
        <f>+(BW38)*BW17</f>
        <v/>
      </c>
      <c r="BX41" s="910">
        <f>+(BX38)*BX17</f>
        <v/>
      </c>
      <c r="BY41" s="910">
        <f>+(BY38)*BY17</f>
        <v/>
      </c>
      <c r="BZ41" s="910">
        <f>+(BZ38)*BZ17</f>
        <v/>
      </c>
      <c r="CA41" s="910">
        <f>+(CA38)*CA17</f>
        <v/>
      </c>
      <c r="CB41" s="910">
        <f>+(CB38)*CB17</f>
        <v/>
      </c>
      <c r="CC41" s="910">
        <f>+(CC38)*CC17</f>
        <v/>
      </c>
      <c r="CD41" s="910">
        <f>+(CD38)*CD17</f>
        <v/>
      </c>
      <c r="CE41" s="910">
        <f>+(CE38)*CE17</f>
        <v/>
      </c>
      <c r="CF41" s="910">
        <f>+(CF38)*CF17</f>
        <v/>
      </c>
      <c r="CG41" s="910">
        <f>+(CG38)*CG17</f>
        <v/>
      </c>
      <c r="CH41" s="910">
        <f>+(CH38)*CH17</f>
        <v/>
      </c>
      <c r="CI41" s="912">
        <f>+(CI38)*CI17</f>
        <v/>
      </c>
      <c r="CJ41" s="910">
        <f>+(CJ38)*CJ17</f>
        <v/>
      </c>
      <c r="CK41" s="910">
        <f>+(CK38)*CK17</f>
        <v/>
      </c>
      <c r="CL41" s="910">
        <f>+(CL38)*CL17</f>
        <v/>
      </c>
      <c r="CM41" s="910">
        <f>+(CM38)*CM17</f>
        <v/>
      </c>
      <c r="CN41" s="910">
        <f>+(CN38)*CN17</f>
        <v/>
      </c>
      <c r="CO41" s="910">
        <f>+(CO38)*CO17</f>
        <v/>
      </c>
      <c r="CP41" s="910">
        <f>+(CP38)*CP17</f>
        <v/>
      </c>
      <c r="CQ41" s="910">
        <f>+(CQ38)*CQ17</f>
        <v/>
      </c>
      <c r="CR41" s="910">
        <f>+(CR38)*CR17</f>
        <v/>
      </c>
      <c r="CS41" s="910">
        <f>+(CS38)*CS17</f>
        <v/>
      </c>
      <c r="CT41" s="910">
        <f>+(CT38)*CT17</f>
        <v/>
      </c>
      <c r="CU41" s="912">
        <f>+(CU38)*CU17</f>
        <v/>
      </c>
      <c r="CV41" s="910">
        <f>+(CV38)*CV17</f>
        <v/>
      </c>
      <c r="CW41" s="910">
        <f>+(CW38)*CW17</f>
        <v/>
      </c>
      <c r="CX41" s="910">
        <f>+(CX38)*CX17</f>
        <v/>
      </c>
      <c r="CY41" s="910">
        <f>+(CY38)*CY17</f>
        <v/>
      </c>
      <c r="CZ41" s="910">
        <f>+(CZ38)*CZ17</f>
        <v/>
      </c>
      <c r="DA41" s="910">
        <f>+(DA38)*DA17</f>
        <v/>
      </c>
      <c r="DB41" s="910">
        <f>+(DB38)*DB17</f>
        <v/>
      </c>
      <c r="DC41" s="910">
        <f>+(DC38)*DC17</f>
        <v/>
      </c>
      <c r="DD41" s="910">
        <f>+(DD38)*DD17</f>
        <v/>
      </c>
      <c r="DE41" s="910">
        <f>+(DE38)*DE17</f>
        <v/>
      </c>
      <c r="DF41" s="910">
        <f>+(DF38)*DF17</f>
        <v/>
      </c>
      <c r="DG41" s="911">
        <f>+(DG38)*DG17</f>
        <v/>
      </c>
    </row>
    <row r="42" ht="18.75" customHeight="1" s="627">
      <c r="A42" s="35" t="n"/>
      <c r="B42" s="35" t="n"/>
      <c r="C42" s="608" t="inlineStr">
        <is>
          <t>T6M LTV</t>
        </is>
      </c>
      <c r="D42" s="876" t="n"/>
      <c r="E42" s="876" t="n"/>
      <c r="F42" s="876" t="n"/>
      <c r="G42" s="876" t="n"/>
      <c r="H42" s="876" t="n"/>
      <c r="I42" s="876" t="n"/>
      <c r="J42" s="876" t="n"/>
      <c r="K42" s="876" t="n"/>
      <c r="L42" s="876">
        <f>+IFERROR(AVERAGE(L40*L39,K40*K39, J40*J39, I40*I39,H39*H40,G39*G40), 0)</f>
        <v/>
      </c>
      <c r="M42" s="876">
        <f>+IFERROR(AVERAGE(M40*M39,L40*L39, K40*K39, J40*J39,I39*I40,H39*H40), 0)</f>
        <v/>
      </c>
      <c r="N42" s="876">
        <f>+IFERROR(AVERAGE(N40*N39,M40*M39, L40*L39, K40*K39,J39*J40,I39*I40), 0)</f>
        <v/>
      </c>
      <c r="O42" s="876">
        <f>+IFERROR(AVERAGE(O40*O39,N40*N39, M40*M39, L40*L39,K39*K40,J39*J40), 0)</f>
        <v/>
      </c>
      <c r="P42" s="876">
        <f>+IFERROR(AVERAGE(P40*P39,O40*O39, N40*N39, M40*M39,L39*L40,K39*K40), 0)</f>
        <v/>
      </c>
      <c r="Q42" s="876">
        <f>+IFERROR(AVERAGE(Q40*Q39,P40*P39, O40*O39, N40*N39,M39*M40,L39*L40), 0)</f>
        <v/>
      </c>
      <c r="R42" s="876">
        <f>+IFERROR(AVERAGE(R40*R39,Q40*Q39, P40*P39, O40*O39,N39*N40,M39*M40), 0)</f>
        <v/>
      </c>
      <c r="S42" s="876">
        <f>+IFERROR(AVERAGE(S40*S39,R40*R39, Q40*Q39, P40*P39,O39*O40,N39*N40), 0)</f>
        <v/>
      </c>
      <c r="T42" s="876">
        <f>+IFERROR(AVERAGE(T40*T39,S40*S39, R40*R39, Q40*Q39,P39*P40,O39*O40), 0)</f>
        <v/>
      </c>
      <c r="U42" s="876">
        <f>+IFERROR(AVERAGE(U40*U39,T40*T39, S40*S39, R40*R39,Q39*Q40,P39*P40), 0)</f>
        <v/>
      </c>
      <c r="V42" s="876">
        <f>+IFERROR(AVERAGE(V40*V39,U40*U39, T40*T39, S40*S39,R39*R40,Q39*Q40), 0)</f>
        <v/>
      </c>
      <c r="W42" s="876">
        <f>+IFERROR(AVERAGE(W40*W39,V40*V39, U40*U39, T40*T39,S39*S40,R39*R40), 0)</f>
        <v/>
      </c>
      <c r="X42" s="876">
        <f>+IFERROR(AVERAGE(X40*X39,W40*W39, V40*V39, U40*U39,T39*T40,S39*S40), 0)</f>
        <v/>
      </c>
      <c r="Y42" s="876">
        <f>+IFERROR(AVERAGE(Y40*Y39,X40*X39, W40*W39, V40*V39,U39*U40,T39*T40), 0)</f>
        <v/>
      </c>
      <c r="Z42" s="876">
        <f>+IFERROR(AVERAGE(Z40*Z39,Y40*Y39, X40*X39, W40*W39,V39*V40,U39*U40), 0)</f>
        <v/>
      </c>
      <c r="AA42" s="876">
        <f>+IFERROR(AVERAGE(AA40*AA39,Z40*Z39, Y40*Y39, X40*X39,W39*W40,V39*V40), 0)</f>
        <v/>
      </c>
      <c r="AB42" s="876">
        <f>+IFERROR(AVERAGE(AB40*AB39,AA40*AA39, Z40*Z39, Y40*Y39,X39*X40,W39*W40), 0)</f>
        <v/>
      </c>
      <c r="AC42" s="876">
        <f>+IFERROR(AVERAGE(AC40*AC39,AB40*AB39, AA40*AA39, Z40*Z39,Y39*Y40,X39*X40), 0)</f>
        <v/>
      </c>
      <c r="AD42" s="876">
        <f>+IFERROR(AVERAGE(AD40*AD39,AC40*AC39, AB40*AB39, AA40*AA39,Z39*Z40,Y39*Y40), 0)</f>
        <v/>
      </c>
      <c r="AE42" s="876">
        <f>+IFERROR(AVERAGE(AE40*AE39,AD40*AD39, AC40*AC39, AB40*AB39,AA39*AA40,Z39*Z40), 0)</f>
        <v/>
      </c>
      <c r="AF42" s="876">
        <f>+IFERROR(AVERAGE(AF40*AF39,AE40*AE39, AD40*AD39, AC40*AC39,AB39*AB40,AA39*AA40), 0)</f>
        <v/>
      </c>
      <c r="AG42" s="876">
        <f>+IFERROR(AVERAGE(AG40*AG39,AF40*AF39, AE40*AE39, AD40*AD39,AC39*AC40,AB39*AB40), 0)</f>
        <v/>
      </c>
      <c r="AH42" s="876">
        <f>+IFERROR(AVERAGE(AH40*AH39,AG40*AG39, AF40*AF39, AE40*AE39,AD39*AD40,AC39*AC40), 0)</f>
        <v/>
      </c>
      <c r="AI42" s="876">
        <f>+IFERROR(AVERAGE(AI40*AI39,AH40*AH39, AG40*AG39, AF40*AF39,AE39*AE40,AD39*AD40), 0)</f>
        <v/>
      </c>
      <c r="AJ42" s="876">
        <f>+IFERROR(AVERAGE(AJ40*AJ39,AI40*AI39, AH40*AH39, AG40*AG39,AF39*AF40,AE39*AE40), 0)</f>
        <v/>
      </c>
      <c r="AK42" s="876">
        <f>+IFERROR(AVERAGE(AK40*AK39,AJ40*AJ39, AI40*AI39, AH40*AH39,AG39*AG40,AF39*AF40), 0)</f>
        <v/>
      </c>
      <c r="AL42" s="876">
        <f>+IFERROR(AVERAGE(AL40*AL39,AK40*AK39, AJ40*AJ39, AI40*AI39,AH39*AH40,AG39*AG40), 0)</f>
        <v/>
      </c>
      <c r="AM42" s="876">
        <f>+IFERROR(AVERAGE(AM40*AM39,AL40*AL39, AK40*AK39, AJ40*AJ39,AI39*AI40,AH39*AH40), 0)</f>
        <v/>
      </c>
      <c r="AN42" s="876">
        <f>+IFERROR(AVERAGE(AN40*AN39,AM40*AM39, AL40*AL39, AK40*AK39,AJ39*AJ40,AI39*AI40), 0)</f>
        <v/>
      </c>
      <c r="AO42" s="876">
        <f>+IFERROR(AVERAGE(AO40*AO39,AN40*AN39, AM40*AM39, AL40*AL39,AK39*AK40,AJ39*AJ40), 0)</f>
        <v/>
      </c>
      <c r="AP42" s="876">
        <f>+IFERROR(AVERAGE(AP40*AP39,AO40*AO39, AN40*AN39, AM40*AM39,AL39*AL40,AK39*AK40), 0)</f>
        <v/>
      </c>
      <c r="AQ42" s="876">
        <f>+IFERROR(AVERAGE(AQ40*AQ39,AP40*AP39, AO40*AO39, AN40*AN39,AM39*AM40,AL39*AL40), 0)</f>
        <v/>
      </c>
      <c r="AR42" s="876">
        <f>+IFERROR(AVERAGE(AR40*AR39,AQ40*AQ39, AP40*AP39, AO40*AO39,AN39*AN40,AM39*AM40), 0)</f>
        <v/>
      </c>
      <c r="AS42" s="876">
        <f>+IFERROR(AVERAGE(AS40*AS39,AR40*AR39, AQ40*AQ39, AP40*AP39,AO39*AO40,AN39*AN40), 0)</f>
        <v/>
      </c>
      <c r="AT42" s="876">
        <f>+IFERROR(AVERAGE(AT40*AT39,AS40*AS39, AR40*AR39, AQ40*AQ39,AP39*AP40,AO39*AO40), 0)</f>
        <v/>
      </c>
      <c r="AU42" s="876">
        <f>+IFERROR(AVERAGE(AU40*AU39,AT40*AT39, AS40*AS39, AR40*AR39,AQ39*AQ40,AP39*AP40), 0)</f>
        <v/>
      </c>
      <c r="AV42" s="876">
        <f>+IFERROR(AVERAGE(AV40*AV39,AU40*AU39, AT40*AT39, AS40*AS39,AR39*AR40,AQ39*AQ40), 0)</f>
        <v/>
      </c>
      <c r="AW42" s="892">
        <f>+IFERROR(AVERAGE(AW40*AW39,AV40*AV39, AU40*AU39, AT40*AT39,AS39*AS40,AR39*AR40), 0)</f>
        <v/>
      </c>
      <c r="AX42" s="895">
        <f>+IFERROR(AVERAGE(AX40*AX39,AW40*AW39, AV40*AV39, AU40*AU39,AT39*AT40,AS39*AS40), 0)</f>
        <v/>
      </c>
      <c r="AY42" s="894">
        <f>+IFERROR(AVERAGE(AY40*AY39,AX40*AX39, AW40*AW39, AV40*AV39,AU39*AU40,AT39*AT40), 0)</f>
        <v/>
      </c>
      <c r="AZ42" s="895">
        <f>+IFERROR(AVERAGE(AZ40*AZ39,AY40*AY39, AX40*AX39, AW40*AW39,AV39*AV40,AU39*AU40), 0)</f>
        <v/>
      </c>
      <c r="BA42" s="895">
        <f>+IFERROR(AVERAGE(BA40*BA39,AZ40*AZ39, AY40*AY39, AX40*AX39,AW39*AW40,AV39*AV40), 0)</f>
        <v/>
      </c>
      <c r="BB42" s="895">
        <f>+IFERROR(AVERAGE(BB40*BB39,BA40*BA39, AZ40*AZ39, AY40*AY39,AX39*AX40,AW39*AW40), 0)</f>
        <v/>
      </c>
      <c r="BC42" s="895">
        <f>+IFERROR(AVERAGE(BC40*BC39,BB40*BB39, BA40*BA39, AZ40*AZ39,AY39*AY40,AX39*AX40), 0)</f>
        <v/>
      </c>
      <c r="BD42" s="895">
        <f>+IFERROR(AVERAGE(BD40*BD39,BC40*BC39, BB40*BB39, BA40*BA39,AZ39*AZ40,AY39*AY40), 0)</f>
        <v/>
      </c>
      <c r="BE42" s="895">
        <f>+IFERROR(AVERAGE(BE40*BE39,BD40*BD39, BC40*BC39, BB40*BB39,BA39*BA40,AZ39*AZ40), 0)</f>
        <v/>
      </c>
      <c r="BF42" s="895">
        <f>+IFERROR(AVERAGE(BF40*BF39,BE40*BE39, BD40*BD39, BC40*BC39,BB39*BB40,BA39*BA40), 0)</f>
        <v/>
      </c>
      <c r="BG42" s="895">
        <f>+IFERROR(AVERAGE(BG40*BG39,BF40*BF39, BE40*BE39, BD40*BD39,BC39*BC40,BB39*BB40), 0)</f>
        <v/>
      </c>
      <c r="BH42" s="895">
        <f>+IFERROR(AVERAGE(BH40*BH39,BG40*BG39, BF40*BF39, BE40*BE39,BD39*BD40,BC39*BC40), 0)</f>
        <v/>
      </c>
      <c r="BI42" s="895">
        <f>+IFERROR(AVERAGE(BI40*BI39,BH40*BH39, BG40*BG39, BF40*BF39,BE39*BE40,BD39*BD40), 0)</f>
        <v/>
      </c>
      <c r="BJ42" s="895">
        <f>+IFERROR(AVERAGE(BJ40*BJ39,BI40*BI39, BH40*BH39, BG40*BG39,BF39*BF40,BE39*BE40), 0)</f>
        <v/>
      </c>
      <c r="BK42" s="896">
        <f>+IFERROR(AVERAGE(BK40*BK39,BJ40*BJ39, BI40*BI39, BH40*BH39,BG39*BG40,BF39*BF40), 0)</f>
        <v/>
      </c>
      <c r="BL42" s="895">
        <f>+IFERROR(AVERAGE(BL40*BL39,BK40*BK39, BJ40*BJ39, BI40*BI39,BH39*BH40,BG39*BG40), 0)</f>
        <v/>
      </c>
      <c r="BM42" s="895">
        <f>+IFERROR(AVERAGE(BM40*BM39,BL40*BL39, BK40*BK39, BJ40*BJ39,BI39*BI40,BH39*BH40), 0)</f>
        <v/>
      </c>
      <c r="BN42" s="895">
        <f>+IFERROR(AVERAGE(BN40*BN39,BM40*BM39, BL40*BL39, BK40*BK39,BJ39*BJ40,BI39*BI40), 0)</f>
        <v/>
      </c>
      <c r="BO42" s="895">
        <f>+IFERROR(AVERAGE(BO40*BO39,BN40*BN39, BM40*BM39, BL40*BL39,BK39*BK40,BJ39*BJ40), 0)</f>
        <v/>
      </c>
      <c r="BP42" s="895">
        <f>+IFERROR(AVERAGE(BP40*BP39,BO40*BO39, BN40*BN39, BM40*BM39,BL39*BL40,BK39*BK40), 0)</f>
        <v/>
      </c>
      <c r="BQ42" s="895">
        <f>+IFERROR(AVERAGE(BQ40*BQ39,BP40*BP39, BO40*BO39, BN40*BN39,BM39*BM40,BL39*BL40), 0)</f>
        <v/>
      </c>
      <c r="BR42" s="895">
        <f>+IFERROR(AVERAGE(BR40*BR39,BQ40*BQ39, BP40*BP39, BO40*BO39,BN39*BN40,BM39*BM40), 0)</f>
        <v/>
      </c>
      <c r="BS42" s="895">
        <f>+IFERROR(AVERAGE(BS40*BS39,BR40*BR39, BQ40*BQ39, BP40*BP39,BO39*BO40,BN39*BN40), 0)</f>
        <v/>
      </c>
      <c r="BT42" s="895">
        <f>+IFERROR(AVERAGE(BT40*BT39,BS40*BS39, BR40*BR39, BQ40*BQ39,BP39*BP40,BO39*BO40), 0)</f>
        <v/>
      </c>
      <c r="BU42" s="895">
        <f>+IFERROR(AVERAGE(BU40*BU39,BT40*BT39, BS40*BS39, BR40*BR39,BQ39*BQ40,BP39*BP40), 0)</f>
        <v/>
      </c>
      <c r="BV42" s="895">
        <f>+IFERROR(AVERAGE(BV40*BV39,BU40*BU39, BT40*BT39, BS40*BS39,BR39*BR40,BQ39*BQ40), 0)</f>
        <v/>
      </c>
      <c r="BW42" s="896">
        <f>+IFERROR(AVERAGE(BW40*BW39,BV40*BV39, BU40*BU39, BT40*BT39,BS39*BS40,BR39*BR40), 0)</f>
        <v/>
      </c>
      <c r="BX42" s="895">
        <f>+IFERROR(AVERAGE(BX40*BX39,BW40*BW39, BV40*BV39, BU40*BU39,BT39*BT40,BS39*BS40), 0)</f>
        <v/>
      </c>
      <c r="BY42" s="895">
        <f>+IFERROR(AVERAGE(BY40*BY39,BX40*BX39, BW40*BW39, BV40*BV39,BU39*BU40,BT39*BT40), 0)</f>
        <v/>
      </c>
      <c r="BZ42" s="895">
        <f>+IFERROR(AVERAGE(BZ40*BZ39,BY40*BY39, BX40*BX39, BW40*BW39,BV39*BV40,BU39*BU40), 0)</f>
        <v/>
      </c>
      <c r="CA42" s="895">
        <f>+IFERROR(AVERAGE(CA40*CA39,BZ40*BZ39, BY40*BY39, BX40*BX39,BW39*BW40,BV39*BV40), 0)</f>
        <v/>
      </c>
      <c r="CB42" s="895">
        <f>+IFERROR(AVERAGE(CB40*CB39,CA40*CA39, BZ40*BZ39, BY40*BY39,BX39*BX40,BW39*BW40), 0)</f>
        <v/>
      </c>
      <c r="CC42" s="895">
        <f>+IFERROR(AVERAGE(CC40*CC39,CB40*CB39, CA40*CA39, BZ40*BZ39,BY39*BY40,BX39*BX40), 0)</f>
        <v/>
      </c>
      <c r="CD42" s="895">
        <f>+IFERROR(AVERAGE(CD40*CD39,CC40*CC39, CB40*CB39, CA40*CA39,BZ39*BZ40,BY39*BY40), 0)</f>
        <v/>
      </c>
      <c r="CE42" s="895">
        <f>+IFERROR(AVERAGE(CE40*CE39,CD40*CD39, CC40*CC39, CB40*CB39,CA39*CA40,BZ39*BZ40), 0)</f>
        <v/>
      </c>
      <c r="CF42" s="895">
        <f>+IFERROR(AVERAGE(CF40*CF39,CE40*CE39, CD40*CD39, CC40*CC39,CB39*CB40,CA39*CA40), 0)</f>
        <v/>
      </c>
      <c r="CG42" s="895">
        <f>+IFERROR(AVERAGE(CG40*CG39,CF40*CF39, CE40*CE39, CD40*CD39,CC39*CC40,CB39*CB40), 0)</f>
        <v/>
      </c>
      <c r="CH42" s="895">
        <f>+IFERROR(AVERAGE(CH40*CH39,CG40*CG39, CF40*CF39, CE40*CE39,CD39*CD40,CC39*CC40), 0)</f>
        <v/>
      </c>
      <c r="CI42" s="896">
        <f>+IFERROR(AVERAGE(CI40*CI39,CH40*CH39, CG40*CG39, CF40*CF39,CE39*CE40,CD39*CD40), 0)</f>
        <v/>
      </c>
      <c r="CJ42" s="895">
        <f>+IFERROR(AVERAGE(CJ40*CJ39,CI40*CI39, CH40*CH39, CG40*CG39,CF39*CF40,CE39*CE40), 0)</f>
        <v/>
      </c>
      <c r="CK42" s="895">
        <f>+IFERROR(AVERAGE(CK40*CK39,CJ40*CJ39, CI40*CI39, CH40*CH39,CG39*CG40,CF39*CF40), 0)</f>
        <v/>
      </c>
      <c r="CL42" s="895">
        <f>+IFERROR(AVERAGE(CL40*CL39,CK40*CK39, CJ40*CJ39, CI40*CI39,CH39*CH40,CG39*CG40), 0)</f>
        <v/>
      </c>
      <c r="CM42" s="895">
        <f>+IFERROR(AVERAGE(CM40*CM39,CL40*CL39, CK40*CK39, CJ40*CJ39,CI39*CI40,CH39*CH40), 0)</f>
        <v/>
      </c>
      <c r="CN42" s="895">
        <f>+IFERROR(AVERAGE(CN40*CN39,CM40*CM39, CL40*CL39, CK40*CK39,CJ39*CJ40,CI39*CI40), 0)</f>
        <v/>
      </c>
      <c r="CO42" s="895">
        <f>+IFERROR(AVERAGE(CO40*CO39,CN40*CN39, CM40*CM39, CL40*CL39,CK39*CK40,CJ39*CJ40), 0)</f>
        <v/>
      </c>
      <c r="CP42" s="895">
        <f>+IFERROR(AVERAGE(CP40*CP39,CO40*CO39, CN40*CN39, CM40*CM39,CL39*CL40,CK39*CK40), 0)</f>
        <v/>
      </c>
      <c r="CQ42" s="895">
        <f>+IFERROR(AVERAGE(CQ40*CQ39,CP40*CP39, CO40*CO39, CN40*CN39,CM39*CM40,CL39*CL40), 0)</f>
        <v/>
      </c>
      <c r="CR42" s="895">
        <f>+IFERROR(AVERAGE(CR40*CR39,CQ40*CQ39, CP40*CP39, CO40*CO39,CN39*CN40,CM39*CM40), 0)</f>
        <v/>
      </c>
      <c r="CS42" s="895">
        <f>+IFERROR(AVERAGE(CS40*CS39,CR40*CR39, CQ40*CQ39, CP40*CP39,CO39*CO40,CN39*CN40), 0)</f>
        <v/>
      </c>
      <c r="CT42" s="895">
        <f>+IFERROR(AVERAGE(CT40*CT39,CS40*CS39, CR40*CR39, CQ40*CQ39,CP39*CP40,CO39*CO40), 0)</f>
        <v/>
      </c>
      <c r="CU42" s="896">
        <f>+IFERROR(AVERAGE(CU40*CU39,CT40*CT39, CS40*CS39, CR40*CR39,CQ39*CQ40,CP39*CP40), 0)</f>
        <v/>
      </c>
      <c r="CV42" s="895">
        <f>+IFERROR(AVERAGE(CV40*CV39,CU40*CU39, CT40*CT39, CS40*CS39,CR39*CR40,CQ39*CQ40), 0)</f>
        <v/>
      </c>
      <c r="CW42" s="895">
        <f>+IFERROR(AVERAGE(CW40*CW39,CV40*CV39, CU40*CU39, CT40*CT39,CS39*CS40,CR39*CR40), 0)</f>
        <v/>
      </c>
      <c r="CX42" s="895">
        <f>+IFERROR(AVERAGE(CX40*CX39,CW40*CW39, CV40*CV39, CU40*CU39,CT39*CT40,CS39*CS40), 0)</f>
        <v/>
      </c>
      <c r="CY42" s="895">
        <f>+IFERROR(AVERAGE(CY40*CY39,CX40*CX39, CW40*CW39, CV40*CV39,CU39*CU40,CT39*CT40), 0)</f>
        <v/>
      </c>
      <c r="CZ42" s="895">
        <f>+IFERROR(AVERAGE(CZ40*CZ39,CY40*CY39, CX40*CX39, CW40*CW39,CV39*CV40,CU39*CU40), 0)</f>
        <v/>
      </c>
      <c r="DA42" s="895">
        <f>+IFERROR(AVERAGE(DA40*DA39,CZ40*CZ39, CY40*CY39, CX40*CX39,CW39*CW40,CV39*CV40), 0)</f>
        <v/>
      </c>
      <c r="DB42" s="895">
        <f>+IFERROR(AVERAGE(DB40*DB39,DA40*DA39, CZ40*CZ39, CY40*CY39,CX39*CX40,CW39*CW40), 0)</f>
        <v/>
      </c>
      <c r="DC42" s="895">
        <f>+IFERROR(AVERAGE(DC40*DC39,DB40*DB39, DA40*DA39, CZ40*CZ39,CY39*CY40,CX39*CX40), 0)</f>
        <v/>
      </c>
      <c r="DD42" s="895">
        <f>+IFERROR(AVERAGE(DD40*DD39,DC40*DC39, DB40*DB39, DA40*DA39,CZ39*CZ40,CY39*CY40), 0)</f>
        <v/>
      </c>
      <c r="DE42" s="895">
        <f>+IFERROR(AVERAGE(DE40*DE39,DD40*DD39, DC40*DC39, DB40*DB39,DA39*DA40,CZ39*CZ40), 0)</f>
        <v/>
      </c>
      <c r="DF42" s="895">
        <f>+IFERROR(AVERAGE(DF40*DF39,DE40*DE39, DD40*DD39, DC40*DC39,DB39*DB40,DA39*DA40), 0)</f>
        <v/>
      </c>
      <c r="DG42" s="894">
        <f>+IFERROR(AVERAGE(DG40*DG39,DF40*DF39, DE40*DE39, DD40*DD39,DC39*DC40,DB39*DB40), 0)</f>
        <v/>
      </c>
    </row>
    <row r="43" ht="18.75" customHeight="1" s="627">
      <c r="A43" s="35" t="n"/>
      <c r="B43" s="35" t="n"/>
      <c r="C43" s="608" t="inlineStr">
        <is>
          <t>T6M CAC</t>
        </is>
      </c>
      <c r="D43" s="876" t="n"/>
      <c r="E43" s="876" t="n"/>
      <c r="F43" s="876" t="n"/>
      <c r="G43" s="876" t="n"/>
      <c r="H43" s="876" t="n"/>
      <c r="I43" s="876" t="n"/>
      <c r="J43" s="876" t="n"/>
      <c r="K43" s="876" t="n"/>
      <c r="L43" s="876">
        <f>+AVERAGE(J89:L89)</f>
        <v/>
      </c>
      <c r="M43" s="876">
        <f>+AVERAGE(K89:M89)</f>
        <v/>
      </c>
      <c r="N43" s="876">
        <f>+AVERAGE(L89:N89)</f>
        <v/>
      </c>
      <c r="O43" s="876">
        <f>+AVERAGE(M89:O89)</f>
        <v/>
      </c>
      <c r="P43" s="876">
        <f>+AVERAGE(N89:P89)</f>
        <v/>
      </c>
      <c r="Q43" s="876">
        <f>+AVERAGE(O89:Q89)</f>
        <v/>
      </c>
      <c r="R43" s="876">
        <f>+AVERAGE(P89:R89)</f>
        <v/>
      </c>
      <c r="S43" s="876">
        <f>+AVERAGE(Q89:S89)</f>
        <v/>
      </c>
      <c r="T43" s="876">
        <f>+AVERAGE(R89:T89)</f>
        <v/>
      </c>
      <c r="U43" s="876">
        <f>+AVERAGE(S89:U89)</f>
        <v/>
      </c>
      <c r="V43" s="876">
        <f>+AVERAGE(T89:V89)</f>
        <v/>
      </c>
      <c r="W43" s="876" t="n"/>
      <c r="X43" s="876">
        <f>+AVERAGE(V93:X93)</f>
        <v/>
      </c>
      <c r="Y43" s="876">
        <f>+AVERAGE(W93:Y93)</f>
        <v/>
      </c>
      <c r="Z43" s="876">
        <f>+AVERAGE(X93:Z93)</f>
        <v/>
      </c>
      <c r="AA43" s="876">
        <f>+AVERAGE(Y93:AA93)</f>
        <v/>
      </c>
      <c r="AB43" s="876">
        <f>+AVERAGE(W93:AB93)/AB17</f>
        <v/>
      </c>
      <c r="AC43" s="876">
        <f>+AVERAGE(X93:AC93)/AC17</f>
        <v/>
      </c>
      <c r="AD43" s="876">
        <f>+AVERAGE(Y93:AD93)/AD17</f>
        <v/>
      </c>
      <c r="AE43" s="876">
        <f>+AVERAGE(Z93:AE93)/AE17</f>
        <v/>
      </c>
      <c r="AF43" s="876">
        <f>+AVERAGE(AA93:AF93)/AF17</f>
        <v/>
      </c>
      <c r="AG43" s="876">
        <f>+AVERAGE(AB93:AG93)/AG17</f>
        <v/>
      </c>
      <c r="AH43" s="876">
        <f>+AVERAGE(AC93:AH93)/AH17</f>
        <v/>
      </c>
      <c r="AI43" s="876">
        <f>+AVERAGE(AD93:AI93)/AI17</f>
        <v/>
      </c>
      <c r="AJ43" s="876">
        <f>+AVERAGE(AE93:AJ93)/AJ17</f>
        <v/>
      </c>
      <c r="AK43" s="876">
        <f>+AVERAGE(AF93:AK93)/AK17</f>
        <v/>
      </c>
      <c r="AL43" s="876">
        <f>+AVERAGE(AG93:AL93)/AL17</f>
        <v/>
      </c>
      <c r="AM43" s="876">
        <f>+AVERAGE(AH93:AM93)/AM17</f>
        <v/>
      </c>
      <c r="AN43" s="876">
        <f>+AVERAGE(AI93:AN93)/AN17</f>
        <v/>
      </c>
      <c r="AO43" s="876">
        <f>+AVERAGE(AJ93:AO93)/AO17</f>
        <v/>
      </c>
      <c r="AP43" s="876">
        <f>+AVERAGE(AK93:AP93)/AP17</f>
        <v/>
      </c>
      <c r="AQ43" s="876">
        <f>+AVERAGE(AL93:AQ93)/AQ17</f>
        <v/>
      </c>
      <c r="AR43" s="876">
        <f>+AVERAGE(AM93:AR93)/AR17</f>
        <v/>
      </c>
      <c r="AS43" s="876">
        <f>+AVERAGE(AN93:AS93)/AS17</f>
        <v/>
      </c>
      <c r="AT43" s="876">
        <f>+AVERAGE(AO93:AT93)/AT17</f>
        <v/>
      </c>
      <c r="AU43" s="876">
        <f>+AVERAGE(AP93:AU93)/AU17</f>
        <v/>
      </c>
      <c r="AV43" s="876">
        <f>+AVERAGE(AQ93:AV93)/AV17</f>
        <v/>
      </c>
      <c r="AW43" s="892">
        <f>+AVERAGE(AR93:AW93)/AW17</f>
        <v/>
      </c>
      <c r="AX43" s="895">
        <f>+AVERAGE(AS93:AX93)/AX17</f>
        <v/>
      </c>
      <c r="AY43" s="894">
        <f>+AVERAGE(AT93:AY93)/AY17</f>
        <v/>
      </c>
      <c r="AZ43" s="895">
        <f>+AVERAGE(AU93:AZ93)/AZ17</f>
        <v/>
      </c>
      <c r="BA43" s="895">
        <f>+AVERAGE(AV93:BA93)/BA17</f>
        <v/>
      </c>
      <c r="BB43" s="895">
        <f>+AVERAGE(AW93:BB93)/BB17</f>
        <v/>
      </c>
      <c r="BC43" s="895">
        <f>+AVERAGE(AX93:BC93)/BC17</f>
        <v/>
      </c>
      <c r="BD43" s="895">
        <f>+AVERAGE(AY93:BD93)/BD17</f>
        <v/>
      </c>
      <c r="BE43" s="895">
        <f>+AVERAGE(AZ93:BE93)/BE17</f>
        <v/>
      </c>
      <c r="BF43" s="895">
        <f>+AVERAGE(BA93:BF93)/BF17</f>
        <v/>
      </c>
      <c r="BG43" s="895">
        <f>+AVERAGE(BB93:BG93)/BG17</f>
        <v/>
      </c>
      <c r="BH43" s="895">
        <f>+AVERAGE(BC93:BH93)/BH17</f>
        <v/>
      </c>
      <c r="BI43" s="895">
        <f>+AVERAGE(BD93:BI93)/BI17</f>
        <v/>
      </c>
      <c r="BJ43" s="895">
        <f>+AVERAGE(BE93:BJ93)/BJ17</f>
        <v/>
      </c>
      <c r="BK43" s="896">
        <f>+AVERAGE(BF93:BK93)/BK17</f>
        <v/>
      </c>
      <c r="BL43" s="895">
        <f>+AVERAGE(BG93:BL93)/BL17</f>
        <v/>
      </c>
      <c r="BM43" s="895">
        <f>+AVERAGE(BH93:BM93)/BM17</f>
        <v/>
      </c>
      <c r="BN43" s="895">
        <f>+AVERAGE(BI93:BN93)/BN17</f>
        <v/>
      </c>
      <c r="BO43" s="895">
        <f>+AVERAGE(BJ93:BO93)/BO17</f>
        <v/>
      </c>
      <c r="BP43" s="895">
        <f>+AVERAGE(BK93:BP93)/BP17</f>
        <v/>
      </c>
      <c r="BQ43" s="895">
        <f>+AVERAGE(BL93:BQ93)/BQ17</f>
        <v/>
      </c>
      <c r="BR43" s="895">
        <f>+AVERAGE(BM93:BR93)/BR17</f>
        <v/>
      </c>
      <c r="BS43" s="895">
        <f>+AVERAGE(BN93:BS93)/BS17</f>
        <v/>
      </c>
      <c r="BT43" s="895">
        <f>+AVERAGE(BO93:BT93)/BT17</f>
        <v/>
      </c>
      <c r="BU43" s="895">
        <f>+AVERAGE(BP93:BU93)/BU17</f>
        <v/>
      </c>
      <c r="BV43" s="895">
        <f>+AVERAGE(BQ93:BV93)/BV17</f>
        <v/>
      </c>
      <c r="BW43" s="896">
        <f>+AVERAGE(BR93:BW93)/BW17</f>
        <v/>
      </c>
      <c r="BX43" s="895">
        <f>+AVERAGE(BS93:BX93)/BX17</f>
        <v/>
      </c>
      <c r="BY43" s="895">
        <f>+AVERAGE(BT93:BY93)/BY17</f>
        <v/>
      </c>
      <c r="BZ43" s="895">
        <f>+AVERAGE(BU93:BZ93)/BZ17</f>
        <v/>
      </c>
      <c r="CA43" s="895">
        <f>+AVERAGE(BV93:CA93)/CA17</f>
        <v/>
      </c>
      <c r="CB43" s="895">
        <f>+AVERAGE(BW93:CB93)/CB17</f>
        <v/>
      </c>
      <c r="CC43" s="895">
        <f>+AVERAGE(BX93:CC93)/CC17</f>
        <v/>
      </c>
      <c r="CD43" s="895">
        <f>+AVERAGE(BY93:CD93)/CD17</f>
        <v/>
      </c>
      <c r="CE43" s="895">
        <f>+AVERAGE(BZ93:CE93)/CE17</f>
        <v/>
      </c>
      <c r="CF43" s="895">
        <f>+AVERAGE(CA93:CF93)/CF17</f>
        <v/>
      </c>
      <c r="CG43" s="895">
        <f>+AVERAGE(CB93:CG93)/CG17</f>
        <v/>
      </c>
      <c r="CH43" s="895">
        <f>+AVERAGE(CC93:CH93)/CH17</f>
        <v/>
      </c>
      <c r="CI43" s="896">
        <f>+AVERAGE(CD93:CI93)/CI17</f>
        <v/>
      </c>
      <c r="CJ43" s="895">
        <f>+AVERAGE(CE93:CJ93)/CJ17</f>
        <v/>
      </c>
      <c r="CK43" s="895">
        <f>+AVERAGE(CF93:CK93)/CK17</f>
        <v/>
      </c>
      <c r="CL43" s="895">
        <f>+AVERAGE(CG93:CL93)/CL17</f>
        <v/>
      </c>
      <c r="CM43" s="895">
        <f>+AVERAGE(CH93:CM93)/CM17</f>
        <v/>
      </c>
      <c r="CN43" s="895">
        <f>+AVERAGE(CI93:CN93)/CN17</f>
        <v/>
      </c>
      <c r="CO43" s="895">
        <f>+AVERAGE(CJ93:CO93)/CO17</f>
        <v/>
      </c>
      <c r="CP43" s="895">
        <f>+AVERAGE(CK93:CP93)/CP17</f>
        <v/>
      </c>
      <c r="CQ43" s="895">
        <f>+AVERAGE(CL93:CQ93)/CQ17</f>
        <v/>
      </c>
      <c r="CR43" s="895">
        <f>+AVERAGE(CM93:CR93)/CR17</f>
        <v/>
      </c>
      <c r="CS43" s="895">
        <f>+AVERAGE(CN93:CS93)/CS17</f>
        <v/>
      </c>
      <c r="CT43" s="895">
        <f>+AVERAGE(CO93:CT93)/CT17</f>
        <v/>
      </c>
      <c r="CU43" s="896">
        <f>+AVERAGE(CP93:CU93)/CU17</f>
        <v/>
      </c>
      <c r="CV43" s="895">
        <f>+AVERAGE(CQ93:CV93)/CV17</f>
        <v/>
      </c>
      <c r="CW43" s="895">
        <f>+AVERAGE(CR93:CW93)/CW17</f>
        <v/>
      </c>
      <c r="CX43" s="895">
        <f>+AVERAGE(CS93:CX93)/CX17</f>
        <v/>
      </c>
      <c r="CY43" s="895">
        <f>+AVERAGE(CT93:CY93)/CY17</f>
        <v/>
      </c>
      <c r="CZ43" s="895">
        <f>+AVERAGE(CU93:CZ93)/CZ17</f>
        <v/>
      </c>
      <c r="DA43" s="895">
        <f>+AVERAGE(CV93:DA93)/DA17</f>
        <v/>
      </c>
      <c r="DB43" s="895">
        <f>+AVERAGE(CW93:DB93)/DB17</f>
        <v/>
      </c>
      <c r="DC43" s="895">
        <f>+AVERAGE(CX93:DC93)/DC17</f>
        <v/>
      </c>
      <c r="DD43" s="895">
        <f>+AVERAGE(CY93:DD93)/DD17</f>
        <v/>
      </c>
      <c r="DE43" s="895">
        <f>+AVERAGE(CZ93:DE93)/DE17</f>
        <v/>
      </c>
      <c r="DF43" s="895">
        <f>+AVERAGE(DA93:DF93)/DF17</f>
        <v/>
      </c>
      <c r="DG43" s="894">
        <f>+AVERAGE(DB93:DG93)/DG17</f>
        <v/>
      </c>
    </row>
    <row r="44" ht="18.75" customHeight="1" s="627">
      <c r="A44" s="35" t="n"/>
      <c r="B44" s="35" t="n"/>
      <c r="C44" s="608" t="inlineStr">
        <is>
          <t>LTV/CAC</t>
        </is>
      </c>
      <c r="D44" s="876" t="n"/>
      <c r="E44" s="876" t="n"/>
      <c r="F44" s="876" t="n"/>
      <c r="G44" s="876" t="n"/>
      <c r="H44" s="876" t="n"/>
      <c r="I44" s="876" t="n"/>
      <c r="J44" s="876" t="n"/>
      <c r="K44" s="877" t="n"/>
      <c r="L44" s="877">
        <f>+L42/L43</f>
        <v/>
      </c>
      <c r="M44" s="877">
        <f>+M42/M43</f>
        <v/>
      </c>
      <c r="N44" s="877">
        <f>+N42/N43</f>
        <v/>
      </c>
      <c r="O44" s="877">
        <f>+O42/O43</f>
        <v/>
      </c>
      <c r="P44" s="877">
        <f>+P42/P43</f>
        <v/>
      </c>
      <c r="Q44" s="877">
        <f>+Q42/Q43</f>
        <v/>
      </c>
      <c r="R44" s="877">
        <f>+R42/R43</f>
        <v/>
      </c>
      <c r="S44" s="877">
        <f>+S42/S43</f>
        <v/>
      </c>
      <c r="T44" s="877">
        <f>+T42/T43</f>
        <v/>
      </c>
      <c r="U44" s="878">
        <f>+U42/U43</f>
        <v/>
      </c>
      <c r="V44" s="879" t="n">
        <v>0</v>
      </c>
      <c r="W44" s="878">
        <f>+W42/W43</f>
        <v/>
      </c>
      <c r="X44" s="878">
        <f>+X42/X43</f>
        <v/>
      </c>
      <c r="Y44" s="878">
        <f>+Y42/Y43</f>
        <v/>
      </c>
      <c r="Z44" s="878">
        <f>+Z42/Z43</f>
        <v/>
      </c>
      <c r="AA44" s="878">
        <f>+AA42/AA43</f>
        <v/>
      </c>
      <c r="AB44" s="878">
        <f>+AB42/AB43</f>
        <v/>
      </c>
      <c r="AC44" s="878">
        <f>+AC42/AC43</f>
        <v/>
      </c>
      <c r="AD44" s="878">
        <f>+AD42/AD43</f>
        <v/>
      </c>
      <c r="AE44" s="878">
        <f>+AE42/AE43</f>
        <v/>
      </c>
      <c r="AF44" s="878">
        <f>+AF42/AF43</f>
        <v/>
      </c>
      <c r="AG44" s="878">
        <f>+AG42/AG43</f>
        <v/>
      </c>
      <c r="AH44" s="878">
        <f>+AH42/AH43</f>
        <v/>
      </c>
      <c r="AI44" s="878">
        <f>+AI42/AI43</f>
        <v/>
      </c>
      <c r="AJ44" s="878">
        <f>+AJ42/AJ43</f>
        <v/>
      </c>
      <c r="AK44" s="878">
        <f>+AK42/AK43</f>
        <v/>
      </c>
      <c r="AL44" s="878">
        <f>+AL42/AL43</f>
        <v/>
      </c>
      <c r="AM44" s="878">
        <f>+AM42/AM43</f>
        <v/>
      </c>
      <c r="AN44" s="878">
        <f>+AN42/AN43</f>
        <v/>
      </c>
      <c r="AO44" s="878">
        <f>+AO42/AO43</f>
        <v/>
      </c>
      <c r="AP44" s="878">
        <f>+AP42/AP43</f>
        <v/>
      </c>
      <c r="AQ44" s="878">
        <f>+AQ42/AQ43</f>
        <v/>
      </c>
      <c r="AR44" s="878">
        <f>+AR42/AR43</f>
        <v/>
      </c>
      <c r="AS44" s="878">
        <f>+AS42/AS43</f>
        <v/>
      </c>
      <c r="AT44" s="878">
        <f>+AT42/AT43</f>
        <v/>
      </c>
      <c r="AU44" s="878">
        <f>+AU42/AU43</f>
        <v/>
      </c>
      <c r="AV44" s="878">
        <f>+AV42/AV43</f>
        <v/>
      </c>
      <c r="AW44" s="880">
        <f>+AW42/AW43</f>
        <v/>
      </c>
      <c r="AX44" s="913">
        <f>+AX42/AX43</f>
        <v/>
      </c>
      <c r="AY44" s="882">
        <f>+AY42/AY43</f>
        <v/>
      </c>
      <c r="AZ44" s="883">
        <f>+AZ42/AZ43</f>
        <v/>
      </c>
      <c r="BA44" s="883">
        <f>+BA42/BA43</f>
        <v/>
      </c>
      <c r="BB44" s="883">
        <f>+BB42/BB43</f>
        <v/>
      </c>
      <c r="BC44" s="883">
        <f>+BC42/BC43</f>
        <v/>
      </c>
      <c r="BD44" s="883">
        <f>+BD42/BD43</f>
        <v/>
      </c>
      <c r="BE44" s="883">
        <f>+BE42/BE43</f>
        <v/>
      </c>
      <c r="BF44" s="883">
        <f>+BF42/BF43</f>
        <v/>
      </c>
      <c r="BG44" s="883">
        <f>+BG42/BG43</f>
        <v/>
      </c>
      <c r="BH44" s="883">
        <f>+BH42/BH43</f>
        <v/>
      </c>
      <c r="BI44" s="883">
        <f>+BI42/BI43</f>
        <v/>
      </c>
      <c r="BJ44" s="883">
        <f>+BJ42/BJ43</f>
        <v/>
      </c>
      <c r="BK44" s="884">
        <f>+BK42/BK43</f>
        <v/>
      </c>
      <c r="BL44" s="883">
        <f>+BL42/BL43</f>
        <v/>
      </c>
      <c r="BM44" s="883">
        <f>+BM42/BM43</f>
        <v/>
      </c>
      <c r="BN44" s="883">
        <f>+BN42/BN43</f>
        <v/>
      </c>
      <c r="BO44" s="883">
        <f>+BO42/BO43</f>
        <v/>
      </c>
      <c r="BP44" s="883">
        <f>+BP42/BP43</f>
        <v/>
      </c>
      <c r="BQ44" s="883">
        <f>+BQ42/BQ43</f>
        <v/>
      </c>
      <c r="BR44" s="883">
        <f>+BR42/BR43</f>
        <v/>
      </c>
      <c r="BS44" s="883">
        <f>+BS42/BS43</f>
        <v/>
      </c>
      <c r="BT44" s="883">
        <f>+BT42/BT43</f>
        <v/>
      </c>
      <c r="BU44" s="883">
        <f>+BU42/BU43</f>
        <v/>
      </c>
      <c r="BV44" s="883">
        <f>+BV42/BV43</f>
        <v/>
      </c>
      <c r="BW44" s="884">
        <f>+BW42/BW43</f>
        <v/>
      </c>
      <c r="BX44" s="883">
        <f>+BX42/BX43</f>
        <v/>
      </c>
      <c r="BY44" s="883">
        <f>+BY42/BY43</f>
        <v/>
      </c>
      <c r="BZ44" s="883">
        <f>+BZ42/BZ43</f>
        <v/>
      </c>
      <c r="CA44" s="883">
        <f>+CA42/CA43</f>
        <v/>
      </c>
      <c r="CB44" s="883">
        <f>+CB42/CB43</f>
        <v/>
      </c>
      <c r="CC44" s="883">
        <f>+CC42/CC43</f>
        <v/>
      </c>
      <c r="CD44" s="883">
        <f>+CD42/CD43</f>
        <v/>
      </c>
      <c r="CE44" s="883">
        <f>+CE42/CE43</f>
        <v/>
      </c>
      <c r="CF44" s="883">
        <f>+CF42/CF43</f>
        <v/>
      </c>
      <c r="CG44" s="883">
        <f>+CG42/CG43</f>
        <v/>
      </c>
      <c r="CH44" s="883">
        <f>+CH42/CH43</f>
        <v/>
      </c>
      <c r="CI44" s="884">
        <f>+CI42/CI43</f>
        <v/>
      </c>
      <c r="CJ44" s="883">
        <f>+CJ42/CJ43</f>
        <v/>
      </c>
      <c r="CK44" s="883">
        <f>+CK42/CK43</f>
        <v/>
      </c>
      <c r="CL44" s="883">
        <f>+CL42/CL43</f>
        <v/>
      </c>
      <c r="CM44" s="883">
        <f>+CM42/CM43</f>
        <v/>
      </c>
      <c r="CN44" s="883">
        <f>+CN42/CN43</f>
        <v/>
      </c>
      <c r="CO44" s="883">
        <f>+CO42/CO43</f>
        <v/>
      </c>
      <c r="CP44" s="883">
        <f>+CP42/CP43</f>
        <v/>
      </c>
      <c r="CQ44" s="883">
        <f>+CQ42/CQ43</f>
        <v/>
      </c>
      <c r="CR44" s="883">
        <f>+CR42/CR43</f>
        <v/>
      </c>
      <c r="CS44" s="883">
        <f>+CS42/CS43</f>
        <v/>
      </c>
      <c r="CT44" s="883">
        <f>+CT42/CT43</f>
        <v/>
      </c>
      <c r="CU44" s="884">
        <f>+CU42/CU43</f>
        <v/>
      </c>
      <c r="CV44" s="883">
        <f>+CV42/CV43</f>
        <v/>
      </c>
      <c r="CW44" s="883">
        <f>+CW42/CW43</f>
        <v/>
      </c>
      <c r="CX44" s="883">
        <f>+CX42/CX43</f>
        <v/>
      </c>
      <c r="CY44" s="883">
        <f>+CY42/CY43</f>
        <v/>
      </c>
      <c r="CZ44" s="883">
        <f>+CZ42/CZ43</f>
        <v/>
      </c>
      <c r="DA44" s="883">
        <f>+DA42/DA43</f>
        <v/>
      </c>
      <c r="DB44" s="883">
        <f>+DB42/DB43</f>
        <v/>
      </c>
      <c r="DC44" s="883">
        <f>+DC42/DC43</f>
        <v/>
      </c>
      <c r="DD44" s="883">
        <f>+DD42/DD43</f>
        <v/>
      </c>
      <c r="DE44" s="883">
        <f>+DE42/DE43</f>
        <v/>
      </c>
      <c r="DF44" s="883">
        <f>+DF42/DF43</f>
        <v/>
      </c>
      <c r="DG44" s="882">
        <f>+DG42/DG43</f>
        <v/>
      </c>
    </row>
    <row r="45">
      <c r="A45" s="34" t="n"/>
      <c r="B45" s="34" t="n"/>
      <c r="C45" s="608" t="inlineStr">
        <is>
          <t>Payback</t>
        </is>
      </c>
      <c r="D45" s="876" t="n"/>
      <c r="E45" s="876" t="n"/>
      <c r="F45" s="876" t="n"/>
      <c r="G45" s="876" t="n"/>
      <c r="H45" s="876" t="n"/>
      <c r="I45" s="876" t="n"/>
      <c r="J45" s="876" t="n"/>
      <c r="K45" s="879" t="n"/>
      <c r="L45" s="879">
        <f>+L43/(L38*L40)</f>
        <v/>
      </c>
      <c r="M45" s="879">
        <f>+M43/(M38*M40)</f>
        <v/>
      </c>
      <c r="N45" s="879">
        <f>+N43/(N38*N40)</f>
        <v/>
      </c>
      <c r="O45" s="879">
        <f>+O43/(O38*O40)</f>
        <v/>
      </c>
      <c r="P45" s="879">
        <f>+P43/(P38*P40)</f>
        <v/>
      </c>
      <c r="Q45" s="879">
        <f>+Q43/(Q38*Q40)</f>
        <v/>
      </c>
      <c r="R45" s="879">
        <f>+R43/(R38*R40)</f>
        <v/>
      </c>
      <c r="S45" s="879">
        <f>+S43/(S38*S40)</f>
        <v/>
      </c>
      <c r="T45" s="879">
        <f>+T43/(T38*T40)</f>
        <v/>
      </c>
      <c r="U45" s="879">
        <f>+U43/(U38*U40)</f>
        <v/>
      </c>
      <c r="V45" s="879" t="n">
        <v>0</v>
      </c>
      <c r="W45" s="879">
        <f>+W43/(W38*W40)</f>
        <v/>
      </c>
      <c r="X45" s="879">
        <f>+X43/(X38*X40)</f>
        <v/>
      </c>
      <c r="Y45" s="879">
        <f>+Y43/(Y38*Y40)</f>
        <v/>
      </c>
      <c r="Z45" s="879">
        <f>+Z43/(Z38*Z40)</f>
        <v/>
      </c>
      <c r="AA45" s="879">
        <f>+AA43/(AA38*AA40)</f>
        <v/>
      </c>
      <c r="AB45" s="879">
        <f>+AB43/(AB38*AB40)</f>
        <v/>
      </c>
      <c r="AC45" s="879">
        <f>+AC43/(AC38*AC40)</f>
        <v/>
      </c>
      <c r="AD45" s="879">
        <f>+AD43/(AD38*AD40)</f>
        <v/>
      </c>
      <c r="AE45" s="879">
        <f>+AE43/(AE38*AE40)</f>
        <v/>
      </c>
      <c r="AF45" s="879">
        <f>+AF43/(AF38*AF40)</f>
        <v/>
      </c>
      <c r="AG45" s="879">
        <f>+AG43/(AG38*AG40)</f>
        <v/>
      </c>
      <c r="AH45" s="879">
        <f>+AH43/(AH38*AH40)</f>
        <v/>
      </c>
      <c r="AI45" s="879">
        <f>+AI43/(AI38*AI40)</f>
        <v/>
      </c>
      <c r="AJ45" s="879">
        <f>+AJ43/(AJ38*AJ40)</f>
        <v/>
      </c>
      <c r="AK45" s="879">
        <f>+AK43/(AK38*AK40)</f>
        <v/>
      </c>
      <c r="AL45" s="879">
        <f>+AL43/(AL38*AL40)</f>
        <v/>
      </c>
      <c r="AM45" s="879">
        <f>+AM43/(AM38*AM40)</f>
        <v/>
      </c>
      <c r="AN45" s="879">
        <f>+AN43/(AN38*AN40)</f>
        <v/>
      </c>
      <c r="AO45" s="879">
        <f>+AO43/(AO38*AO40)</f>
        <v/>
      </c>
      <c r="AP45" s="879">
        <f>+AP43/(AP38*AP40)</f>
        <v/>
      </c>
      <c r="AQ45" s="879">
        <f>+AQ43/(AQ38*AQ40)</f>
        <v/>
      </c>
      <c r="AR45" s="879">
        <f>+AR43/(AR38*AR40)</f>
        <v/>
      </c>
      <c r="AS45" s="879">
        <f>+AS43/(AS38*AS40)</f>
        <v/>
      </c>
      <c r="AT45" s="879">
        <f>+AT43/(AT38*AT40)</f>
        <v/>
      </c>
      <c r="AU45" s="879">
        <f>+AU43/(AU38*AU40)</f>
        <v/>
      </c>
      <c r="AV45" s="879">
        <f>+AV43/(AV38*AV40)</f>
        <v/>
      </c>
      <c r="AW45" s="914">
        <f>+AW43/(AW38*AW40)</f>
        <v/>
      </c>
      <c r="AX45" s="915">
        <f>+AX43/(AX38*AX40)</f>
        <v/>
      </c>
      <c r="AY45" s="916">
        <f>+AY43/(AY38*AY40)</f>
        <v/>
      </c>
      <c r="AZ45" s="915">
        <f>+AZ43/(AZ38*AZ40)</f>
        <v/>
      </c>
      <c r="BA45" s="915">
        <f>+BA43/(BA38*BA40)</f>
        <v/>
      </c>
      <c r="BB45" s="915">
        <f>+BB43/(BB38*BB40)</f>
        <v/>
      </c>
      <c r="BC45" s="915">
        <f>+BC43/(BC38*BC40)</f>
        <v/>
      </c>
      <c r="BD45" s="915">
        <f>+BD43/(BD38*BD40)</f>
        <v/>
      </c>
      <c r="BE45" s="915">
        <f>+BE43/(BE38*BE40)</f>
        <v/>
      </c>
      <c r="BF45" s="915">
        <f>+BF43/(BF38*BF40)</f>
        <v/>
      </c>
      <c r="BG45" s="915">
        <f>+BG43/(BG38*BG40)</f>
        <v/>
      </c>
      <c r="BH45" s="915">
        <f>+BH43/(BH38*BH40)</f>
        <v/>
      </c>
      <c r="BI45" s="915">
        <f>+BI43/(BI38*BI40)</f>
        <v/>
      </c>
      <c r="BJ45" s="915">
        <f>+BJ43/(BJ38*BJ40)</f>
        <v/>
      </c>
      <c r="BK45" s="917">
        <f>+BK43/(BK38*BK40)</f>
        <v/>
      </c>
      <c r="BL45" s="915">
        <f>+BL43/(BL38*BL40)</f>
        <v/>
      </c>
      <c r="BM45" s="915">
        <f>+BM43/(BM38*BM40)</f>
        <v/>
      </c>
      <c r="BN45" s="915">
        <f>+BN43/(BN38*BN40)</f>
        <v/>
      </c>
      <c r="BO45" s="915">
        <f>+BO43/(BO38*BO40)</f>
        <v/>
      </c>
      <c r="BP45" s="915">
        <f>+BP43/(BP38*BP40)</f>
        <v/>
      </c>
      <c r="BQ45" s="915">
        <f>+BQ43/(BQ38*BQ40)</f>
        <v/>
      </c>
      <c r="BR45" s="915">
        <f>+BR43/(BR38*BR40)</f>
        <v/>
      </c>
      <c r="BS45" s="915">
        <f>+BS43/(BS38*BS40)</f>
        <v/>
      </c>
      <c r="BT45" s="915">
        <f>+BT43/(BT38*BT40)</f>
        <v/>
      </c>
      <c r="BU45" s="915">
        <f>+BU43/(BU38*BU40)</f>
        <v/>
      </c>
      <c r="BV45" s="915">
        <f>+BV43/(BV38*BV40)</f>
        <v/>
      </c>
      <c r="BW45" s="917">
        <f>+BW43/(BW38*BW40)</f>
        <v/>
      </c>
      <c r="BX45" s="915">
        <f>+BX43/(BX38*BX40)</f>
        <v/>
      </c>
      <c r="BY45" s="915">
        <f>+BY43/(BY38*BY40)</f>
        <v/>
      </c>
      <c r="BZ45" s="915">
        <f>+BZ43/(BZ38*BZ40)</f>
        <v/>
      </c>
      <c r="CA45" s="915">
        <f>+CA43/(CA38*CA40)</f>
        <v/>
      </c>
      <c r="CB45" s="915">
        <f>+CB43/(CB38*CB40)</f>
        <v/>
      </c>
      <c r="CC45" s="915">
        <f>+CC43/(CC38*CC40)</f>
        <v/>
      </c>
      <c r="CD45" s="915">
        <f>+CD43/(CD38*CD40)</f>
        <v/>
      </c>
      <c r="CE45" s="915">
        <f>+CE43/(CE38*CE40)</f>
        <v/>
      </c>
      <c r="CF45" s="915">
        <f>+CF43/(CF38*CF40)</f>
        <v/>
      </c>
      <c r="CG45" s="915">
        <f>+CG43/(CG38*CG40)</f>
        <v/>
      </c>
      <c r="CH45" s="915">
        <f>+CH43/(CH38*CH40)</f>
        <v/>
      </c>
      <c r="CI45" s="917">
        <f>+CI43/(CI38*CI40)</f>
        <v/>
      </c>
      <c r="CJ45" s="915">
        <f>+CJ43/(CJ38*CJ40)</f>
        <v/>
      </c>
      <c r="CK45" s="915">
        <f>+CK43/(CK38*CK40)</f>
        <v/>
      </c>
      <c r="CL45" s="915">
        <f>+CL43/(CL38*CL40)</f>
        <v/>
      </c>
      <c r="CM45" s="915">
        <f>+CM43/(CM38*CM40)</f>
        <v/>
      </c>
      <c r="CN45" s="915">
        <f>+CN43/(CN38*CN40)</f>
        <v/>
      </c>
      <c r="CO45" s="915">
        <f>+CO43/(CO38*CO40)</f>
        <v/>
      </c>
      <c r="CP45" s="915">
        <f>+CP43/(CP38*CP40)</f>
        <v/>
      </c>
      <c r="CQ45" s="915">
        <f>+CQ43/(CQ38*CQ40)</f>
        <v/>
      </c>
      <c r="CR45" s="915">
        <f>+CR43/(CR38*CR40)</f>
        <v/>
      </c>
      <c r="CS45" s="915">
        <f>+CS43/(CS38*CS40)</f>
        <v/>
      </c>
      <c r="CT45" s="915">
        <f>+CT43/(CT38*CT40)</f>
        <v/>
      </c>
      <c r="CU45" s="917">
        <f>+CU43/(CU38*CU40)</f>
        <v/>
      </c>
      <c r="CV45" s="915">
        <f>+CV43/(CV38*CV40)</f>
        <v/>
      </c>
      <c r="CW45" s="915">
        <f>+CW43/(CW38*CW40)</f>
        <v/>
      </c>
      <c r="CX45" s="915">
        <f>+CX43/(CX38*CX40)</f>
        <v/>
      </c>
      <c r="CY45" s="915">
        <f>+CY43/(CY38*CY40)</f>
        <v/>
      </c>
      <c r="CZ45" s="915">
        <f>+CZ43/(CZ38*CZ40)</f>
        <v/>
      </c>
      <c r="DA45" s="915">
        <f>+DA43/(DA38*DA40)</f>
        <v/>
      </c>
      <c r="DB45" s="915">
        <f>+DB43/(DB38*DB40)</f>
        <v/>
      </c>
      <c r="DC45" s="915">
        <f>+DC43/(DC38*DC40)</f>
        <v/>
      </c>
      <c r="DD45" s="915">
        <f>+DD43/(DD38*DD40)</f>
        <v/>
      </c>
      <c r="DE45" s="915">
        <f>+DE43/(DE38*DE40)</f>
        <v/>
      </c>
      <c r="DF45" s="915">
        <f>+DF43/(DF38*DF40)</f>
        <v/>
      </c>
      <c r="DG45" s="916">
        <f>+DG43/(DG38*DG40)</f>
        <v/>
      </c>
    </row>
    <row r="46" ht="15.75" customFormat="1" customHeight="1" s="3" thickBot="1">
      <c r="A46" s="137" t="n"/>
      <c r="B46" s="137" t="n"/>
      <c r="C46" s="609" t="inlineStr">
        <is>
          <t>Utilization %</t>
        </is>
      </c>
      <c r="D46" s="138" t="n"/>
      <c r="E46" s="918">
        <f>+E29/8</f>
        <v/>
      </c>
      <c r="F46" s="918">
        <f>+F29/8</f>
        <v/>
      </c>
      <c r="G46" s="918">
        <f>+G29/8</f>
        <v/>
      </c>
      <c r="H46" s="918">
        <f>+H29/8</f>
        <v/>
      </c>
      <c r="I46" s="918">
        <f>+I29/8</f>
        <v/>
      </c>
      <c r="J46" s="918">
        <f>+J29/8</f>
        <v/>
      </c>
      <c r="K46" s="918">
        <f>+K29/8</f>
        <v/>
      </c>
      <c r="L46" s="918">
        <f>+L29/8</f>
        <v/>
      </c>
      <c r="M46" s="918">
        <f>+M29/8</f>
        <v/>
      </c>
      <c r="N46" s="918">
        <f>+N29/8</f>
        <v/>
      </c>
      <c r="O46" s="918">
        <f>+O29/8</f>
        <v/>
      </c>
      <c r="P46" s="918">
        <f>+P29/8</f>
        <v/>
      </c>
      <c r="Q46" s="918">
        <f>+Q29/8</f>
        <v/>
      </c>
      <c r="R46" s="918">
        <f>+R29/8</f>
        <v/>
      </c>
      <c r="S46" s="918">
        <f>+S29/8</f>
        <v/>
      </c>
      <c r="T46" s="918">
        <f>+T29/8</f>
        <v/>
      </c>
      <c r="U46" s="918">
        <f>+U29/8</f>
        <v/>
      </c>
      <c r="V46" s="918">
        <f>+V29/8</f>
        <v/>
      </c>
      <c r="W46" s="918">
        <f>+W29/8</f>
        <v/>
      </c>
      <c r="X46" s="918">
        <f>+X29/8</f>
        <v/>
      </c>
      <c r="Y46" s="918">
        <f>+Y29/8</f>
        <v/>
      </c>
      <c r="Z46" s="918">
        <f>+Z29/8</f>
        <v/>
      </c>
      <c r="AA46" s="918">
        <f>+AA29/8</f>
        <v/>
      </c>
      <c r="AB46" s="918">
        <f>+AB29/8</f>
        <v/>
      </c>
      <c r="AC46" s="918">
        <f>+AC29/8</f>
        <v/>
      </c>
      <c r="AD46" s="918">
        <f>+AD29/8</f>
        <v/>
      </c>
      <c r="AE46" s="918">
        <f>+AE29/8</f>
        <v/>
      </c>
      <c r="AF46" s="918">
        <f>+AF29/8</f>
        <v/>
      </c>
      <c r="AG46" s="918">
        <f>+AG29/8</f>
        <v/>
      </c>
      <c r="AH46" s="918">
        <f>+AH29/8</f>
        <v/>
      </c>
      <c r="AI46" s="918">
        <f>+AI29/8</f>
        <v/>
      </c>
      <c r="AJ46" s="918">
        <f>+AJ29/8</f>
        <v/>
      </c>
      <c r="AK46" s="918">
        <f>+AK29/8</f>
        <v/>
      </c>
      <c r="AL46" s="918">
        <f>+AL29/8</f>
        <v/>
      </c>
      <c r="AM46" s="918">
        <f>+AM29/8</f>
        <v/>
      </c>
      <c r="AN46" s="918">
        <f>+AN29/8</f>
        <v/>
      </c>
      <c r="AO46" s="918">
        <f>+AO29/8</f>
        <v/>
      </c>
      <c r="AP46" s="918">
        <f>+AP29/8</f>
        <v/>
      </c>
      <c r="AQ46" s="918">
        <f>+AQ29/8</f>
        <v/>
      </c>
      <c r="AR46" s="918">
        <f>+AR29/8</f>
        <v/>
      </c>
      <c r="AS46" s="918">
        <f>+AS29/8</f>
        <v/>
      </c>
      <c r="AT46" s="918">
        <f>+AT29/8</f>
        <v/>
      </c>
      <c r="AU46" s="918">
        <f>+AU29/8</f>
        <v/>
      </c>
      <c r="AV46" s="918">
        <f>+AV29/8</f>
        <v/>
      </c>
      <c r="AW46" s="919">
        <f>+AW29/8</f>
        <v/>
      </c>
      <c r="AX46" s="918">
        <f>+AX29/8</f>
        <v/>
      </c>
      <c r="AY46" s="920">
        <f>+AY29/8</f>
        <v/>
      </c>
      <c r="AZ46" s="918">
        <f>+AZ29/8</f>
        <v/>
      </c>
      <c r="BA46" s="918">
        <f>+BA29/8</f>
        <v/>
      </c>
      <c r="BB46" s="918">
        <f>+BB29/8</f>
        <v/>
      </c>
      <c r="BC46" s="918">
        <f>+BC29/8</f>
        <v/>
      </c>
      <c r="BD46" s="918">
        <f>+BD29/8</f>
        <v/>
      </c>
      <c r="BE46" s="918">
        <f>+BE29/8</f>
        <v/>
      </c>
      <c r="BF46" s="918">
        <f>+BF29/8</f>
        <v/>
      </c>
      <c r="BG46" s="918">
        <f>+BG29/8</f>
        <v/>
      </c>
      <c r="BH46" s="918">
        <f>+BH29/8</f>
        <v/>
      </c>
      <c r="BI46" s="918">
        <f>+BI29/8</f>
        <v/>
      </c>
      <c r="BJ46" s="918">
        <f>+BJ29/8</f>
        <v/>
      </c>
      <c r="BK46" s="919">
        <f>+BK29/8</f>
        <v/>
      </c>
      <c r="BL46" s="918">
        <f>+BL29/8</f>
        <v/>
      </c>
      <c r="BM46" s="918">
        <f>+BM29/8</f>
        <v/>
      </c>
      <c r="BN46" s="918">
        <f>+BN29/8</f>
        <v/>
      </c>
      <c r="BO46" s="918">
        <f>+BO29/8</f>
        <v/>
      </c>
      <c r="BP46" s="918">
        <f>+BP29/8</f>
        <v/>
      </c>
      <c r="BQ46" s="918">
        <f>+BQ29/8</f>
        <v/>
      </c>
      <c r="BR46" s="918">
        <f>+BR29/8</f>
        <v/>
      </c>
      <c r="BS46" s="918">
        <f>+BS29/8</f>
        <v/>
      </c>
      <c r="BT46" s="918">
        <f>+BT29/8</f>
        <v/>
      </c>
      <c r="BU46" s="918">
        <f>+BU29/8</f>
        <v/>
      </c>
      <c r="BV46" s="918">
        <f>+BV29/8</f>
        <v/>
      </c>
      <c r="BW46" s="919">
        <f>+BW29/8</f>
        <v/>
      </c>
      <c r="BX46" s="918">
        <f>+BX29/8</f>
        <v/>
      </c>
      <c r="BY46" s="918">
        <f>+BY29/8</f>
        <v/>
      </c>
      <c r="BZ46" s="918">
        <f>+BZ29/8</f>
        <v/>
      </c>
      <c r="CA46" s="918">
        <f>+CA29/8</f>
        <v/>
      </c>
      <c r="CB46" s="918">
        <f>+CB29/8</f>
        <v/>
      </c>
      <c r="CC46" s="918">
        <f>+CC29/8</f>
        <v/>
      </c>
      <c r="CD46" s="918">
        <f>+CD29/8</f>
        <v/>
      </c>
      <c r="CE46" s="918">
        <f>+CE29/8</f>
        <v/>
      </c>
      <c r="CF46" s="918">
        <f>+CF29/8</f>
        <v/>
      </c>
      <c r="CG46" s="918">
        <f>+CG29/8</f>
        <v/>
      </c>
      <c r="CH46" s="918">
        <f>+CH29/8</f>
        <v/>
      </c>
      <c r="CI46" s="919">
        <f>+CI29/8</f>
        <v/>
      </c>
      <c r="CJ46" s="918">
        <f>+CJ29/8</f>
        <v/>
      </c>
      <c r="CK46" s="918">
        <f>+CK29/8</f>
        <v/>
      </c>
      <c r="CL46" s="918">
        <f>+CL29/8</f>
        <v/>
      </c>
      <c r="CM46" s="918">
        <f>+CM29/8</f>
        <v/>
      </c>
      <c r="CN46" s="918">
        <f>+CN29/8</f>
        <v/>
      </c>
      <c r="CO46" s="918">
        <f>+CO29/8</f>
        <v/>
      </c>
      <c r="CP46" s="918">
        <f>+CP29/8</f>
        <v/>
      </c>
      <c r="CQ46" s="918">
        <f>+CQ29/8</f>
        <v/>
      </c>
      <c r="CR46" s="918">
        <f>+CR29/8</f>
        <v/>
      </c>
      <c r="CS46" s="918">
        <f>+CS29/8</f>
        <v/>
      </c>
      <c r="CT46" s="918">
        <f>+CT29/8</f>
        <v/>
      </c>
      <c r="CU46" s="919">
        <f>+CU29/8</f>
        <v/>
      </c>
      <c r="CV46" s="918">
        <f>+CV29/8</f>
        <v/>
      </c>
      <c r="CW46" s="918">
        <f>+CW29/8</f>
        <v/>
      </c>
      <c r="CX46" s="918">
        <f>+CX29/8</f>
        <v/>
      </c>
      <c r="CY46" s="918">
        <f>+CY29/8</f>
        <v/>
      </c>
      <c r="CZ46" s="918">
        <f>+CZ29/8</f>
        <v/>
      </c>
      <c r="DA46" s="918">
        <f>+DA29/8</f>
        <v/>
      </c>
      <c r="DB46" s="918">
        <f>+DB29/8</f>
        <v/>
      </c>
      <c r="DC46" s="918">
        <f>+DC29/8</f>
        <v/>
      </c>
      <c r="DD46" s="918">
        <f>+DD29/8</f>
        <v/>
      </c>
      <c r="DE46" s="918">
        <f>+DE29/8</f>
        <v/>
      </c>
      <c r="DF46" s="918">
        <f>+DF29/8</f>
        <v/>
      </c>
      <c r="DG46" s="920">
        <f>+DG29/8</f>
        <v/>
      </c>
    </row>
    <row r="47">
      <c r="B47" s="1" t="n"/>
      <c r="C47" s="1" t="n"/>
      <c r="D47" s="838" t="n"/>
      <c r="E47" s="838" t="n"/>
      <c r="F47" s="838" t="n"/>
      <c r="G47" s="838" t="n"/>
      <c r="H47" s="838" t="n"/>
      <c r="I47" s="838" t="n"/>
      <c r="J47" s="838" t="n"/>
      <c r="K47" s="838" t="n"/>
      <c r="L47" s="838" t="n"/>
      <c r="M47" s="838" t="n"/>
      <c r="N47" s="838" t="n"/>
      <c r="O47" s="838" t="n"/>
      <c r="P47" s="838" t="n"/>
      <c r="Q47" s="838" t="n"/>
      <c r="R47" s="838" t="n"/>
      <c r="S47" s="838" t="n"/>
      <c r="T47" s="838" t="n"/>
      <c r="U47" s="838" t="n"/>
      <c r="V47" s="838" t="n"/>
      <c r="W47" s="838" t="n"/>
      <c r="X47" s="838" t="n"/>
      <c r="Y47" s="838" t="n"/>
      <c r="Z47" s="838" t="n"/>
      <c r="AA47" s="838" t="n"/>
      <c r="AB47" s="838" t="n"/>
      <c r="AC47" s="838" t="n"/>
      <c r="AD47" s="838" t="n"/>
      <c r="AE47" s="838" t="n"/>
      <c r="AF47" s="838" t="n"/>
      <c r="AG47" s="838" t="n"/>
      <c r="AH47" s="838" t="n"/>
      <c r="AI47" s="838" t="n"/>
      <c r="AJ47" s="838" t="n"/>
      <c r="AK47" s="838" t="n"/>
      <c r="AL47" s="838" t="n"/>
      <c r="AM47" s="838" t="n"/>
      <c r="AN47" s="838" t="n"/>
      <c r="AO47" s="838" t="n"/>
      <c r="AP47" s="838" t="n"/>
      <c r="AQ47" s="838" t="n"/>
      <c r="AR47" s="838" t="n"/>
      <c r="AS47" s="838" t="n"/>
      <c r="AT47" s="838" t="n"/>
      <c r="AU47" s="838" t="n"/>
      <c r="AV47" s="838" t="n"/>
      <c r="AW47" s="839" t="n"/>
      <c r="AX47" s="838" t="n"/>
      <c r="AY47" s="839" t="n"/>
      <c r="AZ47" s="838" t="n"/>
      <c r="BA47" s="838" t="n"/>
      <c r="BB47" s="838" t="n"/>
      <c r="BC47" s="838" t="n"/>
      <c r="BD47" s="838" t="n"/>
      <c r="BE47" s="838" t="n"/>
      <c r="BF47" s="838" t="n"/>
      <c r="BG47" s="838" t="n"/>
      <c r="BH47" s="838" t="n"/>
      <c r="BI47" s="838" t="n"/>
      <c r="BJ47" s="838" t="n"/>
      <c r="BK47" s="839" t="n"/>
      <c r="BL47" s="838" t="n"/>
      <c r="BM47" s="838" t="n"/>
      <c r="BN47" s="838" t="n"/>
      <c r="BO47" s="838" t="n"/>
      <c r="BP47" s="838" t="n"/>
      <c r="BQ47" s="838" t="n"/>
      <c r="BR47" s="838" t="n"/>
      <c r="BS47" s="838" t="n"/>
      <c r="BT47" s="838" t="n"/>
      <c r="BU47" s="838" t="n"/>
      <c r="BV47" s="838" t="n"/>
      <c r="BW47" s="839" t="n"/>
      <c r="BX47" s="838" t="n"/>
      <c r="BY47" s="838" t="n"/>
      <c r="BZ47" s="838" t="n"/>
      <c r="CA47" s="838" t="n"/>
      <c r="CB47" s="838" t="n"/>
      <c r="CC47" s="838" t="n"/>
      <c r="CD47" s="838" t="n"/>
      <c r="CE47" s="838" t="n"/>
      <c r="CF47" s="838" t="n"/>
      <c r="CG47" s="838" t="n"/>
      <c r="CH47" s="838" t="n"/>
      <c r="CI47" s="839" t="n"/>
      <c r="CJ47" s="838" t="n"/>
      <c r="CK47" s="838" t="n"/>
      <c r="CL47" s="838" t="n"/>
      <c r="CM47" s="838" t="n"/>
      <c r="CN47" s="838" t="n"/>
      <c r="CO47" s="838" t="n"/>
      <c r="CP47" s="838" t="n"/>
      <c r="CQ47" s="838" t="n"/>
      <c r="CR47" s="838" t="n"/>
      <c r="CS47" s="838" t="n"/>
      <c r="CT47" s="838" t="n"/>
      <c r="CU47" s="839" t="n"/>
      <c r="CV47" s="838" t="n"/>
      <c r="CW47" s="838" t="n"/>
      <c r="CX47" s="838" t="n"/>
      <c r="CY47" s="838" t="n"/>
      <c r="CZ47" s="838" t="n"/>
      <c r="DA47" s="838" t="n"/>
      <c r="DB47" s="838" t="n"/>
      <c r="DC47" s="838" t="n"/>
      <c r="DD47" s="838" t="n"/>
      <c r="DE47" s="838" t="n"/>
      <c r="DF47" s="838" t="n"/>
      <c r="DG47" s="838" t="n"/>
    </row>
    <row r="48" hidden="1" s="627">
      <c r="B48" s="1" t="n"/>
      <c r="C48" s="1" t="n"/>
      <c r="D48" s="838" t="n"/>
      <c r="F48" t="n">
        <v>2022</v>
      </c>
      <c r="G48" t="n">
        <v>2023</v>
      </c>
      <c r="H48" t="n">
        <v>2024</v>
      </c>
      <c r="I48" t="n">
        <v>2025</v>
      </c>
      <c r="J48" t="n">
        <v>2026</v>
      </c>
      <c r="K48" t="n">
        <v>2027</v>
      </c>
      <c r="L48" t="n">
        <v>2028</v>
      </c>
      <c r="M48" t="n">
        <v>2029</v>
      </c>
      <c r="N48" t="n">
        <v>2030</v>
      </c>
      <c r="O48" s="838" t="n"/>
      <c r="Q48" t="n">
        <v>2022</v>
      </c>
      <c r="R48" t="n">
        <v>2023</v>
      </c>
      <c r="S48" t="n">
        <v>2024</v>
      </c>
      <c r="T48" t="n">
        <v>2025</v>
      </c>
      <c r="U48" t="n">
        <v>2026</v>
      </c>
      <c r="V48" t="n">
        <v>2027</v>
      </c>
      <c r="W48" t="n">
        <v>2028</v>
      </c>
      <c r="X48" t="n">
        <v>2028</v>
      </c>
      <c r="Y48" t="n">
        <v>2028</v>
      </c>
      <c r="Z48" t="n">
        <v>2028</v>
      </c>
      <c r="AA48" t="n">
        <v>2028</v>
      </c>
      <c r="AB48" t="n">
        <v>2028</v>
      </c>
      <c r="AC48" t="n">
        <v>2028</v>
      </c>
      <c r="AD48" t="n">
        <v>2028</v>
      </c>
      <c r="AE48" t="n">
        <v>2028</v>
      </c>
      <c r="AF48" t="n">
        <v>2029</v>
      </c>
      <c r="AG48" t="n">
        <v>2029</v>
      </c>
      <c r="AH48" t="n">
        <v>2029</v>
      </c>
      <c r="AI48" t="n">
        <v>2029</v>
      </c>
      <c r="AJ48" t="n">
        <v>2029</v>
      </c>
      <c r="AK48" t="n">
        <v>2029</v>
      </c>
      <c r="AL48" t="n">
        <v>2029</v>
      </c>
      <c r="AM48" t="n">
        <v>2029</v>
      </c>
      <c r="AN48" t="n">
        <v>2029</v>
      </c>
      <c r="AO48" t="n">
        <v>2029</v>
      </c>
      <c r="AP48" t="n">
        <v>2029</v>
      </c>
      <c r="AQ48" t="n">
        <v>2029</v>
      </c>
      <c r="AR48" t="n">
        <v>2029</v>
      </c>
      <c r="AS48" t="n">
        <v>2029</v>
      </c>
      <c r="AT48" t="n">
        <v>2029</v>
      </c>
      <c r="AU48" t="n">
        <v>2029</v>
      </c>
      <c r="AV48" t="n">
        <v>2029</v>
      </c>
      <c r="AW48" s="243" t="n">
        <v>2029</v>
      </c>
      <c r="AX48" s="838" t="n"/>
      <c r="AY48" s="839" t="n"/>
      <c r="AZ48" s="838" t="n"/>
      <c r="BA48" s="838" t="n"/>
      <c r="BB48" s="838" t="n"/>
      <c r="BC48" s="838" t="n"/>
      <c r="BD48" s="838" t="n"/>
      <c r="BE48" s="838" t="n"/>
      <c r="BF48" s="838" t="n"/>
      <c r="BG48" s="838" t="n"/>
      <c r="BH48" s="838" t="n"/>
      <c r="BI48" s="838" t="n"/>
      <c r="BJ48" s="838" t="n"/>
      <c r="BK48" s="839" t="n"/>
      <c r="BL48" s="838" t="n"/>
      <c r="BM48" s="838" t="n"/>
      <c r="BN48" s="838" t="n"/>
      <c r="BO48" s="838" t="n"/>
      <c r="BP48" s="838" t="n"/>
      <c r="BQ48" s="838" t="n"/>
      <c r="BR48" s="838" t="n"/>
      <c r="BS48" s="838" t="n"/>
      <c r="BT48" s="838" t="n"/>
      <c r="BU48" s="838" t="n"/>
      <c r="BV48" s="838" t="n"/>
      <c r="BW48" s="839" t="n"/>
      <c r="BX48" s="838" t="n"/>
      <c r="BY48" s="838" t="n"/>
      <c r="BZ48" s="838" t="n"/>
      <c r="CA48" s="838" t="n"/>
      <c r="CB48" s="838" t="n"/>
      <c r="CC48" s="838" t="n"/>
      <c r="CD48" s="838" t="n"/>
      <c r="CE48" s="838" t="n"/>
      <c r="CF48" s="838" t="n"/>
      <c r="CG48" s="838" t="n"/>
      <c r="CH48" s="838" t="n"/>
      <c r="CI48" s="839" t="n"/>
      <c r="CJ48" s="838" t="n"/>
      <c r="CK48" s="838" t="n"/>
      <c r="CL48" s="838" t="n"/>
      <c r="CM48" s="838" t="n"/>
      <c r="CN48" s="838" t="n"/>
      <c r="CO48" s="838" t="n"/>
      <c r="CP48" s="838" t="n"/>
      <c r="CQ48" s="838" t="n"/>
      <c r="CR48" s="838" t="n"/>
      <c r="CS48" s="838" t="n"/>
      <c r="CT48" s="838" t="n"/>
      <c r="CU48" s="839" t="n"/>
      <c r="CV48" s="838" t="n"/>
      <c r="CW48" s="838" t="n"/>
      <c r="CX48" s="838" t="n"/>
      <c r="CY48" s="838" t="n"/>
      <c r="CZ48" s="838" t="n"/>
      <c r="DA48" s="838" t="n"/>
      <c r="DB48" s="838" t="n"/>
      <c r="DC48" s="838" t="n"/>
      <c r="DD48" s="838" t="n"/>
      <c r="DE48" s="838" t="n"/>
      <c r="DF48" s="838" t="n"/>
      <c r="DG48" s="838" t="n"/>
    </row>
    <row r="49" hidden="1" s="627">
      <c r="B49" s="1" t="n"/>
      <c r="C49" s="1" t="n"/>
      <c r="D49" s="838" t="n"/>
      <c r="E49" t="inlineStr">
        <is>
          <t>Average</t>
        </is>
      </c>
      <c r="F49">
        <f>ROUNDUP(AVERAGE(F50:F52), 0)</f>
        <v/>
      </c>
      <c r="G49">
        <f>ROUNDUP(AVERAGE(G50:G52), 0)</f>
        <v/>
      </c>
      <c r="H49">
        <f>ROUNDUP(AVERAGE(H50:H52), 0)</f>
        <v/>
      </c>
      <c r="I49">
        <f>ROUNDUP(AVERAGE(I50:I52), 0)</f>
        <v/>
      </c>
      <c r="J49">
        <f>ROUNDUP(AVERAGE(J50:J52), 0)</f>
        <v/>
      </c>
      <c r="K49">
        <f>ROUNDUP(AVERAGE(K50:K52), 0)</f>
        <v/>
      </c>
      <c r="L49">
        <f>ROUNDUP(AVERAGE(L50:L52), 0)</f>
        <v/>
      </c>
      <c r="M49">
        <f>ROUNDUP(AVERAGE(M50:M52), 0)</f>
        <v/>
      </c>
      <c r="N49">
        <f>ROUNDUP(AVERAGE(N50:N52), 0)</f>
        <v/>
      </c>
      <c r="O49" s="838" t="n"/>
      <c r="P49" t="inlineStr">
        <is>
          <t>Average</t>
        </is>
      </c>
      <c r="Q49">
        <f>ROUNDUP(AVERAGE(Q50:Q52), 0)</f>
        <v/>
      </c>
      <c r="R49">
        <f>ROUNDUP(AVERAGE(R50:R52), 0)</f>
        <v/>
      </c>
      <c r="S49">
        <f>ROUNDUP(AVERAGE(S50:S52), 0)</f>
        <v/>
      </c>
      <c r="T49">
        <f>ROUNDUP(AVERAGE(T50:T52), 0)</f>
        <v/>
      </c>
      <c r="U49">
        <f>ROUNDUP(AVERAGE(U50:U52), 0)</f>
        <v/>
      </c>
      <c r="V49">
        <f>ROUNDUP(AVERAGE(V50:V52), 0)</f>
        <v/>
      </c>
      <c r="W49">
        <f>ROUNDUP(AVERAGE(W50:W52), 0)</f>
        <v/>
      </c>
      <c r="X49">
        <f>ROUNDUP(AVERAGE(X50:X52), 0)</f>
        <v/>
      </c>
      <c r="Y49">
        <f>ROUNDUP(AVERAGE(Y50:Y52), 0)</f>
        <v/>
      </c>
      <c r="Z49">
        <f>ROUNDUP(AVERAGE(Z50:Z52), 0)</f>
        <v/>
      </c>
      <c r="AA49">
        <f>ROUNDUP(AVERAGE(AA50:AA52), 0)</f>
        <v/>
      </c>
      <c r="AB49">
        <f>ROUNDUP(AVERAGE(AB50:AB52), 0)</f>
        <v/>
      </c>
      <c r="AC49">
        <f>ROUNDUP(AVERAGE(AC50:AC52), 0)</f>
        <v/>
      </c>
      <c r="AD49">
        <f>ROUNDUP(AVERAGE(AD50:AD52), 0)</f>
        <v/>
      </c>
      <c r="AE49">
        <f>ROUNDUP(AVERAGE(AE50:AE52), 0)</f>
        <v/>
      </c>
      <c r="AF49">
        <f>ROUNDUP(AVERAGE(AF50:AF52), 0)</f>
        <v/>
      </c>
      <c r="AG49">
        <f>ROUNDUP(AVERAGE(AG50:AG52), 0)</f>
        <v/>
      </c>
      <c r="AH49">
        <f>ROUNDUP(AVERAGE(AH50:AH52), 0)</f>
        <v/>
      </c>
      <c r="AI49">
        <f>ROUNDUP(AVERAGE(AI50:AI52), 0)</f>
        <v/>
      </c>
      <c r="AJ49">
        <f>ROUNDUP(AVERAGE(AJ50:AJ52), 0)</f>
        <v/>
      </c>
      <c r="AK49">
        <f>ROUNDUP(AVERAGE(AK50:AK52), 0)</f>
        <v/>
      </c>
      <c r="AL49">
        <f>ROUNDUP(AVERAGE(AL50:AL52), 0)</f>
        <v/>
      </c>
      <c r="AM49">
        <f>ROUNDUP(AVERAGE(AM50:AM52), 0)</f>
        <v/>
      </c>
      <c r="AN49">
        <f>ROUNDUP(AVERAGE(AN50:AN52), 0)</f>
        <v/>
      </c>
      <c r="AO49">
        <f>ROUNDUP(AVERAGE(AO50:AO52), 0)</f>
        <v/>
      </c>
      <c r="AP49">
        <f>ROUNDUP(AVERAGE(AP50:AP52), 0)</f>
        <v/>
      </c>
      <c r="AQ49">
        <f>ROUNDUP(AVERAGE(AQ50:AQ52), 0)</f>
        <v/>
      </c>
      <c r="AR49">
        <f>ROUNDUP(AVERAGE(AR50:AR52), 0)</f>
        <v/>
      </c>
      <c r="AS49">
        <f>ROUNDUP(AVERAGE(AS50:AS52), 0)</f>
        <v/>
      </c>
      <c r="AT49">
        <f>ROUNDUP(AVERAGE(AT50:AT52), 0)</f>
        <v/>
      </c>
      <c r="AU49">
        <f>ROUNDUP(AVERAGE(AU50:AU52), 0)</f>
        <v/>
      </c>
      <c r="AV49">
        <f>ROUNDUP(AVERAGE(AV50:AV52), 0)</f>
        <v/>
      </c>
      <c r="AW49" s="243">
        <f>ROUNDUP(AVERAGE(AW50:AW52), 0)</f>
        <v/>
      </c>
      <c r="AX49" s="838" t="n"/>
      <c r="AY49" s="839" t="n"/>
      <c r="AZ49" s="838" t="n"/>
      <c r="BA49" s="838" t="n"/>
      <c r="BB49" s="838" t="n"/>
      <c r="BC49" s="838" t="n"/>
      <c r="BD49" s="838" t="n"/>
      <c r="BE49" s="838" t="n"/>
      <c r="BF49" s="838" t="n"/>
      <c r="BG49" s="838" t="n"/>
      <c r="BH49" s="838" t="n"/>
      <c r="BI49" s="838" t="n"/>
      <c r="BJ49" s="838" t="n"/>
      <c r="BK49" s="839" t="n"/>
      <c r="BL49" s="838" t="n"/>
      <c r="BM49" s="838" t="n"/>
      <c r="BN49" s="838" t="n"/>
      <c r="BO49" s="838" t="n"/>
      <c r="BP49" s="838" t="n"/>
      <c r="BQ49" s="838" t="n"/>
      <c r="BR49" s="838" t="n"/>
      <c r="BS49" s="838" t="n"/>
      <c r="BT49" s="838" t="n"/>
      <c r="BU49" s="838" t="n"/>
      <c r="BV49" s="838" t="n"/>
      <c r="BW49" s="839" t="n"/>
      <c r="BX49" s="838" t="n"/>
      <c r="BY49" s="838" t="n"/>
      <c r="BZ49" s="838" t="n"/>
      <c r="CA49" s="838" t="n"/>
      <c r="CB49" s="838" t="n"/>
      <c r="CC49" s="838" t="n"/>
      <c r="CD49" s="838" t="n"/>
      <c r="CE49" s="838" t="n"/>
      <c r="CF49" s="838" t="n"/>
      <c r="CG49" s="838" t="n"/>
      <c r="CH49" s="838" t="n"/>
      <c r="CI49" s="839" t="n"/>
      <c r="CJ49" s="838" t="n"/>
      <c r="CK49" s="838" t="n"/>
      <c r="CL49" s="838" t="n"/>
      <c r="CM49" s="838" t="n"/>
      <c r="CN49" s="838" t="n"/>
      <c r="CO49" s="838" t="n"/>
      <c r="CP49" s="838" t="n"/>
      <c r="CQ49" s="838" t="n"/>
      <c r="CR49" s="838" t="n"/>
      <c r="CS49" s="838" t="n"/>
      <c r="CT49" s="838" t="n"/>
      <c r="CU49" s="839" t="n"/>
      <c r="CV49" s="838" t="n"/>
      <c r="CW49" s="838" t="n"/>
      <c r="CX49" s="838" t="n"/>
      <c r="CY49" s="838" t="n"/>
      <c r="CZ49" s="838" t="n"/>
      <c r="DA49" s="838" t="n"/>
      <c r="DB49" s="838" t="n"/>
      <c r="DC49" s="838" t="n"/>
      <c r="DD49" s="838" t="n"/>
      <c r="DE49" s="838" t="n"/>
      <c r="DF49" s="838" t="n"/>
      <c r="DG49" s="838" t="n"/>
    </row>
    <row r="50" hidden="1" s="627">
      <c r="B50" s="1" t="n"/>
      <c r="C50" s="1" t="n"/>
      <c r="D50" s="838" t="n"/>
      <c r="E50" t="inlineStr">
        <is>
          <t>Peak</t>
        </is>
      </c>
      <c r="F50">
        <f>ROUNDUP(AVERAGEIFS($E$15:$DG$15, $H$2:$DJ$2,$E$50, $H$1:$DJ$1, F48), 0)</f>
        <v/>
      </c>
      <c r="G50">
        <f>ROUNDUP(AVERAGEIFS($H$19:$DJ$19, $H$2:$DJ$2,$E50, $H$1:$DJ$1, G$48), 0)</f>
        <v/>
      </c>
      <c r="H50">
        <f>ROUNDUP(AVERAGEIFS($H$19:$DJ$19, $H$2:$DJ$2,$E50, $H$1:$DJ$1, H$48), 0)</f>
        <v/>
      </c>
      <c r="I50" s="204">
        <f>+H50+3</f>
        <v/>
      </c>
      <c r="J50" s="204">
        <f>+I50+3</f>
        <v/>
      </c>
      <c r="K50" s="204">
        <f>+J50+3</f>
        <v/>
      </c>
      <c r="L50" s="204">
        <f>+K50+3</f>
        <v/>
      </c>
      <c r="M50" s="204">
        <f>+L50+3</f>
        <v/>
      </c>
      <c r="N50" s="204">
        <f>+M50+3</f>
        <v/>
      </c>
      <c r="O50" s="838" t="n"/>
      <c r="P50" t="inlineStr">
        <is>
          <t>Peak</t>
        </is>
      </c>
      <c r="Q50" s="921">
        <f>AVERAGEIFS($E$29:$DG$29, $H$2:$DJ$2,$E$50, $H$1:$DJ$1, Q48)</f>
        <v/>
      </c>
      <c r="R50" s="921">
        <f>AVERAGEIFS($E$29:$DG$29, $H$2:$DJ$2,$E$50, $H$1:$DJ$1, R48)</f>
        <v/>
      </c>
      <c r="S50" s="921">
        <f>AVERAGEIFS($E$29:$DG$29, $H$2:$DJ$2,$E$50, $H$1:$DJ$1, S48)</f>
        <v/>
      </c>
      <c r="T50" s="921">
        <f>AVERAGEIFS($E$29:$DG$29, $H$2:$DJ$2,$E$50, $H$1:$DJ$1, T48)</f>
        <v/>
      </c>
      <c r="U50" s="921">
        <f>AVERAGEIFS($E$29:$DG$29, $H$2:$DJ$2,$E$50, $H$1:$DJ$1, U48)</f>
        <v/>
      </c>
      <c r="V50" s="921">
        <f>AVERAGEIFS($E$29:$DG$29, $H$2:$DJ$2,$E$50, $H$1:$DJ$1, V48)</f>
        <v/>
      </c>
      <c r="W50" s="921">
        <f>AVERAGEIFS($E$29:$DG$29, $H$2:$DJ$2,$E$50, $H$1:$DJ$1, W48)</f>
        <v/>
      </c>
      <c r="X50" s="921">
        <f>AVERAGEIFS($E$29:$DG$29, $H$2:$DJ$2,$E$50, $H$1:$DJ$1, X48)</f>
        <v/>
      </c>
      <c r="Y50" s="921">
        <f>AVERAGEIFS($E$29:$DG$29, $H$2:$DJ$2,$E$50, $H$1:$DJ$1, Y48)</f>
        <v/>
      </c>
      <c r="Z50" s="921">
        <f>AVERAGEIFS($E$29:$DG$29, $H$2:$DJ$2,$E$50, $H$1:$DJ$1, Z48)</f>
        <v/>
      </c>
      <c r="AA50" s="921">
        <f>AVERAGEIFS($E$29:$DG$29, $H$2:$DJ$2,$E$50, $H$1:$DJ$1, AA48)</f>
        <v/>
      </c>
      <c r="AB50" s="921">
        <f>AVERAGEIFS($E$29:$DG$29, $H$2:$DJ$2,$E$50, $H$1:$DJ$1, AB48)</f>
        <v/>
      </c>
      <c r="AC50" s="921">
        <f>AVERAGEIFS($E$29:$DG$29, $H$2:$DJ$2,$E$50, $H$1:$DJ$1, AC48)</f>
        <v/>
      </c>
      <c r="AD50" s="921">
        <f>AVERAGEIFS($E$29:$DG$29, $H$2:$DJ$2,$E$50, $H$1:$DJ$1, AD48)</f>
        <v/>
      </c>
      <c r="AE50" s="921">
        <f>AVERAGEIFS($E$29:$DG$29, $H$2:$DJ$2,$E$50, $H$1:$DJ$1, AE48)</f>
        <v/>
      </c>
      <c r="AF50" s="921">
        <f>AVERAGEIFS($E$29:$DG$29, $H$2:$DJ$2,$E$50, $H$1:$DJ$1, AF48)</f>
        <v/>
      </c>
      <c r="AG50" s="921">
        <f>AVERAGEIFS($E$29:$DG$29, $H$2:$DJ$2,$E$50, $H$1:$DJ$1, AG48)</f>
        <v/>
      </c>
      <c r="AH50" s="921">
        <f>AVERAGEIFS($E$29:$DG$29, $H$2:$DJ$2,$E$50, $H$1:$DJ$1, AH48)</f>
        <v/>
      </c>
      <c r="AI50" s="921">
        <f>AVERAGEIFS($E$29:$DG$29, $H$2:$DJ$2,$E$50, $H$1:$DJ$1, AI48)</f>
        <v/>
      </c>
      <c r="AJ50" s="921">
        <f>AVERAGEIFS($E$29:$DG$29, $H$2:$DJ$2,$E$50, $H$1:$DJ$1, AJ48)</f>
        <v/>
      </c>
      <c r="AK50" s="921">
        <f>AVERAGEIFS($E$29:$DG$29, $H$2:$DJ$2,$E$50, $H$1:$DJ$1, AK48)</f>
        <v/>
      </c>
      <c r="AL50" s="921">
        <f>AVERAGEIFS($E$29:$DG$29, $H$2:$DJ$2,$E$50, $H$1:$DJ$1, AL48)</f>
        <v/>
      </c>
      <c r="AM50" s="921">
        <f>AVERAGEIFS($E$29:$DG$29, $H$2:$DJ$2,$E$50, $H$1:$DJ$1, AM48)</f>
        <v/>
      </c>
      <c r="AN50" s="921">
        <f>AVERAGEIFS($E$29:$DG$29, $H$2:$DJ$2,$E$50, $H$1:$DJ$1, AN48)</f>
        <v/>
      </c>
      <c r="AO50" s="921">
        <f>AVERAGEIFS($E$29:$DG$29, $H$2:$DJ$2,$E$50, $H$1:$DJ$1, AO48)</f>
        <v/>
      </c>
      <c r="AP50" s="921">
        <f>AVERAGEIFS($E$29:$DG$29, $H$2:$DJ$2,$E$50, $H$1:$DJ$1, AP48)</f>
        <v/>
      </c>
      <c r="AQ50" s="921">
        <f>AVERAGEIFS($E$29:$DG$29, $H$2:$DJ$2,$E$50, $H$1:$DJ$1, AQ48)</f>
        <v/>
      </c>
      <c r="AR50" s="921">
        <f>AVERAGEIFS($E$29:$DG$29, $H$2:$DJ$2,$E$50, $H$1:$DJ$1, AR48)</f>
        <v/>
      </c>
      <c r="AS50" s="921">
        <f>AVERAGEIFS($E$29:$DG$29, $H$2:$DJ$2,$E$50, $H$1:$DJ$1, AS48)</f>
        <v/>
      </c>
      <c r="AT50" s="921">
        <f>AVERAGEIFS($E$29:$DG$29, $H$2:$DJ$2,$E$50, $H$1:$DJ$1, AT48)</f>
        <v/>
      </c>
      <c r="AU50" s="921">
        <f>AVERAGEIFS($E$29:$DG$29, $H$2:$DJ$2,$E$50, $H$1:$DJ$1, AU48)</f>
        <v/>
      </c>
      <c r="AV50" s="921">
        <f>AVERAGEIFS($E$29:$DG$29, $H$2:$DJ$2,$E$50, $H$1:$DJ$1, AV48)</f>
        <v/>
      </c>
      <c r="AW50" s="922">
        <f>AVERAGEIFS($E$29:$DG$29, $H$2:$DJ$2,$E$50, $H$1:$DJ$1, AW48)</f>
        <v/>
      </c>
      <c r="AX50" s="838" t="n"/>
      <c r="AY50" s="839" t="n"/>
      <c r="AZ50" s="838" t="n"/>
      <c r="BA50" s="838" t="n"/>
      <c r="BB50" s="838" t="n"/>
      <c r="BC50" s="838" t="n"/>
      <c r="BD50" s="838" t="n"/>
      <c r="BE50" s="838" t="n"/>
      <c r="BF50" s="838" t="n"/>
      <c r="BG50" s="838" t="n"/>
      <c r="BH50" s="838" t="n"/>
      <c r="BI50" s="838" t="n"/>
      <c r="BJ50" s="838" t="n"/>
      <c r="BK50" s="839" t="n"/>
      <c r="BL50" s="838" t="n"/>
      <c r="BM50" s="838" t="n"/>
      <c r="BN50" s="838" t="n"/>
      <c r="BO50" s="838" t="n"/>
      <c r="BP50" s="838" t="n"/>
      <c r="BQ50" s="838" t="n"/>
      <c r="BR50" s="838" t="n"/>
      <c r="BS50" s="838" t="n"/>
      <c r="BT50" s="838" t="n"/>
      <c r="BU50" s="838" t="n"/>
      <c r="BV50" s="838" t="n"/>
      <c r="BW50" s="839" t="n"/>
      <c r="BX50" s="838" t="n"/>
      <c r="BY50" s="838" t="n"/>
      <c r="BZ50" s="838" t="n"/>
      <c r="CA50" s="838" t="n"/>
      <c r="CB50" s="838" t="n"/>
      <c r="CC50" s="838" t="n"/>
      <c r="CD50" s="838" t="n"/>
      <c r="CE50" s="838" t="n"/>
      <c r="CF50" s="838" t="n"/>
      <c r="CG50" s="838" t="n"/>
      <c r="CH50" s="838" t="n"/>
      <c r="CI50" s="839" t="n"/>
      <c r="CJ50" s="838" t="n"/>
      <c r="CK50" s="838" t="n"/>
      <c r="CL50" s="838" t="n"/>
      <c r="CM50" s="838" t="n"/>
      <c r="CN50" s="838" t="n"/>
      <c r="CO50" s="838" t="n"/>
      <c r="CP50" s="838" t="n"/>
      <c r="CQ50" s="838" t="n"/>
      <c r="CR50" s="838" t="n"/>
      <c r="CS50" s="838" t="n"/>
      <c r="CT50" s="838" t="n"/>
      <c r="CU50" s="839" t="n"/>
      <c r="CV50" s="838" t="n"/>
      <c r="CW50" s="838" t="n"/>
      <c r="CX50" s="838" t="n"/>
      <c r="CY50" s="838" t="n"/>
      <c r="CZ50" s="838" t="n"/>
      <c r="DA50" s="838" t="n"/>
      <c r="DB50" s="838" t="n"/>
      <c r="DC50" s="838" t="n"/>
      <c r="DD50" s="838" t="n"/>
      <c r="DE50" s="838" t="n"/>
      <c r="DF50" s="838" t="n"/>
      <c r="DG50" s="838" t="n"/>
    </row>
    <row r="51" hidden="1" s="627">
      <c r="B51" s="1" t="n"/>
      <c r="C51" s="1" t="n"/>
      <c r="D51" s="838" t="n"/>
      <c r="E51" t="inlineStr">
        <is>
          <t>Shoulder</t>
        </is>
      </c>
      <c r="F51">
        <f>ROUNDUP(AVERAGEIFS($E$15:$DG$15, $H$2:$DJ$2,$E$51, $H$1:$DJ$1, F48), 0)</f>
        <v/>
      </c>
      <c r="G51">
        <f>ROUNDUP(AVERAGEIFS($H$19:$DJ$19, $H$2:$DJ$2,$E51, $H$1:$DJ$1, G$48), 0)</f>
        <v/>
      </c>
      <c r="H51" s="923">
        <f>ROUNDUP(AVERAGEIFS($H$19:$DJ$19, $H$2:$DJ$2,$E51, $H$1:$DJ$1, H$48), 0)</f>
        <v/>
      </c>
      <c r="I51" s="204">
        <f>+H51+2</f>
        <v/>
      </c>
      <c r="J51" s="204">
        <f>+I51+2</f>
        <v/>
      </c>
      <c r="K51" s="204">
        <f>+J51+2</f>
        <v/>
      </c>
      <c r="L51" s="204">
        <f>+K51+2</f>
        <v/>
      </c>
      <c r="M51" s="204">
        <f>+L51+2</f>
        <v/>
      </c>
      <c r="N51" s="204">
        <f>+M51+2</f>
        <v/>
      </c>
      <c r="O51" s="838" t="n"/>
      <c r="P51" t="inlineStr">
        <is>
          <t>Shoulder</t>
        </is>
      </c>
      <c r="Q51" s="921">
        <f>+AVERAGEIFS($E$29:$DG$29, $H$2:$DJ$2,$E$51, $H$1:$DJ$1, Q48)</f>
        <v/>
      </c>
      <c r="R51" s="921">
        <f>+AVERAGEIFS($E$29:$DG$29, $H$2:$DJ$2,$E$51, $H$1:$DJ$1, R48)</f>
        <v/>
      </c>
      <c r="S51" s="921">
        <f>+AVERAGEIFS($E$29:$DG$29, $H$2:$DJ$2,$E$51, $H$1:$DJ$1, S48)</f>
        <v/>
      </c>
      <c r="T51" s="921">
        <f>+AVERAGEIFS($E$29:$DG$29, $H$2:$DJ$2,$E$51, $H$1:$DJ$1, T48)</f>
        <v/>
      </c>
      <c r="U51" s="921">
        <f>+AVERAGEIFS($E$29:$DG$29, $H$2:$DJ$2,$E$51, $H$1:$DJ$1, U48)</f>
        <v/>
      </c>
      <c r="V51" s="921">
        <f>+AVERAGEIFS($E$29:$DG$29, $H$2:$DJ$2,$E$51, $H$1:$DJ$1, V48)</f>
        <v/>
      </c>
      <c r="W51" s="921">
        <f>+AVERAGEIFS($E$29:$DG$29, $H$2:$DJ$2,$E$51, $H$1:$DJ$1, W48)</f>
        <v/>
      </c>
      <c r="X51" s="921">
        <f>+AVERAGEIFS($E$29:$DG$29, $H$2:$DJ$2,$E$51, $H$1:$DJ$1, X48)</f>
        <v/>
      </c>
      <c r="Y51" s="921">
        <f>+AVERAGEIFS($E$29:$DG$29, $H$2:$DJ$2,$E$51, $H$1:$DJ$1, Y48)</f>
        <v/>
      </c>
      <c r="Z51" s="921">
        <f>+AVERAGEIFS($E$29:$DG$29, $H$2:$DJ$2,$E$51, $H$1:$DJ$1, Z48)</f>
        <v/>
      </c>
      <c r="AA51" s="921">
        <f>+AVERAGEIFS($E$29:$DG$29, $H$2:$DJ$2,$E$51, $H$1:$DJ$1, AA48)</f>
        <v/>
      </c>
      <c r="AB51" s="921">
        <f>+AVERAGEIFS($E$29:$DG$29, $H$2:$DJ$2,$E$51, $H$1:$DJ$1, AB48)</f>
        <v/>
      </c>
      <c r="AC51" s="921">
        <f>+AVERAGEIFS($E$29:$DG$29, $H$2:$DJ$2,$E$51, $H$1:$DJ$1, AC48)</f>
        <v/>
      </c>
      <c r="AD51" s="921">
        <f>+AVERAGEIFS($E$29:$DG$29, $H$2:$DJ$2,$E$51, $H$1:$DJ$1, AD48)</f>
        <v/>
      </c>
      <c r="AE51" s="921">
        <f>+AVERAGEIFS($E$29:$DG$29, $H$2:$DJ$2,$E$51, $H$1:$DJ$1, AE48)</f>
        <v/>
      </c>
      <c r="AF51" s="921">
        <f>+AVERAGEIFS($E$29:$DG$29, $H$2:$DJ$2,$E$51, $H$1:$DJ$1, AF48)</f>
        <v/>
      </c>
      <c r="AG51" s="921">
        <f>+AVERAGEIFS($E$29:$DG$29, $H$2:$DJ$2,$E$51, $H$1:$DJ$1, AG48)</f>
        <v/>
      </c>
      <c r="AH51" s="921">
        <f>+AVERAGEIFS($E$29:$DG$29, $H$2:$DJ$2,$E$51, $H$1:$DJ$1, AH48)</f>
        <v/>
      </c>
      <c r="AI51" s="921">
        <f>+AVERAGEIFS($E$29:$DG$29, $H$2:$DJ$2,$E$51, $H$1:$DJ$1, AI48)</f>
        <v/>
      </c>
      <c r="AJ51" s="921">
        <f>+AVERAGEIFS($E$29:$DG$29, $H$2:$DJ$2,$E$51, $H$1:$DJ$1, AJ48)</f>
        <v/>
      </c>
      <c r="AK51" s="921">
        <f>+AVERAGEIFS($E$29:$DG$29, $H$2:$DJ$2,$E$51, $H$1:$DJ$1, AK48)</f>
        <v/>
      </c>
      <c r="AL51" s="921">
        <f>+AVERAGEIFS($E$29:$DG$29, $H$2:$DJ$2,$E$51, $H$1:$DJ$1, AL48)</f>
        <v/>
      </c>
      <c r="AM51" s="921">
        <f>+AVERAGEIFS($E$29:$DG$29, $H$2:$DJ$2,$E$51, $H$1:$DJ$1, AM48)</f>
        <v/>
      </c>
      <c r="AN51" s="921">
        <f>+AVERAGEIFS($E$29:$DG$29, $H$2:$DJ$2,$E$51, $H$1:$DJ$1, AN48)</f>
        <v/>
      </c>
      <c r="AO51" s="921">
        <f>+AVERAGEIFS($E$29:$DG$29, $H$2:$DJ$2,$E$51, $H$1:$DJ$1, AO48)</f>
        <v/>
      </c>
      <c r="AP51" s="921">
        <f>+AVERAGEIFS($E$29:$DG$29, $H$2:$DJ$2,$E$51, $H$1:$DJ$1, AP48)</f>
        <v/>
      </c>
      <c r="AQ51" s="921">
        <f>+AVERAGEIFS($E$29:$DG$29, $H$2:$DJ$2,$E$51, $H$1:$DJ$1, AQ48)</f>
        <v/>
      </c>
      <c r="AR51" s="921">
        <f>+AVERAGEIFS($E$29:$DG$29, $H$2:$DJ$2,$E$51, $H$1:$DJ$1, AR48)</f>
        <v/>
      </c>
      <c r="AS51" s="921">
        <f>+AVERAGEIFS($E$29:$DG$29, $H$2:$DJ$2,$E$51, $H$1:$DJ$1, AS48)</f>
        <v/>
      </c>
      <c r="AT51" s="921">
        <f>+AVERAGEIFS($E$29:$DG$29, $H$2:$DJ$2,$E$51, $H$1:$DJ$1, AT48)</f>
        <v/>
      </c>
      <c r="AU51" s="921">
        <f>+AVERAGEIFS($E$29:$DG$29, $H$2:$DJ$2,$E$51, $H$1:$DJ$1, AU48)</f>
        <v/>
      </c>
      <c r="AV51" s="921">
        <f>+AVERAGEIFS($E$29:$DG$29, $H$2:$DJ$2,$E$51, $H$1:$DJ$1, AV48)</f>
        <v/>
      </c>
      <c r="AW51" s="922">
        <f>+AVERAGEIFS($E$29:$DG$29, $H$2:$DJ$2,$E$51, $H$1:$DJ$1, AW48)</f>
        <v/>
      </c>
      <c r="AX51" s="838" t="n"/>
      <c r="AY51" s="839" t="n"/>
      <c r="AZ51" s="838" t="n"/>
      <c r="BA51" s="838" t="n"/>
      <c r="BB51" s="838" t="n"/>
      <c r="BC51" s="838" t="n"/>
      <c r="BD51" s="838" t="n"/>
      <c r="BE51" s="838" t="n"/>
      <c r="BF51" s="838" t="n"/>
      <c r="BG51" s="838" t="n"/>
      <c r="BH51" s="838" t="n"/>
      <c r="BI51" s="838" t="n"/>
      <c r="BJ51" s="838" t="n"/>
      <c r="BK51" s="839" t="n"/>
      <c r="BL51" s="838" t="n"/>
      <c r="BM51" s="838" t="n"/>
      <c r="BN51" s="838" t="n"/>
      <c r="BO51" s="838" t="n"/>
      <c r="BP51" s="838" t="n"/>
      <c r="BQ51" s="838" t="n"/>
      <c r="BR51" s="838" t="n"/>
      <c r="BS51" s="838" t="n"/>
      <c r="BT51" s="838" t="n"/>
      <c r="BU51" s="838" t="n"/>
      <c r="BV51" s="838" t="n"/>
      <c r="BW51" s="839" t="n"/>
      <c r="BX51" s="838" t="n"/>
      <c r="BY51" s="838" t="n"/>
      <c r="BZ51" s="838" t="n"/>
      <c r="CA51" s="838" t="n"/>
      <c r="CB51" s="838" t="n"/>
      <c r="CC51" s="838" t="n"/>
      <c r="CD51" s="838" t="n"/>
      <c r="CE51" s="838" t="n"/>
      <c r="CF51" s="838" t="n"/>
      <c r="CG51" s="838" t="n"/>
      <c r="CH51" s="838" t="n"/>
      <c r="CI51" s="839" t="n"/>
      <c r="CJ51" s="838" t="n"/>
      <c r="CK51" s="838" t="n"/>
      <c r="CL51" s="838" t="n"/>
      <c r="CM51" s="838" t="n"/>
      <c r="CN51" s="838" t="n"/>
      <c r="CO51" s="838" t="n"/>
      <c r="CP51" s="838" t="n"/>
      <c r="CQ51" s="838" t="n"/>
      <c r="CR51" s="838" t="n"/>
      <c r="CS51" s="838" t="n"/>
      <c r="CT51" s="838" t="n"/>
      <c r="CU51" s="839" t="n"/>
      <c r="CV51" s="838" t="n"/>
      <c r="CW51" s="838" t="n"/>
      <c r="CX51" s="838" t="n"/>
      <c r="CY51" s="838" t="n"/>
      <c r="CZ51" s="838" t="n"/>
      <c r="DA51" s="838" t="n"/>
      <c r="DB51" s="838" t="n"/>
      <c r="DC51" s="838" t="n"/>
      <c r="DD51" s="838" t="n"/>
      <c r="DE51" s="838" t="n"/>
      <c r="DF51" s="838" t="n"/>
      <c r="DG51" s="838" t="n"/>
    </row>
    <row r="52" hidden="1" s="627">
      <c r="B52" s="1" t="n"/>
      <c r="C52" s="1" t="n"/>
      <c r="D52" s="838" t="n"/>
      <c r="E52" t="inlineStr">
        <is>
          <t>Trough</t>
        </is>
      </c>
      <c r="F52">
        <f>ROUNDUP(AVERAGEIFS($E$15:$DG$15, $H$2:$DJ$2,$E$52, $H$1:$DJ$1, F48), 0)</f>
        <v/>
      </c>
      <c r="G52">
        <f>ROUNDUP(AVERAGEIFS($H$19:$DJ$19, $H$2:$DJ$2,$E52, $H$1:$DJ$1, G$48), 0)</f>
        <v/>
      </c>
      <c r="H52" s="923">
        <f>ROUNDUP(AVERAGEIFS($H$19:$DJ$19, $H$2:$DJ$2,$E52, $H$1:$DJ$1, H$48), 0)</f>
        <v/>
      </c>
      <c r="I52" s="204">
        <f>+H52+1</f>
        <v/>
      </c>
      <c r="J52" s="204">
        <f>+I52+1</f>
        <v/>
      </c>
      <c r="K52" s="204">
        <f>+J52+1</f>
        <v/>
      </c>
      <c r="L52" s="204">
        <f>+K52+1</f>
        <v/>
      </c>
      <c r="M52" s="204">
        <f>+L52+1</f>
        <v/>
      </c>
      <c r="N52" s="204">
        <f>+M52+1</f>
        <v/>
      </c>
      <c r="O52" s="838" t="n"/>
      <c r="P52" t="inlineStr">
        <is>
          <t>Trough</t>
        </is>
      </c>
      <c r="Q52" s="921">
        <f>AVERAGEIFS($E$29:$DG$29, $H$2:$DJ$2,$E$52, $H$1:$DJ$1, Q48)</f>
        <v/>
      </c>
      <c r="R52" s="921">
        <f>AVERAGEIFS($E$29:$DG$29, $H$2:$DJ$2,$E$52, $H$1:$DJ$1, R48)</f>
        <v/>
      </c>
      <c r="S52" s="921">
        <f>AVERAGEIFS($E$29:$DG$29, $H$2:$DJ$2,$E$52, $H$1:$DJ$1, S48)</f>
        <v/>
      </c>
      <c r="T52" s="921">
        <f>AVERAGEIFS($E$29:$DG$29, $H$2:$DJ$2,$E$52, $H$1:$DJ$1, T48)</f>
        <v/>
      </c>
      <c r="U52" s="921">
        <f>AVERAGEIFS($E$29:$DG$29, $H$2:$DJ$2,$E$52, $H$1:$DJ$1, U48)</f>
        <v/>
      </c>
      <c r="V52" s="921">
        <f>AVERAGEIFS($E$29:$DG$29, $H$2:$DJ$2,$E$52, $H$1:$DJ$1, V48)</f>
        <v/>
      </c>
      <c r="W52" s="921">
        <f>AVERAGEIFS($E$29:$DG$29, $H$2:$DJ$2,$E$52, $H$1:$DJ$1, W48)</f>
        <v/>
      </c>
      <c r="X52" s="921">
        <f>AVERAGEIFS($E$29:$DG$29, $H$2:$DJ$2,$E$52, $H$1:$DJ$1, X48)</f>
        <v/>
      </c>
      <c r="Y52" s="921">
        <f>AVERAGEIFS($E$29:$DG$29, $H$2:$DJ$2,$E$52, $H$1:$DJ$1, Y48)</f>
        <v/>
      </c>
      <c r="Z52" s="921">
        <f>AVERAGEIFS($E$29:$DG$29, $H$2:$DJ$2,$E$52, $H$1:$DJ$1, Z48)</f>
        <v/>
      </c>
      <c r="AA52" s="921">
        <f>AVERAGEIFS($E$29:$DG$29, $H$2:$DJ$2,$E$52, $H$1:$DJ$1, AA48)</f>
        <v/>
      </c>
      <c r="AB52" s="921">
        <f>AVERAGEIFS($E$29:$DG$29, $H$2:$DJ$2,$E$52, $H$1:$DJ$1, AB48)</f>
        <v/>
      </c>
      <c r="AC52" s="921">
        <f>AVERAGEIFS($E$29:$DG$29, $H$2:$DJ$2,$E$52, $H$1:$DJ$1, AC48)</f>
        <v/>
      </c>
      <c r="AD52" s="921">
        <f>AVERAGEIFS($E$29:$DG$29, $H$2:$DJ$2,$E$52, $H$1:$DJ$1, AD48)</f>
        <v/>
      </c>
      <c r="AE52" s="921">
        <f>AVERAGEIFS($E$29:$DG$29, $H$2:$DJ$2,$E$52, $H$1:$DJ$1, AE48)</f>
        <v/>
      </c>
      <c r="AF52" s="921">
        <f>AVERAGEIFS($E$29:$DG$29, $H$2:$DJ$2,$E$52, $H$1:$DJ$1, AF48)</f>
        <v/>
      </c>
      <c r="AG52" s="921">
        <f>AVERAGEIFS($E$29:$DG$29, $H$2:$DJ$2,$E$52, $H$1:$DJ$1, AG48)</f>
        <v/>
      </c>
      <c r="AH52" s="921">
        <f>AVERAGEIFS($E$29:$DG$29, $H$2:$DJ$2,$E$52, $H$1:$DJ$1, AH48)</f>
        <v/>
      </c>
      <c r="AI52" s="921">
        <f>AVERAGEIFS($E$29:$DG$29, $H$2:$DJ$2,$E$52, $H$1:$DJ$1, AI48)</f>
        <v/>
      </c>
      <c r="AJ52" s="921">
        <f>AVERAGEIFS($E$29:$DG$29, $H$2:$DJ$2,$E$52, $H$1:$DJ$1, AJ48)</f>
        <v/>
      </c>
      <c r="AK52" s="921">
        <f>AVERAGEIFS($E$29:$DG$29, $H$2:$DJ$2,$E$52, $H$1:$DJ$1, AK48)</f>
        <v/>
      </c>
      <c r="AL52" s="921">
        <f>AVERAGEIFS($E$29:$DG$29, $H$2:$DJ$2,$E$52, $H$1:$DJ$1, AL48)</f>
        <v/>
      </c>
      <c r="AM52" s="921">
        <f>AVERAGEIFS($E$29:$DG$29, $H$2:$DJ$2,$E$52, $H$1:$DJ$1, AM48)</f>
        <v/>
      </c>
      <c r="AN52" s="921">
        <f>AVERAGEIFS($E$29:$DG$29, $H$2:$DJ$2,$E$52, $H$1:$DJ$1, AN48)</f>
        <v/>
      </c>
      <c r="AO52" s="921">
        <f>AVERAGEIFS($E$29:$DG$29, $H$2:$DJ$2,$E$52, $H$1:$DJ$1, AO48)</f>
        <v/>
      </c>
      <c r="AP52" s="921">
        <f>AVERAGEIFS($E$29:$DG$29, $H$2:$DJ$2,$E$52, $H$1:$DJ$1, AP48)</f>
        <v/>
      </c>
      <c r="AQ52" s="921">
        <f>AVERAGEIFS($E$29:$DG$29, $H$2:$DJ$2,$E$52, $H$1:$DJ$1, AQ48)</f>
        <v/>
      </c>
      <c r="AR52" s="921">
        <f>AVERAGEIFS($E$29:$DG$29, $H$2:$DJ$2,$E$52, $H$1:$DJ$1, AR48)</f>
        <v/>
      </c>
      <c r="AS52" s="921">
        <f>AVERAGEIFS($E$29:$DG$29, $H$2:$DJ$2,$E$52, $H$1:$DJ$1, AS48)</f>
        <v/>
      </c>
      <c r="AT52" s="921">
        <f>AVERAGEIFS($E$29:$DG$29, $H$2:$DJ$2,$E$52, $H$1:$DJ$1, AT48)</f>
        <v/>
      </c>
      <c r="AU52" s="921">
        <f>AVERAGEIFS($E$29:$DG$29, $H$2:$DJ$2,$E$52, $H$1:$DJ$1, AU48)</f>
        <v/>
      </c>
      <c r="AV52" s="921">
        <f>AVERAGEIFS($E$29:$DG$29, $H$2:$DJ$2,$E$52, $H$1:$DJ$1, AV48)</f>
        <v/>
      </c>
      <c r="AW52" s="922">
        <f>AVERAGEIFS($E$29:$DG$29, $H$2:$DJ$2,$E$52, $H$1:$DJ$1, AW48)</f>
        <v/>
      </c>
      <c r="AX52" s="838" t="n"/>
      <c r="AY52" s="839" t="n"/>
      <c r="AZ52" s="838" t="n"/>
      <c r="BA52" s="838" t="n"/>
      <c r="BB52" s="838" t="n"/>
      <c r="BC52" s="838" t="n"/>
      <c r="BD52" s="838" t="n"/>
      <c r="BE52" s="838" t="n"/>
      <c r="BF52" s="838" t="n"/>
      <c r="BG52" s="838" t="n"/>
      <c r="BH52" s="838" t="n"/>
      <c r="BI52" s="838" t="n"/>
      <c r="BJ52" s="838" t="n"/>
      <c r="BK52" s="839" t="n"/>
      <c r="BL52" s="838" t="n"/>
      <c r="BM52" s="838" t="n"/>
      <c r="BN52" s="838" t="n"/>
      <c r="BO52" s="838" t="n"/>
      <c r="BP52" s="838" t="n"/>
      <c r="BQ52" s="838" t="n"/>
      <c r="BR52" s="838" t="n"/>
      <c r="BS52" s="838" t="n"/>
      <c r="BT52" s="838" t="n"/>
      <c r="BU52" s="838" t="n"/>
      <c r="BV52" s="838" t="n"/>
      <c r="BW52" s="839" t="n"/>
      <c r="BX52" s="838" t="n"/>
      <c r="BY52" s="838" t="n"/>
      <c r="BZ52" s="838" t="n"/>
      <c r="CA52" s="838" t="n"/>
      <c r="CB52" s="838" t="n"/>
      <c r="CC52" s="838" t="n"/>
      <c r="CD52" s="838" t="n"/>
      <c r="CE52" s="838" t="n"/>
      <c r="CF52" s="838" t="n"/>
      <c r="CG52" s="838" t="n"/>
      <c r="CH52" s="838" t="n"/>
      <c r="CI52" s="839" t="n"/>
      <c r="CJ52" s="838" t="n"/>
      <c r="CK52" s="838" t="n"/>
      <c r="CL52" s="838" t="n"/>
      <c r="CM52" s="838" t="n"/>
      <c r="CN52" s="838" t="n"/>
      <c r="CO52" s="838" t="n"/>
      <c r="CP52" s="838" t="n"/>
      <c r="CQ52" s="838" t="n"/>
      <c r="CR52" s="838" t="n"/>
      <c r="CS52" s="838" t="n"/>
      <c r="CT52" s="838" t="n"/>
      <c r="CU52" s="839" t="n"/>
      <c r="CV52" s="838" t="n"/>
      <c r="CW52" s="838" t="n"/>
      <c r="CX52" s="838" t="n"/>
      <c r="CY52" s="838" t="n"/>
      <c r="CZ52" s="838" t="n"/>
      <c r="DA52" s="838" t="n"/>
      <c r="DB52" s="838" t="n"/>
      <c r="DC52" s="838" t="n"/>
      <c r="DD52" s="838" t="n"/>
      <c r="DE52" s="838" t="n"/>
      <c r="DF52" s="838" t="n"/>
      <c r="DG52" s="838" t="n"/>
    </row>
    <row r="53" hidden="1" s="627">
      <c r="B53" s="1" t="n"/>
      <c r="C53" s="1" t="n"/>
      <c r="D53" s="838" t="n"/>
      <c r="E53" t="inlineStr">
        <is>
          <t>Trough</t>
        </is>
      </c>
      <c r="F53" s="924">
        <f>F52/F49-1</f>
        <v/>
      </c>
      <c r="G53" s="924">
        <f>G52/G49-1</f>
        <v/>
      </c>
      <c r="H53" s="924">
        <f>H52/H49-1</f>
        <v/>
      </c>
      <c r="I53" s="924">
        <f>I52/I49-1</f>
        <v/>
      </c>
      <c r="J53" s="924">
        <f>J52/J49-1</f>
        <v/>
      </c>
      <c r="K53" s="924">
        <f>K52/K49-1</f>
        <v/>
      </c>
      <c r="L53" s="924">
        <f>L52/L49-1</f>
        <v/>
      </c>
      <c r="M53" s="924">
        <f>M52/M49-1</f>
        <v/>
      </c>
      <c r="N53" s="924">
        <f>N52/N49-1</f>
        <v/>
      </c>
      <c r="O53" s="838" t="n"/>
      <c r="P53" t="inlineStr">
        <is>
          <t>Trough</t>
        </is>
      </c>
      <c r="Q53" s="174">
        <f>Q52/Q49-1</f>
        <v/>
      </c>
      <c r="R53" s="174">
        <f>R52/R49-1</f>
        <v/>
      </c>
      <c r="S53" s="174">
        <f>S52/S49-1</f>
        <v/>
      </c>
      <c r="T53" s="174">
        <f>T52/T49-1</f>
        <v/>
      </c>
      <c r="U53" s="174">
        <f>U52/U49-1</f>
        <v/>
      </c>
      <c r="V53" s="174">
        <f>V52/V49-1</f>
        <v/>
      </c>
      <c r="W53" s="174">
        <f>W52/W49-1</f>
        <v/>
      </c>
      <c r="X53" s="174">
        <f>X52/X49-1</f>
        <v/>
      </c>
      <c r="Y53" s="174">
        <f>Y52/Y49-1</f>
        <v/>
      </c>
      <c r="Z53" s="174">
        <f>Z52/Z49-1</f>
        <v/>
      </c>
      <c r="AA53" s="174">
        <f>AA52/AA49-1</f>
        <v/>
      </c>
      <c r="AB53" s="174">
        <f>AB52/AB49-1</f>
        <v/>
      </c>
      <c r="AC53" s="174">
        <f>AC52/AC49-1</f>
        <v/>
      </c>
      <c r="AD53" s="174">
        <f>AD52/AD49-1</f>
        <v/>
      </c>
      <c r="AE53" s="174">
        <f>AE52/AE49-1</f>
        <v/>
      </c>
      <c r="AF53" s="174">
        <f>AF52/AF49-1</f>
        <v/>
      </c>
      <c r="AG53" s="174">
        <f>AG52/AG49-1</f>
        <v/>
      </c>
      <c r="AH53" s="174">
        <f>AH52/AH49-1</f>
        <v/>
      </c>
      <c r="AI53" s="174">
        <f>AI52/AI49-1</f>
        <v/>
      </c>
      <c r="AJ53" s="174">
        <f>AJ52/AJ49-1</f>
        <v/>
      </c>
      <c r="AK53" s="174">
        <f>AK52/AK49-1</f>
        <v/>
      </c>
      <c r="AL53" s="174">
        <f>AL52/AL49-1</f>
        <v/>
      </c>
      <c r="AM53" s="174">
        <f>AM52/AM49-1</f>
        <v/>
      </c>
      <c r="AN53" s="174">
        <f>AN52/AN49-1</f>
        <v/>
      </c>
      <c r="AO53" s="174">
        <f>AO52/AO49-1</f>
        <v/>
      </c>
      <c r="AP53" s="174">
        <f>AP52/AP49-1</f>
        <v/>
      </c>
      <c r="AQ53" s="174">
        <f>AQ52/AQ49-1</f>
        <v/>
      </c>
      <c r="AR53" s="174">
        <f>AR52/AR49-1</f>
        <v/>
      </c>
      <c r="AS53" s="174">
        <f>AS52/AS49-1</f>
        <v/>
      </c>
      <c r="AT53" s="174">
        <f>AT52/AT49-1</f>
        <v/>
      </c>
      <c r="AU53" s="174">
        <f>AU52/AU49-1</f>
        <v/>
      </c>
      <c r="AV53" s="174">
        <f>AV52/AV49-1</f>
        <v/>
      </c>
      <c r="AW53" s="573">
        <f>AW52/AW49-1</f>
        <v/>
      </c>
      <c r="AX53" s="838" t="n"/>
      <c r="AY53" s="839" t="n"/>
      <c r="AZ53" s="838" t="n"/>
      <c r="BA53" s="838" t="n"/>
      <c r="BB53" s="838" t="n"/>
      <c r="BC53" s="838" t="n"/>
      <c r="BD53" s="838" t="n"/>
      <c r="BE53" s="838" t="n"/>
      <c r="BF53" s="838" t="n"/>
      <c r="BG53" s="838" t="n"/>
      <c r="BH53" s="838" t="n"/>
      <c r="BI53" s="838" t="n"/>
      <c r="BJ53" s="838" t="n"/>
      <c r="BK53" s="839" t="n"/>
      <c r="BL53" s="838" t="n"/>
      <c r="BM53" s="838" t="n"/>
      <c r="BN53" s="838" t="n"/>
      <c r="BO53" s="838" t="n"/>
      <c r="BP53" s="838" t="n"/>
      <c r="BQ53" s="838" t="n"/>
      <c r="BR53" s="838" t="n"/>
      <c r="BS53" s="838" t="n"/>
      <c r="BT53" s="838" t="n"/>
      <c r="BU53" s="838" t="n"/>
      <c r="BV53" s="838" t="n"/>
      <c r="BW53" s="839" t="n"/>
      <c r="BX53" s="838" t="n"/>
      <c r="BY53" s="838" t="n"/>
      <c r="BZ53" s="838" t="n"/>
      <c r="CA53" s="838" t="n"/>
      <c r="CB53" s="838" t="n"/>
      <c r="CC53" s="838" t="n"/>
      <c r="CD53" s="838" t="n"/>
      <c r="CE53" s="838" t="n"/>
      <c r="CF53" s="838" t="n"/>
      <c r="CG53" s="838" t="n"/>
      <c r="CH53" s="838" t="n"/>
      <c r="CI53" s="839" t="n"/>
      <c r="CJ53" s="838" t="n"/>
      <c r="CK53" s="838" t="n"/>
      <c r="CL53" s="838" t="n"/>
      <c r="CM53" s="838" t="n"/>
      <c r="CN53" s="838" t="n"/>
      <c r="CO53" s="838" t="n"/>
      <c r="CP53" s="838" t="n"/>
      <c r="CQ53" s="838" t="n"/>
      <c r="CR53" s="838" t="n"/>
      <c r="CS53" s="838" t="n"/>
      <c r="CT53" s="838" t="n"/>
      <c r="CU53" s="839" t="n"/>
      <c r="CV53" s="838" t="n"/>
      <c r="CW53" s="838" t="n"/>
      <c r="CX53" s="838" t="n"/>
      <c r="CY53" s="838" t="n"/>
      <c r="CZ53" s="838" t="n"/>
      <c r="DA53" s="838" t="n"/>
      <c r="DB53" s="838" t="n"/>
      <c r="DC53" s="838" t="n"/>
      <c r="DD53" s="838" t="n"/>
      <c r="DE53" s="838" t="n"/>
      <c r="DF53" s="838" t="n"/>
      <c r="DG53" s="838" t="n"/>
    </row>
    <row r="54" hidden="1" s="627">
      <c r="B54" s="1" t="n"/>
      <c r="C54" s="1" t="n"/>
      <c r="D54" s="838" t="n"/>
      <c r="E54" t="inlineStr">
        <is>
          <t>Shoulder</t>
        </is>
      </c>
      <c r="F54" s="924">
        <f>F51/F49-1</f>
        <v/>
      </c>
      <c r="G54" s="924">
        <f>G51/G49-1</f>
        <v/>
      </c>
      <c r="H54" s="924">
        <f>H51/H49-1</f>
        <v/>
      </c>
      <c r="I54" s="924">
        <f>I51/I49-1</f>
        <v/>
      </c>
      <c r="J54" s="924">
        <f>J51/J49-1</f>
        <v/>
      </c>
      <c r="K54" s="924">
        <f>K51/K49-1</f>
        <v/>
      </c>
      <c r="L54" s="924">
        <f>L51/L49-1</f>
        <v/>
      </c>
      <c r="M54" s="924">
        <f>M51/M49-1</f>
        <v/>
      </c>
      <c r="N54" s="924">
        <f>N51/N49-1</f>
        <v/>
      </c>
      <c r="O54" s="838" t="n"/>
      <c r="P54" t="inlineStr">
        <is>
          <t>Shoulder</t>
        </is>
      </c>
      <c r="Q54" s="174">
        <f>Q51/Q49-1</f>
        <v/>
      </c>
      <c r="R54" s="174">
        <f>R51/R49-1</f>
        <v/>
      </c>
      <c r="S54" s="174">
        <f>S51/S49-1</f>
        <v/>
      </c>
      <c r="T54" s="174">
        <f>T51/T49-1</f>
        <v/>
      </c>
      <c r="U54" s="174">
        <f>U51/U49-1</f>
        <v/>
      </c>
      <c r="V54" s="174">
        <f>V51/V49-1</f>
        <v/>
      </c>
      <c r="W54" s="174">
        <f>W51/W49-1</f>
        <v/>
      </c>
      <c r="X54" s="174">
        <f>X51/X49-1</f>
        <v/>
      </c>
      <c r="Y54" s="174">
        <f>Y51/Y49-1</f>
        <v/>
      </c>
      <c r="Z54" s="174">
        <f>Z51/Z49-1</f>
        <v/>
      </c>
      <c r="AA54" s="174">
        <f>AA51/AA49-1</f>
        <v/>
      </c>
      <c r="AB54" s="174">
        <f>AB51/AB49-1</f>
        <v/>
      </c>
      <c r="AC54" s="174">
        <f>AC51/AC49-1</f>
        <v/>
      </c>
      <c r="AD54" s="174">
        <f>AD51/AD49-1</f>
        <v/>
      </c>
      <c r="AE54" s="174">
        <f>AE51/AE49-1</f>
        <v/>
      </c>
      <c r="AF54" s="174">
        <f>AF51/AF49-1</f>
        <v/>
      </c>
      <c r="AG54" s="174">
        <f>AG51/AG49-1</f>
        <v/>
      </c>
      <c r="AH54" s="174">
        <f>AH51/AH49-1</f>
        <v/>
      </c>
      <c r="AI54" s="174">
        <f>AI51/AI49-1</f>
        <v/>
      </c>
      <c r="AJ54" s="174">
        <f>AJ51/AJ49-1</f>
        <v/>
      </c>
      <c r="AK54" s="174">
        <f>AK51/AK49-1</f>
        <v/>
      </c>
      <c r="AL54" s="174">
        <f>AL51/AL49-1</f>
        <v/>
      </c>
      <c r="AM54" s="174">
        <f>AM51/AM49-1</f>
        <v/>
      </c>
      <c r="AN54" s="174">
        <f>AN51/AN49-1</f>
        <v/>
      </c>
      <c r="AO54" s="174">
        <f>AO51/AO49-1</f>
        <v/>
      </c>
      <c r="AP54" s="174">
        <f>AP51/AP49-1</f>
        <v/>
      </c>
      <c r="AQ54" s="174">
        <f>AQ51/AQ49-1</f>
        <v/>
      </c>
      <c r="AR54" s="174">
        <f>AR51/AR49-1</f>
        <v/>
      </c>
      <c r="AS54" s="174">
        <f>AS51/AS49-1</f>
        <v/>
      </c>
      <c r="AT54" s="174">
        <f>AT51/AT49-1</f>
        <v/>
      </c>
      <c r="AU54" s="174">
        <f>AU51/AU49-1</f>
        <v/>
      </c>
      <c r="AV54" s="174">
        <f>AV51/AV49-1</f>
        <v/>
      </c>
      <c r="AW54" s="573">
        <f>AW51/AW49-1</f>
        <v/>
      </c>
      <c r="AX54" s="838" t="n"/>
      <c r="AY54" s="839" t="n"/>
      <c r="AZ54" s="838" t="n"/>
      <c r="BA54" s="838" t="n"/>
      <c r="BB54" s="838" t="n"/>
      <c r="BC54" s="838" t="n"/>
      <c r="BD54" s="838" t="n"/>
      <c r="BE54" s="838" t="n"/>
      <c r="BF54" s="838" t="n"/>
      <c r="BG54" s="838" t="n"/>
      <c r="BH54" s="838" t="n"/>
      <c r="BI54" s="838" t="n"/>
      <c r="BJ54" s="838" t="n"/>
      <c r="BK54" s="839" t="n"/>
      <c r="BL54" s="838" t="n"/>
      <c r="BM54" s="838" t="n"/>
      <c r="BN54" s="838" t="n"/>
      <c r="BO54" s="838" t="n"/>
      <c r="BP54" s="838" t="n"/>
      <c r="BQ54" s="838" t="n"/>
      <c r="BR54" s="838" t="n"/>
      <c r="BS54" s="838" t="n"/>
      <c r="BT54" s="838" t="n"/>
      <c r="BU54" s="838" t="n"/>
      <c r="BV54" s="838" t="n"/>
      <c r="BW54" s="839" t="n"/>
      <c r="BX54" s="838" t="n"/>
      <c r="BY54" s="838" t="n"/>
      <c r="BZ54" s="838" t="n"/>
      <c r="CA54" s="838" t="n"/>
      <c r="CB54" s="838" t="n"/>
      <c r="CC54" s="838" t="n"/>
      <c r="CD54" s="838" t="n"/>
      <c r="CE54" s="838" t="n"/>
      <c r="CF54" s="838" t="n"/>
      <c r="CG54" s="838" t="n"/>
      <c r="CH54" s="838" t="n"/>
      <c r="CI54" s="839" t="n"/>
      <c r="CJ54" s="838" t="n"/>
      <c r="CK54" s="838" t="n"/>
      <c r="CL54" s="838" t="n"/>
      <c r="CM54" s="838" t="n"/>
      <c r="CN54" s="838" t="n"/>
      <c r="CO54" s="838" t="n"/>
      <c r="CP54" s="838" t="n"/>
      <c r="CQ54" s="838" t="n"/>
      <c r="CR54" s="838" t="n"/>
      <c r="CS54" s="838" t="n"/>
      <c r="CT54" s="838" t="n"/>
      <c r="CU54" s="839" t="n"/>
      <c r="CV54" s="838" t="n"/>
      <c r="CW54" s="838" t="n"/>
      <c r="CX54" s="838" t="n"/>
      <c r="CY54" s="838" t="n"/>
      <c r="CZ54" s="838" t="n"/>
      <c r="DA54" s="838" t="n"/>
      <c r="DB54" s="838" t="n"/>
      <c r="DC54" s="838" t="n"/>
      <c r="DD54" s="838" t="n"/>
      <c r="DE54" s="838" t="n"/>
      <c r="DF54" s="838" t="n"/>
      <c r="DG54" s="838" t="n"/>
    </row>
    <row r="55" hidden="1" s="627">
      <c r="B55" s="1" t="n"/>
      <c r="C55" s="1" t="n"/>
      <c r="D55" s="838" t="n"/>
      <c r="E55" s="838" t="n"/>
      <c r="F55" s="838" t="n"/>
      <c r="G55" s="838" t="n"/>
      <c r="H55" s="838" t="n"/>
      <c r="I55" s="838" t="n"/>
      <c r="J55" s="838" t="n"/>
      <c r="K55" s="838" t="n"/>
      <c r="L55" s="838" t="n"/>
      <c r="M55" s="838" t="n"/>
      <c r="N55" s="838" t="n"/>
      <c r="O55" s="838" t="n"/>
      <c r="P55" s="838" t="n"/>
      <c r="Q55" s="838" t="n"/>
      <c r="R55" s="838" t="n"/>
      <c r="S55" s="838" t="n"/>
      <c r="T55" s="838" t="n"/>
      <c r="U55" s="838" t="n"/>
      <c r="V55" s="838" t="n"/>
      <c r="W55" s="838" t="n"/>
      <c r="X55" s="838" t="n"/>
      <c r="Y55" s="838" t="n"/>
      <c r="Z55" s="838" t="n"/>
      <c r="AA55" s="838" t="n"/>
      <c r="AB55" s="838" t="n"/>
      <c r="AC55" s="838" t="n"/>
      <c r="AD55" s="838" t="n"/>
      <c r="AE55" s="838" t="n"/>
      <c r="AF55" s="838" t="n"/>
      <c r="AG55" s="838" t="n"/>
      <c r="AH55" s="838" t="n"/>
      <c r="AI55" s="838" t="n"/>
      <c r="AJ55" s="838" t="n"/>
      <c r="AK55" s="838" t="n"/>
      <c r="AL55" s="838" t="n"/>
      <c r="AM55" s="838" t="n"/>
      <c r="AN55" s="838" t="n"/>
      <c r="AO55" s="838" t="n"/>
      <c r="AP55" s="838" t="n"/>
      <c r="AQ55" s="838" t="n"/>
      <c r="AR55" s="838" t="n"/>
      <c r="AS55" s="838" t="n"/>
      <c r="AT55" s="838" t="n"/>
      <c r="AU55" s="838" t="n"/>
      <c r="AV55" s="838" t="n"/>
      <c r="AW55" s="839" t="n"/>
      <c r="AX55" s="838" t="n"/>
      <c r="AY55" s="839" t="n"/>
      <c r="AZ55" s="838" t="n"/>
      <c r="BA55" s="838" t="n"/>
      <c r="BB55" s="838" t="n"/>
      <c r="BC55" s="838" t="n"/>
      <c r="BD55" s="838" t="n"/>
      <c r="BE55" s="838" t="n"/>
      <c r="BF55" s="838" t="n"/>
      <c r="BG55" s="838" t="n"/>
      <c r="BH55" s="838" t="n"/>
      <c r="BI55" s="838" t="n"/>
      <c r="BJ55" s="838" t="n"/>
      <c r="BK55" s="839" t="n"/>
      <c r="BL55" s="838" t="n"/>
      <c r="BM55" s="838" t="n"/>
      <c r="BN55" s="838" t="n"/>
      <c r="BO55" s="838" t="n"/>
      <c r="BP55" s="838" t="n"/>
      <c r="BQ55" s="838" t="n"/>
      <c r="BR55" s="838" t="n"/>
      <c r="BS55" s="838" t="n"/>
      <c r="BT55" s="838" t="n"/>
      <c r="BU55" s="838" t="n"/>
      <c r="BV55" s="838" t="n"/>
      <c r="BW55" s="839" t="n"/>
      <c r="BX55" s="838" t="n"/>
      <c r="BY55" s="838" t="n"/>
      <c r="BZ55" s="838" t="n"/>
      <c r="CA55" s="838" t="n"/>
      <c r="CB55" s="838" t="n"/>
      <c r="CC55" s="838" t="n"/>
      <c r="CD55" s="838" t="n"/>
      <c r="CE55" s="838" t="n"/>
      <c r="CF55" s="838" t="n"/>
      <c r="CG55" s="838" t="n"/>
      <c r="CH55" s="838" t="n"/>
      <c r="CI55" s="839" t="n"/>
      <c r="CJ55" s="838" t="n"/>
      <c r="CK55" s="838" t="n"/>
      <c r="CL55" s="838" t="n"/>
      <c r="CM55" s="838" t="n"/>
      <c r="CN55" s="838" t="n"/>
      <c r="CO55" s="838" t="n"/>
      <c r="CP55" s="838" t="n"/>
      <c r="CQ55" s="838" t="n"/>
      <c r="CR55" s="838" t="n"/>
      <c r="CS55" s="838" t="n"/>
      <c r="CT55" s="838" t="n"/>
      <c r="CU55" s="839" t="n"/>
      <c r="CV55" s="838" t="n"/>
      <c r="CW55" s="838" t="n"/>
      <c r="CX55" s="838" t="n"/>
      <c r="CY55" s="838" t="n"/>
      <c r="CZ55" s="838" t="n"/>
      <c r="DA55" s="838" t="n"/>
      <c r="DB55" s="838" t="n"/>
      <c r="DC55" s="838" t="n"/>
      <c r="DD55" s="838" t="n"/>
      <c r="DE55" s="838" t="n"/>
      <c r="DF55" s="838" t="n"/>
      <c r="DG55" s="838" t="n"/>
    </row>
    <row r="56">
      <c r="B56" s="1" t="n"/>
      <c r="C56" s="1" t="n"/>
      <c r="D56" s="838" t="n"/>
      <c r="E56" s="838" t="n"/>
      <c r="F56" s="838" t="n"/>
      <c r="G56" s="838" t="n"/>
      <c r="H56" s="838" t="n"/>
      <c r="I56" s="838" t="n"/>
      <c r="J56" s="838" t="n"/>
      <c r="K56" s="838" t="n"/>
      <c r="L56" s="838" t="n"/>
      <c r="M56" s="838" t="n"/>
      <c r="N56" s="838" t="n"/>
      <c r="O56" s="838" t="n"/>
      <c r="P56" s="838" t="n"/>
      <c r="Q56" s="838" t="n"/>
      <c r="R56" s="838" t="n"/>
      <c r="S56" s="838" t="n"/>
      <c r="T56" s="838" t="n"/>
      <c r="U56" s="838" t="n"/>
      <c r="V56" s="838" t="n"/>
      <c r="W56" s="838" t="n"/>
      <c r="X56" s="838" t="n"/>
      <c r="Y56" s="838" t="n"/>
      <c r="Z56" s="838" t="n"/>
      <c r="AA56" s="838" t="n"/>
      <c r="AB56" s="838" t="n"/>
      <c r="AC56" s="838" t="n"/>
      <c r="AD56" s="838" t="n"/>
      <c r="AE56" s="838" t="n"/>
      <c r="AF56" s="838" t="n"/>
      <c r="AG56" s="838" t="n"/>
      <c r="AH56" s="838" t="n"/>
      <c r="AI56" s="838" t="n"/>
      <c r="AJ56" s="838" t="n"/>
      <c r="AK56" s="838" t="n"/>
      <c r="AL56" s="838" t="n"/>
      <c r="AM56" s="838" t="n"/>
      <c r="AN56" s="838" t="n"/>
      <c r="AO56" s="838" t="n"/>
      <c r="AP56" s="838" t="n"/>
      <c r="AQ56" s="838" t="n"/>
      <c r="AR56" s="838" t="n"/>
      <c r="AS56" s="838" t="n"/>
      <c r="AT56" s="838" t="n"/>
      <c r="AU56" s="838" t="n"/>
      <c r="AV56" s="838" t="n"/>
      <c r="AW56" s="839" t="n"/>
      <c r="AX56" s="838" t="n"/>
      <c r="AY56" s="839" t="n"/>
      <c r="AZ56" s="838" t="n"/>
      <c r="BA56" s="838" t="n"/>
      <c r="BB56" s="838" t="n"/>
      <c r="BC56" s="838" t="n"/>
      <c r="BD56" s="838" t="n"/>
      <c r="BE56" s="838" t="n"/>
      <c r="BF56" s="838" t="n"/>
      <c r="BG56" s="838" t="n"/>
      <c r="BH56" s="838" t="n"/>
      <c r="BI56" s="838" t="n"/>
      <c r="BJ56" s="838" t="n"/>
      <c r="BK56" s="839" t="n"/>
      <c r="BL56" s="838" t="n"/>
      <c r="BM56" s="838" t="n"/>
      <c r="BN56" s="838" t="n"/>
      <c r="BO56" s="838" t="n"/>
      <c r="BP56" s="838" t="n"/>
      <c r="BQ56" s="838" t="n"/>
      <c r="BR56" s="838" t="n"/>
      <c r="BS56" s="838" t="n"/>
      <c r="BT56" s="838" t="n"/>
      <c r="BU56" s="838" t="n"/>
      <c r="BV56" s="838" t="n"/>
      <c r="BW56" s="839" t="n"/>
      <c r="BX56" s="838" t="n"/>
      <c r="BY56" s="838" t="n"/>
      <c r="BZ56" s="838" t="n"/>
      <c r="CA56" s="838" t="n"/>
      <c r="CB56" s="838" t="n"/>
      <c r="CC56" s="838" t="n"/>
      <c r="CD56" s="838" t="n"/>
      <c r="CE56" s="838" t="n"/>
      <c r="CF56" s="838" t="n"/>
      <c r="CG56" s="838" t="n"/>
      <c r="CH56" s="838" t="n"/>
      <c r="CI56" s="839" t="n"/>
      <c r="CJ56" s="838" t="n"/>
      <c r="CK56" s="838" t="n"/>
      <c r="CL56" s="838" t="n"/>
      <c r="CM56" s="838" t="n"/>
      <c r="CN56" s="838" t="n"/>
      <c r="CO56" s="838" t="n"/>
      <c r="CP56" s="838" t="n"/>
      <c r="CQ56" s="838" t="n"/>
      <c r="CR56" s="838" t="n"/>
      <c r="CS56" s="838" t="n"/>
      <c r="CT56" s="838" t="n"/>
      <c r="CU56" s="839" t="n"/>
      <c r="CV56" s="838" t="n"/>
      <c r="CW56" s="838" t="n"/>
      <c r="CX56" s="838" t="n"/>
      <c r="CY56" s="838" t="n"/>
      <c r="CZ56" s="838" t="n"/>
      <c r="DA56" s="838" t="n"/>
      <c r="DB56" s="838" t="n"/>
      <c r="DC56" s="838" t="n"/>
      <c r="DD56" s="838" t="n"/>
      <c r="DE56" s="838" t="n"/>
      <c r="DF56" s="838" t="n"/>
      <c r="DG56" s="838" t="n"/>
    </row>
    <row r="57" customFormat="1" s="111">
      <c r="B57" s="1" t="inlineStr">
        <is>
          <t>Cost of Goods Sold</t>
        </is>
      </c>
      <c r="C57" s="1" t="n"/>
      <c r="D57" s="838" t="n"/>
      <c r="E57" s="838" t="n"/>
      <c r="F57" s="838" t="n"/>
      <c r="G57" s="838" t="n"/>
      <c r="H57" s="838" t="n"/>
      <c r="I57" s="838" t="n"/>
      <c r="J57" s="838" t="n"/>
      <c r="K57" s="838" t="n"/>
      <c r="L57" s="838" t="n"/>
      <c r="M57" s="838" t="n"/>
      <c r="N57" s="838" t="n"/>
      <c r="O57" s="838" t="n"/>
      <c r="P57" s="838" t="n"/>
      <c r="Q57" s="838" t="n"/>
      <c r="R57" s="838" t="n"/>
      <c r="S57" s="838" t="n"/>
      <c r="T57" s="838" t="n"/>
      <c r="U57" s="838" t="n"/>
      <c r="AW57" s="244" t="n"/>
      <c r="AY57" s="244" t="n"/>
      <c r="BK57" s="244" t="n"/>
      <c r="BW57" s="244" t="n"/>
      <c r="CI57" s="244" t="n"/>
      <c r="CU57" s="244" t="n"/>
    </row>
    <row r="58" customFormat="1" s="111">
      <c r="B58" s="1" t="inlineStr">
        <is>
          <t xml:space="preserve">   50100 Software - COS</t>
        </is>
      </c>
      <c r="C58" s="1" t="n"/>
      <c r="D58" s="838" t="n"/>
      <c r="E58" s="838" t="n"/>
      <c r="F58" s="838" t="n"/>
      <c r="G58" s="838" t="n"/>
      <c r="H58" s="838" t="n"/>
      <c r="I58" s="838" t="n"/>
      <c r="J58" s="838" t="n"/>
      <c r="K58" s="838" t="n"/>
      <c r="L58" s="838" t="n"/>
      <c r="M58" s="838" t="n"/>
      <c r="N58" s="838" t="n"/>
      <c r="O58" s="838" t="n"/>
      <c r="P58" s="838" t="n"/>
      <c r="Q58" s="838" t="n"/>
      <c r="R58" s="838" t="n"/>
      <c r="S58" s="838" t="n"/>
      <c r="T58" s="838" t="n"/>
      <c r="U58" s="838" t="n"/>
      <c r="AB58" s="111" t="n">
        <v>144.34</v>
      </c>
      <c r="AC58" s="111" t="n">
        <v>195.79</v>
      </c>
      <c r="AD58" s="111" t="n">
        <v>210.1</v>
      </c>
      <c r="AE58" s="111" t="n">
        <v>193.92</v>
      </c>
      <c r="AF58" s="111" t="n">
        <v>192.8</v>
      </c>
      <c r="AG58" s="111" t="n">
        <v>204.71</v>
      </c>
      <c r="AH58" s="111" t="n">
        <v>174.91</v>
      </c>
      <c r="AI58" s="111" t="n">
        <v>191.38</v>
      </c>
      <c r="AJ58" s="111" t="n">
        <v>128.31</v>
      </c>
      <c r="AK58" s="111" t="n">
        <v>231.31</v>
      </c>
      <c r="AL58" s="111" t="n">
        <v>160.15</v>
      </c>
      <c r="AM58" s="111" t="n">
        <v>171.4</v>
      </c>
      <c r="AN58" s="111" t="n">
        <v>197.3</v>
      </c>
      <c r="AO58" s="111" t="n">
        <v>202.11</v>
      </c>
      <c r="AP58" s="111" t="n">
        <v>214.54</v>
      </c>
      <c r="AQ58" s="111" t="n">
        <v>247.79</v>
      </c>
      <c r="AR58" s="111" t="n">
        <v>240.23</v>
      </c>
      <c r="AS58" s="111" t="n">
        <v>182.1</v>
      </c>
      <c r="AT58" s="111" t="n">
        <v>216.6</v>
      </c>
      <c r="AU58" s="111" t="n">
        <v>205.55</v>
      </c>
      <c r="AV58" s="111" t="n">
        <v>222.12</v>
      </c>
      <c r="AW58" s="244">
        <f>282</f>
        <v/>
      </c>
      <c r="AX58" s="111">
        <f>+AX62*AX9</f>
        <v/>
      </c>
      <c r="AY58" s="244">
        <f>+AY62*AY9</f>
        <v/>
      </c>
      <c r="AZ58" s="111">
        <f>+AZ62*AZ9</f>
        <v/>
      </c>
      <c r="BA58" s="111">
        <f>+BA62*BA9</f>
        <v/>
      </c>
      <c r="BB58" s="111">
        <f>+BB62*BB9</f>
        <v/>
      </c>
      <c r="BC58" s="111">
        <f>+BC62*BC9</f>
        <v/>
      </c>
      <c r="BD58" s="111">
        <f>+BD62*BD9</f>
        <v/>
      </c>
      <c r="BE58" s="111">
        <f>+BE62*BE9</f>
        <v/>
      </c>
      <c r="BF58" s="111">
        <f>+BF62*BF9</f>
        <v/>
      </c>
      <c r="BG58" s="111">
        <f>+BG62*BG9</f>
        <v/>
      </c>
      <c r="BH58" s="111">
        <f>+BH62*BH9</f>
        <v/>
      </c>
      <c r="BI58" s="111">
        <f>+BI62*BI9</f>
        <v/>
      </c>
      <c r="BJ58" s="111">
        <f>+BJ62*BJ9</f>
        <v/>
      </c>
      <c r="BK58" s="244">
        <f>+BK62*BK9</f>
        <v/>
      </c>
      <c r="BL58" s="111">
        <f>+BL62*BL9</f>
        <v/>
      </c>
      <c r="BM58" s="111">
        <f>+BM62*BM9</f>
        <v/>
      </c>
      <c r="BN58" s="111">
        <f>+BN62*BN9</f>
        <v/>
      </c>
      <c r="BO58" s="111">
        <f>+BO62*BO9</f>
        <v/>
      </c>
      <c r="BP58" s="111">
        <f>+BP62*BP9</f>
        <v/>
      </c>
      <c r="BQ58" s="111">
        <f>+BQ62*BQ9</f>
        <v/>
      </c>
      <c r="BR58" s="111">
        <f>+BR62*BR9</f>
        <v/>
      </c>
      <c r="BS58" s="111">
        <f>+BS62*BS9</f>
        <v/>
      </c>
      <c r="BT58" s="111">
        <f>+BT62*BT9</f>
        <v/>
      </c>
      <c r="BU58" s="111">
        <f>+BU62*BU9</f>
        <v/>
      </c>
      <c r="BV58" s="111">
        <f>+BV62*BV9</f>
        <v/>
      </c>
      <c r="BW58" s="244">
        <f>+BW62*BW9</f>
        <v/>
      </c>
      <c r="BX58" s="111">
        <f>+BX62*BX9</f>
        <v/>
      </c>
      <c r="BY58" s="111">
        <f>+BY62*BY9</f>
        <v/>
      </c>
      <c r="BZ58" s="111">
        <f>+BZ62*BZ9</f>
        <v/>
      </c>
      <c r="CA58" s="111">
        <f>+CA62*CA9</f>
        <v/>
      </c>
      <c r="CB58" s="111">
        <f>+CB62*CB9</f>
        <v/>
      </c>
      <c r="CC58" s="111">
        <f>+CC62*CC9</f>
        <v/>
      </c>
      <c r="CD58" s="111">
        <f>+CD62*CD9</f>
        <v/>
      </c>
      <c r="CE58" s="111">
        <f>+CE62*CE9</f>
        <v/>
      </c>
      <c r="CF58" s="111">
        <f>+CF62*CF9</f>
        <v/>
      </c>
      <c r="CG58" s="111">
        <f>+CG62*CG9</f>
        <v/>
      </c>
      <c r="CH58" s="111">
        <f>+CH62*CH9</f>
        <v/>
      </c>
      <c r="CI58" s="244">
        <f>+CI62*CI9</f>
        <v/>
      </c>
      <c r="CJ58" s="111">
        <f>+CJ62*CJ9</f>
        <v/>
      </c>
      <c r="CK58" s="111">
        <f>+CK62*CK9</f>
        <v/>
      </c>
      <c r="CL58" s="111">
        <f>+CL62*CL9</f>
        <v/>
      </c>
      <c r="CM58" s="111">
        <f>+CM62*CM9</f>
        <v/>
      </c>
      <c r="CN58" s="111">
        <f>+CN62*CN9</f>
        <v/>
      </c>
      <c r="CO58" s="111">
        <f>+CO62*CO9</f>
        <v/>
      </c>
      <c r="CP58" s="111">
        <f>+CP62*CP9</f>
        <v/>
      </c>
      <c r="CQ58" s="111">
        <f>+CQ62*CQ9</f>
        <v/>
      </c>
      <c r="CR58" s="111">
        <f>+CR62*CR9</f>
        <v/>
      </c>
      <c r="CS58" s="111">
        <f>+CS62*CS9</f>
        <v/>
      </c>
      <c r="CT58" s="111">
        <f>+CT62*CT9</f>
        <v/>
      </c>
      <c r="CU58" s="244">
        <f>+CU62*CU9</f>
        <v/>
      </c>
      <c r="CV58" s="111">
        <f>+CV62*CV9</f>
        <v/>
      </c>
      <c r="CW58" s="111">
        <f>+CW62*CW9</f>
        <v/>
      </c>
      <c r="CX58" s="111">
        <f>+CX62*CX9</f>
        <v/>
      </c>
      <c r="CY58" s="111">
        <f>+CY62*CY9</f>
        <v/>
      </c>
      <c r="CZ58" s="111">
        <f>+CZ62*CZ9</f>
        <v/>
      </c>
      <c r="DA58" s="111">
        <f>+DA62*DA9</f>
        <v/>
      </c>
      <c r="DB58" s="111">
        <f>+DB62*DB9</f>
        <v/>
      </c>
      <c r="DC58" s="111">
        <f>+DC62*DC9</f>
        <v/>
      </c>
      <c r="DD58" s="111">
        <f>+DD62*DD9</f>
        <v/>
      </c>
      <c r="DE58" s="111">
        <f>+DE62*DE9</f>
        <v/>
      </c>
      <c r="DF58" s="111">
        <f>+DF62*DF9</f>
        <v/>
      </c>
      <c r="DG58" s="111">
        <f>+DG62*DG9</f>
        <v/>
      </c>
    </row>
    <row r="59" customFormat="1" s="111">
      <c r="B59" s="1" t="inlineStr">
        <is>
          <t xml:space="preserve">   50200 Materials - COGS</t>
        </is>
      </c>
      <c r="C59" s="1" t="n"/>
      <c r="D59" s="838" t="n"/>
      <c r="E59" s="838" t="n"/>
      <c r="F59" s="838" t="n"/>
      <c r="G59" s="838" t="n"/>
      <c r="H59" s="838" t="n"/>
      <c r="I59" s="838" t="n"/>
      <c r="J59" s="838" t="n"/>
      <c r="K59" s="838" t="n"/>
      <c r="L59" s="838" t="n"/>
      <c r="M59" s="838" t="n"/>
      <c r="N59" s="838" t="n"/>
      <c r="O59" s="838" t="n"/>
      <c r="P59" s="838" t="n"/>
      <c r="Q59" s="838" t="n"/>
      <c r="R59" s="838" t="n"/>
      <c r="S59" s="838" t="n"/>
      <c r="T59" s="838" t="n"/>
      <c r="U59" s="838" t="n"/>
      <c r="AB59" s="111" t="n">
        <v>359.46</v>
      </c>
      <c r="AC59" s="111" t="n">
        <v>458.1</v>
      </c>
      <c r="AD59" s="111" t="n">
        <v>321.74</v>
      </c>
      <c r="AE59" s="111" t="n">
        <v>142.87</v>
      </c>
      <c r="AF59" s="111" t="n">
        <v>753.3200000000001</v>
      </c>
      <c r="AG59" s="111" t="n">
        <v>314.9</v>
      </c>
      <c r="AH59" s="111" t="n">
        <v>165.74</v>
      </c>
      <c r="AI59" s="111" t="n">
        <v>38.46</v>
      </c>
      <c r="AJ59" s="111" t="n">
        <v>28.36</v>
      </c>
      <c r="AK59" s="111" t="n">
        <v>357.18</v>
      </c>
      <c r="AL59" s="111" t="n">
        <v>356.29</v>
      </c>
      <c r="AM59" s="111" t="n">
        <v>589.1900000000001</v>
      </c>
      <c r="AN59" s="111" t="n">
        <v>249.98</v>
      </c>
      <c r="AO59" s="111" t="n">
        <v>497.5</v>
      </c>
      <c r="AP59" s="111" t="n">
        <v>810.15</v>
      </c>
      <c r="AQ59" s="111" t="n">
        <v>352.78</v>
      </c>
      <c r="AR59" s="111" t="n">
        <v>754.25</v>
      </c>
      <c r="AS59" s="111" t="n">
        <v>503.73</v>
      </c>
      <c r="AT59" s="111" t="n">
        <v>588.11</v>
      </c>
      <c r="AU59" s="111" t="n">
        <v>768.16</v>
      </c>
      <c r="AV59" s="111" t="n">
        <v>893.4299999999999</v>
      </c>
      <c r="AW59" s="244">
        <f>578.51</f>
        <v/>
      </c>
      <c r="AX59" s="111">
        <f>+AX63*AX9</f>
        <v/>
      </c>
      <c r="AY59" s="244">
        <f>+AY63*AY9</f>
        <v/>
      </c>
      <c r="AZ59" s="111">
        <f>+AZ63*AZ9</f>
        <v/>
      </c>
      <c r="BA59" s="111">
        <f>+BA63*BA9</f>
        <v/>
      </c>
      <c r="BB59" s="111">
        <f>+BB63*BB9</f>
        <v/>
      </c>
      <c r="BC59" s="111">
        <f>+BC63*BC9</f>
        <v/>
      </c>
      <c r="BD59" s="111">
        <f>+BD63*BD9</f>
        <v/>
      </c>
      <c r="BE59" s="111">
        <f>+BE63*BE9</f>
        <v/>
      </c>
      <c r="BF59" s="111">
        <f>+BF63*BF9</f>
        <v/>
      </c>
      <c r="BG59" s="111">
        <f>+BG63*BG9</f>
        <v/>
      </c>
      <c r="BH59" s="111">
        <f>+BH63*BH9</f>
        <v/>
      </c>
      <c r="BI59" s="111">
        <f>+BI63*BI9</f>
        <v/>
      </c>
      <c r="BJ59" s="111">
        <f>+BJ63*BJ9</f>
        <v/>
      </c>
      <c r="BK59" s="244">
        <f>+BK63*BK9</f>
        <v/>
      </c>
      <c r="BL59" s="111">
        <f>+BL63*BL9</f>
        <v/>
      </c>
      <c r="BM59" s="111">
        <f>+BM63*BM9</f>
        <v/>
      </c>
      <c r="BN59" s="111">
        <f>+BN63*BN9</f>
        <v/>
      </c>
      <c r="BO59" s="111">
        <f>+BO63*BO9</f>
        <v/>
      </c>
      <c r="BP59" s="111">
        <f>+BP63*BP9</f>
        <v/>
      </c>
      <c r="BQ59" s="111">
        <f>+BQ63*BQ9</f>
        <v/>
      </c>
      <c r="BR59" s="111">
        <f>+BR63*BR9</f>
        <v/>
      </c>
      <c r="BS59" s="111">
        <f>+BS63*BS9</f>
        <v/>
      </c>
      <c r="BT59" s="111">
        <f>+BT63*BT9</f>
        <v/>
      </c>
      <c r="BU59" s="111">
        <f>+BU63*BU9</f>
        <v/>
      </c>
      <c r="BV59" s="111">
        <f>+BV63*BV9</f>
        <v/>
      </c>
      <c r="BW59" s="244">
        <f>+BW63*BW9</f>
        <v/>
      </c>
      <c r="BX59" s="111">
        <f>+BX63*BX9</f>
        <v/>
      </c>
      <c r="BY59" s="111">
        <f>+BY63*BY9</f>
        <v/>
      </c>
      <c r="BZ59" s="111">
        <f>+BZ63*BZ9</f>
        <v/>
      </c>
      <c r="CA59" s="111">
        <f>+CA63*CA9</f>
        <v/>
      </c>
      <c r="CB59" s="111">
        <f>+CB63*CB9</f>
        <v/>
      </c>
      <c r="CC59" s="111">
        <f>+CC63*CC9</f>
        <v/>
      </c>
      <c r="CD59" s="111">
        <f>+CD63*CD9</f>
        <v/>
      </c>
      <c r="CE59" s="111">
        <f>+CE63*CE9</f>
        <v/>
      </c>
      <c r="CF59" s="111">
        <f>+CF63*CF9</f>
        <v/>
      </c>
      <c r="CG59" s="111">
        <f>+CG63*CG9</f>
        <v/>
      </c>
      <c r="CH59" s="111">
        <f>+CH63*CH9</f>
        <v/>
      </c>
      <c r="CI59" s="244">
        <f>+CI63*CI9</f>
        <v/>
      </c>
      <c r="CJ59" s="111">
        <f>+CJ63*CJ9</f>
        <v/>
      </c>
      <c r="CK59" s="111">
        <f>+CK63*CK9</f>
        <v/>
      </c>
      <c r="CL59" s="111">
        <f>+CL63*CL9</f>
        <v/>
      </c>
      <c r="CM59" s="111">
        <f>+CM63*CM9</f>
        <v/>
      </c>
      <c r="CN59" s="111">
        <f>+CN63*CN9</f>
        <v/>
      </c>
      <c r="CO59" s="111">
        <f>+CO63*CO9</f>
        <v/>
      </c>
      <c r="CP59" s="111">
        <f>+CP63*CP9</f>
        <v/>
      </c>
      <c r="CQ59" s="111">
        <f>+CQ63*CQ9</f>
        <v/>
      </c>
      <c r="CR59" s="111">
        <f>+CR63*CR9</f>
        <v/>
      </c>
      <c r="CS59" s="111">
        <f>+CS63*CS9</f>
        <v/>
      </c>
      <c r="CT59" s="111">
        <f>+CT63*CT9</f>
        <v/>
      </c>
      <c r="CU59" s="244">
        <f>+CU63*CU9</f>
        <v/>
      </c>
      <c r="CV59" s="111">
        <f>+CV63*CV9</f>
        <v/>
      </c>
      <c r="CW59" s="111">
        <f>+CW63*CW9</f>
        <v/>
      </c>
      <c r="CX59" s="111">
        <f>+CX63*CX9</f>
        <v/>
      </c>
      <c r="CY59" s="111">
        <f>+CY63*CY9</f>
        <v/>
      </c>
      <c r="CZ59" s="111">
        <f>+CZ63*CZ9</f>
        <v/>
      </c>
      <c r="DA59" s="111">
        <f>+DA63*DA9</f>
        <v/>
      </c>
      <c r="DB59" s="111">
        <f>+DB63*DB9</f>
        <v/>
      </c>
      <c r="DC59" s="111">
        <f>+DC63*DC9</f>
        <v/>
      </c>
      <c r="DD59" s="111">
        <f>+DD63*DD9</f>
        <v/>
      </c>
      <c r="DE59" s="111">
        <f>+DE63*DE9</f>
        <v/>
      </c>
      <c r="DF59" s="111">
        <f>+DF63*DF9</f>
        <v/>
      </c>
      <c r="DG59" s="111">
        <f>+DG63*DG9</f>
        <v/>
      </c>
    </row>
    <row r="60">
      <c r="B60" s="1" t="inlineStr">
        <is>
          <t xml:space="preserve">      50300 Sub-Contractors</t>
        </is>
      </c>
      <c r="C60" s="1" t="n"/>
      <c r="D60" s="111" t="n"/>
      <c r="E60" s="273" t="n"/>
      <c r="F60" s="273" t="n"/>
      <c r="G60" s="273" t="n"/>
      <c r="H60" s="273" t="n"/>
      <c r="I60" s="273" t="n"/>
      <c r="J60" s="273" t="n"/>
      <c r="K60" s="273" t="n"/>
      <c r="L60" s="273" t="n"/>
      <c r="M60" s="273" t="n"/>
      <c r="N60" s="273" t="n"/>
      <c r="O60" s="273" t="n"/>
      <c r="P60" s="273" t="n"/>
      <c r="Q60" s="273" t="n"/>
      <c r="R60" s="273" t="n"/>
      <c r="S60" s="273" t="n"/>
      <c r="T60" s="273" t="n"/>
      <c r="U60" s="273" t="n"/>
      <c r="V60" s="273" t="n"/>
      <c r="W60" s="273" t="n"/>
      <c r="X60" s="273" t="n"/>
      <c r="Y60" s="273" t="n"/>
      <c r="Z60" s="273" t="n"/>
      <c r="AA60" s="273" t="n"/>
      <c r="AB60" s="273" t="n"/>
      <c r="AC60" s="273" t="n"/>
      <c r="AD60" s="273" t="n"/>
      <c r="AE60" s="273" t="n"/>
      <c r="AF60" s="273" t="n">
        <v>475</v>
      </c>
      <c r="AG60" s="273" t="n">
        <v>765</v>
      </c>
      <c r="AH60" s="273" t="n">
        <v>394</v>
      </c>
      <c r="AI60" s="273" t="n">
        <v>610</v>
      </c>
      <c r="AJ60" s="273" t="n">
        <v>210</v>
      </c>
      <c r="AK60" s="273" t="n">
        <v>770</v>
      </c>
      <c r="AL60" s="273" t="n">
        <v>432</v>
      </c>
      <c r="AM60" s="273" t="n">
        <v>470</v>
      </c>
      <c r="AN60" s="273" t="n">
        <v>50</v>
      </c>
      <c r="AO60" s="273" t="n">
        <v>45</v>
      </c>
      <c r="AP60" s="273" t="n"/>
      <c r="AQ60" s="273" t="n"/>
      <c r="AR60" s="273" t="n">
        <v>629</v>
      </c>
      <c r="AS60" s="273" t="n"/>
      <c r="AT60" s="273" t="n"/>
      <c r="AU60" s="273" t="n"/>
      <c r="AV60" s="424" t="n">
        <v>30</v>
      </c>
      <c r="AW60" s="244" t="n"/>
      <c r="AX60" s="610">
        <f>+'People Plan'!Y13</f>
        <v/>
      </c>
      <c r="AY60" s="274">
        <f>+'People Plan'!Z13</f>
        <v/>
      </c>
      <c r="AZ60" s="273">
        <f>+'People Plan'!AA13</f>
        <v/>
      </c>
      <c r="BA60" s="273">
        <f>+'People Plan'!AB13</f>
        <v/>
      </c>
      <c r="BB60" s="273">
        <f>+'People Plan'!AC13</f>
        <v/>
      </c>
      <c r="BC60" s="273">
        <f>+'People Plan'!AD13</f>
        <v/>
      </c>
      <c r="BD60" s="273">
        <f>+'People Plan'!AE13</f>
        <v/>
      </c>
      <c r="BE60" s="273">
        <f>+'People Plan'!AF13</f>
        <v/>
      </c>
      <c r="BF60" s="273">
        <f>+'People Plan'!AG13</f>
        <v/>
      </c>
      <c r="BG60" s="273">
        <f>+'People Plan'!AH13</f>
        <v/>
      </c>
      <c r="BH60" s="273">
        <f>+'People Plan'!AI13</f>
        <v/>
      </c>
      <c r="BI60" s="273">
        <f>+'People Plan'!AJ13</f>
        <v/>
      </c>
      <c r="BJ60" s="273">
        <f>+'People Plan'!AK13</f>
        <v/>
      </c>
      <c r="BK60" s="274">
        <f>+'People Plan'!AL13</f>
        <v/>
      </c>
      <c r="BL60" s="273">
        <f>+'People Plan'!AM13</f>
        <v/>
      </c>
      <c r="BM60" s="273">
        <f>+'People Plan'!AN13</f>
        <v/>
      </c>
      <c r="BN60" s="273">
        <f>+'People Plan'!AO13</f>
        <v/>
      </c>
      <c r="BO60" s="273">
        <f>+'People Plan'!AP13</f>
        <v/>
      </c>
      <c r="BP60" s="273">
        <f>+'People Plan'!AQ13</f>
        <v/>
      </c>
      <c r="BQ60" s="273">
        <f>+'People Plan'!AR13</f>
        <v/>
      </c>
      <c r="BR60" s="273">
        <f>+'People Plan'!AS13</f>
        <v/>
      </c>
      <c r="BS60" s="273">
        <f>+'People Plan'!AT13</f>
        <v/>
      </c>
      <c r="BT60" s="273">
        <f>+'People Plan'!AU13</f>
        <v/>
      </c>
      <c r="BU60" s="273">
        <f>+'People Plan'!AV13</f>
        <v/>
      </c>
      <c r="BV60" s="273">
        <f>+'People Plan'!AW13</f>
        <v/>
      </c>
      <c r="BW60" s="274">
        <f>+'People Plan'!AX13</f>
        <v/>
      </c>
      <c r="BX60" s="273">
        <f>+'People Plan'!AY13</f>
        <v/>
      </c>
      <c r="BY60" s="273">
        <f>+'People Plan'!AZ13</f>
        <v/>
      </c>
      <c r="BZ60" s="273">
        <f>+'People Plan'!BA13</f>
        <v/>
      </c>
      <c r="CA60" s="273">
        <f>+'People Plan'!BB13</f>
        <v/>
      </c>
      <c r="CB60" s="273">
        <f>+'People Plan'!BC13</f>
        <v/>
      </c>
      <c r="CC60" s="273">
        <f>+'People Plan'!BD13</f>
        <v/>
      </c>
      <c r="CD60" s="273">
        <f>+'People Plan'!BE13</f>
        <v/>
      </c>
      <c r="CE60" s="273">
        <f>+'People Plan'!BF13</f>
        <v/>
      </c>
      <c r="CF60" s="273">
        <f>+'People Plan'!BG13</f>
        <v/>
      </c>
      <c r="CG60" s="273">
        <f>+'People Plan'!BH13</f>
        <v/>
      </c>
      <c r="CH60" s="273">
        <f>+'People Plan'!BI13</f>
        <v/>
      </c>
      <c r="CI60" s="274">
        <f>+'People Plan'!BJ13</f>
        <v/>
      </c>
      <c r="CJ60" s="273">
        <f>+'People Plan'!BK13</f>
        <v/>
      </c>
      <c r="CK60" s="273">
        <f>+'People Plan'!BL13</f>
        <v/>
      </c>
      <c r="CL60" s="273">
        <f>+'People Plan'!BM13</f>
        <v/>
      </c>
      <c r="CM60" s="273">
        <f>+'People Plan'!BN13</f>
        <v/>
      </c>
      <c r="CN60" s="273">
        <f>+'People Plan'!BO13</f>
        <v/>
      </c>
      <c r="CO60" s="273">
        <f>+'People Plan'!BP13</f>
        <v/>
      </c>
      <c r="CP60" s="273">
        <f>+'People Plan'!BQ13</f>
        <v/>
      </c>
      <c r="CQ60" s="273">
        <f>+'People Plan'!BR13</f>
        <v/>
      </c>
      <c r="CR60" s="273">
        <f>+'People Plan'!BS13</f>
        <v/>
      </c>
      <c r="CS60" s="273">
        <f>+'People Plan'!BT13</f>
        <v/>
      </c>
      <c r="CT60" s="273">
        <f>+'People Plan'!BU13</f>
        <v/>
      </c>
      <c r="CU60" s="274">
        <f>+'People Plan'!BV13</f>
        <v/>
      </c>
      <c r="CV60" s="273">
        <f>+'People Plan'!BW13</f>
        <v/>
      </c>
      <c r="CW60" s="273">
        <f>+'People Plan'!BX13</f>
        <v/>
      </c>
      <c r="CX60" s="273">
        <f>+'People Plan'!BY13</f>
        <v/>
      </c>
      <c r="CY60" s="273">
        <f>+'People Plan'!BZ13</f>
        <v/>
      </c>
      <c r="CZ60" s="273">
        <f>+'People Plan'!CA13</f>
        <v/>
      </c>
      <c r="DA60" s="273">
        <f>+'People Plan'!CB13</f>
        <v/>
      </c>
      <c r="DB60" s="273">
        <f>+'People Plan'!CC13</f>
        <v/>
      </c>
      <c r="DC60" s="273">
        <f>+'People Plan'!CD13</f>
        <v/>
      </c>
      <c r="DD60" s="273">
        <f>+'People Plan'!CE13</f>
        <v/>
      </c>
      <c r="DE60" s="273">
        <f>+'People Plan'!CF13</f>
        <v/>
      </c>
      <c r="DF60" s="273">
        <f>+'People Plan'!CG13</f>
        <v/>
      </c>
      <c r="DG60" s="273">
        <f>+'People Plan'!CH13</f>
        <v/>
      </c>
    </row>
    <row r="61" customFormat="1" s="823">
      <c r="A61" s="3" t="n"/>
      <c r="B61" s="4" t="inlineStr">
        <is>
          <t>Total Cost of Goods Sold</t>
        </is>
      </c>
      <c r="C61" s="4" t="n"/>
      <c r="V61" s="823">
        <f>+SUM(V58:V59)</f>
        <v/>
      </c>
      <c r="W61" s="823">
        <f>+SUM(W58:W59)</f>
        <v/>
      </c>
      <c r="X61" s="823">
        <f>+SUM(X58:X59)</f>
        <v/>
      </c>
      <c r="Y61" s="823">
        <f>+SUM(Y58:Y59)</f>
        <v/>
      </c>
      <c r="Z61" s="823">
        <f>+SUM(Z58:Z59)</f>
        <v/>
      </c>
      <c r="AA61" s="823">
        <f>+SUM(AA58:AA59)</f>
        <v/>
      </c>
      <c r="AB61" s="823">
        <f>SUM(AB58:AB60)</f>
        <v/>
      </c>
      <c r="AC61" s="823">
        <f>SUM(AC58:AC60)</f>
        <v/>
      </c>
      <c r="AD61" s="823">
        <f>SUM(AD58:AD60)</f>
        <v/>
      </c>
      <c r="AE61" s="823">
        <f>SUM(AE58:AE60)</f>
        <v/>
      </c>
      <c r="AF61" s="823">
        <f>SUM(AF58:AF60)</f>
        <v/>
      </c>
      <c r="AG61" s="823">
        <f>SUM(AG58:AG60)</f>
        <v/>
      </c>
      <c r="AH61" s="823">
        <f>SUM(AH58:AH60)</f>
        <v/>
      </c>
      <c r="AI61" s="823">
        <f>SUM(AI58:AI60)</f>
        <v/>
      </c>
      <c r="AJ61" s="823">
        <f>SUM(AJ58:AJ60)</f>
        <v/>
      </c>
      <c r="AK61" s="823">
        <f>SUM(AK58:AK60)</f>
        <v/>
      </c>
      <c r="AL61" s="823">
        <f>SUM(AL58:AL60)</f>
        <v/>
      </c>
      <c r="AM61" s="823">
        <f>SUM(AM58:AM60)</f>
        <v/>
      </c>
      <c r="AN61" s="823">
        <f>SUM(AN58:AN60)</f>
        <v/>
      </c>
      <c r="AO61" s="823">
        <f>SUM(AO58:AO60)</f>
        <v/>
      </c>
      <c r="AP61" s="823">
        <f>SUM(AP58:AP60)</f>
        <v/>
      </c>
      <c r="AQ61" s="823">
        <f>SUM(AQ58:AQ60)</f>
        <v/>
      </c>
      <c r="AR61" s="823">
        <f>SUM(AR58:AR60)</f>
        <v/>
      </c>
      <c r="AS61" s="823">
        <f>SUM(AS58:AS60)</f>
        <v/>
      </c>
      <c r="AT61" s="823">
        <f>SUM(AT58:AT60)</f>
        <v/>
      </c>
      <c r="AU61" s="823">
        <f>SUM(AU58:AU60)</f>
        <v/>
      </c>
      <c r="AV61" s="823">
        <f>SUM(AV58:AV60)</f>
        <v/>
      </c>
      <c r="AW61" s="836">
        <f>SUM(AW58:AW60)</f>
        <v/>
      </c>
      <c r="AX61" s="823">
        <f>SUM(AX58:AX60)</f>
        <v/>
      </c>
      <c r="AY61" s="836">
        <f>SUM(AY58:AY60)</f>
        <v/>
      </c>
      <c r="AZ61" s="823">
        <f>SUM(AZ58:AZ60)</f>
        <v/>
      </c>
      <c r="BA61" s="823">
        <f>SUM(BA58:BA60)</f>
        <v/>
      </c>
      <c r="BB61" s="823">
        <f>SUM(BB58:BB60)</f>
        <v/>
      </c>
      <c r="BC61" s="823">
        <f>SUM(BC58:BC60)</f>
        <v/>
      </c>
      <c r="BD61" s="823">
        <f>SUM(BD58:BD60)</f>
        <v/>
      </c>
      <c r="BE61" s="823">
        <f>SUM(BE58:BE60)</f>
        <v/>
      </c>
      <c r="BF61" s="823">
        <f>SUM(BF58:BF60)</f>
        <v/>
      </c>
      <c r="BG61" s="823">
        <f>SUM(BG58:BG60)</f>
        <v/>
      </c>
      <c r="BH61" s="823">
        <f>SUM(BH58:BH60)</f>
        <v/>
      </c>
      <c r="BI61" s="823">
        <f>SUM(BI58:BI60)</f>
        <v/>
      </c>
      <c r="BJ61" s="823">
        <f>SUM(BJ58:BJ60)</f>
        <v/>
      </c>
      <c r="BK61" s="836">
        <f>SUM(BK58:BK60)</f>
        <v/>
      </c>
      <c r="BL61" s="823">
        <f>SUM(BL58:BL60)</f>
        <v/>
      </c>
      <c r="BM61" s="823">
        <f>SUM(BM58:BM60)</f>
        <v/>
      </c>
      <c r="BN61" s="823">
        <f>SUM(BN58:BN60)</f>
        <v/>
      </c>
      <c r="BO61" s="823">
        <f>SUM(BO58:BO60)</f>
        <v/>
      </c>
      <c r="BP61" s="823">
        <f>SUM(BP58:BP60)</f>
        <v/>
      </c>
      <c r="BQ61" s="823">
        <f>SUM(BQ58:BQ60)</f>
        <v/>
      </c>
      <c r="BR61" s="823">
        <f>SUM(BR58:BR60)</f>
        <v/>
      </c>
      <c r="BS61" s="823">
        <f>SUM(BS58:BS60)</f>
        <v/>
      </c>
      <c r="BT61" s="823">
        <f>SUM(BT58:BT60)</f>
        <v/>
      </c>
      <c r="BU61" s="823">
        <f>SUM(BU58:BU60)</f>
        <v/>
      </c>
      <c r="BV61" s="823">
        <f>SUM(BV58:BV60)</f>
        <v/>
      </c>
      <c r="BW61" s="836">
        <f>SUM(BW58:BW60)</f>
        <v/>
      </c>
      <c r="BX61" s="823">
        <f>SUM(BX58:BX60)</f>
        <v/>
      </c>
      <c r="BY61" s="823">
        <f>SUM(BY58:BY60)</f>
        <v/>
      </c>
      <c r="BZ61" s="823">
        <f>SUM(BZ58:BZ60)</f>
        <v/>
      </c>
      <c r="CA61" s="823">
        <f>SUM(CA58:CA60)</f>
        <v/>
      </c>
      <c r="CB61" s="823">
        <f>SUM(CB58:CB60)</f>
        <v/>
      </c>
      <c r="CC61" s="823">
        <f>SUM(CC58:CC60)</f>
        <v/>
      </c>
      <c r="CD61" s="823">
        <f>SUM(CD58:CD60)</f>
        <v/>
      </c>
      <c r="CE61" s="823">
        <f>SUM(CE58:CE60)</f>
        <v/>
      </c>
      <c r="CF61" s="823">
        <f>SUM(CF58:CF60)</f>
        <v/>
      </c>
      <c r="CG61" s="823">
        <f>SUM(CG58:CG60)</f>
        <v/>
      </c>
      <c r="CH61" s="823">
        <f>SUM(CH58:CH60)</f>
        <v/>
      </c>
      <c r="CI61" s="836">
        <f>SUM(CI58:CI60)</f>
        <v/>
      </c>
      <c r="CJ61" s="823">
        <f>SUM(CJ58:CJ60)</f>
        <v/>
      </c>
      <c r="CK61" s="823">
        <f>SUM(CK58:CK60)</f>
        <v/>
      </c>
      <c r="CL61" s="823">
        <f>SUM(CL58:CL60)</f>
        <v/>
      </c>
      <c r="CM61" s="823">
        <f>SUM(CM58:CM60)</f>
        <v/>
      </c>
      <c r="CN61" s="823">
        <f>SUM(CN58:CN60)</f>
        <v/>
      </c>
      <c r="CO61" s="823">
        <f>SUM(CO58:CO60)</f>
        <v/>
      </c>
      <c r="CP61" s="823">
        <f>SUM(CP58:CP60)</f>
        <v/>
      </c>
      <c r="CQ61" s="823">
        <f>SUM(CQ58:CQ60)</f>
        <v/>
      </c>
      <c r="CR61" s="823">
        <f>SUM(CR58:CR60)</f>
        <v/>
      </c>
      <c r="CS61" s="823">
        <f>SUM(CS58:CS60)</f>
        <v/>
      </c>
      <c r="CT61" s="823">
        <f>SUM(CT58:CT60)</f>
        <v/>
      </c>
      <c r="CU61" s="836">
        <f>SUM(CU58:CU60)</f>
        <v/>
      </c>
      <c r="CV61" s="823">
        <f>SUM(CV58:CV60)</f>
        <v/>
      </c>
      <c r="CW61" s="823">
        <f>SUM(CW58:CW60)</f>
        <v/>
      </c>
      <c r="CX61" s="823">
        <f>SUM(CX58:CX60)</f>
        <v/>
      </c>
      <c r="CY61" s="823">
        <f>SUM(CY58:CY60)</f>
        <v/>
      </c>
      <c r="CZ61" s="823">
        <f>SUM(CZ58:CZ60)</f>
        <v/>
      </c>
      <c r="DA61" s="823">
        <f>SUM(DA58:DA60)</f>
        <v/>
      </c>
      <c r="DB61" s="823">
        <f>SUM(DB58:DB60)</f>
        <v/>
      </c>
      <c r="DC61" s="823">
        <f>SUM(DC58:DC60)</f>
        <v/>
      </c>
      <c r="DD61" s="823">
        <f>SUM(DD58:DD60)</f>
        <v/>
      </c>
      <c r="DE61" s="823">
        <f>SUM(DE58:DE60)</f>
        <v/>
      </c>
      <c r="DF61" s="823">
        <f>SUM(DF58:DF60)</f>
        <v/>
      </c>
      <c r="DG61" s="823">
        <f>SUM(DG58:DG60)</f>
        <v/>
      </c>
    </row>
    <row r="62" customFormat="1" s="831">
      <c r="A62" s="465" t="n"/>
      <c r="B62" s="466" t="n"/>
      <c r="C62" s="466" t="inlineStr">
        <is>
          <t>COS as a % of Revenue</t>
        </is>
      </c>
      <c r="W62" s="832">
        <f>+W58/W13</f>
        <v/>
      </c>
      <c r="X62" s="832">
        <f>+X58/X13</f>
        <v/>
      </c>
      <c r="Y62" s="832">
        <f>+Y58/Y13</f>
        <v/>
      </c>
      <c r="Z62" s="832">
        <f>+Z58/Z13</f>
        <v/>
      </c>
      <c r="AA62" s="832">
        <f>+AA58/AA13</f>
        <v/>
      </c>
      <c r="AB62" s="832">
        <f>+AB58/AB13</f>
        <v/>
      </c>
      <c r="AC62" s="832">
        <f>+AC58/AC13</f>
        <v/>
      </c>
      <c r="AD62" s="832">
        <f>+AD58/AD13</f>
        <v/>
      </c>
      <c r="AE62" s="832">
        <f>+AE58/AE13</f>
        <v/>
      </c>
      <c r="AF62" s="832">
        <f>+AF58/AF13</f>
        <v/>
      </c>
      <c r="AG62" s="832">
        <f>+AG58/AG13</f>
        <v/>
      </c>
      <c r="AH62" s="832">
        <f>+AH58/AH13</f>
        <v/>
      </c>
      <c r="AI62" s="832">
        <f>+AI58/AI13</f>
        <v/>
      </c>
      <c r="AJ62" s="832">
        <f>+AJ58/AJ13</f>
        <v/>
      </c>
      <c r="AK62" s="832">
        <f>+AK58/AK13</f>
        <v/>
      </c>
      <c r="AL62" s="832">
        <f>+AL58/AL13</f>
        <v/>
      </c>
      <c r="AM62" s="832">
        <f>+AM58/AM13</f>
        <v/>
      </c>
      <c r="AN62" s="832">
        <f>+AN58/AN13</f>
        <v/>
      </c>
      <c r="AO62" s="832">
        <f>+AO58/AO13</f>
        <v/>
      </c>
      <c r="AP62" s="832">
        <f>+AP58/AP13</f>
        <v/>
      </c>
      <c r="AQ62" s="832">
        <f>+AQ58/AQ13</f>
        <v/>
      </c>
      <c r="AR62" s="832">
        <f>+AR58/AR13</f>
        <v/>
      </c>
      <c r="AS62" s="832">
        <f>+AS58/AS13</f>
        <v/>
      </c>
      <c r="AT62" s="832">
        <f>+AT58/AT13</f>
        <v/>
      </c>
      <c r="AU62" s="832">
        <f>+AU58/AU13</f>
        <v/>
      </c>
      <c r="AV62" s="832">
        <f>+AV58/AV13</f>
        <v/>
      </c>
      <c r="AW62" s="833">
        <f>+AW58/AW13</f>
        <v/>
      </c>
      <c r="AX62" s="834">
        <f>+AVERAGE(AR62:AW62)</f>
        <v/>
      </c>
      <c r="AY62" s="833">
        <f>+AX62</f>
        <v/>
      </c>
      <c r="AZ62" s="832">
        <f>+AY62</f>
        <v/>
      </c>
      <c r="BA62" s="832">
        <f>+AZ62</f>
        <v/>
      </c>
      <c r="BB62" s="832">
        <f>+BA62</f>
        <v/>
      </c>
      <c r="BC62" s="832">
        <f>+BB62</f>
        <v/>
      </c>
      <c r="BD62" s="832">
        <f>+BC62</f>
        <v/>
      </c>
      <c r="BE62" s="832">
        <f>+BD62</f>
        <v/>
      </c>
      <c r="BF62" s="832">
        <f>+BE62</f>
        <v/>
      </c>
      <c r="BG62" s="832">
        <f>+BF62</f>
        <v/>
      </c>
      <c r="BH62" s="832">
        <f>+BG62</f>
        <v/>
      </c>
      <c r="BI62" s="832">
        <f>+BH62</f>
        <v/>
      </c>
      <c r="BJ62" s="832">
        <f>+BI62</f>
        <v/>
      </c>
      <c r="BK62" s="833">
        <f>+BJ62</f>
        <v/>
      </c>
      <c r="BL62" s="832">
        <f>+BK62</f>
        <v/>
      </c>
      <c r="BM62" s="832">
        <f>+BL62</f>
        <v/>
      </c>
      <c r="BN62" s="832">
        <f>+BM62</f>
        <v/>
      </c>
      <c r="BO62" s="832">
        <f>+BN62</f>
        <v/>
      </c>
      <c r="BP62" s="832">
        <f>+BO62</f>
        <v/>
      </c>
      <c r="BQ62" s="832">
        <f>+BP62</f>
        <v/>
      </c>
      <c r="BR62" s="832">
        <f>+BQ62</f>
        <v/>
      </c>
      <c r="BS62" s="832">
        <f>+BR62</f>
        <v/>
      </c>
      <c r="BT62" s="832">
        <f>+BS62</f>
        <v/>
      </c>
      <c r="BU62" s="832">
        <f>+BT62</f>
        <v/>
      </c>
      <c r="BV62" s="832">
        <f>+BU62</f>
        <v/>
      </c>
      <c r="BW62" s="833">
        <f>+BV62</f>
        <v/>
      </c>
      <c r="BX62" s="832">
        <f>+BW62</f>
        <v/>
      </c>
      <c r="BY62" s="832">
        <f>+BX62</f>
        <v/>
      </c>
      <c r="BZ62" s="832">
        <f>+BY62</f>
        <v/>
      </c>
      <c r="CA62" s="832">
        <f>+BZ62</f>
        <v/>
      </c>
      <c r="CB62" s="832">
        <f>+CA62</f>
        <v/>
      </c>
      <c r="CC62" s="832">
        <f>+CB62</f>
        <v/>
      </c>
      <c r="CD62" s="832">
        <f>+CC62</f>
        <v/>
      </c>
      <c r="CE62" s="832">
        <f>+CD62</f>
        <v/>
      </c>
      <c r="CF62" s="832">
        <f>+CE62</f>
        <v/>
      </c>
      <c r="CG62" s="832">
        <f>+CF62</f>
        <v/>
      </c>
      <c r="CH62" s="832">
        <f>+CG62</f>
        <v/>
      </c>
      <c r="CI62" s="833">
        <f>+CH62</f>
        <v/>
      </c>
      <c r="CJ62" s="832">
        <f>+CI62</f>
        <v/>
      </c>
      <c r="CK62" s="832">
        <f>+CJ62</f>
        <v/>
      </c>
      <c r="CL62" s="832">
        <f>+CK62</f>
        <v/>
      </c>
      <c r="CM62" s="832">
        <f>+CL62</f>
        <v/>
      </c>
      <c r="CN62" s="832">
        <f>+CM62</f>
        <v/>
      </c>
      <c r="CO62" s="832">
        <f>+CN62</f>
        <v/>
      </c>
      <c r="CP62" s="832">
        <f>+CO62</f>
        <v/>
      </c>
      <c r="CQ62" s="832">
        <f>+CP62</f>
        <v/>
      </c>
      <c r="CR62" s="832">
        <f>+CQ62</f>
        <v/>
      </c>
      <c r="CS62" s="832">
        <f>+CR62</f>
        <v/>
      </c>
      <c r="CT62" s="832">
        <f>+CS62</f>
        <v/>
      </c>
      <c r="CU62" s="833">
        <f>+CT62</f>
        <v/>
      </c>
      <c r="CV62" s="832">
        <f>+CU62</f>
        <v/>
      </c>
      <c r="CW62" s="832">
        <f>+CV62</f>
        <v/>
      </c>
      <c r="CX62" s="832">
        <f>+CW62</f>
        <v/>
      </c>
      <c r="CY62" s="832">
        <f>+CX62</f>
        <v/>
      </c>
      <c r="CZ62" s="832">
        <f>+CY62</f>
        <v/>
      </c>
      <c r="DA62" s="832">
        <f>+CZ62</f>
        <v/>
      </c>
      <c r="DB62" s="832">
        <f>+DA62</f>
        <v/>
      </c>
      <c r="DC62" s="832">
        <f>+DB62</f>
        <v/>
      </c>
      <c r="DD62" s="832">
        <f>+DC62</f>
        <v/>
      </c>
      <c r="DE62" s="832">
        <f>+DD62</f>
        <v/>
      </c>
      <c r="DF62" s="832">
        <f>+DE62</f>
        <v/>
      </c>
      <c r="DG62" s="832">
        <f>+DF62</f>
        <v/>
      </c>
    </row>
    <row r="63" customFormat="1" s="831">
      <c r="A63" s="465" t="n"/>
      <c r="B63" s="466" t="n"/>
      <c r="C63" s="466" t="inlineStr">
        <is>
          <t>COGS as a % of Revenue</t>
        </is>
      </c>
      <c r="W63" s="832">
        <f>+W59/W13</f>
        <v/>
      </c>
      <c r="X63" s="832">
        <f>+X59/X13</f>
        <v/>
      </c>
      <c r="Y63" s="832">
        <f>+Y59/Y13</f>
        <v/>
      </c>
      <c r="Z63" s="832">
        <f>+Z59/Z13</f>
        <v/>
      </c>
      <c r="AA63" s="832">
        <f>+AA59/AA13</f>
        <v/>
      </c>
      <c r="AB63" s="832">
        <f>+AB59/AB13</f>
        <v/>
      </c>
      <c r="AC63" s="832">
        <f>+AC59/AC13</f>
        <v/>
      </c>
      <c r="AD63" s="832">
        <f>+AD59/AD13</f>
        <v/>
      </c>
      <c r="AE63" s="832">
        <f>+AE59/AE13</f>
        <v/>
      </c>
      <c r="AF63" s="832">
        <f>+AF59/AF13</f>
        <v/>
      </c>
      <c r="AG63" s="832">
        <f>+AG59/AG13</f>
        <v/>
      </c>
      <c r="AH63" s="832">
        <f>+AH59/AH13</f>
        <v/>
      </c>
      <c r="AI63" s="832">
        <f>+AI59/AI13</f>
        <v/>
      </c>
      <c r="AJ63" s="832">
        <f>+AJ59/AJ13</f>
        <v/>
      </c>
      <c r="AK63" s="832">
        <f>+AK59/AK13</f>
        <v/>
      </c>
      <c r="AL63" s="832">
        <f>+AL59/AL13</f>
        <v/>
      </c>
      <c r="AM63" s="832">
        <f>+AM59/AM13</f>
        <v/>
      </c>
      <c r="AN63" s="832">
        <f>+AN59/AN13</f>
        <v/>
      </c>
      <c r="AO63" s="832">
        <f>+AO59/AO13</f>
        <v/>
      </c>
      <c r="AP63" s="832">
        <f>+AP59/AP13</f>
        <v/>
      </c>
      <c r="AQ63" s="832">
        <f>+AQ59/AQ13</f>
        <v/>
      </c>
      <c r="AR63" s="832">
        <f>+AR59/AR13</f>
        <v/>
      </c>
      <c r="AS63" s="832">
        <f>+AS59/AS13</f>
        <v/>
      </c>
      <c r="AT63" s="832">
        <f>+AT59/AT13</f>
        <v/>
      </c>
      <c r="AU63" s="832">
        <f>+AU59/AU13</f>
        <v/>
      </c>
      <c r="AV63" s="832">
        <f>+AV59/AV13</f>
        <v/>
      </c>
      <c r="AW63" s="833">
        <f>+AW59/AW13</f>
        <v/>
      </c>
      <c r="AX63" s="834">
        <f>+AVERAGE(AR63:AW63)</f>
        <v/>
      </c>
      <c r="AY63" s="833">
        <f>+AX63</f>
        <v/>
      </c>
      <c r="AZ63" s="832">
        <f>+AY63</f>
        <v/>
      </c>
      <c r="BA63" s="832">
        <f>+AZ63</f>
        <v/>
      </c>
      <c r="BB63" s="832">
        <f>+BA63</f>
        <v/>
      </c>
      <c r="BC63" s="832">
        <f>+BB63</f>
        <v/>
      </c>
      <c r="BD63" s="832">
        <f>+BC63</f>
        <v/>
      </c>
      <c r="BE63" s="832">
        <f>+BD63</f>
        <v/>
      </c>
      <c r="BF63" s="832">
        <f>+BE63</f>
        <v/>
      </c>
      <c r="BG63" s="832">
        <f>+BF63</f>
        <v/>
      </c>
      <c r="BH63" s="832">
        <f>+BG63</f>
        <v/>
      </c>
      <c r="BI63" s="832">
        <f>+BH63</f>
        <v/>
      </c>
      <c r="BJ63" s="832">
        <f>+BI63</f>
        <v/>
      </c>
      <c r="BK63" s="833">
        <f>+BJ63</f>
        <v/>
      </c>
      <c r="BL63" s="832">
        <f>+BK63</f>
        <v/>
      </c>
      <c r="BM63" s="832">
        <f>+BL63</f>
        <v/>
      </c>
      <c r="BN63" s="832">
        <f>+BM63</f>
        <v/>
      </c>
      <c r="BO63" s="832">
        <f>+BN63</f>
        <v/>
      </c>
      <c r="BP63" s="832">
        <f>+BO63</f>
        <v/>
      </c>
      <c r="BQ63" s="832">
        <f>+BP63</f>
        <v/>
      </c>
      <c r="BR63" s="832">
        <f>+BQ63</f>
        <v/>
      </c>
      <c r="BS63" s="832">
        <f>+BR63</f>
        <v/>
      </c>
      <c r="BT63" s="832">
        <f>+BS63</f>
        <v/>
      </c>
      <c r="BU63" s="832">
        <f>+BT63</f>
        <v/>
      </c>
      <c r="BV63" s="832">
        <f>+BU63</f>
        <v/>
      </c>
      <c r="BW63" s="833">
        <f>+BV63</f>
        <v/>
      </c>
      <c r="BX63" s="832">
        <f>+BW63</f>
        <v/>
      </c>
      <c r="BY63" s="832">
        <f>+BX63</f>
        <v/>
      </c>
      <c r="BZ63" s="832">
        <f>+BY63</f>
        <v/>
      </c>
      <c r="CA63" s="832">
        <f>+BZ63</f>
        <v/>
      </c>
      <c r="CB63" s="832">
        <f>+CA63</f>
        <v/>
      </c>
      <c r="CC63" s="832">
        <f>+CB63</f>
        <v/>
      </c>
      <c r="CD63" s="832">
        <f>+CC63</f>
        <v/>
      </c>
      <c r="CE63" s="832">
        <f>+CD63</f>
        <v/>
      </c>
      <c r="CF63" s="832">
        <f>+CE63</f>
        <v/>
      </c>
      <c r="CG63" s="832">
        <f>+CF63</f>
        <v/>
      </c>
      <c r="CH63" s="832">
        <f>+CG63</f>
        <v/>
      </c>
      <c r="CI63" s="833">
        <f>+CH63</f>
        <v/>
      </c>
      <c r="CJ63" s="832">
        <f>+CI63</f>
        <v/>
      </c>
      <c r="CK63" s="832">
        <f>+CJ63</f>
        <v/>
      </c>
      <c r="CL63" s="832">
        <f>+CK63</f>
        <v/>
      </c>
      <c r="CM63" s="832">
        <f>+CL63</f>
        <v/>
      </c>
      <c r="CN63" s="832">
        <f>+CM63</f>
        <v/>
      </c>
      <c r="CO63" s="832">
        <f>+CN63</f>
        <v/>
      </c>
      <c r="CP63" s="832">
        <f>+CO63</f>
        <v/>
      </c>
      <c r="CQ63" s="832">
        <f>+CP63</f>
        <v/>
      </c>
      <c r="CR63" s="832">
        <f>+CQ63</f>
        <v/>
      </c>
      <c r="CS63" s="832">
        <f>+CR63</f>
        <v/>
      </c>
      <c r="CT63" s="832">
        <f>+CS63</f>
        <v/>
      </c>
      <c r="CU63" s="833">
        <f>+CT63</f>
        <v/>
      </c>
      <c r="CV63" s="832">
        <f>+CU63</f>
        <v/>
      </c>
      <c r="CW63" s="832">
        <f>+CV63</f>
        <v/>
      </c>
      <c r="CX63" s="832">
        <f>+CW63</f>
        <v/>
      </c>
      <c r="CY63" s="832">
        <f>+CX63</f>
        <v/>
      </c>
      <c r="CZ63" s="832">
        <f>+CY63</f>
        <v/>
      </c>
      <c r="DA63" s="832">
        <f>+CZ63</f>
        <v/>
      </c>
      <c r="DB63" s="832">
        <f>+DA63</f>
        <v/>
      </c>
      <c r="DC63" s="832">
        <f>+DB63</f>
        <v/>
      </c>
      <c r="DD63" s="832">
        <f>+DC63</f>
        <v/>
      </c>
      <c r="DE63" s="832">
        <f>+DD63</f>
        <v/>
      </c>
      <c r="DF63" s="832">
        <f>+DE63</f>
        <v/>
      </c>
      <c r="DG63" s="832">
        <f>+DF63</f>
        <v/>
      </c>
    </row>
    <row r="64">
      <c r="B64" s="1" t="n"/>
      <c r="C64" s="1" t="n"/>
      <c r="D64" s="838" t="n"/>
      <c r="E64" s="838" t="n"/>
      <c r="F64" s="838" t="n"/>
      <c r="G64" s="838" t="n"/>
      <c r="H64" s="838" t="n"/>
      <c r="I64" s="838" t="n"/>
      <c r="J64" s="838" t="n"/>
      <c r="K64" s="838" t="n"/>
      <c r="L64" s="838" t="n"/>
      <c r="M64" s="838" t="n"/>
      <c r="N64" s="838" t="n"/>
      <c r="O64" s="838" t="n"/>
      <c r="P64" s="838" t="n"/>
      <c r="Q64" s="838" t="n"/>
      <c r="R64" s="838" t="n"/>
      <c r="S64" s="838" t="n"/>
      <c r="T64" s="838" t="n"/>
      <c r="U64" s="838" t="n"/>
      <c r="V64" s="838" t="n"/>
      <c r="W64" s="838" t="n"/>
      <c r="X64" s="838" t="n"/>
      <c r="Y64" s="838" t="n"/>
      <c r="Z64" s="838" t="n"/>
      <c r="AA64" s="838" t="n"/>
      <c r="AB64" s="838" t="n"/>
      <c r="AC64" s="838" t="n"/>
      <c r="AD64" s="838" t="n"/>
      <c r="AE64" s="838" t="n"/>
      <c r="AF64" s="838" t="n"/>
      <c r="AG64" s="838" t="n"/>
      <c r="AH64" s="838" t="n"/>
      <c r="AI64" s="838" t="n"/>
      <c r="AJ64" s="838" t="n"/>
      <c r="AK64" s="838" t="n"/>
      <c r="AL64" s="838" t="n"/>
      <c r="AM64" s="838" t="n"/>
      <c r="AN64" s="838" t="n"/>
      <c r="AO64" s="838" t="n"/>
      <c r="AP64" s="838" t="n"/>
      <c r="AQ64" s="838" t="n"/>
      <c r="AR64" s="838" t="n"/>
      <c r="AS64" s="838" t="n"/>
      <c r="AT64" s="838" t="n"/>
      <c r="AU64" s="838" t="n"/>
      <c r="AV64" s="838" t="n"/>
      <c r="AW64" s="839" t="n"/>
      <c r="AX64" s="838" t="n"/>
      <c r="AY64" s="839" t="n"/>
      <c r="AZ64" s="838" t="n"/>
      <c r="BA64" s="838" t="n"/>
      <c r="BB64" s="838" t="n"/>
      <c r="BC64" s="838" t="n"/>
      <c r="BD64" s="838" t="n"/>
      <c r="BE64" s="838" t="n"/>
      <c r="BF64" s="838" t="n"/>
      <c r="BG64" s="838" t="n"/>
      <c r="BH64" s="838" t="n"/>
      <c r="BI64" s="838" t="n"/>
      <c r="BJ64" s="838" t="n"/>
      <c r="BK64" s="839" t="n"/>
      <c r="BL64" s="838" t="n"/>
      <c r="BM64" s="838" t="n"/>
      <c r="BN64" s="838" t="n"/>
      <c r="BO64" s="838" t="n"/>
      <c r="BP64" s="838" t="n"/>
      <c r="BQ64" s="838" t="n"/>
      <c r="BR64" s="838" t="n"/>
      <c r="BS64" s="838" t="n"/>
      <c r="BT64" s="838" t="n"/>
      <c r="BU64" s="838" t="n"/>
      <c r="BV64" s="838" t="n"/>
      <c r="BW64" s="839" t="n"/>
      <c r="BX64" s="838" t="n"/>
      <c r="BY64" s="838" t="n"/>
      <c r="BZ64" s="838" t="n"/>
      <c r="CA64" s="838" t="n"/>
      <c r="CB64" s="838" t="n"/>
      <c r="CC64" s="838" t="n"/>
      <c r="CD64" s="838" t="n"/>
      <c r="CE64" s="838" t="n"/>
      <c r="CF64" s="838" t="n"/>
      <c r="CG64" s="838" t="n"/>
      <c r="CH64" s="838" t="n"/>
      <c r="CI64" s="839" t="n"/>
      <c r="CJ64" s="838" t="n"/>
      <c r="CK64" s="838" t="n"/>
      <c r="CL64" s="838" t="n"/>
      <c r="CM64" s="838" t="n"/>
      <c r="CN64" s="838" t="n"/>
      <c r="CO64" s="838" t="n"/>
      <c r="CP64" s="838" t="n"/>
      <c r="CQ64" s="838" t="n"/>
      <c r="CR64" s="838" t="n"/>
      <c r="CS64" s="838" t="n"/>
      <c r="CT64" s="838" t="n"/>
      <c r="CU64" s="839" t="n"/>
      <c r="CV64" s="838" t="n"/>
      <c r="CW64" s="838" t="n"/>
      <c r="CX64" s="838" t="n"/>
      <c r="CY64" s="838" t="n"/>
      <c r="CZ64" s="838" t="n"/>
      <c r="DA64" s="838" t="n"/>
      <c r="DB64" s="838" t="n"/>
      <c r="DC64" s="838" t="n"/>
      <c r="DD64" s="838" t="n"/>
      <c r="DE64" s="838" t="n"/>
      <c r="DF64" s="838" t="n"/>
      <c r="DG64" s="838" t="n"/>
    </row>
    <row r="65" customFormat="1" s="823">
      <c r="A65" s="3" t="n"/>
      <c r="B65" s="4" t="inlineStr">
        <is>
          <t>Gross Profit</t>
        </is>
      </c>
      <c r="C65" s="4" t="n"/>
      <c r="D65" s="823">
        <f>(D13)-(0)</f>
        <v/>
      </c>
      <c r="E65" s="823">
        <f>(E13)-(0)</f>
        <v/>
      </c>
      <c r="F65" s="823">
        <f>(F13)-(0)</f>
        <v/>
      </c>
      <c r="G65" s="823">
        <f>(G13)-(0)</f>
        <v/>
      </c>
      <c r="H65" s="823">
        <f>(H13)-(0)</f>
        <v/>
      </c>
      <c r="I65" s="823">
        <f>(I13)-(0)</f>
        <v/>
      </c>
      <c r="J65" s="823">
        <f>(J13)-(0)</f>
        <v/>
      </c>
      <c r="K65" s="823">
        <f>K13</f>
        <v/>
      </c>
      <c r="L65" s="823">
        <f>L13</f>
        <v/>
      </c>
      <c r="M65" s="823">
        <f>M13</f>
        <v/>
      </c>
      <c r="N65" s="823">
        <f>N13</f>
        <v/>
      </c>
      <c r="O65" s="823">
        <f>O13</f>
        <v/>
      </c>
      <c r="P65" s="823">
        <f>P13</f>
        <v/>
      </c>
      <c r="Q65" s="823">
        <f>Q13</f>
        <v/>
      </c>
      <c r="R65" s="823">
        <f>R13</f>
        <v/>
      </c>
      <c r="S65" s="823">
        <f>S13</f>
        <v/>
      </c>
      <c r="T65" s="823">
        <f>T13</f>
        <v/>
      </c>
      <c r="U65" s="823">
        <f>U13</f>
        <v/>
      </c>
      <c r="V65" s="823">
        <f>V13-V61</f>
        <v/>
      </c>
      <c r="W65" s="823">
        <f>W13-W61</f>
        <v/>
      </c>
      <c r="X65" s="823">
        <f>X13-X61</f>
        <v/>
      </c>
      <c r="Y65" s="823">
        <f>Y13-Y61</f>
        <v/>
      </c>
      <c r="Z65" s="823">
        <f>Z13-Z61</f>
        <v/>
      </c>
      <c r="AA65" s="823">
        <f>AA13-AA61</f>
        <v/>
      </c>
      <c r="AB65" s="823">
        <f>AB13-AB61</f>
        <v/>
      </c>
      <c r="AC65" s="823">
        <f>AC13-AC61</f>
        <v/>
      </c>
      <c r="AD65" s="823">
        <f>AD13-AD61</f>
        <v/>
      </c>
      <c r="AE65" s="823">
        <f>AE13-AE61</f>
        <v/>
      </c>
      <c r="AF65" s="823">
        <f>AF13-AF61</f>
        <v/>
      </c>
      <c r="AG65" s="823">
        <f>AG13-AG61</f>
        <v/>
      </c>
      <c r="AH65" s="823">
        <f>AH13-AH61</f>
        <v/>
      </c>
      <c r="AI65" s="823">
        <f>AI13-AI61</f>
        <v/>
      </c>
      <c r="AJ65" s="823">
        <f>AJ13-AJ61</f>
        <v/>
      </c>
      <c r="AK65" s="823">
        <f>AK13-AK61</f>
        <v/>
      </c>
      <c r="AL65" s="823">
        <f>AL13-AL61</f>
        <v/>
      </c>
      <c r="AM65" s="823">
        <f>AM13-AM61</f>
        <v/>
      </c>
      <c r="AN65" s="823">
        <f>AN13-AN61</f>
        <v/>
      </c>
      <c r="AO65" s="823">
        <f>AO13-AO61</f>
        <v/>
      </c>
      <c r="AP65" s="823">
        <f>AP13-AP61</f>
        <v/>
      </c>
      <c r="AQ65" s="823">
        <f>AQ13-AQ61</f>
        <v/>
      </c>
      <c r="AR65" s="823">
        <f>AR13-AR61</f>
        <v/>
      </c>
      <c r="AS65" s="823">
        <f>AS13-AS61</f>
        <v/>
      </c>
      <c r="AT65" s="823">
        <f>AT13-AT61</f>
        <v/>
      </c>
      <c r="AU65" s="823">
        <f>AU13-AU61</f>
        <v/>
      </c>
      <c r="AV65" s="823">
        <f>AV13-AV61</f>
        <v/>
      </c>
      <c r="AW65" s="836">
        <f>AW13-AW61</f>
        <v/>
      </c>
      <c r="AX65" s="823">
        <f>AX13-AX61</f>
        <v/>
      </c>
      <c r="AY65" s="836">
        <f>AY13-AY61</f>
        <v/>
      </c>
      <c r="AZ65" s="823">
        <f>AZ13-AZ61</f>
        <v/>
      </c>
      <c r="BA65" s="823">
        <f>BA13-BA61</f>
        <v/>
      </c>
      <c r="BB65" s="823">
        <f>BB13-BB61</f>
        <v/>
      </c>
      <c r="BC65" s="823">
        <f>BC13-BC61</f>
        <v/>
      </c>
      <c r="BD65" s="823">
        <f>BD13-BD61</f>
        <v/>
      </c>
      <c r="BE65" s="823">
        <f>BE13-BE61</f>
        <v/>
      </c>
      <c r="BF65" s="823">
        <f>BF13-BF61</f>
        <v/>
      </c>
      <c r="BG65" s="823">
        <f>BG13-BG61</f>
        <v/>
      </c>
      <c r="BH65" s="823">
        <f>BH13-BH61</f>
        <v/>
      </c>
      <c r="BI65" s="823">
        <f>BI13-BI61</f>
        <v/>
      </c>
      <c r="BJ65" s="823">
        <f>BJ13-BJ61</f>
        <v/>
      </c>
      <c r="BK65" s="836">
        <f>BK13-BK61</f>
        <v/>
      </c>
      <c r="BL65" s="823">
        <f>BL13-BL61</f>
        <v/>
      </c>
      <c r="BM65" s="823">
        <f>BM13-BM61</f>
        <v/>
      </c>
      <c r="BN65" s="823">
        <f>BN13-BN61</f>
        <v/>
      </c>
      <c r="BO65" s="823">
        <f>BO13-BO61</f>
        <v/>
      </c>
      <c r="BP65" s="823">
        <f>BP13-BP61</f>
        <v/>
      </c>
      <c r="BQ65" s="823">
        <f>BQ13-BQ61</f>
        <v/>
      </c>
      <c r="BR65" s="823">
        <f>BR13-BR61</f>
        <v/>
      </c>
      <c r="BS65" s="823">
        <f>BS13-BS61</f>
        <v/>
      </c>
      <c r="BT65" s="823">
        <f>BT13-BT61</f>
        <v/>
      </c>
      <c r="BU65" s="823">
        <f>BU13-BU61</f>
        <v/>
      </c>
      <c r="BV65" s="823">
        <f>BV13-BV61</f>
        <v/>
      </c>
      <c r="BW65" s="836">
        <f>BW13-BW61</f>
        <v/>
      </c>
      <c r="BX65" s="823">
        <f>BX13-BX61</f>
        <v/>
      </c>
      <c r="BY65" s="823">
        <f>BY13-BY61</f>
        <v/>
      </c>
      <c r="BZ65" s="823">
        <f>BZ13-BZ61</f>
        <v/>
      </c>
      <c r="CA65" s="823">
        <f>CA13-CA61</f>
        <v/>
      </c>
      <c r="CB65" s="823">
        <f>CB13-CB61</f>
        <v/>
      </c>
      <c r="CC65" s="823">
        <f>CC13-CC61</f>
        <v/>
      </c>
      <c r="CD65" s="823">
        <f>CD13-CD61</f>
        <v/>
      </c>
      <c r="CE65" s="823">
        <f>CE13-CE61</f>
        <v/>
      </c>
      <c r="CF65" s="823">
        <f>CF13-CF61</f>
        <v/>
      </c>
      <c r="CG65" s="823">
        <f>CG13-CG61</f>
        <v/>
      </c>
      <c r="CH65" s="823">
        <f>CH13-CH61</f>
        <v/>
      </c>
      <c r="CI65" s="836">
        <f>CI13-CI61</f>
        <v/>
      </c>
      <c r="CJ65" s="823">
        <f>CJ13-CJ61</f>
        <v/>
      </c>
      <c r="CK65" s="823">
        <f>CK13-CK61</f>
        <v/>
      </c>
      <c r="CL65" s="823">
        <f>CL13-CL61</f>
        <v/>
      </c>
      <c r="CM65" s="823">
        <f>CM13-CM61</f>
        <v/>
      </c>
      <c r="CN65" s="823">
        <f>CN13-CN61</f>
        <v/>
      </c>
      <c r="CO65" s="823">
        <f>CO13-CO61</f>
        <v/>
      </c>
      <c r="CP65" s="823">
        <f>CP13-CP61</f>
        <v/>
      </c>
      <c r="CQ65" s="823">
        <f>CQ13-CQ61</f>
        <v/>
      </c>
      <c r="CR65" s="823">
        <f>CR13-CR61</f>
        <v/>
      </c>
      <c r="CS65" s="823">
        <f>CS13-CS61</f>
        <v/>
      </c>
      <c r="CT65" s="823">
        <f>CT13-CT61</f>
        <v/>
      </c>
      <c r="CU65" s="836">
        <f>CU13-CU61</f>
        <v/>
      </c>
      <c r="CV65" s="823">
        <f>CV13-CV61</f>
        <v/>
      </c>
      <c r="CW65" s="823">
        <f>CW13-CW61</f>
        <v/>
      </c>
      <c r="CX65" s="823">
        <f>CX13-CX61</f>
        <v/>
      </c>
      <c r="CY65" s="823">
        <f>CY13-CY61</f>
        <v/>
      </c>
      <c r="CZ65" s="823">
        <f>CZ13-CZ61</f>
        <v/>
      </c>
      <c r="DA65" s="823">
        <f>DA13-DA61</f>
        <v/>
      </c>
      <c r="DB65" s="823">
        <f>DB13-DB61</f>
        <v/>
      </c>
      <c r="DC65" s="823">
        <f>DC13-DC61</f>
        <v/>
      </c>
      <c r="DD65" s="823">
        <f>DD13-DD61</f>
        <v/>
      </c>
      <c r="DE65" s="823">
        <f>DE13-DE61</f>
        <v/>
      </c>
      <c r="DF65" s="823">
        <f>DF13-DF61</f>
        <v/>
      </c>
      <c r="DG65" s="823">
        <f>DG13-DG61</f>
        <v/>
      </c>
    </row>
    <row r="66" customFormat="1" s="925">
      <c r="A66" s="236" t="n"/>
      <c r="B66" s="237" t="n"/>
      <c r="C66" s="237" t="inlineStr">
        <is>
          <t>GP%</t>
        </is>
      </c>
      <c r="W66" s="926" t="n"/>
      <c r="X66" s="926" t="n"/>
      <c r="Y66" s="926" t="n"/>
      <c r="Z66" s="926" t="n"/>
      <c r="AA66" s="926" t="n"/>
      <c r="AB66" s="926">
        <f>+AB65/AB13</f>
        <v/>
      </c>
      <c r="AC66" s="926">
        <f>+AC65/AC13</f>
        <v/>
      </c>
      <c r="AD66" s="926">
        <f>+AD65/AD13</f>
        <v/>
      </c>
      <c r="AE66" s="926">
        <f>+AE65/AE13</f>
        <v/>
      </c>
      <c r="AF66" s="926">
        <f>+AF65/AF13</f>
        <v/>
      </c>
      <c r="AG66" s="926">
        <f>+AG65/AG13</f>
        <v/>
      </c>
      <c r="AH66" s="926">
        <f>+AH65/AH13</f>
        <v/>
      </c>
      <c r="AI66" s="926">
        <f>+AI65/AI13</f>
        <v/>
      </c>
      <c r="AJ66" s="926">
        <f>+AJ65/AJ13</f>
        <v/>
      </c>
      <c r="AK66" s="926">
        <f>+AK65/AK13</f>
        <v/>
      </c>
      <c r="AL66" s="926">
        <f>+AL65/AL13</f>
        <v/>
      </c>
      <c r="AM66" s="926">
        <f>+AM65/AM13</f>
        <v/>
      </c>
      <c r="AN66" s="926">
        <f>+AN65/AN13</f>
        <v/>
      </c>
      <c r="AO66" s="926">
        <f>+AO65/AO13</f>
        <v/>
      </c>
      <c r="AP66" s="926">
        <f>+AP65/AP13</f>
        <v/>
      </c>
      <c r="AQ66" s="926">
        <f>+AQ65/AQ13</f>
        <v/>
      </c>
      <c r="AR66" s="926">
        <f>+AR65/AR13</f>
        <v/>
      </c>
      <c r="AS66" s="926">
        <f>+AS65/AS13</f>
        <v/>
      </c>
      <c r="AT66" s="926">
        <f>+AT65/AT13</f>
        <v/>
      </c>
      <c r="AU66" s="926">
        <f>+AU65/AU13</f>
        <v/>
      </c>
      <c r="AV66" s="926">
        <f>+AV65/AV13</f>
        <v/>
      </c>
      <c r="AW66" s="927">
        <f>+AW65/AW13</f>
        <v/>
      </c>
      <c r="AX66" s="928">
        <f>+AX65/AX13</f>
        <v/>
      </c>
      <c r="AY66" s="927">
        <f>+AY65/AY13</f>
        <v/>
      </c>
      <c r="AZ66" s="926">
        <f>+AZ65/AZ13</f>
        <v/>
      </c>
      <c r="BA66" s="926">
        <f>+BA65/BA13</f>
        <v/>
      </c>
      <c r="BB66" s="926">
        <f>+BB65/BB13</f>
        <v/>
      </c>
      <c r="BC66" s="926">
        <f>+BC65/BC13</f>
        <v/>
      </c>
      <c r="BD66" s="926">
        <f>+BD65/BD13</f>
        <v/>
      </c>
      <c r="BE66" s="926">
        <f>+BE65/BE13</f>
        <v/>
      </c>
      <c r="BF66" s="926">
        <f>+BF65/BF13</f>
        <v/>
      </c>
      <c r="BG66" s="926">
        <f>+BG65/BG13</f>
        <v/>
      </c>
      <c r="BH66" s="926">
        <f>+BH65/BH13</f>
        <v/>
      </c>
      <c r="BI66" s="926">
        <f>+BI65/BI13</f>
        <v/>
      </c>
      <c r="BJ66" s="926">
        <f>+BJ65/BJ13</f>
        <v/>
      </c>
      <c r="BK66" s="927">
        <f>+BK65/BK13</f>
        <v/>
      </c>
      <c r="BL66" s="926">
        <f>+BL65/BL13</f>
        <v/>
      </c>
      <c r="BM66" s="926">
        <f>+BM65/BM13</f>
        <v/>
      </c>
      <c r="BN66" s="926">
        <f>+BN65/BN13</f>
        <v/>
      </c>
      <c r="BO66" s="926">
        <f>+BO65/BO13</f>
        <v/>
      </c>
      <c r="BP66" s="926">
        <f>+BP65/BP13</f>
        <v/>
      </c>
      <c r="BQ66" s="926">
        <f>+BQ65/BQ13</f>
        <v/>
      </c>
      <c r="BR66" s="926">
        <f>+BR65/BR13</f>
        <v/>
      </c>
      <c r="BS66" s="926">
        <f>+BS65/BS13</f>
        <v/>
      </c>
      <c r="BT66" s="926">
        <f>+BT65/BT13</f>
        <v/>
      </c>
      <c r="BU66" s="926">
        <f>+BU65/BU13</f>
        <v/>
      </c>
      <c r="BV66" s="926">
        <f>+BV65/BV13</f>
        <v/>
      </c>
      <c r="BW66" s="927">
        <f>+BW65/BW13</f>
        <v/>
      </c>
      <c r="BX66" s="926">
        <f>+BX65/BX13</f>
        <v/>
      </c>
      <c r="BY66" s="926">
        <f>+BY65/BY13</f>
        <v/>
      </c>
      <c r="BZ66" s="926">
        <f>+BZ65/BZ13</f>
        <v/>
      </c>
      <c r="CA66" s="926">
        <f>+CA65/CA13</f>
        <v/>
      </c>
      <c r="CB66" s="926">
        <f>+CB65/CB13</f>
        <v/>
      </c>
      <c r="CC66" s="926">
        <f>+CC65/CC13</f>
        <v/>
      </c>
      <c r="CD66" s="926">
        <f>+CD65/CD13</f>
        <v/>
      </c>
      <c r="CE66" s="926">
        <f>+CE65/CE13</f>
        <v/>
      </c>
      <c r="CF66" s="926">
        <f>+CF65/CF13</f>
        <v/>
      </c>
      <c r="CG66" s="926">
        <f>+CG65/CG13</f>
        <v/>
      </c>
      <c r="CH66" s="926">
        <f>+CH65/CH13</f>
        <v/>
      </c>
      <c r="CI66" s="927">
        <f>+CI65/CI13</f>
        <v/>
      </c>
      <c r="CJ66" s="926">
        <f>+CJ65/CJ13</f>
        <v/>
      </c>
      <c r="CK66" s="926">
        <f>+CK65/CK13</f>
        <v/>
      </c>
      <c r="CL66" s="926">
        <f>+CL65/CL13</f>
        <v/>
      </c>
      <c r="CM66" s="926">
        <f>+CM65/CM13</f>
        <v/>
      </c>
      <c r="CN66" s="926">
        <f>+CN65/CN13</f>
        <v/>
      </c>
      <c r="CO66" s="926">
        <f>+CO65/CO13</f>
        <v/>
      </c>
      <c r="CP66" s="926">
        <f>+CP65/CP13</f>
        <v/>
      </c>
      <c r="CQ66" s="926">
        <f>+CQ65/CQ13</f>
        <v/>
      </c>
      <c r="CR66" s="926">
        <f>+CR65/CR13</f>
        <v/>
      </c>
      <c r="CS66" s="926">
        <f>+CS65/CS13</f>
        <v/>
      </c>
      <c r="CT66" s="926">
        <f>+CT65/CT13</f>
        <v/>
      </c>
      <c r="CU66" s="927">
        <f>+CU65/CU13</f>
        <v/>
      </c>
      <c r="CV66" s="926">
        <f>+CV65/CV13</f>
        <v/>
      </c>
      <c r="CW66" s="926">
        <f>+CW65/CW13</f>
        <v/>
      </c>
      <c r="CX66" s="926">
        <f>+CX65/CX13</f>
        <v/>
      </c>
      <c r="CY66" s="926">
        <f>+CY65/CY13</f>
        <v/>
      </c>
      <c r="CZ66" s="926">
        <f>+CZ65/CZ13</f>
        <v/>
      </c>
      <c r="DA66" s="926">
        <f>+DA65/DA13</f>
        <v/>
      </c>
      <c r="DB66" s="926">
        <f>+DB65/DB13</f>
        <v/>
      </c>
      <c r="DC66" s="926">
        <f>+DC65/DC13</f>
        <v/>
      </c>
      <c r="DD66" s="926">
        <f>+DD65/DD13</f>
        <v/>
      </c>
      <c r="DE66" s="926">
        <f>+DE65/DE13</f>
        <v/>
      </c>
      <c r="DF66" s="926">
        <f>+DF65/DF13</f>
        <v/>
      </c>
      <c r="DG66" s="926">
        <f>+DG65/DG13</f>
        <v/>
      </c>
    </row>
    <row r="67" customFormat="1" s="823">
      <c r="B67" s="1" t="inlineStr">
        <is>
          <t>Expenses</t>
        </is>
      </c>
      <c r="C67" s="1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574" t="n"/>
      <c r="AY67" s="243" t="n"/>
      <c r="BK67" s="243" t="n"/>
      <c r="BW67" s="243" t="n"/>
      <c r="CI67" s="243" t="n"/>
      <c r="CU67" s="243" t="n"/>
    </row>
    <row r="68">
      <c r="B68" s="1" t="inlineStr">
        <is>
          <t xml:space="preserve">   Owner Salary</t>
        </is>
      </c>
      <c r="C68" s="1" t="n"/>
      <c r="D68" s="111" t="n"/>
      <c r="E68" s="273" t="n"/>
      <c r="F68" s="273" t="n"/>
      <c r="G68" s="273" t="n"/>
      <c r="H68" s="273" t="n"/>
      <c r="I68" s="273" t="n"/>
      <c r="J68" s="273" t="n"/>
      <c r="K68" s="273" t="n"/>
      <c r="L68" s="273" t="n"/>
      <c r="M68" s="273" t="n"/>
      <c r="N68" s="273" t="n"/>
      <c r="O68" s="273" t="n"/>
      <c r="P68" s="273" t="n"/>
      <c r="Q68" s="273" t="n"/>
      <c r="R68" s="273" t="n"/>
      <c r="S68" s="273" t="n"/>
      <c r="T68" s="273" t="n"/>
      <c r="U68" s="273" t="n"/>
      <c r="V68" s="273" t="n"/>
      <c r="W68" s="273" t="n"/>
      <c r="X68" s="273" t="n"/>
      <c r="Y68" s="273" t="n"/>
      <c r="Z68" s="273" t="n"/>
      <c r="AA68" s="273" t="n"/>
      <c r="AB68" s="273" t="n"/>
      <c r="AC68" s="273" t="n"/>
      <c r="AD68" s="273" t="n"/>
      <c r="AE68" s="273" t="n"/>
      <c r="AF68" s="273" t="n"/>
      <c r="AG68" s="273" t="n"/>
      <c r="AH68" s="273" t="n"/>
      <c r="AI68" s="273" t="n"/>
      <c r="AJ68" s="273" t="n"/>
      <c r="AK68" s="273" t="n"/>
      <c r="AL68" s="273" t="n"/>
      <c r="AM68" s="273" t="n"/>
      <c r="AN68" s="273" t="n"/>
      <c r="AO68" s="273" t="n">
        <v>1300</v>
      </c>
      <c r="AP68" s="273" t="n">
        <v>1430</v>
      </c>
      <c r="AQ68" s="273" t="n">
        <v>1950</v>
      </c>
      <c r="AR68" s="273" t="n">
        <v>1365</v>
      </c>
      <c r="AS68" s="273" t="n">
        <v>650</v>
      </c>
      <c r="AT68" s="273" t="n">
        <v>650</v>
      </c>
      <c r="AU68" s="273" t="n">
        <v>715</v>
      </c>
      <c r="AV68" s="273" t="n">
        <v>438.75</v>
      </c>
      <c r="AW68" s="274" t="n">
        <v>650</v>
      </c>
      <c r="AX68" s="610">
        <f>+'People Plan'!Y18</f>
        <v/>
      </c>
      <c r="AY68" s="274">
        <f>+'People Plan'!Z18</f>
        <v/>
      </c>
      <c r="AZ68" s="273">
        <f>+'People Plan'!AA18</f>
        <v/>
      </c>
      <c r="BA68" s="273">
        <f>+'People Plan'!AB18</f>
        <v/>
      </c>
      <c r="BB68" s="273">
        <f>+'People Plan'!AC18</f>
        <v/>
      </c>
      <c r="BC68" s="273">
        <f>+'People Plan'!AD18</f>
        <v/>
      </c>
      <c r="BD68" s="273">
        <f>+'People Plan'!AE18</f>
        <v/>
      </c>
      <c r="BE68" s="273">
        <f>+'People Plan'!AF18</f>
        <v/>
      </c>
      <c r="BF68" s="273">
        <f>+'People Plan'!AG18</f>
        <v/>
      </c>
      <c r="BG68" s="273">
        <f>+'People Plan'!AH18</f>
        <v/>
      </c>
      <c r="BH68" s="273">
        <f>+'People Plan'!AI18</f>
        <v/>
      </c>
      <c r="BI68" s="273">
        <f>+'People Plan'!AJ18</f>
        <v/>
      </c>
      <c r="BJ68" s="273">
        <f>+'People Plan'!AK18</f>
        <v/>
      </c>
      <c r="BK68" s="274">
        <f>+'People Plan'!AL18</f>
        <v/>
      </c>
      <c r="BL68" s="273">
        <f>+'People Plan'!AM18</f>
        <v/>
      </c>
      <c r="BM68" s="273">
        <f>+'People Plan'!AN18</f>
        <v/>
      </c>
      <c r="BN68" s="273">
        <f>+'People Plan'!AO18</f>
        <v/>
      </c>
      <c r="BO68" s="273">
        <f>+'People Plan'!AP18</f>
        <v/>
      </c>
      <c r="BP68" s="273">
        <f>+'People Plan'!AQ18</f>
        <v/>
      </c>
      <c r="BQ68" s="273">
        <f>+'People Plan'!AR18</f>
        <v/>
      </c>
      <c r="BR68" s="273">
        <f>+'People Plan'!AS18</f>
        <v/>
      </c>
      <c r="BS68" s="273">
        <f>+'People Plan'!AT18</f>
        <v/>
      </c>
      <c r="BT68" s="273">
        <f>+'People Plan'!AU18</f>
        <v/>
      </c>
      <c r="BU68" s="273">
        <f>+'People Plan'!AV18</f>
        <v/>
      </c>
      <c r="BV68" s="273">
        <f>+'People Plan'!AW18</f>
        <v/>
      </c>
      <c r="BW68" s="274">
        <f>+'People Plan'!AX18</f>
        <v/>
      </c>
      <c r="BX68" s="273">
        <f>+'People Plan'!AY18</f>
        <v/>
      </c>
      <c r="BY68" s="273">
        <f>+'People Plan'!AZ18</f>
        <v/>
      </c>
      <c r="BZ68" s="273">
        <f>+'People Plan'!BA18</f>
        <v/>
      </c>
      <c r="CA68" s="273">
        <f>+'People Plan'!BB18</f>
        <v/>
      </c>
      <c r="CB68" s="273">
        <f>+'People Plan'!BC18</f>
        <v/>
      </c>
      <c r="CC68" s="273">
        <f>+'People Plan'!BD18</f>
        <v/>
      </c>
      <c r="CD68" s="273">
        <f>+'People Plan'!BE18</f>
        <v/>
      </c>
      <c r="CE68" s="273">
        <f>+'People Plan'!BF18</f>
        <v/>
      </c>
      <c r="CF68" s="273">
        <f>+'People Plan'!BG18</f>
        <v/>
      </c>
      <c r="CG68" s="273">
        <f>+'People Plan'!BH18</f>
        <v/>
      </c>
      <c r="CH68" s="273">
        <f>+'People Plan'!BI18</f>
        <v/>
      </c>
      <c r="CI68" s="274">
        <f>+'People Plan'!BJ18</f>
        <v/>
      </c>
      <c r="CJ68" s="273">
        <f>+'People Plan'!BK18</f>
        <v/>
      </c>
      <c r="CK68" s="273">
        <f>+'People Plan'!BL18</f>
        <v/>
      </c>
      <c r="CL68" s="273">
        <f>+'People Plan'!BM18</f>
        <v/>
      </c>
      <c r="CM68" s="273">
        <f>+'People Plan'!BN18</f>
        <v/>
      </c>
      <c r="CN68" s="273">
        <f>+'People Plan'!BO18</f>
        <v/>
      </c>
      <c r="CO68" s="273">
        <f>+'People Plan'!BP18</f>
        <v/>
      </c>
      <c r="CP68" s="273">
        <f>+'People Plan'!BQ18</f>
        <v/>
      </c>
      <c r="CQ68" s="273">
        <f>+'People Plan'!BR18</f>
        <v/>
      </c>
      <c r="CR68" s="273">
        <f>+'People Plan'!BS18</f>
        <v/>
      </c>
      <c r="CS68" s="273">
        <f>+'People Plan'!BT18</f>
        <v/>
      </c>
      <c r="CT68" s="273">
        <f>+'People Plan'!BU18</f>
        <v/>
      </c>
      <c r="CU68" s="274">
        <f>+'People Plan'!BV18</f>
        <v/>
      </c>
      <c r="CV68" s="273">
        <f>+'People Plan'!BW18</f>
        <v/>
      </c>
      <c r="CW68" s="273">
        <f>+'People Plan'!BX18</f>
        <v/>
      </c>
      <c r="CX68" s="273">
        <f>+'People Plan'!BY18</f>
        <v/>
      </c>
      <c r="CY68" s="273">
        <f>+'People Plan'!BZ18</f>
        <v/>
      </c>
      <c r="CZ68" s="273">
        <f>+'People Plan'!CA18</f>
        <v/>
      </c>
      <c r="DA68" s="273">
        <f>+'People Plan'!CB18</f>
        <v/>
      </c>
      <c r="DB68" s="273">
        <f>+'People Plan'!CC18</f>
        <v/>
      </c>
      <c r="DC68" s="273">
        <f>+'People Plan'!CD18</f>
        <v/>
      </c>
      <c r="DD68" s="273">
        <f>+'People Plan'!CE18</f>
        <v/>
      </c>
      <c r="DE68" s="273">
        <f>+'People Plan'!CF18</f>
        <v/>
      </c>
      <c r="DF68" s="273">
        <f>+'People Plan'!CG18</f>
        <v/>
      </c>
      <c r="DG68" s="273">
        <f>+'People Plan'!CH18</f>
        <v/>
      </c>
    </row>
    <row r="69">
      <c r="B69" s="1" t="inlineStr">
        <is>
          <t xml:space="preserve">     Owner Payroll Taxes</t>
        </is>
      </c>
      <c r="C69" s="1" t="n"/>
      <c r="D69" s="111" t="n"/>
      <c r="E69" s="111" t="n"/>
      <c r="F69" s="111" t="n"/>
      <c r="G69" s="111" t="n"/>
      <c r="H69" s="111" t="n"/>
      <c r="I69" s="111" t="n"/>
      <c r="J69" s="111" t="n"/>
      <c r="K69" s="111" t="n"/>
      <c r="L69" s="111" t="n"/>
      <c r="M69" s="111" t="n"/>
      <c r="N69" s="111" t="n"/>
      <c r="O69" s="111" t="n"/>
      <c r="P69" s="111" t="n"/>
      <c r="Q69" s="111" t="n"/>
      <c r="R69" s="111" t="n"/>
      <c r="S69" s="111" t="n"/>
      <c r="T69" s="111" t="n"/>
      <c r="U69" s="111" t="n"/>
      <c r="V69" s="111" t="n"/>
      <c r="W69" s="111" t="n"/>
      <c r="X69" s="111" t="n"/>
      <c r="Y69" s="111" t="n"/>
      <c r="Z69" s="111" t="n"/>
      <c r="AA69" s="111" t="n"/>
      <c r="AB69" s="111" t="n"/>
      <c r="AC69" s="111" t="n"/>
      <c r="AD69" s="111" t="n"/>
      <c r="AE69" s="111" t="n"/>
      <c r="AF69" s="111" t="n"/>
      <c r="AG69" s="111" t="n"/>
      <c r="AH69" s="111" t="n"/>
      <c r="AI69" s="111" t="n"/>
      <c r="AJ69" s="111" t="n"/>
      <c r="AK69" s="111" t="n"/>
      <c r="AL69" s="111" t="n"/>
      <c r="AM69" s="111" t="n"/>
      <c r="AN69" s="111" t="n"/>
      <c r="AO69" s="111" t="n">
        <v>117.31</v>
      </c>
      <c r="AP69" s="111" t="n">
        <v>90.58</v>
      </c>
      <c r="AQ69" s="111" t="n">
        <v>146.47</v>
      </c>
      <c r="AR69" s="111" t="n">
        <v>85.27</v>
      </c>
      <c r="AS69" s="111" t="n">
        <v>15.88</v>
      </c>
      <c r="AT69" s="111" t="n">
        <v>65.98</v>
      </c>
      <c r="AU69" s="111" t="n">
        <v>61.61</v>
      </c>
      <c r="AV69" s="111" t="n">
        <v>33.57</v>
      </c>
      <c r="AW69" s="244" t="n">
        <v>49.74</v>
      </c>
      <c r="AX69" s="611">
        <f>+AX68*AX72</f>
        <v/>
      </c>
      <c r="AY69" s="244">
        <f>+AY68*AY72</f>
        <v/>
      </c>
      <c r="AZ69" s="111">
        <f>+AZ68*AZ72</f>
        <v/>
      </c>
      <c r="BA69" s="111">
        <f>+BA68*BA72</f>
        <v/>
      </c>
      <c r="BB69" s="111">
        <f>+BB68*BB72</f>
        <v/>
      </c>
      <c r="BC69" s="111">
        <f>+BC68*BC72</f>
        <v/>
      </c>
      <c r="BD69" s="111">
        <f>+BD68*BD72</f>
        <v/>
      </c>
      <c r="BE69" s="111">
        <f>+BE68*BE72</f>
        <v/>
      </c>
      <c r="BF69" s="111">
        <f>+BF68*BF72</f>
        <v/>
      </c>
      <c r="BG69" s="111">
        <f>+BG68*BG72</f>
        <v/>
      </c>
      <c r="BH69" s="111">
        <f>+BH68*BH72</f>
        <v/>
      </c>
      <c r="BI69" s="111">
        <f>+BI68*BI72</f>
        <v/>
      </c>
      <c r="BJ69" s="111">
        <f>+BJ68*BJ72</f>
        <v/>
      </c>
      <c r="BK69" s="244">
        <f>+BK68*BK72</f>
        <v/>
      </c>
      <c r="BL69" s="111">
        <f>+BL68*BL72</f>
        <v/>
      </c>
      <c r="BM69" s="111">
        <f>+BM68*BM72</f>
        <v/>
      </c>
      <c r="BN69" s="111">
        <f>+BN68*BN72</f>
        <v/>
      </c>
      <c r="BO69" s="111">
        <f>+BO68*BO72</f>
        <v/>
      </c>
      <c r="BP69" s="111">
        <f>+BP68*BP72</f>
        <v/>
      </c>
      <c r="BQ69" s="111">
        <f>+BQ68*BQ72</f>
        <v/>
      </c>
      <c r="BR69" s="111">
        <f>+BR68*BR72</f>
        <v/>
      </c>
      <c r="BS69" s="111">
        <f>+BS68*BS72</f>
        <v/>
      </c>
      <c r="BT69" s="111">
        <f>+BT68*BT72</f>
        <v/>
      </c>
      <c r="BU69" s="111">
        <f>+BU68*BU72</f>
        <v/>
      </c>
      <c r="BV69" s="111">
        <f>+BV68*BV72</f>
        <v/>
      </c>
      <c r="BW69" s="244">
        <f>+BW68*BW72</f>
        <v/>
      </c>
      <c r="BX69" s="111">
        <f>+BX68*BX72</f>
        <v/>
      </c>
      <c r="BY69" s="111">
        <f>+BY68*BY72</f>
        <v/>
      </c>
      <c r="BZ69" s="111">
        <f>+BZ68*BZ72</f>
        <v/>
      </c>
      <c r="CA69" s="111">
        <f>+CA68*CA72</f>
        <v/>
      </c>
      <c r="CB69" s="111">
        <f>+CB68*CB72</f>
        <v/>
      </c>
      <c r="CC69" s="111">
        <f>+CC68*CC72</f>
        <v/>
      </c>
      <c r="CD69" s="111">
        <f>+CD68*CD72</f>
        <v/>
      </c>
      <c r="CE69" s="111">
        <f>+CE68*CE72</f>
        <v/>
      </c>
      <c r="CF69" s="111">
        <f>+CF68*CF72</f>
        <v/>
      </c>
      <c r="CG69" s="111">
        <f>+CG68*CG72</f>
        <v/>
      </c>
      <c r="CH69" s="111">
        <f>+CH68*CH72</f>
        <v/>
      </c>
      <c r="CI69" s="244">
        <f>+CI68*CI72</f>
        <v/>
      </c>
      <c r="CJ69" s="111">
        <f>+CJ68*CJ72</f>
        <v/>
      </c>
      <c r="CK69" s="111">
        <f>+CK68*CK72</f>
        <v/>
      </c>
      <c r="CL69" s="111">
        <f>+CL68*CL72</f>
        <v/>
      </c>
      <c r="CM69" s="111">
        <f>+CM68*CM72</f>
        <v/>
      </c>
      <c r="CN69" s="111">
        <f>+CN68*CN72</f>
        <v/>
      </c>
      <c r="CO69" s="111">
        <f>+CO68*CO72</f>
        <v/>
      </c>
      <c r="CP69" s="111">
        <f>+CP68*CP72</f>
        <v/>
      </c>
      <c r="CQ69" s="111">
        <f>+CQ68*CQ72</f>
        <v/>
      </c>
      <c r="CR69" s="111">
        <f>+CR68*CR72</f>
        <v/>
      </c>
      <c r="CS69" s="111">
        <f>+CS68*CS72</f>
        <v/>
      </c>
      <c r="CT69" s="111">
        <f>+CT68*CT72</f>
        <v/>
      </c>
      <c r="CU69" s="244">
        <f>+CU68*CU72</f>
        <v/>
      </c>
      <c r="CV69" s="111">
        <f>+CV68*CV72</f>
        <v/>
      </c>
      <c r="CW69" s="111">
        <f>+CW68*CW72</f>
        <v/>
      </c>
      <c r="CX69" s="111">
        <f>+CX68*CX72</f>
        <v/>
      </c>
      <c r="CY69" s="111">
        <f>+CY68*CY72</f>
        <v/>
      </c>
      <c r="CZ69" s="111">
        <f>+CZ68*CZ72</f>
        <v/>
      </c>
      <c r="DA69" s="111">
        <f>+DA68*DA72</f>
        <v/>
      </c>
      <c r="DB69" s="111">
        <f>+DB68*DB72</f>
        <v/>
      </c>
      <c r="DC69" s="111">
        <f>+DC68*DC72</f>
        <v/>
      </c>
      <c r="DD69" s="111">
        <f>+DD68*DD72</f>
        <v/>
      </c>
      <c r="DE69" s="111">
        <f>+DE68*DE72</f>
        <v/>
      </c>
      <c r="DF69" s="111">
        <f>+DF68*DF72</f>
        <v/>
      </c>
      <c r="DG69" s="111">
        <f>+DG68*DG72</f>
        <v/>
      </c>
    </row>
    <row r="70">
      <c r="B70" s="1" t="inlineStr">
        <is>
          <t xml:space="preserve">     Owner Benefits</t>
        </is>
      </c>
      <c r="C70" s="1" t="n"/>
      <c r="D70" s="111" t="n"/>
      <c r="E70" s="111" t="n"/>
      <c r="F70" s="111" t="n"/>
      <c r="G70" s="111" t="n"/>
      <c r="H70" s="111" t="n"/>
      <c r="I70" s="111" t="n"/>
      <c r="J70" s="111" t="n"/>
      <c r="K70" s="111" t="n"/>
      <c r="L70" s="111" t="n"/>
      <c r="M70" s="111" t="n"/>
      <c r="N70" s="111" t="n"/>
      <c r="O70" s="111" t="n"/>
      <c r="P70" s="111" t="n"/>
      <c r="Q70" s="111" t="n"/>
      <c r="R70" s="111" t="n"/>
      <c r="S70" s="111" t="n"/>
      <c r="T70" s="111" t="n"/>
      <c r="U70" s="111" t="n"/>
      <c r="V70" s="111" t="n"/>
      <c r="W70" s="111" t="n"/>
      <c r="X70" s="111" t="n"/>
      <c r="Y70" s="111" t="n"/>
      <c r="Z70" s="111" t="n"/>
      <c r="AA70" s="111" t="n"/>
      <c r="AB70" s="111" t="n"/>
      <c r="AC70" s="111" t="n"/>
      <c r="AD70" s="111" t="n"/>
      <c r="AE70" s="111" t="n"/>
      <c r="AF70" s="111" t="n"/>
      <c r="AG70" s="111" t="n"/>
      <c r="AH70" s="111" t="n"/>
      <c r="AI70" s="111" t="n"/>
      <c r="AJ70" s="111" t="n"/>
      <c r="AK70" s="111" t="n"/>
      <c r="AL70" s="111" t="n"/>
      <c r="AM70" s="111" t="n"/>
      <c r="AN70" s="111" t="n"/>
      <c r="AO70" s="111" t="n"/>
      <c r="AP70" s="111" t="n"/>
      <c r="AQ70" s="111" t="n">
        <v>500</v>
      </c>
      <c r="AR70" s="111" t="n">
        <v>500</v>
      </c>
      <c r="AS70" s="111" t="n">
        <v>500</v>
      </c>
      <c r="AT70" s="111" t="n">
        <v>500</v>
      </c>
      <c r="AU70" s="111" t="n">
        <v>500</v>
      </c>
      <c r="AV70" s="111" t="n">
        <v>500</v>
      </c>
      <c r="AW70" s="244" t="n">
        <v>500</v>
      </c>
      <c r="AX70" s="611">
        <f>+AW70</f>
        <v/>
      </c>
      <c r="AY70" s="244">
        <f>+AX70</f>
        <v/>
      </c>
      <c r="AZ70" s="111">
        <f>+AY70</f>
        <v/>
      </c>
      <c r="BA70" s="111">
        <f>+AZ70</f>
        <v/>
      </c>
      <c r="BB70" s="111">
        <f>+BA70</f>
        <v/>
      </c>
      <c r="BC70" s="111">
        <f>+BB70</f>
        <v/>
      </c>
      <c r="BD70" s="111">
        <f>+BC70</f>
        <v/>
      </c>
      <c r="BE70" s="111">
        <f>+BD70</f>
        <v/>
      </c>
      <c r="BF70" s="111">
        <f>+BE70</f>
        <v/>
      </c>
      <c r="BG70" s="111">
        <f>+BF70</f>
        <v/>
      </c>
      <c r="BH70" s="111">
        <f>+BG70</f>
        <v/>
      </c>
      <c r="BI70" s="111">
        <f>+BH70</f>
        <v/>
      </c>
      <c r="BJ70" s="111">
        <f>+BI70</f>
        <v/>
      </c>
      <c r="BK70" s="244">
        <f>+BJ70</f>
        <v/>
      </c>
      <c r="BL70" s="111">
        <f>+BK70</f>
        <v/>
      </c>
      <c r="BM70" s="111">
        <f>+BL70</f>
        <v/>
      </c>
      <c r="BN70" s="111">
        <f>+BM70</f>
        <v/>
      </c>
      <c r="BO70" s="111">
        <f>+BN70</f>
        <v/>
      </c>
      <c r="BP70" s="111">
        <f>+BO70</f>
        <v/>
      </c>
      <c r="BQ70" s="111">
        <f>+BP70</f>
        <v/>
      </c>
      <c r="BR70" s="111">
        <f>+BQ70</f>
        <v/>
      </c>
      <c r="BS70" s="111">
        <f>+BR70</f>
        <v/>
      </c>
      <c r="BT70" s="111">
        <f>+BS70</f>
        <v/>
      </c>
      <c r="BU70" s="111">
        <f>+BT70</f>
        <v/>
      </c>
      <c r="BV70" s="111">
        <f>+BU70</f>
        <v/>
      </c>
      <c r="BW70" s="244">
        <f>+BV70</f>
        <v/>
      </c>
      <c r="BX70" s="111">
        <f>+BW70</f>
        <v/>
      </c>
      <c r="BY70" s="111">
        <f>+BX70</f>
        <v/>
      </c>
      <c r="BZ70" s="111">
        <f>+BY70</f>
        <v/>
      </c>
      <c r="CA70" s="111">
        <f>+BZ70</f>
        <v/>
      </c>
      <c r="CB70" s="111">
        <f>+CA70</f>
        <v/>
      </c>
      <c r="CC70" s="111">
        <f>+CB70</f>
        <v/>
      </c>
      <c r="CD70" s="111">
        <f>+CC70</f>
        <v/>
      </c>
      <c r="CE70" s="111">
        <f>+CD70</f>
        <v/>
      </c>
      <c r="CF70" s="111">
        <f>+CE70</f>
        <v/>
      </c>
      <c r="CG70" s="111">
        <f>+CF70</f>
        <v/>
      </c>
      <c r="CH70" s="111">
        <f>+CG70</f>
        <v/>
      </c>
      <c r="CI70" s="244">
        <f>+CH70</f>
        <v/>
      </c>
      <c r="CJ70" s="111">
        <f>+CI70</f>
        <v/>
      </c>
      <c r="CK70" s="111">
        <f>+CJ70</f>
        <v/>
      </c>
      <c r="CL70" s="111">
        <f>+CK70</f>
        <v/>
      </c>
      <c r="CM70" s="111">
        <f>+CL70</f>
        <v/>
      </c>
      <c r="CN70" s="111">
        <f>+CM70</f>
        <v/>
      </c>
      <c r="CO70" s="111">
        <f>+CN70</f>
        <v/>
      </c>
      <c r="CP70" s="111">
        <f>+CO70</f>
        <v/>
      </c>
      <c r="CQ70" s="111">
        <f>+CP70</f>
        <v/>
      </c>
      <c r="CR70" s="111">
        <f>+CQ70</f>
        <v/>
      </c>
      <c r="CS70" s="111">
        <f>+CR70</f>
        <v/>
      </c>
      <c r="CT70" s="111">
        <f>+CS70</f>
        <v/>
      </c>
      <c r="CU70" s="244">
        <f>+CT70</f>
        <v/>
      </c>
      <c r="CV70" s="111">
        <f>+CU70</f>
        <v/>
      </c>
      <c r="CW70" s="111">
        <f>+CV70</f>
        <v/>
      </c>
      <c r="CX70" s="111">
        <f>+CW70</f>
        <v/>
      </c>
      <c r="CY70" s="111">
        <f>+CX70</f>
        <v/>
      </c>
      <c r="CZ70" s="111">
        <f>+CY70</f>
        <v/>
      </c>
      <c r="DA70" s="111">
        <f>+CZ70</f>
        <v/>
      </c>
      <c r="DB70" s="111">
        <f>+DA70</f>
        <v/>
      </c>
      <c r="DC70" s="111">
        <f>+DB70</f>
        <v/>
      </c>
      <c r="DD70" s="111">
        <f>+DC70</f>
        <v/>
      </c>
      <c r="DE70" s="111">
        <f>+DD70</f>
        <v/>
      </c>
      <c r="DF70" s="111">
        <f>+DE70</f>
        <v/>
      </c>
      <c r="DG70" s="111">
        <f>+DF70</f>
        <v/>
      </c>
    </row>
    <row r="71" customFormat="1" s="823">
      <c r="A71" s="3" t="n"/>
      <c r="B71" s="4" t="inlineStr">
        <is>
          <t>Total Owner Payroll Burden</t>
        </is>
      </c>
      <c r="C71" s="4" t="n"/>
      <c r="T71" s="823">
        <f>SUM(T68:T70)</f>
        <v/>
      </c>
      <c r="U71" s="823">
        <f>SUM(U68:U70)</f>
        <v/>
      </c>
      <c r="V71" s="823">
        <f>SUM(V68:V70)</f>
        <v/>
      </c>
      <c r="W71" s="823">
        <f>SUM(W68:W70)</f>
        <v/>
      </c>
      <c r="X71" s="823">
        <f>SUM(X68:X70)</f>
        <v/>
      </c>
      <c r="Y71" s="823">
        <f>SUM(Y68:Y70)</f>
        <v/>
      </c>
      <c r="Z71" s="823">
        <f>SUM(Z68:Z70)</f>
        <v/>
      </c>
      <c r="AA71" s="823">
        <f>SUM(AA68:AA70)</f>
        <v/>
      </c>
      <c r="AB71" s="823">
        <f>SUM(AB68:AB70)</f>
        <v/>
      </c>
      <c r="AC71" s="823">
        <f>SUM(AC68:AC70)</f>
        <v/>
      </c>
      <c r="AD71" s="823">
        <f>SUM(AD68:AD70)</f>
        <v/>
      </c>
      <c r="AE71" s="823">
        <f>SUM(AE68:AE70)</f>
        <v/>
      </c>
      <c r="AF71" s="823">
        <f>SUM(AF68:AF70)</f>
        <v/>
      </c>
      <c r="AG71" s="823">
        <f>SUM(AG68:AG70)</f>
        <v/>
      </c>
      <c r="AH71" s="823">
        <f>SUM(AH68:AH70)</f>
        <v/>
      </c>
      <c r="AI71" s="823">
        <f>SUM(AI68:AI70)</f>
        <v/>
      </c>
      <c r="AJ71" s="823">
        <f>SUM(AJ68:AJ70)</f>
        <v/>
      </c>
      <c r="AK71" s="823">
        <f>SUM(AK68:AK70)</f>
        <v/>
      </c>
      <c r="AL71" s="823">
        <f>SUM(AL68:AL70)</f>
        <v/>
      </c>
      <c r="AM71" s="823">
        <f>SUM(AM68:AM70)</f>
        <v/>
      </c>
      <c r="AN71" s="823">
        <f>SUM(AN68:AN70)</f>
        <v/>
      </c>
      <c r="AO71" s="823">
        <f>SUM(AO68:AO70)</f>
        <v/>
      </c>
      <c r="AP71" s="823">
        <f>SUM(AP68:AP70)</f>
        <v/>
      </c>
      <c r="AQ71" s="823">
        <f>SUM(AQ68:AQ70)</f>
        <v/>
      </c>
      <c r="AR71" s="823">
        <f>SUM(AR68:AR70)</f>
        <v/>
      </c>
      <c r="AS71" s="823">
        <f>SUM(AS68:AS70)</f>
        <v/>
      </c>
      <c r="AT71" s="823">
        <f>SUM(AT68:AT70)</f>
        <v/>
      </c>
      <c r="AU71" s="823">
        <f>SUM(AU68:AU70)</f>
        <v/>
      </c>
      <c r="AV71" s="823">
        <f>SUM(AV68:AV70)</f>
        <v/>
      </c>
      <c r="AW71" s="836">
        <f>SUM(AW68:AW70)</f>
        <v/>
      </c>
      <c r="AX71" s="823">
        <f>SUM(AX68:AX70)</f>
        <v/>
      </c>
      <c r="AY71" s="836">
        <f>SUM(AY68:AY70)</f>
        <v/>
      </c>
      <c r="AZ71" s="823">
        <f>SUM(AZ68:AZ70)</f>
        <v/>
      </c>
      <c r="BA71" s="823">
        <f>SUM(BA68:BA70)</f>
        <v/>
      </c>
      <c r="BB71" s="823">
        <f>SUM(BB68:BB70)</f>
        <v/>
      </c>
      <c r="BC71" s="823">
        <f>SUM(BC68:BC70)</f>
        <v/>
      </c>
      <c r="BD71" s="823">
        <f>SUM(BD68:BD70)</f>
        <v/>
      </c>
      <c r="BE71" s="823">
        <f>SUM(BE68:BE70)</f>
        <v/>
      </c>
      <c r="BF71" s="823">
        <f>SUM(BF68:BF70)</f>
        <v/>
      </c>
      <c r="BG71" s="823">
        <f>SUM(BG68:BG70)</f>
        <v/>
      </c>
      <c r="BH71" s="823">
        <f>SUM(BH68:BH70)</f>
        <v/>
      </c>
      <c r="BI71" s="823">
        <f>SUM(BI68:BI70)</f>
        <v/>
      </c>
      <c r="BJ71" s="823">
        <f>SUM(BJ68:BJ70)</f>
        <v/>
      </c>
      <c r="BK71" s="836">
        <f>SUM(BK68:BK70)</f>
        <v/>
      </c>
      <c r="BL71" s="823">
        <f>SUM(BL68:BL70)</f>
        <v/>
      </c>
      <c r="BM71" s="823">
        <f>SUM(BM68:BM70)</f>
        <v/>
      </c>
      <c r="BN71" s="823">
        <f>SUM(BN68:BN70)</f>
        <v/>
      </c>
      <c r="BO71" s="823">
        <f>SUM(BO68:BO70)</f>
        <v/>
      </c>
      <c r="BP71" s="823">
        <f>SUM(BP68:BP70)</f>
        <v/>
      </c>
      <c r="BQ71" s="823">
        <f>SUM(BQ68:BQ70)</f>
        <v/>
      </c>
      <c r="BR71" s="823">
        <f>SUM(BR68:BR70)</f>
        <v/>
      </c>
      <c r="BS71" s="823">
        <f>SUM(BS68:BS70)</f>
        <v/>
      </c>
      <c r="BT71" s="823">
        <f>SUM(BT68:BT70)</f>
        <v/>
      </c>
      <c r="BU71" s="823">
        <f>SUM(BU68:BU70)</f>
        <v/>
      </c>
      <c r="BV71" s="823">
        <f>SUM(BV68:BV70)</f>
        <v/>
      </c>
      <c r="BW71" s="836">
        <f>SUM(BW68:BW70)</f>
        <v/>
      </c>
      <c r="BX71" s="823">
        <f>SUM(BX68:BX70)</f>
        <v/>
      </c>
      <c r="BY71" s="823">
        <f>SUM(BY68:BY70)</f>
        <v/>
      </c>
      <c r="BZ71" s="823">
        <f>SUM(BZ68:BZ70)</f>
        <v/>
      </c>
      <c r="CA71" s="823">
        <f>SUM(CA68:CA70)</f>
        <v/>
      </c>
      <c r="CB71" s="823">
        <f>SUM(CB68:CB70)</f>
        <v/>
      </c>
      <c r="CC71" s="823">
        <f>SUM(CC68:CC70)</f>
        <v/>
      </c>
      <c r="CD71" s="823">
        <f>SUM(CD68:CD70)</f>
        <v/>
      </c>
      <c r="CE71" s="823">
        <f>SUM(CE68:CE70)</f>
        <v/>
      </c>
      <c r="CF71" s="823">
        <f>SUM(CF68:CF70)</f>
        <v/>
      </c>
      <c r="CG71" s="823">
        <f>SUM(CG68:CG70)</f>
        <v/>
      </c>
      <c r="CH71" s="823">
        <f>SUM(CH68:CH70)</f>
        <v/>
      </c>
      <c r="CI71" s="836">
        <f>SUM(CI68:CI70)</f>
        <v/>
      </c>
      <c r="CJ71" s="823">
        <f>SUM(CJ68:CJ70)</f>
        <v/>
      </c>
      <c r="CK71" s="823">
        <f>SUM(CK68:CK70)</f>
        <v/>
      </c>
      <c r="CL71" s="823">
        <f>SUM(CL68:CL70)</f>
        <v/>
      </c>
      <c r="CM71" s="823">
        <f>SUM(CM68:CM70)</f>
        <v/>
      </c>
      <c r="CN71" s="823">
        <f>SUM(CN68:CN70)</f>
        <v/>
      </c>
      <c r="CO71" s="823">
        <f>SUM(CO68:CO70)</f>
        <v/>
      </c>
      <c r="CP71" s="823">
        <f>SUM(CP68:CP70)</f>
        <v/>
      </c>
      <c r="CQ71" s="823">
        <f>SUM(CQ68:CQ70)</f>
        <v/>
      </c>
      <c r="CR71" s="823">
        <f>SUM(CR68:CR70)</f>
        <v/>
      </c>
      <c r="CS71" s="823">
        <f>SUM(CS68:CS70)</f>
        <v/>
      </c>
      <c r="CT71" s="823">
        <f>SUM(CT68:CT70)</f>
        <v/>
      </c>
      <c r="CU71" s="836">
        <f>SUM(CU68:CU70)</f>
        <v/>
      </c>
      <c r="CV71" s="823">
        <f>SUM(CV68:CV70)</f>
        <v/>
      </c>
      <c r="CW71" s="823">
        <f>SUM(CW68:CW70)</f>
        <v/>
      </c>
      <c r="CX71" s="823">
        <f>SUM(CX68:CX70)</f>
        <v/>
      </c>
      <c r="CY71" s="823">
        <f>SUM(CY68:CY70)</f>
        <v/>
      </c>
      <c r="CZ71" s="823">
        <f>SUM(CZ68:CZ70)</f>
        <v/>
      </c>
      <c r="DA71" s="823">
        <f>SUM(DA68:DA70)</f>
        <v/>
      </c>
      <c r="DB71" s="823">
        <f>SUM(DB68:DB70)</f>
        <v/>
      </c>
      <c r="DC71" s="823">
        <f>SUM(DC68:DC70)</f>
        <v/>
      </c>
      <c r="DD71" s="823">
        <f>SUM(DD68:DD70)</f>
        <v/>
      </c>
      <c r="DE71" s="823">
        <f>SUM(DE68:DE70)</f>
        <v/>
      </c>
      <c r="DF71" s="823">
        <f>SUM(DF68:DF70)</f>
        <v/>
      </c>
      <c r="DG71" s="823">
        <f>SUM(DG68:DG70)</f>
        <v/>
      </c>
    </row>
    <row r="72" customFormat="1" s="831">
      <c r="A72" s="465" t="n"/>
      <c r="B72" s="466" t="n"/>
      <c r="C72" s="466" t="inlineStr">
        <is>
          <t>Payroll Tax as a % of Salary</t>
        </is>
      </c>
      <c r="W72" s="832" t="n"/>
      <c r="X72" s="832" t="n"/>
      <c r="Y72" s="832" t="n"/>
      <c r="Z72" s="832" t="n"/>
      <c r="AA72" s="832" t="n"/>
      <c r="AB72" s="832" t="n"/>
      <c r="AC72" s="832" t="n"/>
      <c r="AD72" s="832" t="n"/>
      <c r="AE72" s="832" t="n"/>
      <c r="AF72" s="832" t="n"/>
      <c r="AG72" s="832" t="n"/>
      <c r="AH72" s="832" t="n"/>
      <c r="AI72" s="832" t="n"/>
      <c r="AJ72" s="832" t="n"/>
      <c r="AK72" s="832" t="n"/>
      <c r="AL72" s="832" t="n"/>
      <c r="AM72" s="832" t="n"/>
      <c r="AN72" s="832" t="n"/>
      <c r="AO72" s="832">
        <f>+AO69/AO68</f>
        <v/>
      </c>
      <c r="AP72" s="832">
        <f>+AP69/AP68</f>
        <v/>
      </c>
      <c r="AQ72" s="832">
        <f>+AQ69/AQ68</f>
        <v/>
      </c>
      <c r="AR72" s="832">
        <f>+AR69/AR68</f>
        <v/>
      </c>
      <c r="AS72" s="832">
        <f>+AS69/AS68</f>
        <v/>
      </c>
      <c r="AT72" s="832">
        <f>+AT69/AT68</f>
        <v/>
      </c>
      <c r="AU72" s="832">
        <f>+AU69/AU68</f>
        <v/>
      </c>
      <c r="AV72" s="832">
        <f>+AV69/AV68</f>
        <v/>
      </c>
      <c r="AW72" s="833">
        <f>+AW69/AW68</f>
        <v/>
      </c>
      <c r="AX72" s="834">
        <f>+AVERAGE(AU72:AW72)</f>
        <v/>
      </c>
      <c r="AY72" s="833">
        <f>+AX72</f>
        <v/>
      </c>
      <c r="AZ72" s="832">
        <f>+AY72</f>
        <v/>
      </c>
      <c r="BA72" s="832">
        <f>+AZ72</f>
        <v/>
      </c>
      <c r="BB72" s="832">
        <f>+BA72</f>
        <v/>
      </c>
      <c r="BC72" s="832">
        <f>+BB72</f>
        <v/>
      </c>
      <c r="BD72" s="832">
        <f>+BC72</f>
        <v/>
      </c>
      <c r="BE72" s="832">
        <f>+BD72</f>
        <v/>
      </c>
      <c r="BF72" s="832">
        <f>+BE72</f>
        <v/>
      </c>
      <c r="BG72" s="832">
        <f>+BF72</f>
        <v/>
      </c>
      <c r="BH72" s="832">
        <f>+BG72</f>
        <v/>
      </c>
      <c r="BI72" s="832">
        <f>+BH72</f>
        <v/>
      </c>
      <c r="BJ72" s="832">
        <f>+BI72</f>
        <v/>
      </c>
      <c r="BK72" s="833">
        <f>+BJ72</f>
        <v/>
      </c>
      <c r="BL72" s="832">
        <f>+BK72</f>
        <v/>
      </c>
      <c r="BM72" s="832">
        <f>+BL72</f>
        <v/>
      </c>
      <c r="BN72" s="832">
        <f>+BM72</f>
        <v/>
      </c>
      <c r="BO72" s="832">
        <f>+BN72</f>
        <v/>
      </c>
      <c r="BP72" s="832">
        <f>+BO72</f>
        <v/>
      </c>
      <c r="BQ72" s="832">
        <f>+BP72</f>
        <v/>
      </c>
      <c r="BR72" s="832">
        <f>+BQ72</f>
        <v/>
      </c>
      <c r="BS72" s="832">
        <f>+BR72</f>
        <v/>
      </c>
      <c r="BT72" s="832">
        <f>+BS72</f>
        <v/>
      </c>
      <c r="BU72" s="832">
        <f>+BT72</f>
        <v/>
      </c>
      <c r="BV72" s="832">
        <f>+BU72</f>
        <v/>
      </c>
      <c r="BW72" s="833">
        <f>+BV72</f>
        <v/>
      </c>
      <c r="BX72" s="832">
        <f>+BW72</f>
        <v/>
      </c>
      <c r="BY72" s="832">
        <f>+BX72</f>
        <v/>
      </c>
      <c r="BZ72" s="832">
        <f>+BY72</f>
        <v/>
      </c>
      <c r="CA72" s="832">
        <f>+BZ72</f>
        <v/>
      </c>
      <c r="CB72" s="832">
        <f>+CA72</f>
        <v/>
      </c>
      <c r="CC72" s="832">
        <f>+CB72</f>
        <v/>
      </c>
      <c r="CD72" s="832">
        <f>+CC72</f>
        <v/>
      </c>
      <c r="CE72" s="832">
        <f>+CD72</f>
        <v/>
      </c>
      <c r="CF72" s="832">
        <f>+CE72</f>
        <v/>
      </c>
      <c r="CG72" s="832">
        <f>+CF72</f>
        <v/>
      </c>
      <c r="CH72" s="832">
        <f>+CG72</f>
        <v/>
      </c>
      <c r="CI72" s="833">
        <f>+CH72</f>
        <v/>
      </c>
      <c r="CJ72" s="832">
        <f>+CI72</f>
        <v/>
      </c>
      <c r="CK72" s="832">
        <f>+CJ72</f>
        <v/>
      </c>
      <c r="CL72" s="832">
        <f>+CK72</f>
        <v/>
      </c>
      <c r="CM72" s="832">
        <f>+CL72</f>
        <v/>
      </c>
      <c r="CN72" s="832">
        <f>+CM72</f>
        <v/>
      </c>
      <c r="CO72" s="832">
        <f>+CN72</f>
        <v/>
      </c>
      <c r="CP72" s="832">
        <f>+CO72</f>
        <v/>
      </c>
      <c r="CQ72" s="832">
        <f>+CP72</f>
        <v/>
      </c>
      <c r="CR72" s="832">
        <f>+CQ72</f>
        <v/>
      </c>
      <c r="CS72" s="832">
        <f>+CR72</f>
        <v/>
      </c>
      <c r="CT72" s="832">
        <f>+CS72</f>
        <v/>
      </c>
      <c r="CU72" s="833">
        <f>+CT72</f>
        <v/>
      </c>
      <c r="CV72" s="832">
        <f>+CU72</f>
        <v/>
      </c>
      <c r="CW72" s="832">
        <f>+CV72</f>
        <v/>
      </c>
      <c r="CX72" s="832">
        <f>+CW72</f>
        <v/>
      </c>
      <c r="CY72" s="832">
        <f>+CX72</f>
        <v/>
      </c>
      <c r="CZ72" s="832">
        <f>+CY72</f>
        <v/>
      </c>
      <c r="DA72" s="832">
        <f>+CZ72</f>
        <v/>
      </c>
      <c r="DB72" s="832">
        <f>+DA72</f>
        <v/>
      </c>
      <c r="DC72" s="832">
        <f>+DB72</f>
        <v/>
      </c>
      <c r="DD72" s="832">
        <f>+DC72</f>
        <v/>
      </c>
      <c r="DE72" s="832">
        <f>+DD72</f>
        <v/>
      </c>
      <c r="DF72" s="832">
        <f>+DE72</f>
        <v/>
      </c>
      <c r="DG72" s="832">
        <f>+DF72</f>
        <v/>
      </c>
    </row>
    <row r="73" customFormat="1" s="831">
      <c r="A73" s="465" t="n"/>
      <c r="B73" s="466" t="n"/>
      <c r="C73" s="466" t="inlineStr">
        <is>
          <t>Benefits as a % of Salary</t>
        </is>
      </c>
      <c r="W73" s="832" t="n"/>
      <c r="X73" s="832" t="n"/>
      <c r="Y73" s="832" t="n"/>
      <c r="Z73" s="832" t="n"/>
      <c r="AA73" s="832" t="n"/>
      <c r="AB73" s="832" t="n"/>
      <c r="AC73" s="832" t="n"/>
      <c r="AD73" s="832" t="n"/>
      <c r="AE73" s="832" t="n"/>
      <c r="AF73" s="832" t="n"/>
      <c r="AG73" s="832" t="n"/>
      <c r="AH73" s="832" t="n"/>
      <c r="AI73" s="832" t="n"/>
      <c r="AJ73" s="832" t="n"/>
      <c r="AK73" s="832" t="n"/>
      <c r="AL73" s="832" t="n"/>
      <c r="AM73" s="832" t="n"/>
      <c r="AN73" s="832" t="n"/>
      <c r="AO73" s="832" t="n"/>
      <c r="AP73" s="832" t="n"/>
      <c r="AQ73" s="832" t="n"/>
      <c r="AR73" s="832" t="n"/>
      <c r="AS73" s="832" t="n"/>
      <c r="AT73" s="832" t="n"/>
      <c r="AU73" s="832" t="n"/>
      <c r="AV73" s="832" t="n"/>
      <c r="AW73" s="833" t="n"/>
      <c r="AX73" s="834" t="n">
        <v>0.045</v>
      </c>
      <c r="AY73" s="833">
        <f>+AX73</f>
        <v/>
      </c>
      <c r="AZ73" s="832">
        <f>+AY73</f>
        <v/>
      </c>
      <c r="BA73" s="832">
        <f>+AZ73</f>
        <v/>
      </c>
      <c r="BB73" s="832">
        <f>+BA73</f>
        <v/>
      </c>
      <c r="BC73" s="832">
        <f>+BB73</f>
        <v/>
      </c>
      <c r="BD73" s="832">
        <f>+BC73</f>
        <v/>
      </c>
      <c r="BE73" s="832">
        <f>+BD73</f>
        <v/>
      </c>
      <c r="BF73" s="832">
        <f>+BE73</f>
        <v/>
      </c>
      <c r="BG73" s="832">
        <f>+BF73</f>
        <v/>
      </c>
      <c r="BH73" s="832">
        <f>+BG73</f>
        <v/>
      </c>
      <c r="BI73" s="832">
        <f>+BH73</f>
        <v/>
      </c>
      <c r="BJ73" s="832">
        <f>+BI73</f>
        <v/>
      </c>
      <c r="BK73" s="833">
        <f>+BJ73</f>
        <v/>
      </c>
      <c r="BL73" s="832">
        <f>+BK73</f>
        <v/>
      </c>
      <c r="BM73" s="832">
        <f>+BL73</f>
        <v/>
      </c>
      <c r="BN73" s="832">
        <f>+BM73</f>
        <v/>
      </c>
      <c r="BO73" s="832">
        <f>+BN73</f>
        <v/>
      </c>
      <c r="BP73" s="832">
        <f>+BO73</f>
        <v/>
      </c>
      <c r="BQ73" s="832">
        <f>+BP73</f>
        <v/>
      </c>
      <c r="BR73" s="832">
        <f>+BQ73</f>
        <v/>
      </c>
      <c r="BS73" s="832">
        <f>+BR73</f>
        <v/>
      </c>
      <c r="BT73" s="832">
        <f>+BS73</f>
        <v/>
      </c>
      <c r="BU73" s="832">
        <f>+BT73</f>
        <v/>
      </c>
      <c r="BV73" s="832">
        <f>+BU73</f>
        <v/>
      </c>
      <c r="BW73" s="833" t="n">
        <v>0.15</v>
      </c>
      <c r="BX73" s="832">
        <f>+BW73</f>
        <v/>
      </c>
      <c r="BY73" s="832">
        <f>+BX73</f>
        <v/>
      </c>
      <c r="BZ73" s="832">
        <f>+BY73</f>
        <v/>
      </c>
      <c r="CA73" s="832">
        <f>+BZ73</f>
        <v/>
      </c>
      <c r="CB73" s="832">
        <f>+CA73</f>
        <v/>
      </c>
      <c r="CC73" s="832">
        <f>+CB73</f>
        <v/>
      </c>
      <c r="CD73" s="832">
        <f>+CC73</f>
        <v/>
      </c>
      <c r="CE73" s="832">
        <f>+CD73</f>
        <v/>
      </c>
      <c r="CF73" s="832">
        <f>+CE73</f>
        <v/>
      </c>
      <c r="CG73" s="832">
        <f>+CF73</f>
        <v/>
      </c>
      <c r="CH73" s="832">
        <f>+CG73</f>
        <v/>
      </c>
      <c r="CI73" s="833" t="n">
        <v>0.2</v>
      </c>
      <c r="CJ73" s="832">
        <f>+CI73</f>
        <v/>
      </c>
      <c r="CK73" s="832">
        <f>+CJ73</f>
        <v/>
      </c>
      <c r="CL73" s="832">
        <f>+CK73</f>
        <v/>
      </c>
      <c r="CM73" s="832">
        <f>+CL73</f>
        <v/>
      </c>
      <c r="CN73" s="832">
        <f>+CM73</f>
        <v/>
      </c>
      <c r="CO73" s="832">
        <f>+CN73</f>
        <v/>
      </c>
      <c r="CP73" s="832">
        <f>+CO73</f>
        <v/>
      </c>
      <c r="CQ73" s="832">
        <f>+CP73</f>
        <v/>
      </c>
      <c r="CR73" s="832">
        <f>+CQ73</f>
        <v/>
      </c>
      <c r="CS73" s="832">
        <f>+CR73</f>
        <v/>
      </c>
      <c r="CT73" s="832">
        <f>+CS73</f>
        <v/>
      </c>
      <c r="CU73" s="833">
        <f>+CT73</f>
        <v/>
      </c>
      <c r="CV73" s="832">
        <f>+CU73</f>
        <v/>
      </c>
      <c r="CW73" s="832">
        <f>+CV73</f>
        <v/>
      </c>
      <c r="CX73" s="832">
        <f>+CW73</f>
        <v/>
      </c>
      <c r="CY73" s="832">
        <f>+CX73</f>
        <v/>
      </c>
      <c r="CZ73" s="832">
        <f>+CY73</f>
        <v/>
      </c>
      <c r="DA73" s="832">
        <f>+CZ73</f>
        <v/>
      </c>
      <c r="DB73" s="832">
        <f>+DA73</f>
        <v/>
      </c>
      <c r="DC73" s="832">
        <f>+DB73</f>
        <v/>
      </c>
      <c r="DD73" s="832">
        <f>+DC73</f>
        <v/>
      </c>
      <c r="DE73" s="832">
        <f>+DD73</f>
        <v/>
      </c>
      <c r="DF73" s="832">
        <f>+DE73</f>
        <v/>
      </c>
      <c r="DG73" s="832">
        <f>+DF73</f>
        <v/>
      </c>
    </row>
    <row r="74">
      <c r="B74" s="1" t="inlineStr">
        <is>
          <t xml:space="preserve">      60200 Travel</t>
        </is>
      </c>
      <c r="C74" s="1" t="n"/>
      <c r="D74" s="111" t="n"/>
      <c r="E74" s="111" t="n"/>
      <c r="F74" s="111" t="n"/>
      <c r="G74" s="111" t="n"/>
      <c r="H74" s="111" t="n"/>
      <c r="I74" s="111" t="n"/>
      <c r="J74" s="111" t="n"/>
      <c r="K74" s="111" t="n"/>
      <c r="L74" s="111" t="n"/>
      <c r="M74" s="111" t="n"/>
      <c r="N74" s="111" t="n"/>
      <c r="O74" s="111" t="n"/>
      <c r="P74" s="111" t="n"/>
      <c r="Q74" s="111" t="n"/>
      <c r="R74" s="111" t="n"/>
      <c r="S74" s="111" t="n"/>
      <c r="T74" s="111" t="n"/>
      <c r="U74" s="111" t="n"/>
      <c r="V74" s="111" t="n"/>
      <c r="W74" s="111" t="n"/>
      <c r="X74" s="111" t="n"/>
      <c r="Y74" s="111" t="n"/>
      <c r="Z74" s="111" t="n"/>
      <c r="AA74" s="111" t="n"/>
      <c r="AB74" s="111" t="n"/>
      <c r="AC74" s="111" t="n"/>
      <c r="AD74" s="111" t="n"/>
      <c r="AE74" s="111" t="n"/>
      <c r="AF74" s="111" t="n"/>
      <c r="AG74" s="111" t="n"/>
      <c r="AH74" s="111" t="n"/>
      <c r="AI74" s="111" t="n"/>
      <c r="AJ74" s="111" t="n"/>
      <c r="AK74" s="111" t="n"/>
      <c r="AL74" s="111" t="n"/>
      <c r="AM74" s="111" t="n"/>
      <c r="AN74" s="111" t="n">
        <v>0</v>
      </c>
      <c r="AO74" s="111" t="n">
        <v>0</v>
      </c>
      <c r="AP74" s="111" t="n">
        <v>0</v>
      </c>
      <c r="AQ74" s="111" t="n">
        <v>0</v>
      </c>
      <c r="AR74" s="111" t="n">
        <v>0</v>
      </c>
      <c r="AS74" s="111" t="n">
        <v>0</v>
      </c>
      <c r="AT74" s="111" t="n">
        <v>0</v>
      </c>
      <c r="AU74" s="111" t="n">
        <v>0</v>
      </c>
      <c r="AV74" s="111" t="n">
        <v>0</v>
      </c>
      <c r="AW74" s="244" t="n">
        <v>0</v>
      </c>
      <c r="AX74" s="611">
        <f>+AVERAGE(AU74:AW74)</f>
        <v/>
      </c>
      <c r="AY74" s="244">
        <f>AX74</f>
        <v/>
      </c>
      <c r="AZ74" s="111">
        <f>AY74</f>
        <v/>
      </c>
      <c r="BA74" s="111">
        <f>AZ74</f>
        <v/>
      </c>
      <c r="BB74" s="111">
        <f>BA74</f>
        <v/>
      </c>
      <c r="BC74" s="111">
        <f>BB74</f>
        <v/>
      </c>
      <c r="BD74" s="111">
        <f>BC74</f>
        <v/>
      </c>
      <c r="BE74" s="111">
        <f>BD74</f>
        <v/>
      </c>
      <c r="BF74" s="111">
        <f>BE74</f>
        <v/>
      </c>
      <c r="BG74" s="111">
        <f>BF74</f>
        <v/>
      </c>
      <c r="BH74" s="111">
        <f>BG74</f>
        <v/>
      </c>
      <c r="BI74" s="111">
        <f>BH74</f>
        <v/>
      </c>
      <c r="BJ74" s="111">
        <f>BI74</f>
        <v/>
      </c>
      <c r="BK74" s="244">
        <f>BJ74</f>
        <v/>
      </c>
      <c r="BL74" s="111">
        <f>BK74</f>
        <v/>
      </c>
      <c r="BM74" s="111">
        <f>BL74</f>
        <v/>
      </c>
      <c r="BN74" s="111">
        <f>BM74</f>
        <v/>
      </c>
      <c r="BO74" s="111">
        <f>BN74</f>
        <v/>
      </c>
      <c r="BP74" s="111">
        <f>BO74</f>
        <v/>
      </c>
      <c r="BQ74" s="111">
        <f>BP74</f>
        <v/>
      </c>
      <c r="BR74" s="111">
        <f>BQ74</f>
        <v/>
      </c>
      <c r="BS74" s="111">
        <f>BR74</f>
        <v/>
      </c>
      <c r="BT74" s="111">
        <f>BS74</f>
        <v/>
      </c>
      <c r="BU74" s="111">
        <f>BT74</f>
        <v/>
      </c>
      <c r="BV74" s="111">
        <f>BU74</f>
        <v/>
      </c>
      <c r="BW74" s="244">
        <f>BV74</f>
        <v/>
      </c>
      <c r="BX74" s="111">
        <f>BW74</f>
        <v/>
      </c>
      <c r="BY74" s="111">
        <f>BX74</f>
        <v/>
      </c>
      <c r="BZ74" s="111">
        <f>BY74</f>
        <v/>
      </c>
      <c r="CA74" s="111">
        <f>BZ74</f>
        <v/>
      </c>
      <c r="CB74" s="111">
        <f>CA74</f>
        <v/>
      </c>
      <c r="CC74" s="111">
        <f>CB74</f>
        <v/>
      </c>
      <c r="CD74" s="111">
        <f>CC74</f>
        <v/>
      </c>
      <c r="CE74" s="111">
        <f>CD74</f>
        <v/>
      </c>
      <c r="CF74" s="111">
        <f>CE74</f>
        <v/>
      </c>
      <c r="CG74" s="111">
        <f>CF74</f>
        <v/>
      </c>
      <c r="CH74" s="111">
        <f>CG74</f>
        <v/>
      </c>
      <c r="CI74" s="244">
        <f>CH74</f>
        <v/>
      </c>
      <c r="CJ74" s="111">
        <f>CI74</f>
        <v/>
      </c>
      <c r="CK74" s="111">
        <f>CJ74</f>
        <v/>
      </c>
      <c r="CL74" s="111">
        <f>CK74</f>
        <v/>
      </c>
      <c r="CM74" s="111">
        <f>CL74</f>
        <v/>
      </c>
      <c r="CN74" s="111">
        <f>CM74</f>
        <v/>
      </c>
      <c r="CO74" s="111">
        <f>CN74</f>
        <v/>
      </c>
      <c r="CP74" s="111">
        <f>CO74</f>
        <v/>
      </c>
      <c r="CQ74" s="111">
        <f>CP74</f>
        <v/>
      </c>
      <c r="CR74" s="111">
        <f>CQ74</f>
        <v/>
      </c>
      <c r="CS74" s="111">
        <f>CR74</f>
        <v/>
      </c>
      <c r="CT74" s="111">
        <f>CS74</f>
        <v/>
      </c>
      <c r="CU74" s="244">
        <f>CT74</f>
        <v/>
      </c>
      <c r="CV74" s="111">
        <f>CU74</f>
        <v/>
      </c>
      <c r="CW74" s="111">
        <f>CV74</f>
        <v/>
      </c>
      <c r="CX74" s="111">
        <f>CW74</f>
        <v/>
      </c>
      <c r="CY74" s="111">
        <f>CX74</f>
        <v/>
      </c>
      <c r="CZ74" s="111">
        <f>CY74</f>
        <v/>
      </c>
      <c r="DA74" s="111">
        <f>CZ74</f>
        <v/>
      </c>
      <c r="DB74" s="111">
        <f>DA74</f>
        <v/>
      </c>
      <c r="DC74" s="111">
        <f>DB74</f>
        <v/>
      </c>
      <c r="DD74" s="111">
        <f>DC74</f>
        <v/>
      </c>
      <c r="DE74" s="111">
        <f>DD74</f>
        <v/>
      </c>
      <c r="DF74" s="111">
        <f>DE74</f>
        <v/>
      </c>
      <c r="DG74" s="111">
        <f>DF74</f>
        <v/>
      </c>
    </row>
    <row r="75">
      <c r="B75" s="1" t="inlineStr">
        <is>
          <t xml:space="preserve">         60210 Airfare &amp; Hotels</t>
        </is>
      </c>
      <c r="C75" s="1" t="n"/>
      <c r="D75" s="111" t="n"/>
      <c r="E75" s="111" t="n"/>
      <c r="F75" s="111" t="n"/>
      <c r="G75" s="111" t="n"/>
      <c r="H75" s="111" t="n"/>
      <c r="I75" s="111" t="n"/>
      <c r="J75" s="111" t="n"/>
      <c r="K75" s="111" t="n"/>
      <c r="L75" s="111" t="n"/>
      <c r="M75" s="111" t="n"/>
      <c r="N75" s="111" t="n"/>
      <c r="O75" s="111" t="n"/>
      <c r="P75" s="111" t="n"/>
      <c r="Q75" s="111" t="n"/>
      <c r="R75" s="111" t="n"/>
      <c r="S75" s="111" t="n"/>
      <c r="T75" s="111" t="n"/>
      <c r="U75" s="111" t="n"/>
      <c r="V75" s="111" t="n"/>
      <c r="W75" s="111" t="n"/>
      <c r="X75" s="111" t="n"/>
      <c r="Y75" s="111" t="n"/>
      <c r="Z75" s="111" t="n"/>
      <c r="AA75" s="111" t="n"/>
      <c r="AB75" s="111" t="n">
        <v>264.53</v>
      </c>
      <c r="AC75" s="111" t="n"/>
      <c r="AD75" s="111" t="n"/>
      <c r="AE75" s="111" t="n">
        <v>238.31</v>
      </c>
      <c r="AF75" s="111" t="n"/>
      <c r="AG75" s="111" t="n"/>
      <c r="AH75" s="111" t="n"/>
      <c r="AI75" s="111" t="n">
        <v>8</v>
      </c>
      <c r="AJ75" s="111" t="n"/>
      <c r="AK75" s="111" t="n"/>
      <c r="AL75" s="111" t="n">
        <v>168.97</v>
      </c>
      <c r="AM75" s="111" t="n"/>
      <c r="AN75" s="111" t="n"/>
      <c r="AO75" s="111" t="n"/>
      <c r="AP75" s="111" t="n"/>
      <c r="AQ75" s="111" t="n"/>
      <c r="AR75" s="111" t="n"/>
      <c r="AS75" s="111" t="n"/>
      <c r="AT75" s="111" t="n"/>
      <c r="AU75" s="111" t="n"/>
      <c r="AV75" s="111" t="n"/>
      <c r="AW75" s="244" t="n"/>
      <c r="AX75" s="611" t="n">
        <v>50</v>
      </c>
      <c r="AY75" s="244">
        <f>AX75</f>
        <v/>
      </c>
      <c r="AZ75" s="111">
        <f>AY75</f>
        <v/>
      </c>
      <c r="BA75" s="111">
        <f>AZ75</f>
        <v/>
      </c>
      <c r="BB75" s="111">
        <f>BA75</f>
        <v/>
      </c>
      <c r="BC75" s="111">
        <f>BB75</f>
        <v/>
      </c>
      <c r="BD75" s="111">
        <f>BC75</f>
        <v/>
      </c>
      <c r="BE75" s="111">
        <f>BD75</f>
        <v/>
      </c>
      <c r="BF75" s="111">
        <f>BE75</f>
        <v/>
      </c>
      <c r="BG75" s="111">
        <f>BF75</f>
        <v/>
      </c>
      <c r="BH75" s="111">
        <f>BG75</f>
        <v/>
      </c>
      <c r="BI75" s="111">
        <f>BH75</f>
        <v/>
      </c>
      <c r="BJ75" s="111">
        <f>BI75</f>
        <v/>
      </c>
      <c r="BK75" s="244">
        <f>BJ75</f>
        <v/>
      </c>
      <c r="BL75" s="111">
        <f>BK75</f>
        <v/>
      </c>
      <c r="BM75" s="111">
        <f>BL75</f>
        <v/>
      </c>
      <c r="BN75" s="111">
        <f>BM75</f>
        <v/>
      </c>
      <c r="BO75" s="111">
        <f>BN75</f>
        <v/>
      </c>
      <c r="BP75" s="111">
        <f>BO75</f>
        <v/>
      </c>
      <c r="BQ75" s="111">
        <f>BP75</f>
        <v/>
      </c>
      <c r="BR75" s="111">
        <f>BQ75</f>
        <v/>
      </c>
      <c r="BS75" s="111">
        <f>BR75</f>
        <v/>
      </c>
      <c r="BT75" s="111">
        <f>BS75</f>
        <v/>
      </c>
      <c r="BU75" s="111">
        <f>BT75</f>
        <v/>
      </c>
      <c r="BV75" s="111">
        <f>BU75</f>
        <v/>
      </c>
      <c r="BW75" s="244">
        <f>BV75</f>
        <v/>
      </c>
      <c r="BX75" s="111">
        <f>BW75</f>
        <v/>
      </c>
      <c r="BY75" s="111">
        <f>BX75</f>
        <v/>
      </c>
      <c r="BZ75" s="111">
        <f>BY75</f>
        <v/>
      </c>
      <c r="CA75" s="111">
        <f>BZ75</f>
        <v/>
      </c>
      <c r="CB75" s="111">
        <f>CA75</f>
        <v/>
      </c>
      <c r="CC75" s="111">
        <f>CB75</f>
        <v/>
      </c>
      <c r="CD75" s="111">
        <f>CC75</f>
        <v/>
      </c>
      <c r="CE75" s="111">
        <f>CD75</f>
        <v/>
      </c>
      <c r="CF75" s="111">
        <f>CE75</f>
        <v/>
      </c>
      <c r="CG75" s="111">
        <f>CF75</f>
        <v/>
      </c>
      <c r="CH75" s="111">
        <f>CG75</f>
        <v/>
      </c>
      <c r="CI75" s="244">
        <f>CH75</f>
        <v/>
      </c>
      <c r="CJ75" s="111">
        <f>CI75</f>
        <v/>
      </c>
      <c r="CK75" s="111">
        <f>CJ75</f>
        <v/>
      </c>
      <c r="CL75" s="111">
        <f>CK75</f>
        <v/>
      </c>
      <c r="CM75" s="111">
        <f>CL75</f>
        <v/>
      </c>
      <c r="CN75" s="111">
        <f>CM75</f>
        <v/>
      </c>
      <c r="CO75" s="111">
        <f>CN75</f>
        <v/>
      </c>
      <c r="CP75" s="111">
        <f>CO75</f>
        <v/>
      </c>
      <c r="CQ75" s="111">
        <f>CP75</f>
        <v/>
      </c>
      <c r="CR75" s="111">
        <f>CQ75</f>
        <v/>
      </c>
      <c r="CS75" s="111">
        <f>CR75</f>
        <v/>
      </c>
      <c r="CT75" s="111">
        <f>CS75</f>
        <v/>
      </c>
      <c r="CU75" s="244">
        <f>CT75</f>
        <v/>
      </c>
      <c r="CV75" s="111">
        <f>CU75</f>
        <v/>
      </c>
      <c r="CW75" s="111">
        <f>CV75</f>
        <v/>
      </c>
      <c r="CX75" s="111">
        <f>CW75</f>
        <v/>
      </c>
      <c r="CY75" s="111">
        <f>CX75</f>
        <v/>
      </c>
      <c r="CZ75" s="111">
        <f>CY75</f>
        <v/>
      </c>
      <c r="DA75" s="111">
        <f>CZ75</f>
        <v/>
      </c>
      <c r="DB75" s="111">
        <f>DA75</f>
        <v/>
      </c>
      <c r="DC75" s="111">
        <f>DB75</f>
        <v/>
      </c>
      <c r="DD75" s="111">
        <f>DC75</f>
        <v/>
      </c>
      <c r="DE75" s="111">
        <f>DD75</f>
        <v/>
      </c>
      <c r="DF75" s="111">
        <f>DE75</f>
        <v/>
      </c>
      <c r="DG75" s="111">
        <f>DF75</f>
        <v/>
      </c>
    </row>
    <row r="76" customFormat="1" s="5">
      <c r="B76" s="1" t="inlineStr">
        <is>
          <t xml:space="preserve">         60230 Parking &amp; Tolls</t>
        </is>
      </c>
      <c r="C76" s="1" t="n"/>
      <c r="D76" s="111" t="n"/>
      <c r="E76" s="111" t="n"/>
      <c r="F76" s="111" t="n"/>
      <c r="G76" s="111" t="n"/>
      <c r="H76" s="111" t="n"/>
      <c r="I76" s="111" t="n"/>
      <c r="J76" s="111" t="n"/>
      <c r="K76" s="111" t="n"/>
      <c r="L76" s="111" t="n"/>
      <c r="M76" s="111" t="n"/>
      <c r="N76" s="111" t="n"/>
      <c r="O76" s="111" t="n"/>
      <c r="P76" s="111" t="n"/>
      <c r="Q76" s="111" t="n"/>
      <c r="R76" s="111" t="n"/>
      <c r="S76" s="111" t="n"/>
      <c r="T76" s="111" t="n"/>
      <c r="U76" s="111" t="n"/>
      <c r="V76" s="111" t="n"/>
      <c r="W76" s="111" t="n"/>
      <c r="X76" s="111" t="n"/>
      <c r="Y76" s="111" t="n"/>
      <c r="Z76" s="111" t="n"/>
      <c r="AA76" s="111" t="n"/>
      <c r="AB76" s="111" t="n"/>
      <c r="AC76" s="111" t="n"/>
      <c r="AD76" s="111" t="n"/>
      <c r="AE76" s="111" t="n">
        <v>23.82</v>
      </c>
      <c r="AF76" s="111" t="n"/>
      <c r="AG76" s="111" t="n"/>
      <c r="AH76" s="111" t="n"/>
      <c r="AI76" s="111" t="n"/>
      <c r="AJ76" s="111" t="n"/>
      <c r="AK76" s="111" t="n"/>
      <c r="AL76" s="111" t="n"/>
      <c r="AM76" s="111" t="n"/>
      <c r="AN76" s="111" t="n"/>
      <c r="AO76" s="111" t="n"/>
      <c r="AP76" s="111" t="n">
        <v>26.9</v>
      </c>
      <c r="AQ76" s="111" t="n">
        <v>0</v>
      </c>
      <c r="AR76" s="111" t="n">
        <v>0</v>
      </c>
      <c r="AS76" s="111" t="n">
        <v>0</v>
      </c>
      <c r="AT76" s="111" t="n">
        <v>5</v>
      </c>
      <c r="AU76" s="111" t="n">
        <v>0</v>
      </c>
      <c r="AV76" s="111" t="n">
        <v>0</v>
      </c>
      <c r="AW76" s="244" t="n">
        <v>0</v>
      </c>
      <c r="AX76" s="611">
        <f>+IF(AX1&lt;&gt;AW1, AW76*1.1, AW76)</f>
        <v/>
      </c>
      <c r="AY76" s="244">
        <f>+IF(AY1&lt;&gt;AX1, AX76*1.1, AX76)</f>
        <v/>
      </c>
      <c r="AZ76" s="111">
        <f>+IF(AZ1&lt;&gt;AY1, AY76*1.1, AY76)</f>
        <v/>
      </c>
      <c r="BA76" s="111">
        <f>+IF(BA1&lt;&gt;AZ1, AZ76*1.1, AZ76)</f>
        <v/>
      </c>
      <c r="BB76" s="111">
        <f>+IF(BB1&lt;&gt;BA1, BA76*1.1, BA76)</f>
        <v/>
      </c>
      <c r="BC76" s="111">
        <f>+IF(BC1&lt;&gt;BB1, BB76*1.1, BB76)</f>
        <v/>
      </c>
      <c r="BD76" s="111">
        <f>+IF(BD1&lt;&gt;BC1, BC76*1.1, BC76)</f>
        <v/>
      </c>
      <c r="BE76" s="111">
        <f>+IF(BE1&lt;&gt;BD1, BD76*1.1, BD76)</f>
        <v/>
      </c>
      <c r="BF76" s="111">
        <f>+IF(BF1&lt;&gt;BE1, BE76*1.1, BE76)</f>
        <v/>
      </c>
      <c r="BG76" s="111">
        <f>+IF(BG1&lt;&gt;BF1, BF76*1.1, BF76)</f>
        <v/>
      </c>
      <c r="BH76" s="111">
        <f>+IF(BH1&lt;&gt;BG1, BG76*1.1, BG76)</f>
        <v/>
      </c>
      <c r="BI76" s="111">
        <f>+IF(BI1&lt;&gt;BH1, BH76*1.1, BH76)</f>
        <v/>
      </c>
      <c r="BJ76" s="111">
        <f>+IF(BJ1&lt;&gt;BI1, BI76*1.1, BI76)</f>
        <v/>
      </c>
      <c r="BK76" s="244">
        <f>+IF(BK1&lt;&gt;BJ1, BJ76*1.1, BJ76)</f>
        <v/>
      </c>
      <c r="BL76" s="111">
        <f>+IF(BL1&lt;&gt;BK1, BK76*1.1, BK76)</f>
        <v/>
      </c>
      <c r="BM76" s="111">
        <f>+IF(BM1&lt;&gt;BL1, BL76*1.1, BL76)</f>
        <v/>
      </c>
      <c r="BN76" s="111">
        <f>+IF(BN1&lt;&gt;BM1, BM76*1.1, BM76)</f>
        <v/>
      </c>
      <c r="BO76" s="111">
        <f>+IF(BO1&lt;&gt;BN1, BN76*1.1, BN76)</f>
        <v/>
      </c>
      <c r="BP76" s="111">
        <f>+IF(BP1&lt;&gt;BO1, BO76*1.1, BO76)</f>
        <v/>
      </c>
      <c r="BQ76" s="111">
        <f>+IF(BQ1&lt;&gt;BP1, BP76*1.1, BP76)</f>
        <v/>
      </c>
      <c r="BR76" s="111">
        <f>+IF(BR1&lt;&gt;BQ1, BQ76*1.1, BQ76)</f>
        <v/>
      </c>
      <c r="BS76" s="111">
        <f>+IF(BS1&lt;&gt;BR1, BR76*1.1, BR76)</f>
        <v/>
      </c>
      <c r="BT76" s="111">
        <f>+IF(BT1&lt;&gt;BS1, BS76*1.1, BS76)</f>
        <v/>
      </c>
      <c r="BU76" s="111">
        <f>+IF(BU1&lt;&gt;BT1, BT76*1.1, BT76)</f>
        <v/>
      </c>
      <c r="BV76" s="111">
        <f>+IF(BV1&lt;&gt;BU1, BU76*1.1, BU76)</f>
        <v/>
      </c>
      <c r="BW76" s="244">
        <f>+IF(BW1&lt;&gt;BV1, BV76*1.1, BV76)</f>
        <v/>
      </c>
      <c r="BX76" s="111">
        <f>+IF(BX1&lt;&gt;BW1, BW76*1.1, BW76)</f>
        <v/>
      </c>
      <c r="BY76" s="111">
        <f>+IF(BY1&lt;&gt;BX1, BX76*1.1, BX76)</f>
        <v/>
      </c>
      <c r="BZ76" s="111">
        <f>+IF(BZ1&lt;&gt;BY1, BY76*1.1, BY76)</f>
        <v/>
      </c>
      <c r="CA76" s="111">
        <f>+IF(CA1&lt;&gt;BZ1, BZ76*1.1, BZ76)</f>
        <v/>
      </c>
      <c r="CB76" s="111">
        <f>+IF(CB1&lt;&gt;CA1, CA76*1.1, CA76)</f>
        <v/>
      </c>
      <c r="CC76" s="111">
        <f>+IF(CC1&lt;&gt;CB1, CB76*1.1, CB76)</f>
        <v/>
      </c>
      <c r="CD76" s="111">
        <f>+IF(CD1&lt;&gt;CC1, CC76*1.1, CC76)</f>
        <v/>
      </c>
      <c r="CE76" s="111">
        <f>+IF(CE1&lt;&gt;CD1, CD76*1.1, CD76)</f>
        <v/>
      </c>
      <c r="CF76" s="111">
        <f>+IF(CF1&lt;&gt;CE1, CE76*1.1, CE76)</f>
        <v/>
      </c>
      <c r="CG76" s="111">
        <f>+IF(CG1&lt;&gt;CF1, CF76*1.1, CF76)</f>
        <v/>
      </c>
      <c r="CH76" s="111">
        <f>+IF(CH1&lt;&gt;CG1, CG76*1.1, CG76)</f>
        <v/>
      </c>
      <c r="CI76" s="244">
        <f>+IF(CI1&lt;&gt;CH1, CH76*1.1, CH76)</f>
        <v/>
      </c>
      <c r="CJ76" s="111">
        <f>+IF(CJ1&lt;&gt;CI1, CI76*1.1, CI76)</f>
        <v/>
      </c>
      <c r="CK76" s="111">
        <f>+IF(CK1&lt;&gt;CJ1, CJ76*1.1, CJ76)</f>
        <v/>
      </c>
      <c r="CL76" s="111">
        <f>+IF(CL1&lt;&gt;CK1, CK76*1.1, CK76)</f>
        <v/>
      </c>
      <c r="CM76" s="111">
        <f>+IF(CM1&lt;&gt;CL1, CL76*1.1, CL76)</f>
        <v/>
      </c>
      <c r="CN76" s="111">
        <f>+IF(CN1&lt;&gt;CM1, CM76*1.1, CM76)</f>
        <v/>
      </c>
      <c r="CO76" s="111">
        <f>+IF(CO1&lt;&gt;CN1, CN76*1.1, CN76)</f>
        <v/>
      </c>
      <c r="CP76" s="111">
        <f>+IF(CP1&lt;&gt;CO1, CO76*1.1, CO76)</f>
        <v/>
      </c>
      <c r="CQ76" s="111">
        <f>+IF(CQ1&lt;&gt;CP1, CP76*1.1, CP76)</f>
        <v/>
      </c>
      <c r="CR76" s="111">
        <f>+IF(CR1&lt;&gt;CQ1, CQ76*1.1, CQ76)</f>
        <v/>
      </c>
      <c r="CS76" s="111">
        <f>+IF(CS1&lt;&gt;CR1, CR76*1.1, CR76)</f>
        <v/>
      </c>
      <c r="CT76" s="111">
        <f>+IF(CT1&lt;&gt;CS1, CS76*1.1, CS76)</f>
        <v/>
      </c>
      <c r="CU76" s="244">
        <f>+IF(CU1&lt;&gt;CT1, CT76*1.1, CT76)</f>
        <v/>
      </c>
      <c r="CV76" s="111">
        <f>+IF(CV1&lt;&gt;CU1, CU76*1.1, CU76)</f>
        <v/>
      </c>
      <c r="CW76" s="111">
        <f>+IF(CW1&lt;&gt;CV1, CV76*1.1, CV76)</f>
        <v/>
      </c>
      <c r="CX76" s="111">
        <f>+IF(CX1&lt;&gt;CW1, CW76*1.1, CW76)</f>
        <v/>
      </c>
      <c r="CY76" s="111">
        <f>+IF(CY1&lt;&gt;CX1, CX76*1.1, CX76)</f>
        <v/>
      </c>
      <c r="CZ76" s="111">
        <f>+IF(CZ1&lt;&gt;CY1, CY76*1.1, CY76)</f>
        <v/>
      </c>
      <c r="DA76" s="111">
        <f>+IF(DA1&lt;&gt;CZ1, CZ76*1.1, CZ76)</f>
        <v/>
      </c>
      <c r="DB76" s="111">
        <f>+IF(DB1&lt;&gt;DA1, DA76*1.1, DA76)</f>
        <v/>
      </c>
      <c r="DC76" s="111">
        <f>+IF(DC1&lt;&gt;DB1, DB76*1.1, DB76)</f>
        <v/>
      </c>
      <c r="DD76" s="111">
        <f>+IF(DD1&lt;&gt;DC1, DC76*1.1, DC76)</f>
        <v/>
      </c>
      <c r="DE76" s="111">
        <f>+IF(DE1&lt;&gt;DD1, DD76*1.1, DD76)</f>
        <v/>
      </c>
      <c r="DF76" s="111">
        <f>+IF(DF1&lt;&gt;DE1, DE76*1.1, DE76)</f>
        <v/>
      </c>
      <c r="DG76" s="111">
        <f>+IF(DG1&lt;&gt;DF1, DF76*1.1, DF76)</f>
        <v/>
      </c>
    </row>
    <row r="77" customFormat="1" s="5">
      <c r="B77" s="1" t="inlineStr">
        <is>
          <t xml:space="preserve">         60240 Personal Mileage Reimbursement</t>
        </is>
      </c>
      <c r="C77" s="1" t="n"/>
      <c r="D77" s="111" t="n"/>
      <c r="E77" s="111" t="n"/>
      <c r="F77" s="111" t="n"/>
      <c r="G77" s="111" t="n"/>
      <c r="H77" s="111" t="n"/>
      <c r="I77" s="111" t="n"/>
      <c r="J77" s="111" t="n"/>
      <c r="K77" s="111" t="n"/>
      <c r="L77" s="111" t="n"/>
      <c r="M77" s="111" t="n"/>
      <c r="N77" s="111" t="n"/>
      <c r="O77" s="111" t="n"/>
      <c r="P77" s="111" t="n"/>
      <c r="Q77" s="111" t="n"/>
      <c r="R77" s="111" t="n"/>
      <c r="S77" s="111" t="n"/>
      <c r="T77" s="111" t="n"/>
      <c r="U77" s="111" t="n"/>
      <c r="V77" s="111" t="n"/>
      <c r="W77" s="111" t="n"/>
      <c r="X77" s="111" t="n"/>
      <c r="Y77" s="111" t="n"/>
      <c r="Z77" s="111" t="n"/>
      <c r="AA77" s="111" t="n"/>
      <c r="AB77" s="111" t="n"/>
      <c r="AC77" s="111" t="n"/>
      <c r="AD77" s="111" t="n">
        <v>90.45</v>
      </c>
      <c r="AE77" s="111" t="n">
        <v>25.46</v>
      </c>
      <c r="AF77" s="111" t="n">
        <v>25.46</v>
      </c>
      <c r="AG77" s="111" t="n">
        <v>25.46</v>
      </c>
      <c r="AH77" s="111" t="n">
        <v>42.22</v>
      </c>
      <c r="AI77" s="111" t="n">
        <v>29.48</v>
      </c>
      <c r="AJ77" s="111" t="n">
        <v>14.41</v>
      </c>
      <c r="AK77" s="111" t="n">
        <v>43.23</v>
      </c>
      <c r="AL77" s="111" t="n">
        <v>14.41</v>
      </c>
      <c r="AM77" s="111" t="n">
        <v>28.82</v>
      </c>
      <c r="AN77" s="111" t="n">
        <v>14.41</v>
      </c>
      <c r="AO77" s="111" t="n">
        <v>14.41</v>
      </c>
      <c r="AP77" s="111" t="n">
        <v>14.41</v>
      </c>
      <c r="AQ77" s="111" t="n">
        <v>14.41</v>
      </c>
      <c r="AR77" s="111" t="n">
        <v>28.82</v>
      </c>
      <c r="AS77" s="111" t="n">
        <v>14.41</v>
      </c>
      <c r="AT77" s="111" t="n">
        <v>28.82</v>
      </c>
      <c r="AU77" s="111" t="n">
        <v>28.82</v>
      </c>
      <c r="AV77" s="111" t="n">
        <v>14.41</v>
      </c>
      <c r="AW77" s="244" t="n">
        <v>28.82</v>
      </c>
      <c r="AX77" s="611">
        <f>+IF(AX1&lt;&gt;AW1, AW77*1.1, AW77)</f>
        <v/>
      </c>
      <c r="AY77" s="244">
        <f>+IF(AY1&lt;&gt;AX1, AX77*1.1, AX77)</f>
        <v/>
      </c>
      <c r="AZ77" s="111">
        <f>+IF(AZ1&lt;&gt;AY1, AY77*1.1, AY77)</f>
        <v/>
      </c>
      <c r="BA77" s="111">
        <f>+IF(BA1&lt;&gt;AZ1, AZ77*1.1, AZ77)</f>
        <v/>
      </c>
      <c r="BB77" s="111">
        <f>+IF(BB1&lt;&gt;BA1, BA77*1.1, BA77)</f>
        <v/>
      </c>
      <c r="BC77" s="111">
        <f>+IF(BC1&lt;&gt;BB1, BB77*1.1, BB77)</f>
        <v/>
      </c>
      <c r="BD77" s="111">
        <f>+IF(BD1&lt;&gt;BC1, BC77*1.1, BC77)</f>
        <v/>
      </c>
      <c r="BE77" s="111">
        <f>+IF(BE1&lt;&gt;BD1, BD77*1.1, BD77)</f>
        <v/>
      </c>
      <c r="BF77" s="111">
        <f>+IF(BF1&lt;&gt;BE1, BE77*1.1, BE77)</f>
        <v/>
      </c>
      <c r="BG77" s="111">
        <f>+IF(BG1&lt;&gt;BF1, BF77*1.1, BF77)</f>
        <v/>
      </c>
      <c r="BH77" s="111">
        <f>+IF(BH1&lt;&gt;BG1, BG77*1.1, BG77)</f>
        <v/>
      </c>
      <c r="BI77" s="111">
        <f>+IF(BI1&lt;&gt;BH1, BH77*1.1, BH77)</f>
        <v/>
      </c>
      <c r="BJ77" s="111">
        <f>+IF(BJ1&lt;&gt;BI1, BI77*1.1, BI77)</f>
        <v/>
      </c>
      <c r="BK77" s="244">
        <f>+IF(BK1&lt;&gt;BJ1, BJ77*1.1, BJ77)</f>
        <v/>
      </c>
      <c r="BL77" s="111">
        <f>+IF(BL1&lt;&gt;BK1, BK77*1.1, BK77)</f>
        <v/>
      </c>
      <c r="BM77" s="111">
        <f>+IF(BM1&lt;&gt;BL1, BL77*1.1, BL77)</f>
        <v/>
      </c>
      <c r="BN77" s="111">
        <f>+IF(BN1&lt;&gt;BM1, BM77*1.1, BM77)</f>
        <v/>
      </c>
      <c r="BO77" s="111">
        <f>+IF(BO1&lt;&gt;BN1, BN77*1.1, BN77)</f>
        <v/>
      </c>
      <c r="BP77" s="111">
        <f>+IF(BP1&lt;&gt;BO1, BO77*1.1, BO77)</f>
        <v/>
      </c>
      <c r="BQ77" s="111">
        <f>+IF(BQ1&lt;&gt;BP1, BP77*1.1, BP77)</f>
        <v/>
      </c>
      <c r="BR77" s="111">
        <f>+IF(BR1&lt;&gt;BQ1, BQ77*1.1, BQ77)</f>
        <v/>
      </c>
      <c r="BS77" s="111">
        <f>+IF(BS1&lt;&gt;BR1, BR77*1.1, BR77)</f>
        <v/>
      </c>
      <c r="BT77" s="111">
        <f>+IF(BT1&lt;&gt;BS1, BS77*1.1, BS77)</f>
        <v/>
      </c>
      <c r="BU77" s="111">
        <f>+IF(BU1&lt;&gt;BT1, BT77*1.1, BT77)</f>
        <v/>
      </c>
      <c r="BV77" s="111">
        <f>+IF(BV1&lt;&gt;BU1, BU77*1.1, BU77)</f>
        <v/>
      </c>
      <c r="BW77" s="244">
        <f>+IF(BW1&lt;&gt;BV1, BV77*1.1, BV77)</f>
        <v/>
      </c>
      <c r="BX77" s="111">
        <f>+IF(BX1&lt;&gt;BW1, BW77*1.1, BW77)</f>
        <v/>
      </c>
      <c r="BY77" s="111">
        <f>+IF(BY1&lt;&gt;BX1, BX77*1.1, BX77)</f>
        <v/>
      </c>
      <c r="BZ77" s="111">
        <f>+IF(BZ1&lt;&gt;BY1, BY77*1.1, BY77)</f>
        <v/>
      </c>
      <c r="CA77" s="111">
        <f>+IF(CA1&lt;&gt;BZ1, BZ77*1.1, BZ77)</f>
        <v/>
      </c>
      <c r="CB77" s="111">
        <f>+IF(CB1&lt;&gt;CA1, CA77*1.1, CA77)</f>
        <v/>
      </c>
      <c r="CC77" s="111">
        <f>+IF(CC1&lt;&gt;CB1, CB77*1.1, CB77)</f>
        <v/>
      </c>
      <c r="CD77" s="111">
        <f>+IF(CD1&lt;&gt;CC1, CC77*1.1, CC77)</f>
        <v/>
      </c>
      <c r="CE77" s="111">
        <f>+IF(CE1&lt;&gt;CD1, CD77*1.1, CD77)</f>
        <v/>
      </c>
      <c r="CF77" s="111">
        <f>+IF(CF1&lt;&gt;CE1, CE77*1.1, CE77)</f>
        <v/>
      </c>
      <c r="CG77" s="111">
        <f>+IF(CG1&lt;&gt;CF1, CF77*1.1, CF77)</f>
        <v/>
      </c>
      <c r="CH77" s="111">
        <f>+IF(CH1&lt;&gt;CG1, CG77*1.1, CG77)</f>
        <v/>
      </c>
      <c r="CI77" s="244">
        <f>+IF(CI1&lt;&gt;CH1, CH77*1.1, CH77)</f>
        <v/>
      </c>
      <c r="CJ77" s="111">
        <f>+IF(CJ1&lt;&gt;CI1, CI77*1.1, CI77)</f>
        <v/>
      </c>
      <c r="CK77" s="111">
        <f>+IF(CK1&lt;&gt;CJ1, CJ77*1.1, CJ77)</f>
        <v/>
      </c>
      <c r="CL77" s="111">
        <f>+IF(CL1&lt;&gt;CK1, CK77*1.1, CK77)</f>
        <v/>
      </c>
      <c r="CM77" s="111">
        <f>+IF(CM1&lt;&gt;CL1, CL77*1.1, CL77)</f>
        <v/>
      </c>
      <c r="CN77" s="111">
        <f>+IF(CN1&lt;&gt;CM1, CM77*1.1, CM77)</f>
        <v/>
      </c>
      <c r="CO77" s="111">
        <f>+IF(CO1&lt;&gt;CN1, CN77*1.1, CN77)</f>
        <v/>
      </c>
      <c r="CP77" s="111">
        <f>+IF(CP1&lt;&gt;CO1, CO77*1.1, CO77)</f>
        <v/>
      </c>
      <c r="CQ77" s="111">
        <f>+IF(CQ1&lt;&gt;CP1, CP77*1.1, CP77)</f>
        <v/>
      </c>
      <c r="CR77" s="111">
        <f>+IF(CR1&lt;&gt;CQ1, CQ77*1.1, CQ77)</f>
        <v/>
      </c>
      <c r="CS77" s="111">
        <f>+IF(CS1&lt;&gt;CR1, CR77*1.1, CR77)</f>
        <v/>
      </c>
      <c r="CT77" s="111">
        <f>+IF(CT1&lt;&gt;CS1, CS77*1.1, CS77)</f>
        <v/>
      </c>
      <c r="CU77" s="244">
        <f>+IF(CU1&lt;&gt;CT1, CT77*1.1, CT77)</f>
        <v/>
      </c>
      <c r="CV77" s="111">
        <f>+IF(CV1&lt;&gt;CU1, CU77*1.1, CU77)</f>
        <v/>
      </c>
      <c r="CW77" s="111">
        <f>+IF(CW1&lt;&gt;CV1, CV77*1.1, CV77)</f>
        <v/>
      </c>
      <c r="CX77" s="111">
        <f>+IF(CX1&lt;&gt;CW1, CW77*1.1, CW77)</f>
        <v/>
      </c>
      <c r="CY77" s="111">
        <f>+IF(CY1&lt;&gt;CX1, CX77*1.1, CX77)</f>
        <v/>
      </c>
      <c r="CZ77" s="111">
        <f>+IF(CZ1&lt;&gt;CY1, CY77*1.1, CY77)</f>
        <v/>
      </c>
      <c r="DA77" s="111">
        <f>+IF(DA1&lt;&gt;CZ1, CZ77*1.1, CZ77)</f>
        <v/>
      </c>
      <c r="DB77" s="111">
        <f>+IF(DB1&lt;&gt;DA1, DA77*1.1, DA77)</f>
        <v/>
      </c>
      <c r="DC77" s="111">
        <f>+IF(DC1&lt;&gt;DB1, DB77*1.1, DB77)</f>
        <v/>
      </c>
      <c r="DD77" s="111">
        <f>+IF(DD1&lt;&gt;DC1, DC77*1.1, DC77)</f>
        <v/>
      </c>
      <c r="DE77" s="111">
        <f>+IF(DE1&lt;&gt;DD1, DD77*1.1, DD77)</f>
        <v/>
      </c>
      <c r="DF77" s="111">
        <f>+IF(DF1&lt;&gt;DE1, DE77*1.1, DE77)</f>
        <v/>
      </c>
      <c r="DG77" s="111">
        <f>+IF(DG1&lt;&gt;DF1, DF77*1.1, DF77)</f>
        <v/>
      </c>
    </row>
    <row r="78">
      <c r="B78" s="4" t="inlineStr">
        <is>
          <t xml:space="preserve">      Total 60200 Travel</t>
        </is>
      </c>
      <c r="C78" s="4" t="n"/>
      <c r="D78" s="823" t="n"/>
      <c r="E78" s="823" t="n"/>
      <c r="F78" s="823" t="n"/>
      <c r="G78" s="823" t="n"/>
      <c r="H78" s="823" t="n"/>
      <c r="I78" s="823" t="n"/>
      <c r="J78" s="823" t="n"/>
      <c r="K78" s="823" t="n"/>
      <c r="L78" s="823" t="n"/>
      <c r="M78" s="823" t="n"/>
      <c r="N78" s="823" t="n"/>
      <c r="O78" s="823" t="n"/>
      <c r="P78" s="823" t="n"/>
      <c r="Q78" s="823" t="n"/>
      <c r="R78" s="823" t="n"/>
      <c r="S78" s="823" t="n"/>
      <c r="T78" s="823" t="n"/>
      <c r="U78" s="823" t="n"/>
      <c r="V78" s="823" t="n"/>
      <c r="W78" s="823" t="n"/>
      <c r="X78" s="823" t="n"/>
      <c r="Y78" s="823" t="n"/>
      <c r="Z78" s="823" t="n"/>
      <c r="AA78" s="823" t="n"/>
      <c r="AB78" s="823">
        <f>SUM(AB75:AB77)</f>
        <v/>
      </c>
      <c r="AC78" s="823">
        <f>SUM(AC75:AC77)</f>
        <v/>
      </c>
      <c r="AD78" s="823">
        <f>SUM(AD75:AD77)</f>
        <v/>
      </c>
      <c r="AE78" s="823">
        <f>SUM(AE75:AE77)</f>
        <v/>
      </c>
      <c r="AF78" s="823">
        <f>SUM(AF75:AF77)</f>
        <v/>
      </c>
      <c r="AG78" s="823">
        <f>SUM(AG75:AG77)</f>
        <v/>
      </c>
      <c r="AH78" s="823">
        <f>SUM(AH75:AH77)</f>
        <v/>
      </c>
      <c r="AI78" s="823">
        <f>SUM(AI75:AI77)</f>
        <v/>
      </c>
      <c r="AJ78" s="823">
        <f>SUM(AJ75:AJ77)</f>
        <v/>
      </c>
      <c r="AK78" s="823">
        <f>SUM(AK75:AK77)</f>
        <v/>
      </c>
      <c r="AL78" s="823">
        <f>SUM(AL75:AL77)</f>
        <v/>
      </c>
      <c r="AM78" s="823">
        <f>SUM(AM75:AM77)</f>
        <v/>
      </c>
      <c r="AN78" s="823">
        <f>SUM(AN75:AN77)</f>
        <v/>
      </c>
      <c r="AO78" s="823">
        <f>SUM(AO75:AO77)</f>
        <v/>
      </c>
      <c r="AP78" s="823">
        <f>SUM(AP75:AP77)</f>
        <v/>
      </c>
      <c r="AQ78" s="823">
        <f>SUM(AQ75:AQ77)</f>
        <v/>
      </c>
      <c r="AR78" s="823">
        <f>SUM(AR75:AR77)</f>
        <v/>
      </c>
      <c r="AS78" s="823">
        <f>SUM(AS75:AS77)</f>
        <v/>
      </c>
      <c r="AT78" s="823">
        <f>SUM(AT75:AT77)</f>
        <v/>
      </c>
      <c r="AU78" s="823">
        <f>SUM(AU75:AU77)</f>
        <v/>
      </c>
      <c r="AV78" s="823">
        <f>SUM(AV75:AV77)</f>
        <v/>
      </c>
      <c r="AW78" s="836">
        <f>SUM(AW75:AW77)</f>
        <v/>
      </c>
      <c r="AX78" s="823">
        <f>SUM(AX75:AX77)</f>
        <v/>
      </c>
      <c r="AY78" s="836">
        <f>SUM(AY75:AY77)</f>
        <v/>
      </c>
      <c r="AZ78" s="823">
        <f>SUM(AZ75:AZ77)</f>
        <v/>
      </c>
      <c r="BA78" s="823">
        <f>SUM(BA75:BA77)</f>
        <v/>
      </c>
      <c r="BB78" s="823">
        <f>SUM(BB75:BB77)</f>
        <v/>
      </c>
      <c r="BC78" s="823">
        <f>SUM(BC75:BC77)</f>
        <v/>
      </c>
      <c r="BD78" s="823">
        <f>SUM(BD75:BD77)</f>
        <v/>
      </c>
      <c r="BE78" s="823">
        <f>SUM(BE75:BE77)</f>
        <v/>
      </c>
      <c r="BF78" s="823">
        <f>SUM(BF75:BF77)</f>
        <v/>
      </c>
      <c r="BG78" s="823">
        <f>SUM(BG75:BG77)</f>
        <v/>
      </c>
      <c r="BH78" s="823">
        <f>SUM(BH75:BH77)</f>
        <v/>
      </c>
      <c r="BI78" s="823">
        <f>SUM(BI75:BI77)</f>
        <v/>
      </c>
      <c r="BJ78" s="823">
        <f>SUM(BJ75:BJ77)</f>
        <v/>
      </c>
      <c r="BK78" s="836">
        <f>SUM(BK75:BK77)</f>
        <v/>
      </c>
      <c r="BL78" s="823">
        <f>SUM(BL75:BL77)</f>
        <v/>
      </c>
      <c r="BM78" s="823">
        <f>SUM(BM75:BM77)</f>
        <v/>
      </c>
      <c r="BN78" s="823">
        <f>SUM(BN75:BN77)</f>
        <v/>
      </c>
      <c r="BO78" s="823">
        <f>SUM(BO75:BO77)</f>
        <v/>
      </c>
      <c r="BP78" s="823">
        <f>SUM(BP75:BP77)</f>
        <v/>
      </c>
      <c r="BQ78" s="823">
        <f>SUM(BQ75:BQ77)</f>
        <v/>
      </c>
      <c r="BR78" s="823">
        <f>SUM(BR75:BR77)</f>
        <v/>
      </c>
      <c r="BS78" s="823">
        <f>SUM(BS75:BS77)</f>
        <v/>
      </c>
      <c r="BT78" s="823">
        <f>SUM(BT75:BT77)</f>
        <v/>
      </c>
      <c r="BU78" s="823">
        <f>SUM(BU75:BU77)</f>
        <v/>
      </c>
      <c r="BV78" s="823">
        <f>SUM(BV75:BV77)</f>
        <v/>
      </c>
      <c r="BW78" s="836">
        <f>SUM(BW75:BW77)</f>
        <v/>
      </c>
      <c r="BX78" s="823">
        <f>SUM(BX75:BX77)</f>
        <v/>
      </c>
      <c r="BY78" s="823">
        <f>SUM(BY75:BY77)</f>
        <v/>
      </c>
      <c r="BZ78" s="823">
        <f>SUM(BZ75:BZ77)</f>
        <v/>
      </c>
      <c r="CA78" s="823">
        <f>SUM(CA75:CA77)</f>
        <v/>
      </c>
      <c r="CB78" s="823">
        <f>SUM(CB75:CB77)</f>
        <v/>
      </c>
      <c r="CC78" s="823">
        <f>SUM(CC75:CC77)</f>
        <v/>
      </c>
      <c r="CD78" s="823">
        <f>SUM(CD75:CD77)</f>
        <v/>
      </c>
      <c r="CE78" s="823">
        <f>SUM(CE75:CE77)</f>
        <v/>
      </c>
      <c r="CF78" s="823">
        <f>SUM(CF75:CF77)</f>
        <v/>
      </c>
      <c r="CG78" s="823">
        <f>SUM(CG75:CG77)</f>
        <v/>
      </c>
      <c r="CH78" s="823">
        <f>SUM(CH75:CH77)</f>
        <v/>
      </c>
      <c r="CI78" s="836">
        <f>SUM(CI75:CI77)</f>
        <v/>
      </c>
      <c r="CJ78" s="823">
        <f>SUM(CJ75:CJ77)</f>
        <v/>
      </c>
      <c r="CK78" s="823">
        <f>SUM(CK75:CK77)</f>
        <v/>
      </c>
      <c r="CL78" s="823">
        <f>SUM(CL75:CL77)</f>
        <v/>
      </c>
      <c r="CM78" s="823">
        <f>SUM(CM75:CM77)</f>
        <v/>
      </c>
      <c r="CN78" s="823">
        <f>SUM(CN75:CN77)</f>
        <v/>
      </c>
      <c r="CO78" s="823">
        <f>SUM(CO75:CO77)</f>
        <v/>
      </c>
      <c r="CP78" s="823">
        <f>SUM(CP75:CP77)</f>
        <v/>
      </c>
      <c r="CQ78" s="823">
        <f>SUM(CQ75:CQ77)</f>
        <v/>
      </c>
      <c r="CR78" s="823">
        <f>SUM(CR75:CR77)</f>
        <v/>
      </c>
      <c r="CS78" s="823">
        <f>SUM(CS75:CS77)</f>
        <v/>
      </c>
      <c r="CT78" s="823">
        <f>SUM(CT75:CT77)</f>
        <v/>
      </c>
      <c r="CU78" s="836">
        <f>SUM(CU75:CU77)</f>
        <v/>
      </c>
      <c r="CV78" s="823">
        <f>SUM(CV75:CV77)</f>
        <v/>
      </c>
      <c r="CW78" s="823">
        <f>SUM(CW75:CW77)</f>
        <v/>
      </c>
      <c r="CX78" s="823">
        <f>SUM(CX75:CX77)</f>
        <v/>
      </c>
      <c r="CY78" s="823">
        <f>SUM(CY75:CY77)</f>
        <v/>
      </c>
      <c r="CZ78" s="823">
        <f>SUM(CZ75:CZ77)</f>
        <v/>
      </c>
      <c r="DA78" s="823">
        <f>SUM(DA75:DA77)</f>
        <v/>
      </c>
      <c r="DB78" s="823">
        <f>SUM(DB75:DB77)</f>
        <v/>
      </c>
      <c r="DC78" s="823">
        <f>SUM(DC75:DC77)</f>
        <v/>
      </c>
      <c r="DD78" s="823">
        <f>SUM(DD75:DD77)</f>
        <v/>
      </c>
      <c r="DE78" s="823">
        <f>SUM(DE75:DE77)</f>
        <v/>
      </c>
      <c r="DF78" s="823">
        <f>SUM(DF75:DF77)</f>
        <v/>
      </c>
      <c r="DG78" s="823">
        <f>SUM(DG75:DG77)</f>
        <v/>
      </c>
    </row>
    <row r="79">
      <c r="B79" s="1" t="inlineStr">
        <is>
          <t xml:space="preserve">      60300 Legal &amp; Accounting Services</t>
        </is>
      </c>
      <c r="C79" s="1" t="n"/>
      <c r="D79" s="838" t="n"/>
      <c r="E79" s="838" t="n"/>
      <c r="F79" s="838" t="n"/>
      <c r="G79" s="838" t="n"/>
      <c r="H79" s="838" t="n"/>
      <c r="I79" s="838" t="n"/>
      <c r="J79" s="838" t="n"/>
      <c r="K79" s="838" t="n"/>
      <c r="L79" s="838" t="n"/>
      <c r="M79" s="838" t="n"/>
      <c r="N79" s="838" t="n"/>
      <c r="O79" s="838" t="n"/>
      <c r="P79" s="838" t="n"/>
      <c r="Q79" s="838" t="n"/>
      <c r="R79" s="838" t="n"/>
      <c r="S79" s="838" t="n"/>
      <c r="T79" s="838" t="n"/>
      <c r="U79" s="838" t="n"/>
      <c r="V79" s="838" t="n"/>
      <c r="W79" s="838" t="n"/>
      <c r="X79" s="838" t="n"/>
      <c r="Y79" s="838" t="n"/>
      <c r="Z79" s="838" t="n"/>
      <c r="AA79" s="838" t="n"/>
      <c r="AB79" s="838" t="n"/>
      <c r="AC79" s="838" t="n"/>
      <c r="AD79" s="838" t="n"/>
      <c r="AE79" s="838" t="n"/>
      <c r="AF79" s="838" t="n"/>
      <c r="AG79" s="838" t="n"/>
      <c r="AH79" s="838" t="n"/>
      <c r="AI79" s="838" t="n"/>
      <c r="AJ79" s="838" t="n"/>
      <c r="AK79" s="838" t="n"/>
      <c r="AL79" s="838" t="n"/>
      <c r="AM79" s="838" t="n"/>
      <c r="AN79" s="838" t="n"/>
      <c r="AO79" s="838" t="n"/>
      <c r="AP79" s="838" t="n"/>
      <c r="AQ79" s="838" t="n"/>
      <c r="AR79" s="838" t="n"/>
      <c r="AS79" s="838" t="n"/>
      <c r="AT79" s="838" t="n"/>
      <c r="AU79" s="838" t="n"/>
      <c r="AV79" s="838" t="n"/>
      <c r="AW79" s="839" t="n"/>
      <c r="AX79" s="838" t="n"/>
      <c r="AY79" s="839" t="n"/>
      <c r="AZ79" s="838" t="n"/>
      <c r="BA79" s="838" t="n"/>
      <c r="BB79" s="838" t="n"/>
      <c r="BC79" s="838" t="n"/>
      <c r="BD79" s="838" t="n"/>
      <c r="BE79" s="838" t="n"/>
      <c r="BF79" s="838" t="n"/>
      <c r="BG79" s="838" t="n"/>
      <c r="BH79" s="838" t="n"/>
      <c r="BI79" s="838" t="n"/>
      <c r="BJ79" s="838" t="n"/>
      <c r="BK79" s="839" t="n"/>
      <c r="BL79" s="838" t="n"/>
      <c r="BM79" s="838" t="n"/>
      <c r="BN79" s="838" t="n"/>
      <c r="BO79" s="838" t="n"/>
      <c r="BP79" s="838" t="n"/>
      <c r="BQ79" s="838" t="n"/>
      <c r="BR79" s="838" t="n"/>
      <c r="BS79" s="838" t="n"/>
      <c r="BT79" s="838" t="n"/>
      <c r="BU79" s="838" t="n"/>
      <c r="BV79" s="838" t="n"/>
      <c r="BW79" s="839" t="n"/>
      <c r="BX79" s="838" t="n"/>
      <c r="BY79" s="838" t="n"/>
      <c r="BZ79" s="838" t="n"/>
      <c r="CA79" s="838" t="n"/>
      <c r="CB79" s="838" t="n"/>
      <c r="CC79" s="838" t="n"/>
      <c r="CD79" s="838" t="n"/>
      <c r="CE79" s="838" t="n"/>
      <c r="CF79" s="838" t="n"/>
      <c r="CG79" s="838" t="n"/>
      <c r="CH79" s="838" t="n"/>
      <c r="CI79" s="839" t="n"/>
      <c r="CJ79" s="838" t="n"/>
      <c r="CK79" s="838" t="n"/>
      <c r="CL79" s="838" t="n"/>
      <c r="CM79" s="838" t="n"/>
      <c r="CN79" s="838" t="n"/>
      <c r="CO79" s="838" t="n"/>
      <c r="CP79" s="838" t="n"/>
      <c r="CQ79" s="838" t="n"/>
      <c r="CR79" s="838" t="n"/>
      <c r="CS79" s="838" t="n"/>
      <c r="CT79" s="838" t="n"/>
      <c r="CU79" s="839" t="n"/>
      <c r="CV79" s="838" t="n"/>
      <c r="CW79" s="838" t="n"/>
      <c r="CX79" s="838" t="n"/>
      <c r="CY79" s="838" t="n"/>
      <c r="CZ79" s="838" t="n"/>
      <c r="DA79" s="838" t="n"/>
      <c r="DB79" s="838" t="n"/>
      <c r="DC79" s="838" t="n"/>
      <c r="DD79" s="838" t="n"/>
      <c r="DE79" s="838" t="n"/>
      <c r="DF79" s="838" t="n"/>
      <c r="DG79" s="838" t="n"/>
    </row>
    <row r="80">
      <c r="B80" s="1" t="inlineStr">
        <is>
          <t xml:space="preserve">         60310 Finance &amp; Accounting</t>
        </is>
      </c>
      <c r="C80" s="1" t="n"/>
      <c r="D80" s="838" t="n"/>
      <c r="E80" s="838" t="n"/>
      <c r="F80" s="838" t="n"/>
      <c r="G80" s="838" t="n"/>
      <c r="H80" s="838" t="n"/>
      <c r="I80" s="838" t="n"/>
      <c r="J80" s="838" t="n"/>
      <c r="K80" s="838" t="n"/>
      <c r="L80" s="838" t="n"/>
      <c r="M80" s="838" t="n"/>
      <c r="N80" s="838" t="n"/>
      <c r="O80" s="838" t="n"/>
      <c r="P80" s="838" t="n"/>
      <c r="Q80" s="838" t="n"/>
      <c r="R80" s="838" t="n"/>
      <c r="S80" s="838" t="n"/>
      <c r="T80" s="838" t="n"/>
      <c r="U80" s="838" t="n"/>
      <c r="V80" s="838" t="n"/>
      <c r="W80" s="838" t="n"/>
      <c r="X80" s="838" t="n"/>
      <c r="Y80" s="838" t="n"/>
      <c r="Z80" s="838" t="n"/>
      <c r="AA80" s="838" t="n"/>
      <c r="AB80" s="838" t="n"/>
      <c r="AC80" s="838" t="n"/>
      <c r="AD80" s="838" t="n"/>
      <c r="AE80" s="838" t="n"/>
      <c r="AF80" s="838" t="n"/>
      <c r="AG80" s="838" t="n"/>
      <c r="AH80" s="838" t="n"/>
      <c r="AI80" s="838" t="n"/>
      <c r="AJ80" s="111" t="n">
        <v>400</v>
      </c>
      <c r="AK80" s="111" t="n">
        <v>284.47</v>
      </c>
      <c r="AL80" s="111" t="n">
        <v>330.08</v>
      </c>
      <c r="AM80" s="111" t="n">
        <v>280.5</v>
      </c>
      <c r="AN80" s="111" t="n">
        <v>211.67</v>
      </c>
      <c r="AO80" s="111" t="n">
        <v>368.33</v>
      </c>
      <c r="AP80" s="111" t="n">
        <v>353.33</v>
      </c>
      <c r="AQ80" s="111" t="n">
        <v>330</v>
      </c>
      <c r="AR80" s="111" t="n">
        <v>297.5</v>
      </c>
      <c r="AS80" s="111" t="n">
        <v>276.25</v>
      </c>
      <c r="AT80" s="111" t="n">
        <v>382.5</v>
      </c>
      <c r="AU80" s="111" t="n">
        <v>297.5</v>
      </c>
      <c r="AV80" s="111" t="n">
        <v>318.75</v>
      </c>
      <c r="AW80" s="244" t="n">
        <v>383.75</v>
      </c>
      <c r="AX80" s="611" t="n">
        <v>350</v>
      </c>
      <c r="AY80" s="244">
        <f>+IF(AX$1&lt;&gt;AY$1, AX80*1.1, AX80)</f>
        <v/>
      </c>
      <c r="AZ80" s="111">
        <f>+IF(AY$1&lt;&gt;AZ$1, AY80*1.1, AY80)</f>
        <v/>
      </c>
      <c r="BA80" s="111">
        <f>+IF(AZ$1&lt;&gt;BA$1, AZ80*1.1, AZ80)</f>
        <v/>
      </c>
      <c r="BB80" s="111">
        <f>+IF(BA$1&lt;&gt;BB$1, BA80*1.1, BA80)</f>
        <v/>
      </c>
      <c r="BC80" s="111">
        <f>+IF(BB$1&lt;&gt;BC$1, BB80*1.1, BB80)</f>
        <v/>
      </c>
      <c r="BD80" s="111">
        <f>+IF(BC$1&lt;&gt;BD$1, BC80*1.1, BC80)</f>
        <v/>
      </c>
      <c r="BE80" s="111">
        <f>+IF(BD$1&lt;&gt;BE$1, BD80*1.1, BD80)</f>
        <v/>
      </c>
      <c r="BF80" s="111">
        <f>+IF(BE$1&lt;&gt;BF$1, BE80*1.1, BE80)</f>
        <v/>
      </c>
      <c r="BG80" s="111">
        <f>+IF(BF$1&lt;&gt;BG$1, BF80*1.1, BF80)</f>
        <v/>
      </c>
      <c r="BH80" s="111">
        <f>+IF(BG$1&lt;&gt;BH$1, BG80*1.1, BG80)</f>
        <v/>
      </c>
      <c r="BI80" s="111">
        <f>+IF(BH$1&lt;&gt;BI$1, BH80*1.1, BH80)</f>
        <v/>
      </c>
      <c r="BJ80" s="111">
        <f>+IF(BI$1&lt;&gt;BJ$1, BI80*1.1, BI80)</f>
        <v/>
      </c>
      <c r="BK80" s="244">
        <f>+IF(BJ$1&lt;&gt;BK$1, BJ80*1.1, BJ80)</f>
        <v/>
      </c>
      <c r="BL80" s="111">
        <f>+IF(BK$1&lt;&gt;BL$1, BK80*1.1, BK80)</f>
        <v/>
      </c>
      <c r="BM80" s="111">
        <f>+IF(BL$1&lt;&gt;BM$1, BL80*1.1, BL80)</f>
        <v/>
      </c>
      <c r="BN80" s="111">
        <f>+IF(BM$1&lt;&gt;BN$1, BM80*1.1, BM80)</f>
        <v/>
      </c>
      <c r="BO80" s="111">
        <f>+IF(BN$1&lt;&gt;BO$1, BN80*1.1, BN80)</f>
        <v/>
      </c>
      <c r="BP80" s="111">
        <f>+IF(BO$1&lt;&gt;BP$1, BO80*1.1, BO80)</f>
        <v/>
      </c>
      <c r="BQ80" s="111">
        <f>+IF(BP$1&lt;&gt;BQ$1, BP80*1.1, BP80)</f>
        <v/>
      </c>
      <c r="BR80" s="111">
        <f>+IF(BQ$1&lt;&gt;BR$1, BQ80*1.1, BQ80)</f>
        <v/>
      </c>
      <c r="BS80" s="111">
        <f>+IF(BR$1&lt;&gt;BS$1, BR80*1.1, BR80)</f>
        <v/>
      </c>
      <c r="BT80" s="111">
        <f>+IF(BS$1&lt;&gt;BT$1, BS80*1.1, BS80)</f>
        <v/>
      </c>
      <c r="BU80" s="111">
        <f>+IF(BT$1&lt;&gt;BU$1, BT80*1.1, BT80)</f>
        <v/>
      </c>
      <c r="BV80" s="111">
        <f>+IF(BU$1&lt;&gt;BV$1, BU80*1.1, BU80)</f>
        <v/>
      </c>
      <c r="BW80" s="244">
        <f>+IF(BV$1&lt;&gt;BW$1, BV80*1.1, BV80)</f>
        <v/>
      </c>
      <c r="BX80" s="111">
        <f>+IF(BW$1&lt;&gt;BX$1, BW80*1.1, BW80)</f>
        <v/>
      </c>
      <c r="BY80" s="111">
        <f>+IF(BX$1&lt;&gt;BY$1, BX80*1.1, BX80)</f>
        <v/>
      </c>
      <c r="BZ80" s="111">
        <f>+IF(BY$1&lt;&gt;BZ$1, BY80*1.1, BY80)</f>
        <v/>
      </c>
      <c r="CA80" s="111">
        <f>+IF(BZ$1&lt;&gt;CA$1, BZ80*1.1, BZ80)</f>
        <v/>
      </c>
      <c r="CB80" s="111">
        <f>+IF(CA$1&lt;&gt;CB$1, CA80*1.1, CA80)</f>
        <v/>
      </c>
      <c r="CC80" s="111">
        <f>+IF(CB$1&lt;&gt;CC$1, CB80*1.1, CB80)</f>
        <v/>
      </c>
      <c r="CD80" s="111">
        <f>+IF(CC$1&lt;&gt;CD$1, CC80*1.1, CC80)</f>
        <v/>
      </c>
      <c r="CE80" s="111">
        <f>+IF(CD$1&lt;&gt;CE$1, CD80*1.1, CD80)</f>
        <v/>
      </c>
      <c r="CF80" s="111">
        <f>+IF(CE$1&lt;&gt;CF$1, CE80*1.1, CE80)</f>
        <v/>
      </c>
      <c r="CG80" s="111">
        <f>+IF(CF$1&lt;&gt;CG$1, CF80*1.1, CF80)</f>
        <v/>
      </c>
      <c r="CH80" s="111">
        <f>+IF(CG$1&lt;&gt;CH$1, CG80*1.1, CG80)</f>
        <v/>
      </c>
      <c r="CI80" s="244">
        <f>+IF(CH$1&lt;&gt;CI$1, CH80*1.1, CH80)</f>
        <v/>
      </c>
      <c r="CJ80" s="111">
        <f>+IF(CI$1&lt;&gt;CJ$1, CI80*1.1, CI80)</f>
        <v/>
      </c>
      <c r="CK80" s="111">
        <f>+IF(CJ$1&lt;&gt;CK$1, CJ80*1.1, CJ80)</f>
        <v/>
      </c>
      <c r="CL80" s="111">
        <f>+IF(CK$1&lt;&gt;CL$1, CK80*1.1, CK80)</f>
        <v/>
      </c>
      <c r="CM80" s="111">
        <f>+IF(CL$1&lt;&gt;CM$1, CL80*1.1, CL80)</f>
        <v/>
      </c>
      <c r="CN80" s="111">
        <f>+IF(CM$1&lt;&gt;CN$1, CM80*1.1, CM80)</f>
        <v/>
      </c>
      <c r="CO80" s="111">
        <f>+IF(CN$1&lt;&gt;CO$1, CN80*1.1, CN80)</f>
        <v/>
      </c>
      <c r="CP80" s="111">
        <f>+IF(CO$1&lt;&gt;CP$1, CO80*1.1, CO80)</f>
        <v/>
      </c>
      <c r="CQ80" s="111">
        <f>+IF(CP$1&lt;&gt;CQ$1, CP80*1.1, CP80)</f>
        <v/>
      </c>
      <c r="CR80" s="111">
        <f>+IF(CQ$1&lt;&gt;CR$1, CQ80*1.1, CQ80)</f>
        <v/>
      </c>
      <c r="CS80" s="111">
        <f>+IF(CR$1&lt;&gt;CS$1, CR80*1.1, CR80)</f>
        <v/>
      </c>
      <c r="CT80" s="111">
        <f>+IF(CS$1&lt;&gt;CT$1, CS80*1.1, CS80)</f>
        <v/>
      </c>
      <c r="CU80" s="244">
        <f>+IF(CT$1&lt;&gt;CU$1, CT80*1.1, CT80)</f>
        <v/>
      </c>
      <c r="CV80" s="111">
        <f>+IF(CU$1&lt;&gt;CV$1, CU80*1.1, CU80)</f>
        <v/>
      </c>
      <c r="CW80" s="111">
        <f>+IF(CV$1&lt;&gt;CW$1, CV80*1.1, CV80)</f>
        <v/>
      </c>
      <c r="CX80" s="111">
        <f>+IF(CW$1&lt;&gt;CX$1, CW80*1.1, CW80)</f>
        <v/>
      </c>
      <c r="CY80" s="111">
        <f>+IF(CX$1&lt;&gt;CY$1, CX80*1.1, CX80)</f>
        <v/>
      </c>
      <c r="CZ80" s="111">
        <f>+IF(CY$1&lt;&gt;CZ$1, CY80*1.1, CY80)</f>
        <v/>
      </c>
      <c r="DA80" s="111">
        <f>+IF(CZ$1&lt;&gt;DA$1, CZ80*1.1, CZ80)</f>
        <v/>
      </c>
      <c r="DB80" s="111">
        <f>+IF(DA$1&lt;&gt;DB$1, DA80*1.1, DA80)</f>
        <v/>
      </c>
      <c r="DC80" s="111">
        <f>+IF(DB$1&lt;&gt;DC$1, DB80*1.1, DB80)</f>
        <v/>
      </c>
      <c r="DD80" s="111">
        <f>+IF(DC$1&lt;&gt;DD$1, DC80*1.1, DC80)</f>
        <v/>
      </c>
      <c r="DE80" s="111">
        <f>+IF(DD$1&lt;&gt;DE$1, DD80*1.1, DD80)</f>
        <v/>
      </c>
      <c r="DF80" s="111">
        <f>+IF(DE$1&lt;&gt;DF$1, DE80*1.1, DE80)</f>
        <v/>
      </c>
      <c r="DG80" s="111">
        <f>+IF(DF$1&lt;&gt;DG$1, DF80*1.1, DF80)</f>
        <v/>
      </c>
    </row>
    <row r="81">
      <c r="B81" s="1" t="inlineStr">
        <is>
          <t xml:space="preserve">         60320 Legal Fees</t>
        </is>
      </c>
      <c r="C81" s="1" t="n"/>
      <c r="D81" s="838" t="n"/>
      <c r="E81" s="838" t="n"/>
      <c r="F81" s="838" t="n"/>
      <c r="G81" s="838" t="n"/>
      <c r="H81" s="838" t="n"/>
      <c r="I81" s="838" t="n"/>
      <c r="J81" s="838" t="n"/>
      <c r="K81" s="838" t="n"/>
      <c r="L81" s="838" t="n"/>
      <c r="M81" s="838" t="n"/>
      <c r="N81" s="838" t="n"/>
      <c r="O81" s="838" t="n"/>
      <c r="P81" s="838" t="n"/>
      <c r="Q81" s="838" t="n"/>
      <c r="R81" s="838" t="n"/>
      <c r="S81" s="838" t="n"/>
      <c r="T81" s="838" t="n"/>
      <c r="U81" s="838" t="n"/>
      <c r="V81" s="838" t="n"/>
      <c r="W81" s="838" t="n"/>
      <c r="X81" s="838" t="n"/>
      <c r="Y81" s="838" t="n"/>
      <c r="Z81" s="838" t="n"/>
      <c r="AA81" s="838" t="n"/>
      <c r="AB81" s="838" t="n"/>
      <c r="AC81" s="838" t="n"/>
      <c r="AD81" s="838" t="n"/>
      <c r="AE81" s="838" t="n"/>
      <c r="AF81" s="838" t="n"/>
      <c r="AG81" s="838" t="n"/>
      <c r="AH81" s="838" t="n"/>
      <c r="AI81" s="838" t="n"/>
      <c r="AJ81" s="111" t="n"/>
      <c r="AK81" s="111" t="n"/>
      <c r="AL81" s="111" t="n"/>
      <c r="AM81" s="111" t="n"/>
      <c r="AN81" s="111" t="n"/>
      <c r="AO81" s="111" t="n"/>
      <c r="AP81" s="111" t="n"/>
      <c r="AQ81" s="111" t="n"/>
      <c r="AR81" s="111" t="n">
        <v>75.51000000000001</v>
      </c>
      <c r="AS81" s="111" t="n">
        <v>0</v>
      </c>
      <c r="AT81" s="111" t="n">
        <v>0</v>
      </c>
      <c r="AU81" s="111" t="n">
        <v>0</v>
      </c>
      <c r="AV81" s="111" t="n">
        <v>0</v>
      </c>
      <c r="AW81" s="244" t="n">
        <v>0</v>
      </c>
      <c r="AX81" s="611">
        <f>+AL81</f>
        <v/>
      </c>
      <c r="AY81" s="244">
        <f>+AM81</f>
        <v/>
      </c>
      <c r="AZ81" s="111">
        <f>+AN81</f>
        <v/>
      </c>
      <c r="BA81" s="111">
        <f>+AO81</f>
        <v/>
      </c>
      <c r="BB81" s="111">
        <f>+AP81</f>
        <v/>
      </c>
      <c r="BC81" s="111">
        <f>+AQ81</f>
        <v/>
      </c>
      <c r="BD81" s="111">
        <f>+AR81</f>
        <v/>
      </c>
      <c r="BE81" s="111">
        <f>+AS81</f>
        <v/>
      </c>
      <c r="BF81" s="111">
        <f>+AT81</f>
        <v/>
      </c>
      <c r="BG81" s="111">
        <f>+AU81</f>
        <v/>
      </c>
      <c r="BH81" s="111">
        <f>+AV81</f>
        <v/>
      </c>
      <c r="BI81" s="111">
        <f>+AW81</f>
        <v/>
      </c>
      <c r="BJ81" s="111">
        <f>+AX81</f>
        <v/>
      </c>
      <c r="BK81" s="244">
        <f>+AY81</f>
        <v/>
      </c>
      <c r="BL81" s="111">
        <f>+AZ81</f>
        <v/>
      </c>
      <c r="BM81" s="111">
        <f>+BA81</f>
        <v/>
      </c>
      <c r="BN81" s="111">
        <f>+BB81</f>
        <v/>
      </c>
      <c r="BO81" s="111">
        <f>+BC81</f>
        <v/>
      </c>
      <c r="BP81" s="111">
        <f>+BD81</f>
        <v/>
      </c>
      <c r="BQ81" s="111">
        <f>+BE81</f>
        <v/>
      </c>
      <c r="BR81" s="111">
        <f>+BF81</f>
        <v/>
      </c>
      <c r="BS81" s="111">
        <f>+BG81</f>
        <v/>
      </c>
      <c r="BT81" s="111">
        <f>+BH81</f>
        <v/>
      </c>
      <c r="BU81" s="111">
        <f>+BI81</f>
        <v/>
      </c>
      <c r="BV81" s="111">
        <f>+BJ81</f>
        <v/>
      </c>
      <c r="BW81" s="244">
        <f>+BK81</f>
        <v/>
      </c>
      <c r="BX81" s="111">
        <f>+BL81</f>
        <v/>
      </c>
      <c r="BY81" s="111">
        <f>+BM81</f>
        <v/>
      </c>
      <c r="BZ81" s="111">
        <f>+BN81</f>
        <v/>
      </c>
      <c r="CA81" s="111">
        <f>+BO81</f>
        <v/>
      </c>
      <c r="CB81" s="111">
        <f>+BP81</f>
        <v/>
      </c>
      <c r="CC81" s="111">
        <f>+BQ81</f>
        <v/>
      </c>
      <c r="CD81" s="111">
        <f>+BR81</f>
        <v/>
      </c>
      <c r="CE81" s="111">
        <f>+BS81</f>
        <v/>
      </c>
      <c r="CF81" s="111">
        <f>+BT81</f>
        <v/>
      </c>
      <c r="CG81" s="111">
        <f>+BU81</f>
        <v/>
      </c>
      <c r="CH81" s="111">
        <f>+BV81</f>
        <v/>
      </c>
      <c r="CI81" s="244">
        <f>+BW81</f>
        <v/>
      </c>
      <c r="CJ81" s="111">
        <f>+BX81</f>
        <v/>
      </c>
      <c r="CK81" s="111">
        <f>+BY81</f>
        <v/>
      </c>
      <c r="CL81" s="111">
        <f>+BZ81</f>
        <v/>
      </c>
      <c r="CM81" s="111">
        <f>+CA81</f>
        <v/>
      </c>
      <c r="CN81" s="111">
        <f>+CB81</f>
        <v/>
      </c>
      <c r="CO81" s="111">
        <f>+CC81</f>
        <v/>
      </c>
      <c r="CP81" s="111">
        <f>+CD81</f>
        <v/>
      </c>
      <c r="CQ81" s="111">
        <f>+CE81</f>
        <v/>
      </c>
      <c r="CR81" s="111">
        <f>+CF81</f>
        <v/>
      </c>
      <c r="CS81" s="111">
        <f>+CG81</f>
        <v/>
      </c>
      <c r="CT81" s="111">
        <f>+CH81</f>
        <v/>
      </c>
      <c r="CU81" s="244">
        <f>+CI81</f>
        <v/>
      </c>
      <c r="CV81" s="111">
        <f>+CJ81</f>
        <v/>
      </c>
      <c r="CW81" s="111">
        <f>+CK81</f>
        <v/>
      </c>
      <c r="CX81" s="111">
        <f>+CL81</f>
        <v/>
      </c>
      <c r="CY81" s="111">
        <f>+CM81</f>
        <v/>
      </c>
      <c r="CZ81" s="111">
        <f>+CN81</f>
        <v/>
      </c>
      <c r="DA81" s="111">
        <f>+CO81</f>
        <v/>
      </c>
      <c r="DB81" s="111">
        <f>+CP81</f>
        <v/>
      </c>
      <c r="DC81" s="111">
        <f>+CQ81</f>
        <v/>
      </c>
      <c r="DD81" s="111">
        <f>+CR81</f>
        <v/>
      </c>
      <c r="DE81" s="111">
        <f>+CS81</f>
        <v/>
      </c>
      <c r="DF81" s="111">
        <f>+CT81</f>
        <v/>
      </c>
      <c r="DG81" s="111">
        <f>+CU81</f>
        <v/>
      </c>
    </row>
    <row r="82">
      <c r="B82" s="4" t="inlineStr">
        <is>
          <t xml:space="preserve">      Total 60300 Legal &amp; Accounting Services</t>
        </is>
      </c>
      <c r="C82" s="4" t="n"/>
      <c r="D82" s="823" t="n"/>
      <c r="E82" s="823" t="n"/>
      <c r="F82" s="823" t="n"/>
      <c r="G82" s="823" t="n"/>
      <c r="H82" s="823" t="n"/>
      <c r="I82" s="823" t="n"/>
      <c r="J82" s="823" t="n"/>
      <c r="K82" s="823" t="n"/>
      <c r="L82" s="823" t="n"/>
      <c r="M82" s="823" t="n"/>
      <c r="N82" s="823" t="n"/>
      <c r="O82" s="823" t="n"/>
      <c r="P82" s="823" t="n"/>
      <c r="Q82" s="823" t="n"/>
      <c r="R82" s="823" t="n"/>
      <c r="S82" s="823" t="n"/>
      <c r="T82" s="823" t="n"/>
      <c r="U82" s="823" t="n"/>
      <c r="V82" s="823" t="n"/>
      <c r="W82" s="823" t="n"/>
      <c r="X82" s="823" t="n"/>
      <c r="Y82" s="823" t="n"/>
      <c r="Z82" s="823" t="n"/>
      <c r="AA82" s="823" t="n"/>
      <c r="AB82" s="823">
        <f>SUM(AB79:AB80)</f>
        <v/>
      </c>
      <c r="AC82" s="823">
        <f>SUM(AC79:AC80)</f>
        <v/>
      </c>
      <c r="AD82" s="823">
        <f>SUM(AD79:AD80)</f>
        <v/>
      </c>
      <c r="AE82" s="823">
        <f>SUM(AE79:AE80)</f>
        <v/>
      </c>
      <c r="AF82" s="823">
        <f>SUM(AF79:AF80)</f>
        <v/>
      </c>
      <c r="AG82" s="823">
        <f>SUM(AG79:AG80)</f>
        <v/>
      </c>
      <c r="AH82" s="823">
        <f>SUM(AH79:AH80)</f>
        <v/>
      </c>
      <c r="AI82" s="823">
        <f>SUM(AI79:AI80)</f>
        <v/>
      </c>
      <c r="AJ82" s="823">
        <f>SUM(AJ79:AJ80)</f>
        <v/>
      </c>
      <c r="AK82" s="823">
        <f>SUM(AK79:AK80)</f>
        <v/>
      </c>
      <c r="AL82" s="823">
        <f>SUM(AL79:AL80)</f>
        <v/>
      </c>
      <c r="AM82" s="823">
        <f>SUM(AM79:AM80)</f>
        <v/>
      </c>
      <c r="AN82" s="823">
        <f>SUM(AN79:AN81)</f>
        <v/>
      </c>
      <c r="AO82" s="823">
        <f>SUM(AO79:AO81)</f>
        <v/>
      </c>
      <c r="AP82" s="823">
        <f>SUM(AP79:AP81)</f>
        <v/>
      </c>
      <c r="AQ82" s="823">
        <f>SUM(AQ79:AQ81)</f>
        <v/>
      </c>
      <c r="AR82" s="823">
        <f>SUM(AR79:AR81)</f>
        <v/>
      </c>
      <c r="AS82" s="823">
        <f>SUM(AS79:AS81)</f>
        <v/>
      </c>
      <c r="AT82" s="823">
        <f>SUM(AT79:AT81)</f>
        <v/>
      </c>
      <c r="AU82" s="823">
        <f>SUM(AU79:AU81)</f>
        <v/>
      </c>
      <c r="AV82" s="823">
        <f>SUM(AV79:AV81)</f>
        <v/>
      </c>
      <c r="AW82" s="836">
        <f>SUM(AW79:AW81)</f>
        <v/>
      </c>
      <c r="AX82" s="823">
        <f>SUM(AX79:AX81)</f>
        <v/>
      </c>
      <c r="AY82" s="836">
        <f>SUM(AY79:AY81)</f>
        <v/>
      </c>
      <c r="AZ82" s="823">
        <f>SUM(AZ79:AZ81)</f>
        <v/>
      </c>
      <c r="BA82" s="823">
        <f>SUM(BA79:BA81)</f>
        <v/>
      </c>
      <c r="BB82" s="823">
        <f>SUM(BB79:BB81)</f>
        <v/>
      </c>
      <c r="BC82" s="823">
        <f>SUM(BC79:BC81)</f>
        <v/>
      </c>
      <c r="BD82" s="823">
        <f>SUM(BD79:BD81)</f>
        <v/>
      </c>
      <c r="BE82" s="823">
        <f>SUM(BE79:BE81)</f>
        <v/>
      </c>
      <c r="BF82" s="823">
        <f>SUM(BF79:BF81)</f>
        <v/>
      </c>
      <c r="BG82" s="823">
        <f>SUM(BG79:BG81)</f>
        <v/>
      </c>
      <c r="BH82" s="823">
        <f>SUM(BH79:BH81)</f>
        <v/>
      </c>
      <c r="BI82" s="823">
        <f>SUM(BI79:BI81)</f>
        <v/>
      </c>
      <c r="BJ82" s="823">
        <f>SUM(BJ79:BJ81)</f>
        <v/>
      </c>
      <c r="BK82" s="836">
        <f>SUM(BK79:BK81)</f>
        <v/>
      </c>
      <c r="BL82" s="823">
        <f>SUM(BL79:BL81)</f>
        <v/>
      </c>
      <c r="BM82" s="823">
        <f>SUM(BM79:BM81)</f>
        <v/>
      </c>
      <c r="BN82" s="823">
        <f>SUM(BN79:BN81)</f>
        <v/>
      </c>
      <c r="BO82" s="823">
        <f>SUM(BO79:BO81)</f>
        <v/>
      </c>
      <c r="BP82" s="823">
        <f>SUM(BP79:BP81)</f>
        <v/>
      </c>
      <c r="BQ82" s="823">
        <f>SUM(BQ79:BQ81)</f>
        <v/>
      </c>
      <c r="BR82" s="823">
        <f>SUM(BR79:BR81)</f>
        <v/>
      </c>
      <c r="BS82" s="823">
        <f>SUM(BS79:BS81)</f>
        <v/>
      </c>
      <c r="BT82" s="823">
        <f>SUM(BT79:BT81)</f>
        <v/>
      </c>
      <c r="BU82" s="823">
        <f>SUM(BU79:BU81)</f>
        <v/>
      </c>
      <c r="BV82" s="823">
        <f>SUM(BV79:BV81)</f>
        <v/>
      </c>
      <c r="BW82" s="836">
        <f>SUM(BW79:BW81)</f>
        <v/>
      </c>
      <c r="BX82" s="823">
        <f>SUM(BX79:BX81)</f>
        <v/>
      </c>
      <c r="BY82" s="823">
        <f>SUM(BY79:BY81)</f>
        <v/>
      </c>
      <c r="BZ82" s="823">
        <f>SUM(BZ79:BZ81)</f>
        <v/>
      </c>
      <c r="CA82" s="823">
        <f>SUM(CA79:CA81)</f>
        <v/>
      </c>
      <c r="CB82" s="823">
        <f>SUM(CB79:CB81)</f>
        <v/>
      </c>
      <c r="CC82" s="823">
        <f>SUM(CC79:CC81)</f>
        <v/>
      </c>
      <c r="CD82" s="823">
        <f>SUM(CD79:CD81)</f>
        <v/>
      </c>
      <c r="CE82" s="823">
        <f>SUM(CE79:CE81)</f>
        <v/>
      </c>
      <c r="CF82" s="823">
        <f>SUM(CF79:CF81)</f>
        <v/>
      </c>
      <c r="CG82" s="823">
        <f>SUM(CG79:CG81)</f>
        <v/>
      </c>
      <c r="CH82" s="823">
        <f>SUM(CH79:CH81)</f>
        <v/>
      </c>
      <c r="CI82" s="836">
        <f>SUM(CI79:CI81)</f>
        <v/>
      </c>
      <c r="CJ82" s="823">
        <f>SUM(CJ79:CJ81)</f>
        <v/>
      </c>
      <c r="CK82" s="823">
        <f>SUM(CK79:CK81)</f>
        <v/>
      </c>
      <c r="CL82" s="823">
        <f>SUM(CL79:CL81)</f>
        <v/>
      </c>
      <c r="CM82" s="823">
        <f>SUM(CM79:CM81)</f>
        <v/>
      </c>
      <c r="CN82" s="823">
        <f>SUM(CN79:CN81)</f>
        <v/>
      </c>
      <c r="CO82" s="823">
        <f>SUM(CO79:CO81)</f>
        <v/>
      </c>
      <c r="CP82" s="823">
        <f>SUM(CP79:CP81)</f>
        <v/>
      </c>
      <c r="CQ82" s="823">
        <f>SUM(CQ79:CQ81)</f>
        <v/>
      </c>
      <c r="CR82" s="823">
        <f>SUM(CR79:CR81)</f>
        <v/>
      </c>
      <c r="CS82" s="823">
        <f>SUM(CS79:CS81)</f>
        <v/>
      </c>
      <c r="CT82" s="823">
        <f>SUM(CT79:CT81)</f>
        <v/>
      </c>
      <c r="CU82" s="836">
        <f>SUM(CU79:CU81)</f>
        <v/>
      </c>
      <c r="CV82" s="823">
        <f>SUM(CV79:CV81)</f>
        <v/>
      </c>
      <c r="CW82" s="823">
        <f>SUM(CW79:CW81)</f>
        <v/>
      </c>
      <c r="CX82" s="823">
        <f>SUM(CX79:CX81)</f>
        <v/>
      </c>
      <c r="CY82" s="823">
        <f>SUM(CY79:CY81)</f>
        <v/>
      </c>
      <c r="CZ82" s="823">
        <f>SUM(CZ79:CZ81)</f>
        <v/>
      </c>
      <c r="DA82" s="823">
        <f>SUM(DA79:DA81)</f>
        <v/>
      </c>
      <c r="DB82" s="823">
        <f>SUM(DB79:DB81)</f>
        <v/>
      </c>
      <c r="DC82" s="823">
        <f>SUM(DC79:DC81)</f>
        <v/>
      </c>
      <c r="DD82" s="823">
        <f>SUM(DD79:DD81)</f>
        <v/>
      </c>
      <c r="DE82" s="823">
        <f>SUM(DE79:DE81)</f>
        <v/>
      </c>
      <c r="DF82" s="823">
        <f>SUM(DF79:DF81)</f>
        <v/>
      </c>
      <c r="DG82" s="823">
        <f>SUM(DG79:DG81)</f>
        <v/>
      </c>
    </row>
    <row r="83">
      <c r="B83" s="1" t="inlineStr">
        <is>
          <t xml:space="preserve">      60400 Office Supplies &amp; Software</t>
        </is>
      </c>
      <c r="C83" s="1" t="n"/>
      <c r="D83" s="111" t="n"/>
      <c r="E83" s="111" t="n"/>
      <c r="F83" s="111" t="n"/>
      <c r="G83" s="111" t="n"/>
      <c r="H83" s="111" t="n"/>
      <c r="I83" s="111" t="n"/>
      <c r="J83" s="111" t="n"/>
      <c r="K83" s="111" t="n"/>
      <c r="L83" s="111" t="n"/>
      <c r="M83" s="111" t="n"/>
      <c r="N83" s="111" t="n"/>
      <c r="O83" s="111" t="n"/>
      <c r="P83" s="111" t="n"/>
      <c r="Q83" s="111" t="n"/>
      <c r="R83" s="111" t="n"/>
      <c r="S83" s="111" t="n"/>
      <c r="T83" s="111" t="n"/>
      <c r="U83" s="111" t="n"/>
      <c r="V83" s="111" t="n"/>
      <c r="W83" s="111" t="n"/>
      <c r="X83" s="111" t="n"/>
      <c r="Y83" s="111" t="n"/>
      <c r="Z83" s="111" t="n"/>
      <c r="AA83" s="111" t="n"/>
      <c r="AB83" s="111" t="n">
        <v>547.22</v>
      </c>
      <c r="AC83" s="111" t="n">
        <v>375.07</v>
      </c>
      <c r="AD83" s="111" t="n">
        <v>593.53</v>
      </c>
      <c r="AE83" s="111" t="n">
        <v>398.74</v>
      </c>
      <c r="AF83" s="111" t="n">
        <v>1137.21</v>
      </c>
      <c r="AG83" s="111" t="n">
        <v>529.98</v>
      </c>
      <c r="AH83" s="111" t="n">
        <v>364.08</v>
      </c>
      <c r="AI83" s="111" t="n">
        <v>622.52</v>
      </c>
      <c r="AJ83" s="111" t="n">
        <v>373.8</v>
      </c>
      <c r="AK83" s="111" t="n">
        <v>181.44</v>
      </c>
      <c r="AL83" s="111" t="n">
        <v>265.57</v>
      </c>
      <c r="AM83" s="111" t="n">
        <v>123</v>
      </c>
      <c r="AN83" s="111" t="n">
        <v>174.52</v>
      </c>
      <c r="AO83" s="111" t="n">
        <v>221.82</v>
      </c>
      <c r="AP83" s="111" t="n">
        <v>103.99</v>
      </c>
      <c r="AQ83" s="111" t="n">
        <v>171.41</v>
      </c>
      <c r="AR83" s="111" t="n">
        <v>149.99</v>
      </c>
      <c r="AS83" s="111" t="n">
        <v>149.99</v>
      </c>
      <c r="AT83" s="111" t="n">
        <v>165.59</v>
      </c>
      <c r="AU83" s="111" t="n">
        <v>277.13</v>
      </c>
      <c r="AV83" s="111" t="n">
        <v>159.99</v>
      </c>
      <c r="AW83" s="244">
        <f>205.51</f>
        <v/>
      </c>
      <c r="AX83" s="611">
        <f>+IF(AX1&lt;&gt;AW1, AW83*1.1, AW83)</f>
        <v/>
      </c>
      <c r="AY83" s="244">
        <f>+IF(AY1&lt;&gt;AX1, AX83*1.1, AX83)</f>
        <v/>
      </c>
      <c r="AZ83" s="111">
        <f>+IF(AZ1&lt;&gt;AY1, AY83*1.1, AY83)</f>
        <v/>
      </c>
      <c r="BA83" s="111">
        <f>+IF(BA1&lt;&gt;AZ1, AZ83*1.1, AZ83)</f>
        <v/>
      </c>
      <c r="BB83" s="111">
        <f>+IF(BB1&lt;&gt;BA1, BA83*1.1, BA83)</f>
        <v/>
      </c>
      <c r="BC83" s="111">
        <f>+IF(BC1&lt;&gt;BB1, BB83*1.1, BB83)</f>
        <v/>
      </c>
      <c r="BD83" s="111">
        <f>+IF(BD1&lt;&gt;BC1, BC83*1.1, BC83)</f>
        <v/>
      </c>
      <c r="BE83" s="111">
        <f>+IF(BE1&lt;&gt;BD1, BD83*1.1, BD83)</f>
        <v/>
      </c>
      <c r="BF83" s="111">
        <f>+IF(BF1&lt;&gt;BE1, BE83*1.1, BE83)</f>
        <v/>
      </c>
      <c r="BG83" s="111">
        <f>+IF(BG1&lt;&gt;BF1, BF83*1.1, BF83)</f>
        <v/>
      </c>
      <c r="BH83" s="111">
        <f>+IF(BH1&lt;&gt;BG1, BG83*1.1, BG83)</f>
        <v/>
      </c>
      <c r="BI83" s="111">
        <f>+IF(BI1&lt;&gt;BH1, BH83*1.1, BH83)</f>
        <v/>
      </c>
      <c r="BJ83" s="111">
        <f>+IF(BJ1&lt;&gt;BI1, BI83*1.1, BI83)</f>
        <v/>
      </c>
      <c r="BK83" s="244">
        <f>+IF(BK1&lt;&gt;BJ1, BJ83*1.1, BJ83)</f>
        <v/>
      </c>
      <c r="BL83" s="111">
        <f>+IF(BL1&lt;&gt;BK1, BK83*1.1, BK83)</f>
        <v/>
      </c>
      <c r="BM83" s="111">
        <f>+IF(BM1&lt;&gt;BL1, BL83*1.1, BL83)</f>
        <v/>
      </c>
      <c r="BN83" s="111">
        <f>+IF(BN1&lt;&gt;BM1, BM83*1.1, BM83)</f>
        <v/>
      </c>
      <c r="BO83" s="111">
        <f>+IF(BO1&lt;&gt;BN1, BN83*1.1, BN83)</f>
        <v/>
      </c>
      <c r="BP83" s="111">
        <f>+IF(BP1&lt;&gt;BO1, BO83*1.1, BO83)</f>
        <v/>
      </c>
      <c r="BQ83" s="111">
        <f>+IF(BQ1&lt;&gt;BP1, BP83*1.1, BP83)</f>
        <v/>
      </c>
      <c r="BR83" s="111">
        <f>+IF(BR1&lt;&gt;BQ1, BQ83*1.1, BQ83)</f>
        <v/>
      </c>
      <c r="BS83" s="111">
        <f>+IF(BS1&lt;&gt;BR1, BR83*1.1, BR83)</f>
        <v/>
      </c>
      <c r="BT83" s="111">
        <f>+IF(BT1&lt;&gt;BS1, BS83*1.1, BS83)</f>
        <v/>
      </c>
      <c r="BU83" s="111">
        <f>+IF(BU1&lt;&gt;BT1, BT83*1.1, BT83)</f>
        <v/>
      </c>
      <c r="BV83" s="111">
        <f>+IF(BV1&lt;&gt;BU1, BU83*1.1, BU83)</f>
        <v/>
      </c>
      <c r="BW83" s="244">
        <f>+IF(BW1&lt;&gt;BV1, BV83*1.1, BV83)</f>
        <v/>
      </c>
      <c r="BX83" s="111">
        <f>+IF(BX1&lt;&gt;BW1, BW83*1.1, BW83)</f>
        <v/>
      </c>
      <c r="BY83" s="111">
        <f>+IF(BY1&lt;&gt;BX1, BX83*1.1, BX83)</f>
        <v/>
      </c>
      <c r="BZ83" s="111">
        <f>+IF(BZ1&lt;&gt;BY1, BY83*1.1, BY83)</f>
        <v/>
      </c>
      <c r="CA83" s="111">
        <f>+IF(CA1&lt;&gt;BZ1, BZ83*1.1, BZ83)</f>
        <v/>
      </c>
      <c r="CB83" s="111">
        <f>+IF(CB1&lt;&gt;CA1, CA83*1.1, CA83)</f>
        <v/>
      </c>
      <c r="CC83" s="111">
        <f>+IF(CC1&lt;&gt;CB1, CB83*1.1, CB83)</f>
        <v/>
      </c>
      <c r="CD83" s="111">
        <f>+IF(CD1&lt;&gt;CC1, CC83*1.1, CC83)</f>
        <v/>
      </c>
      <c r="CE83" s="111">
        <f>+IF(CE1&lt;&gt;CD1, CD83*1.1, CD83)</f>
        <v/>
      </c>
      <c r="CF83" s="111">
        <f>+IF(CF1&lt;&gt;CE1, CE83*1.1, CE83)</f>
        <v/>
      </c>
      <c r="CG83" s="111">
        <f>+IF(CG1&lt;&gt;CF1, CF83*1.1, CF83)</f>
        <v/>
      </c>
      <c r="CH83" s="111">
        <f>+IF(CH1&lt;&gt;CG1, CG83*1.1, CG83)</f>
        <v/>
      </c>
      <c r="CI83" s="244">
        <f>+IF(CI1&lt;&gt;CH1, CH83*1.1, CH83)</f>
        <v/>
      </c>
      <c r="CJ83" s="111">
        <f>+IF(CJ1&lt;&gt;CI1, CI83*1.1, CI83)</f>
        <v/>
      </c>
      <c r="CK83" s="111">
        <f>+IF(CK1&lt;&gt;CJ1, CJ83*1.1, CJ83)</f>
        <v/>
      </c>
      <c r="CL83" s="111">
        <f>+IF(CL1&lt;&gt;CK1, CK83*1.1, CK83)</f>
        <v/>
      </c>
      <c r="CM83" s="111">
        <f>+IF(CM1&lt;&gt;CL1, CL83*1.1, CL83)</f>
        <v/>
      </c>
      <c r="CN83" s="111">
        <f>+IF(CN1&lt;&gt;CM1, CM83*1.1, CM83)</f>
        <v/>
      </c>
      <c r="CO83" s="111">
        <f>+IF(CO1&lt;&gt;CN1, CN83*1.1, CN83)</f>
        <v/>
      </c>
      <c r="CP83" s="111">
        <f>+IF(CP1&lt;&gt;CO1, CO83*1.1, CO83)</f>
        <v/>
      </c>
      <c r="CQ83" s="111">
        <f>+IF(CQ1&lt;&gt;CP1, CP83*1.1, CP83)</f>
        <v/>
      </c>
      <c r="CR83" s="111">
        <f>+IF(CR1&lt;&gt;CQ1, CQ83*1.1, CQ83)</f>
        <v/>
      </c>
      <c r="CS83" s="111">
        <f>+IF(CS1&lt;&gt;CR1, CR83*1.1, CR83)</f>
        <v/>
      </c>
      <c r="CT83" s="111">
        <f>+IF(CT1&lt;&gt;CS1, CS83*1.1, CS83)</f>
        <v/>
      </c>
      <c r="CU83" s="244">
        <f>+IF(CU1&lt;&gt;CT1, CT83*1.1, CT83)</f>
        <v/>
      </c>
      <c r="CV83" s="111">
        <f>+IF(CV1&lt;&gt;CU1, CU83*1.1, CU83)</f>
        <v/>
      </c>
      <c r="CW83" s="111">
        <f>+IF(CW1&lt;&gt;CV1, CV83*1.1, CV83)</f>
        <v/>
      </c>
      <c r="CX83" s="111">
        <f>+IF(CX1&lt;&gt;CW1, CW83*1.1, CW83)</f>
        <v/>
      </c>
      <c r="CY83" s="111">
        <f>+IF(CY1&lt;&gt;CX1, CX83*1.1, CX83)</f>
        <v/>
      </c>
      <c r="CZ83" s="111">
        <f>+IF(CZ1&lt;&gt;CY1, CY83*1.1, CY83)</f>
        <v/>
      </c>
      <c r="DA83" s="111">
        <f>+IF(DA1&lt;&gt;CZ1, CZ83*1.1, CZ83)</f>
        <v/>
      </c>
      <c r="DB83" s="111">
        <f>+IF(DB1&lt;&gt;DA1, DA83*1.1, DA83)</f>
        <v/>
      </c>
      <c r="DC83" s="111">
        <f>+IF(DC1&lt;&gt;DB1, DB83*1.1, DB83)</f>
        <v/>
      </c>
      <c r="DD83" s="111">
        <f>+IF(DD1&lt;&gt;DC1, DC83*1.1, DC83)</f>
        <v/>
      </c>
      <c r="DE83" s="111">
        <f>+IF(DE1&lt;&gt;DD1, DD83*1.1, DD83)</f>
        <v/>
      </c>
      <c r="DF83" s="111">
        <f>+IF(DF1&lt;&gt;DE1, DE83*1.1, DE83)</f>
        <v/>
      </c>
      <c r="DG83" s="111">
        <f>+IF(DG1&lt;&gt;DF1, DF83*1.1, DF83)</f>
        <v/>
      </c>
    </row>
    <row r="84">
      <c r="B84" s="1" t="inlineStr">
        <is>
          <t xml:space="preserve">      60600 Bank Fees &amp; Service Charges</t>
        </is>
      </c>
      <c r="C84" s="1" t="n"/>
      <c r="D84" s="111" t="n"/>
      <c r="E84" s="111" t="n"/>
      <c r="F84" s="111" t="n"/>
      <c r="G84" s="111" t="n"/>
      <c r="H84" s="111" t="n"/>
      <c r="I84" s="111" t="n"/>
      <c r="J84" s="111" t="n"/>
      <c r="K84" s="111" t="n"/>
      <c r="L84" s="111" t="n"/>
      <c r="M84" s="111" t="n"/>
      <c r="N84" s="111" t="n"/>
      <c r="O84" s="111" t="n"/>
      <c r="P84" s="111" t="n"/>
      <c r="Q84" s="111" t="n"/>
      <c r="R84" s="111" t="n"/>
      <c r="S84" s="111" t="n"/>
      <c r="T84" s="111" t="n"/>
      <c r="U84" s="111" t="n"/>
      <c r="V84" s="111" t="n"/>
      <c r="W84" s="111" t="n"/>
      <c r="X84" s="111" t="n"/>
      <c r="Y84" s="111" t="n"/>
      <c r="Z84" s="111" t="n"/>
      <c r="AA84" s="111" t="n"/>
      <c r="AB84" s="111" t="n"/>
      <c r="AC84" s="111" t="n"/>
      <c r="AD84" s="111" t="n"/>
      <c r="AE84" s="111" t="n">
        <v>5</v>
      </c>
      <c r="AF84" s="111" t="n">
        <v>10</v>
      </c>
      <c r="AG84" s="111" t="n">
        <v>10</v>
      </c>
      <c r="AH84" s="111" t="n">
        <v>10</v>
      </c>
      <c r="AI84" s="111" t="n">
        <v>70</v>
      </c>
      <c r="AJ84" s="111" t="n">
        <v>20</v>
      </c>
      <c r="AK84" s="111" t="n">
        <v>15.31</v>
      </c>
      <c r="AL84" s="111" t="n">
        <v>25.99</v>
      </c>
      <c r="AM84" s="111" t="n">
        <v>171</v>
      </c>
      <c r="AN84" s="111" t="n">
        <v>25</v>
      </c>
      <c r="AO84" s="111" t="n">
        <v>25</v>
      </c>
      <c r="AP84" s="111" t="n">
        <v>25</v>
      </c>
      <c r="AQ84" s="111" t="n">
        <v>25</v>
      </c>
      <c r="AR84" s="111" t="n">
        <v>25</v>
      </c>
      <c r="AS84" s="111" t="n">
        <v>25</v>
      </c>
      <c r="AT84" s="111" t="n">
        <v>25</v>
      </c>
      <c r="AU84" s="111" t="n">
        <v>25</v>
      </c>
      <c r="AV84" s="111" t="n">
        <v>15</v>
      </c>
      <c r="AW84" s="244">
        <f>30</f>
        <v/>
      </c>
      <c r="AX84" s="611">
        <f>+IF(AX1&lt;&gt;AW1, AW84*1.1, AW84)</f>
        <v/>
      </c>
      <c r="AY84" s="244">
        <f>+IF(AY1&lt;&gt;AX1, AX84*1.1, AX84)</f>
        <v/>
      </c>
      <c r="AZ84" s="111">
        <f>+IF(AZ1&lt;&gt;AY1, AY84*1.1, AY84)</f>
        <v/>
      </c>
      <c r="BA84" s="111">
        <f>+IF(BA1&lt;&gt;AZ1, AZ84*1.1, AZ84)</f>
        <v/>
      </c>
      <c r="BB84" s="111">
        <f>+IF(BB1&lt;&gt;BA1, BA84*1.1, BA84)</f>
        <v/>
      </c>
      <c r="BC84" s="111">
        <f>+IF(BC1&lt;&gt;BB1, BB84*1.1, BB84)</f>
        <v/>
      </c>
      <c r="BD84" s="111">
        <f>+IF(BD1&lt;&gt;BC1, BC84*1.1, BC84)</f>
        <v/>
      </c>
      <c r="BE84" s="111">
        <f>+IF(BE1&lt;&gt;BD1, BD84*1.1, BD84)</f>
        <v/>
      </c>
      <c r="BF84" s="111">
        <f>+IF(BF1&lt;&gt;BE1, BE84*1.1, BE84)</f>
        <v/>
      </c>
      <c r="BG84" s="111">
        <f>+IF(BG1&lt;&gt;BF1, BF84*1.1, BF84)</f>
        <v/>
      </c>
      <c r="BH84" s="111">
        <f>+IF(BH1&lt;&gt;BG1, BG84*1.1, BG84)</f>
        <v/>
      </c>
      <c r="BI84" s="111">
        <f>+IF(BI1&lt;&gt;BH1, BH84*1.1, BH84)</f>
        <v/>
      </c>
      <c r="BJ84" s="111">
        <f>+IF(BJ1&lt;&gt;BI1, BI84*1.1, BI84)</f>
        <v/>
      </c>
      <c r="BK84" s="244">
        <f>+IF(BK1&lt;&gt;BJ1, BJ84*1.1, BJ84)</f>
        <v/>
      </c>
      <c r="BL84" s="111">
        <f>+IF(BL1&lt;&gt;BK1, BK84*1.1, BK84)</f>
        <v/>
      </c>
      <c r="BM84" s="111">
        <f>+IF(BM1&lt;&gt;BL1, BL84*1.1, BL84)</f>
        <v/>
      </c>
      <c r="BN84" s="111">
        <f>+IF(BN1&lt;&gt;BM1, BM84*1.1, BM84)</f>
        <v/>
      </c>
      <c r="BO84" s="111">
        <f>+IF(BO1&lt;&gt;BN1, BN84*1.1, BN84)</f>
        <v/>
      </c>
      <c r="BP84" s="111">
        <f>+IF(BP1&lt;&gt;BO1, BO84*1.1, BO84)</f>
        <v/>
      </c>
      <c r="BQ84" s="111">
        <f>+IF(BQ1&lt;&gt;BP1, BP84*1.1, BP84)</f>
        <v/>
      </c>
      <c r="BR84" s="111">
        <f>+IF(BR1&lt;&gt;BQ1, BQ84*1.1, BQ84)</f>
        <v/>
      </c>
      <c r="BS84" s="111">
        <f>+IF(BS1&lt;&gt;BR1, BR84*1.1, BR84)</f>
        <v/>
      </c>
      <c r="BT84" s="111">
        <f>+IF(BT1&lt;&gt;BS1, BS84*1.1, BS84)</f>
        <v/>
      </c>
      <c r="BU84" s="111">
        <f>+IF(BU1&lt;&gt;BT1, BT84*1.1, BT84)</f>
        <v/>
      </c>
      <c r="BV84" s="111">
        <f>+IF(BV1&lt;&gt;BU1, BU84*1.1, BU84)</f>
        <v/>
      </c>
      <c r="BW84" s="244">
        <f>+IF(BW1&lt;&gt;BV1, BV84*1.1, BV84)</f>
        <v/>
      </c>
      <c r="BX84" s="111">
        <f>+IF(BX1&lt;&gt;BW1, BW84*1.1, BW84)</f>
        <v/>
      </c>
      <c r="BY84" s="111">
        <f>+IF(BY1&lt;&gt;BX1, BX84*1.1, BX84)</f>
        <v/>
      </c>
      <c r="BZ84" s="111">
        <f>+IF(BZ1&lt;&gt;BY1, BY84*1.1, BY84)</f>
        <v/>
      </c>
      <c r="CA84" s="111">
        <f>+IF(CA1&lt;&gt;BZ1, BZ84*1.1, BZ84)</f>
        <v/>
      </c>
      <c r="CB84" s="111">
        <f>+IF(CB1&lt;&gt;CA1, CA84*1.1, CA84)</f>
        <v/>
      </c>
      <c r="CC84" s="111">
        <f>+IF(CC1&lt;&gt;CB1, CB84*1.1, CB84)</f>
        <v/>
      </c>
      <c r="CD84" s="111">
        <f>+IF(CD1&lt;&gt;CC1, CC84*1.1, CC84)</f>
        <v/>
      </c>
      <c r="CE84" s="111">
        <f>+IF(CE1&lt;&gt;CD1, CD84*1.1, CD84)</f>
        <v/>
      </c>
      <c r="CF84" s="111">
        <f>+IF(CF1&lt;&gt;CE1, CE84*1.1, CE84)</f>
        <v/>
      </c>
      <c r="CG84" s="111">
        <f>+IF(CG1&lt;&gt;CF1, CF84*1.1, CF84)</f>
        <v/>
      </c>
      <c r="CH84" s="111">
        <f>+IF(CH1&lt;&gt;CG1, CG84*1.1, CG84)</f>
        <v/>
      </c>
      <c r="CI84" s="244">
        <f>+IF(CI1&lt;&gt;CH1, CH84*1.1, CH84)</f>
        <v/>
      </c>
      <c r="CJ84" s="111">
        <f>+IF(CJ1&lt;&gt;CI1, CI84*1.1, CI84)</f>
        <v/>
      </c>
      <c r="CK84" s="111">
        <f>+IF(CK1&lt;&gt;CJ1, CJ84*1.1, CJ84)</f>
        <v/>
      </c>
      <c r="CL84" s="111">
        <f>+IF(CL1&lt;&gt;CK1, CK84*1.1, CK84)</f>
        <v/>
      </c>
      <c r="CM84" s="111">
        <f>+IF(CM1&lt;&gt;CL1, CL84*1.1, CL84)</f>
        <v/>
      </c>
      <c r="CN84" s="111">
        <f>+IF(CN1&lt;&gt;CM1, CM84*1.1, CM84)</f>
        <v/>
      </c>
      <c r="CO84" s="111">
        <f>+IF(CO1&lt;&gt;CN1, CN84*1.1, CN84)</f>
        <v/>
      </c>
      <c r="CP84" s="111">
        <f>+IF(CP1&lt;&gt;CO1, CO84*1.1, CO84)</f>
        <v/>
      </c>
      <c r="CQ84" s="111">
        <f>+IF(CQ1&lt;&gt;CP1, CP84*1.1, CP84)</f>
        <v/>
      </c>
      <c r="CR84" s="111">
        <f>+IF(CR1&lt;&gt;CQ1, CQ84*1.1, CQ84)</f>
        <v/>
      </c>
      <c r="CS84" s="111">
        <f>+IF(CS1&lt;&gt;CR1, CR84*1.1, CR84)</f>
        <v/>
      </c>
      <c r="CT84" s="111">
        <f>+IF(CT1&lt;&gt;CS1, CS84*1.1, CS84)</f>
        <v/>
      </c>
      <c r="CU84" s="244">
        <f>+IF(CU1&lt;&gt;CT1, CT84*1.1, CT84)</f>
        <v/>
      </c>
      <c r="CV84" s="111">
        <f>+IF(CV1&lt;&gt;CU1, CU84*1.1, CU84)</f>
        <v/>
      </c>
      <c r="CW84" s="111">
        <f>+IF(CW1&lt;&gt;CV1, CV84*1.1, CV84)</f>
        <v/>
      </c>
      <c r="CX84" s="111">
        <f>+IF(CX1&lt;&gt;CW1, CW84*1.1, CW84)</f>
        <v/>
      </c>
      <c r="CY84" s="111">
        <f>+IF(CY1&lt;&gt;CX1, CX84*1.1, CX84)</f>
        <v/>
      </c>
      <c r="CZ84" s="111">
        <f>+IF(CZ1&lt;&gt;CY1, CY84*1.1, CY84)</f>
        <v/>
      </c>
      <c r="DA84" s="111">
        <f>+IF(DA1&lt;&gt;CZ1, CZ84*1.1, CZ84)</f>
        <v/>
      </c>
      <c r="DB84" s="111">
        <f>+IF(DB1&lt;&gt;DA1, DA84*1.1, DA84)</f>
        <v/>
      </c>
      <c r="DC84" s="111">
        <f>+IF(DC1&lt;&gt;DB1, DB84*1.1, DB84)</f>
        <v/>
      </c>
      <c r="DD84" s="111">
        <f>+IF(DD1&lt;&gt;DC1, DC84*1.1, DC84)</f>
        <v/>
      </c>
      <c r="DE84" s="111">
        <f>+IF(DE1&lt;&gt;DD1, DD84*1.1, DD84)</f>
        <v/>
      </c>
      <c r="DF84" s="111">
        <f>+IF(DF1&lt;&gt;DE1, DE84*1.1, DE84)</f>
        <v/>
      </c>
      <c r="DG84" s="111">
        <f>+IF(DG1&lt;&gt;DF1, DF84*1.1, DF84)</f>
        <v/>
      </c>
    </row>
    <row r="85">
      <c r="B85" s="1" t="inlineStr">
        <is>
          <t xml:space="preserve">      60700 Facility &amp; Storage Rent</t>
        </is>
      </c>
      <c r="C85" s="1" t="n"/>
      <c r="D85" s="111" t="n"/>
      <c r="E85" s="273" t="n"/>
      <c r="F85" s="273" t="n"/>
      <c r="G85" s="273" t="n"/>
      <c r="H85" s="273" t="n"/>
      <c r="I85" s="273" t="n"/>
      <c r="J85" s="273" t="n"/>
      <c r="K85" s="273" t="n"/>
      <c r="L85" s="273" t="n"/>
      <c r="M85" s="273" t="n"/>
      <c r="N85" s="273" t="n"/>
      <c r="O85" s="273" t="n"/>
      <c r="P85" s="273" t="n"/>
      <c r="Q85" s="273" t="n"/>
      <c r="R85" s="273" t="n"/>
      <c r="S85" s="273" t="n"/>
      <c r="T85" s="273" t="n"/>
      <c r="U85" s="273" t="n"/>
      <c r="V85" s="273" t="n"/>
      <c r="W85" s="273" t="n"/>
      <c r="X85" s="273" t="n"/>
      <c r="Y85" s="273" t="n"/>
      <c r="Z85" s="273" t="n"/>
      <c r="AA85" s="273" t="n"/>
      <c r="AB85" s="111" t="n">
        <v>108</v>
      </c>
      <c r="AC85" s="111" t="n">
        <v>108</v>
      </c>
      <c r="AD85" s="111" t="n">
        <v>108</v>
      </c>
      <c r="AE85" s="111" t="n">
        <v>108</v>
      </c>
      <c r="AF85" s="111" t="n">
        <v>1408.55</v>
      </c>
      <c r="AG85" s="111" t="n">
        <v>1372.64</v>
      </c>
      <c r="AH85" s="111" t="n">
        <v>1372.64</v>
      </c>
      <c r="AI85" s="111" t="n">
        <v>1682.55</v>
      </c>
      <c r="AJ85" s="111" t="n">
        <v>1372.64</v>
      </c>
      <c r="AK85" s="111" t="n">
        <v>1372.64</v>
      </c>
      <c r="AL85" s="111" t="n">
        <v>1711.17</v>
      </c>
      <c r="AM85" s="111" t="n">
        <v>1414.26</v>
      </c>
      <c r="AN85" s="111" t="n">
        <v>1684.72</v>
      </c>
      <c r="AO85" s="111" t="n">
        <v>1374.5</v>
      </c>
      <c r="AP85" s="111" t="n">
        <v>1373.88</v>
      </c>
      <c r="AQ85" s="111" t="n">
        <v>1635.01</v>
      </c>
      <c r="AR85" s="111" t="n">
        <v>1411.37</v>
      </c>
      <c r="AS85" s="111" t="n">
        <v>1507.24</v>
      </c>
      <c r="AT85" s="111" t="n">
        <v>1680.57</v>
      </c>
      <c r="AU85" s="111" t="n">
        <v>1424.48</v>
      </c>
      <c r="AV85" s="111" t="n">
        <v>1441.35</v>
      </c>
      <c r="AW85" s="244">
        <f>1761.79</f>
        <v/>
      </c>
      <c r="AX85" s="611">
        <f>+AVERAGE(AR85:AW85)</f>
        <v/>
      </c>
      <c r="AY85" s="425">
        <f>IF(AY1&lt;&gt;AX1, AX85*1.1,AX85)</f>
        <v/>
      </c>
      <c r="AZ85" s="424">
        <f>IF(AZ1&lt;&gt;AY1, AY85*1.1,AY85)</f>
        <v/>
      </c>
      <c r="BA85" s="424">
        <f>IF(BA1&lt;&gt;AZ1, AZ85*1.1,AZ85)</f>
        <v/>
      </c>
      <c r="BB85" s="424">
        <f>IF(BB1&lt;&gt;BA1, BA85*1.1,BA85)</f>
        <v/>
      </c>
      <c r="BC85" s="424">
        <f>IF(BC1&lt;&gt;BB1, BB85*1.1,BB85)</f>
        <v/>
      </c>
      <c r="BD85" s="424">
        <f>IF(BD1&lt;&gt;BC1, BC85*1.1,BC85)</f>
        <v/>
      </c>
      <c r="BE85" s="424">
        <f>IF(BE1&lt;&gt;BD1, BD85*1.1,BD85)</f>
        <v/>
      </c>
      <c r="BF85" s="424">
        <f>IF(BF1&lt;&gt;BE1, BE85*1.1,BE85)</f>
        <v/>
      </c>
      <c r="BG85" s="424">
        <f>IF(BG1&lt;&gt;BF1, BF85*1.1,BF85)</f>
        <v/>
      </c>
      <c r="BH85" s="424">
        <f>IF(BH1&lt;&gt;BG1, BG85*1.1,BG85)</f>
        <v/>
      </c>
      <c r="BI85" s="424">
        <f>IF(BI1&lt;&gt;BH1, BH85*1.1,BH85)</f>
        <v/>
      </c>
      <c r="BJ85" s="424">
        <f>IF(BJ1&lt;&gt;BI1, BI85*1.1,BI85)</f>
        <v/>
      </c>
      <c r="BK85" s="425">
        <f>IF(BK1&lt;&gt;BJ1, BJ85*1.1,BJ85)</f>
        <v/>
      </c>
      <c r="BL85" s="424">
        <f>IF(BL1&lt;&gt;BK1, BK85*1.1,BK85)</f>
        <v/>
      </c>
      <c r="BM85" s="424">
        <f>IF(BM1&lt;&gt;BL1, BL85*1.1,BL85)</f>
        <v/>
      </c>
      <c r="BN85" s="424">
        <f>IF(BN1&lt;&gt;BM1, BM85*1.1,BM85)</f>
        <v/>
      </c>
      <c r="BO85" s="424">
        <f>IF(BO1&lt;&gt;BN1, BN85*1.1,BN85)</f>
        <v/>
      </c>
      <c r="BP85" s="424">
        <f>IF(BP1&lt;&gt;BO1, BO85*1.1,BO85)</f>
        <v/>
      </c>
      <c r="BQ85" s="424">
        <f>IF(BQ1&lt;&gt;BP1, BP85*1.1,BP85)</f>
        <v/>
      </c>
      <c r="BR85" s="424">
        <f>IF(BR1&lt;&gt;BQ1, BQ85*1.1,BQ85)</f>
        <v/>
      </c>
      <c r="BS85" s="424">
        <f>IF(BS1&lt;&gt;BR1, BR85*1.1,BR85)</f>
        <v/>
      </c>
      <c r="BT85" s="424">
        <f>IF(BT1&lt;&gt;BS1, BS85*1.1,BS85)</f>
        <v/>
      </c>
      <c r="BU85" s="424">
        <f>IF(BU1&lt;&gt;BT1, BT85*1.1,BT85)</f>
        <v/>
      </c>
      <c r="BV85" s="424">
        <f>IF(BV1&lt;&gt;BU1, BU85*1.1,BU85)</f>
        <v/>
      </c>
      <c r="BW85" s="425">
        <f>IF(BW1&lt;&gt;BV1, BV85*1.1,BV85)</f>
        <v/>
      </c>
      <c r="BX85" s="424">
        <f>IF(BX1&lt;&gt;BW1, BW85*1.1,BW85)</f>
        <v/>
      </c>
      <c r="BY85" s="424">
        <f>IF(BY1&lt;&gt;BX1, BX85*1.1,BX85)</f>
        <v/>
      </c>
      <c r="BZ85" s="424">
        <f>IF(BZ1&lt;&gt;BY1, BY85*1.1,BY85)</f>
        <v/>
      </c>
      <c r="CA85" s="424">
        <f>IF(CA1&lt;&gt;BZ1, BZ85*1.1,BZ85)</f>
        <v/>
      </c>
      <c r="CB85" s="424">
        <f>IF(CB1&lt;&gt;CA1, CA85*1.1,CA85)</f>
        <v/>
      </c>
      <c r="CC85" s="424">
        <f>IF(CC1&lt;&gt;CB1, CB85*1.1,CB85)</f>
        <v/>
      </c>
      <c r="CD85" s="424">
        <f>IF(CD1&lt;&gt;CC1, CC85*1.1,CC85)</f>
        <v/>
      </c>
      <c r="CE85" s="424">
        <f>IF(CE1&lt;&gt;CD1, CD85*1.1,CD85)</f>
        <v/>
      </c>
      <c r="CF85" s="424">
        <f>IF(CF1&lt;&gt;CE1, CE85*1.1,CE85)</f>
        <v/>
      </c>
      <c r="CG85" s="424">
        <f>IF(CG1&lt;&gt;CF1, CF85*1.1,CF85)</f>
        <v/>
      </c>
      <c r="CH85" s="424">
        <f>IF(CH1&lt;&gt;CG1, CG85*1.1,CG85)</f>
        <v/>
      </c>
      <c r="CI85" s="425">
        <f>IF(CI1&lt;&gt;CH1, CH85*1.1,CH85)</f>
        <v/>
      </c>
      <c r="CJ85" s="424">
        <f>IF(CJ1&lt;&gt;CI1, CI85*1.1,CI85)</f>
        <v/>
      </c>
      <c r="CK85" s="424">
        <f>IF(CK1&lt;&gt;CJ1, CJ85*1.1,CJ85)</f>
        <v/>
      </c>
      <c r="CL85" s="424">
        <f>IF(CL1&lt;&gt;CK1, CK85*1.1,CK85)</f>
        <v/>
      </c>
      <c r="CM85" s="424">
        <f>IF(CM1&lt;&gt;CL1, CL85*1.1,CL85)</f>
        <v/>
      </c>
      <c r="CN85" s="424">
        <f>IF(CN1&lt;&gt;CM1, CM85*1.1,CM85)</f>
        <v/>
      </c>
      <c r="CO85" s="424">
        <f>IF(CO1&lt;&gt;CN1, CN85*1.1,CN85)</f>
        <v/>
      </c>
      <c r="CP85" s="424">
        <f>IF(CP1&lt;&gt;CO1, CO85*1.1,CO85)</f>
        <v/>
      </c>
      <c r="CQ85" s="424">
        <f>IF(CQ1&lt;&gt;CP1, CP85*1.1,CP85)</f>
        <v/>
      </c>
      <c r="CR85" s="424">
        <f>IF(CR1&lt;&gt;CQ1, CQ85*1.1,CQ85)</f>
        <v/>
      </c>
      <c r="CS85" s="424">
        <f>IF(CS1&lt;&gt;CR1, CR85*1.1,CR85)</f>
        <v/>
      </c>
      <c r="CT85" s="424">
        <f>IF(CT1&lt;&gt;CS1, CS85*1.1,CS85)</f>
        <v/>
      </c>
      <c r="CU85" s="425">
        <f>IF(CU1&lt;&gt;CT1, CT85*1.1,CT85)</f>
        <v/>
      </c>
      <c r="CV85" s="424">
        <f>IF(CV1&lt;&gt;CU1, CU85*1.1,CU85)</f>
        <v/>
      </c>
      <c r="CW85" s="424">
        <f>IF(CW1&lt;&gt;CV1, CV85*1.1,CV85)</f>
        <v/>
      </c>
      <c r="CX85" s="424">
        <f>IF(CX1&lt;&gt;CW1, CW85*1.1,CW85)</f>
        <v/>
      </c>
      <c r="CY85" s="424">
        <f>IF(CY1&lt;&gt;CX1, CX85*1.1,CX85)</f>
        <v/>
      </c>
      <c r="CZ85" s="424">
        <f>IF(CZ1&lt;&gt;CY1, CY85*1.1,CY85)</f>
        <v/>
      </c>
      <c r="DA85" s="424">
        <f>IF(DA1&lt;&gt;CZ1, CZ85*1.1,CZ85)</f>
        <v/>
      </c>
      <c r="DB85" s="424">
        <f>IF(DB1&lt;&gt;DA1, DA85*1.1,DA85)</f>
        <v/>
      </c>
      <c r="DC85" s="424">
        <f>IF(DC1&lt;&gt;DB1, DB85*1.1,DB85)</f>
        <v/>
      </c>
      <c r="DD85" s="424">
        <f>IF(DD1&lt;&gt;DC1, DC85*1.1,DC85)</f>
        <v/>
      </c>
      <c r="DE85" s="424">
        <f>IF(DE1&lt;&gt;DD1, DD85*1.1,DD85)</f>
        <v/>
      </c>
      <c r="DF85" s="424">
        <f>IF(DF1&lt;&gt;DE1, DE85*1.1,DE85)</f>
        <v/>
      </c>
      <c r="DG85" s="424">
        <f>IF(DG1&lt;&gt;DF1, DF85*1.1,DF85)</f>
        <v/>
      </c>
    </row>
    <row r="86">
      <c r="B86" s="1" t="inlineStr">
        <is>
          <t xml:space="preserve">      60800 Business Insurance</t>
        </is>
      </c>
      <c r="C86" s="1" t="n"/>
      <c r="D86" s="111" t="n"/>
      <c r="E86" s="111" t="n"/>
      <c r="F86" s="111" t="n"/>
      <c r="G86" s="111" t="n"/>
      <c r="H86" s="111" t="n"/>
      <c r="I86" s="111" t="n"/>
      <c r="J86" s="111" t="n"/>
      <c r="K86" s="111" t="n"/>
      <c r="L86" s="111" t="n"/>
      <c r="M86" s="111" t="n"/>
      <c r="N86" s="111" t="n"/>
      <c r="O86" s="111" t="n"/>
      <c r="P86" s="111" t="n"/>
      <c r="Q86" s="111" t="n"/>
      <c r="R86" s="111" t="n"/>
      <c r="S86" s="111" t="n"/>
      <c r="T86" s="111" t="n"/>
      <c r="U86" s="111" t="n"/>
      <c r="V86" s="111" t="n"/>
      <c r="W86" s="111" t="n"/>
      <c r="X86" s="111" t="n"/>
      <c r="Y86" s="111" t="n"/>
      <c r="Z86" s="111" t="n"/>
      <c r="AA86" s="111" t="n"/>
      <c r="AB86" s="111" t="n">
        <v>40.21</v>
      </c>
      <c r="AC86" s="111" t="n">
        <v>366.97</v>
      </c>
      <c r="AD86" s="111" t="n"/>
      <c r="AE86" s="111" t="n">
        <v>409.3</v>
      </c>
      <c r="AF86" s="111" t="n">
        <v>43.4</v>
      </c>
      <c r="AG86" s="111" t="n">
        <v>239.61</v>
      </c>
      <c r="AH86" s="111" t="n">
        <v>43.4</v>
      </c>
      <c r="AI86" s="111" t="n">
        <v>286.16</v>
      </c>
      <c r="AJ86" s="111" t="n">
        <v>51.62</v>
      </c>
      <c r="AK86" s="111" t="n">
        <v>112.74</v>
      </c>
      <c r="AL86" s="111" t="n">
        <v>196.16</v>
      </c>
      <c r="AM86" s="111" t="n">
        <v>275.89</v>
      </c>
      <c r="AN86" s="111" t="n">
        <v>51.58</v>
      </c>
      <c r="AO86" s="111" t="n">
        <v>196.74</v>
      </c>
      <c r="AP86" s="111" t="n">
        <v>226.74</v>
      </c>
      <c r="AQ86" s="111" t="n">
        <v>391.9</v>
      </c>
      <c r="AR86" s="111" t="n">
        <v>51.58</v>
      </c>
      <c r="AS86" s="111" t="n">
        <v>216.74</v>
      </c>
      <c r="AT86" s="111" t="n">
        <v>176.95</v>
      </c>
      <c r="AU86" s="111" t="n">
        <v>216.91</v>
      </c>
      <c r="AV86" s="111" t="n">
        <v>221.96</v>
      </c>
      <c r="AW86" s="244">
        <f>222</f>
        <v/>
      </c>
      <c r="AX86" s="611">
        <f>+AVERAGE(AU86:AW86)</f>
        <v/>
      </c>
      <c r="AY86" s="244">
        <f>IF(AY1&lt;&gt;AX1, AX86*1.1,AX86)</f>
        <v/>
      </c>
      <c r="AZ86" s="111">
        <f>IF(AZ1&lt;&gt;AY1, AY86*1.1,AY86)</f>
        <v/>
      </c>
      <c r="BA86" s="111">
        <f>IF(BA1&lt;&gt;AZ1, AZ86*1.1,AZ86)</f>
        <v/>
      </c>
      <c r="BB86" s="111">
        <f>IF(BB1&lt;&gt;BA1, BA86*1.1,BA86)</f>
        <v/>
      </c>
      <c r="BC86" s="111">
        <f>IF(BC1&lt;&gt;BB1, BB86*1.1,BB86)</f>
        <v/>
      </c>
      <c r="BD86" s="111">
        <f>IF(BD1&lt;&gt;BC1, BC86*1.1,BC86)</f>
        <v/>
      </c>
      <c r="BE86" s="111">
        <f>IF(BE1&lt;&gt;BD1, BD86*1.1,BD86)</f>
        <v/>
      </c>
      <c r="BF86" s="111">
        <f>IF(BF1&lt;&gt;BE1, BE86*1.1,BE86)</f>
        <v/>
      </c>
      <c r="BG86" s="111">
        <f>IF(BG1&lt;&gt;BF1, BF86*1.1,BF86)</f>
        <v/>
      </c>
      <c r="BH86" s="111">
        <f>IF(BH1&lt;&gt;BG1, BG86*1.1,BG86)</f>
        <v/>
      </c>
      <c r="BI86" s="111">
        <f>IF(BI1&lt;&gt;BH1, BH86*1.1,BH86)</f>
        <v/>
      </c>
      <c r="BJ86" s="111">
        <f>IF(BJ1&lt;&gt;BI1, BI86*1.1,BI86)</f>
        <v/>
      </c>
      <c r="BK86" s="244">
        <f>IF(BK1&lt;&gt;BJ1, BJ86*1.1,BJ86)</f>
        <v/>
      </c>
      <c r="BL86" s="111">
        <f>IF(BL1&lt;&gt;BK1, BK86*1.1,BK86)</f>
        <v/>
      </c>
      <c r="BM86" s="111">
        <f>IF(BM1&lt;&gt;BL1, BL86*1.1,BL86)</f>
        <v/>
      </c>
      <c r="BN86" s="111">
        <f>IF(BN1&lt;&gt;BM1, BM86*1.1,BM86)</f>
        <v/>
      </c>
      <c r="BO86" s="111">
        <f>IF(BO1&lt;&gt;BN1, BN86*1.1,BN86)</f>
        <v/>
      </c>
      <c r="BP86" s="111">
        <f>IF(BP1&lt;&gt;BO1, BO86*1.1,BO86)</f>
        <v/>
      </c>
      <c r="BQ86" s="111">
        <f>IF(BQ1&lt;&gt;BP1, BP86*1.1,BP86)</f>
        <v/>
      </c>
      <c r="BR86" s="111">
        <f>IF(BR1&lt;&gt;BQ1, BQ86*1.1,BQ86)</f>
        <v/>
      </c>
      <c r="BS86" s="111">
        <f>IF(BS1&lt;&gt;BR1, BR86*1.1,BR86)</f>
        <v/>
      </c>
      <c r="BT86" s="111">
        <f>IF(BT1&lt;&gt;BS1, BS86*1.1,BS86)</f>
        <v/>
      </c>
      <c r="BU86" s="111">
        <f>IF(BU1&lt;&gt;BT1, BT86*1.1,BT86)</f>
        <v/>
      </c>
      <c r="BV86" s="111">
        <f>IF(BV1&lt;&gt;BU1, BU86*1.1,BU86)</f>
        <v/>
      </c>
      <c r="BW86" s="244">
        <f>IF(BW1&lt;&gt;BV1, BV86*1.1,BV86)</f>
        <v/>
      </c>
      <c r="BX86" s="111">
        <f>IF(BX1&lt;&gt;BW1, BW86*1.1,BW86)</f>
        <v/>
      </c>
      <c r="BY86" s="111">
        <f>IF(BY1&lt;&gt;BX1, BX86*1.1,BX86)</f>
        <v/>
      </c>
      <c r="BZ86" s="111">
        <f>IF(BZ1&lt;&gt;BY1, BY86*1.1,BY86)</f>
        <v/>
      </c>
      <c r="CA86" s="111">
        <f>IF(CA1&lt;&gt;BZ1, BZ86*1.1,BZ86)</f>
        <v/>
      </c>
      <c r="CB86" s="111">
        <f>IF(CB1&lt;&gt;CA1, CA86*1.1,CA86)</f>
        <v/>
      </c>
      <c r="CC86" s="111">
        <f>IF(CC1&lt;&gt;CB1, CB86*1.1,CB86)</f>
        <v/>
      </c>
      <c r="CD86" s="111">
        <f>IF(CD1&lt;&gt;CC1, CC86*1.1,CC86)</f>
        <v/>
      </c>
      <c r="CE86" s="111">
        <f>IF(CE1&lt;&gt;CD1, CD86*1.1,CD86)</f>
        <v/>
      </c>
      <c r="CF86" s="111">
        <f>IF(CF1&lt;&gt;CE1, CE86*1.1,CE86)</f>
        <v/>
      </c>
      <c r="CG86" s="111">
        <f>IF(CG1&lt;&gt;CF1, CF86*1.1,CF86)</f>
        <v/>
      </c>
      <c r="CH86" s="111">
        <f>IF(CH1&lt;&gt;CG1, CG86*1.1,CG86)</f>
        <v/>
      </c>
      <c r="CI86" s="244">
        <f>IF(CI1&lt;&gt;CH1, CH86*1.1,CH86)</f>
        <v/>
      </c>
      <c r="CJ86" s="111">
        <f>IF(CJ1&lt;&gt;CI1, CI86*1.1,CI86)</f>
        <v/>
      </c>
      <c r="CK86" s="111">
        <f>IF(CK1&lt;&gt;CJ1, CJ86*1.1,CJ86)</f>
        <v/>
      </c>
      <c r="CL86" s="111">
        <f>IF(CL1&lt;&gt;CK1, CK86*1.1,CK86)</f>
        <v/>
      </c>
      <c r="CM86" s="111">
        <f>IF(CM1&lt;&gt;CL1, CL86*1.1,CL86)</f>
        <v/>
      </c>
      <c r="CN86" s="111">
        <f>IF(CN1&lt;&gt;CM1, CM86*1.1,CM86)</f>
        <v/>
      </c>
      <c r="CO86" s="111">
        <f>IF(CO1&lt;&gt;CN1, CN86*1.1,CN86)</f>
        <v/>
      </c>
      <c r="CP86" s="111">
        <f>IF(CP1&lt;&gt;CO1, CO86*1.1,CO86)</f>
        <v/>
      </c>
      <c r="CQ86" s="111">
        <f>IF(CQ1&lt;&gt;CP1, CP86*1.1,CP86)</f>
        <v/>
      </c>
      <c r="CR86" s="111">
        <f>IF(CR1&lt;&gt;CQ1, CQ86*1.1,CQ86)</f>
        <v/>
      </c>
      <c r="CS86" s="111">
        <f>IF(CS1&lt;&gt;CR1, CR86*1.1,CR86)</f>
        <v/>
      </c>
      <c r="CT86" s="111">
        <f>IF(CT1&lt;&gt;CS1, CS86*1.1,CS86)</f>
        <v/>
      </c>
      <c r="CU86" s="244">
        <f>IF(CU1&lt;&gt;CT1, CT86*1.1,CT86)</f>
        <v/>
      </c>
      <c r="CV86" s="111">
        <f>IF(CV1&lt;&gt;CU1, CU86*1.1,CU86)</f>
        <v/>
      </c>
      <c r="CW86" s="111">
        <f>IF(CW1&lt;&gt;CV1, CV86*1.1,CV86)</f>
        <v/>
      </c>
      <c r="CX86" s="111">
        <f>IF(CX1&lt;&gt;CW1, CW86*1.1,CW86)</f>
        <v/>
      </c>
      <c r="CY86" s="111">
        <f>IF(CY1&lt;&gt;CX1, CX86*1.1,CX86)</f>
        <v/>
      </c>
      <c r="CZ86" s="111">
        <f>IF(CZ1&lt;&gt;CY1, CY86*1.1,CY86)</f>
        <v/>
      </c>
      <c r="DA86" s="111">
        <f>IF(DA1&lt;&gt;CZ1, CZ86*1.1,CZ86)</f>
        <v/>
      </c>
      <c r="DB86" s="111">
        <f>IF(DB1&lt;&gt;DA1, DA86*1.1,DA86)</f>
        <v/>
      </c>
      <c r="DC86" s="111">
        <f>IF(DC1&lt;&gt;DB1, DB86*1.1,DB86)</f>
        <v/>
      </c>
      <c r="DD86" s="111">
        <f>IF(DD1&lt;&gt;DC1, DC86*1.1,DC86)</f>
        <v/>
      </c>
      <c r="DE86" s="111">
        <f>IF(DE1&lt;&gt;DD1, DD86*1.1,DD86)</f>
        <v/>
      </c>
      <c r="DF86" s="111">
        <f>IF(DF1&lt;&gt;DE1, DE86*1.1,DE86)</f>
        <v/>
      </c>
      <c r="DG86" s="111">
        <f>IF(DG1&lt;&gt;DF1, DF86*1.1,DF86)</f>
        <v/>
      </c>
    </row>
    <row r="87">
      <c r="B87" s="1" t="inlineStr">
        <is>
          <t xml:space="preserve">      60900 Donations</t>
        </is>
      </c>
      <c r="C87" s="1" t="n"/>
      <c r="D87" s="111" t="n"/>
      <c r="E87" s="111" t="n"/>
      <c r="F87" s="111" t="n"/>
      <c r="G87" s="111" t="n"/>
      <c r="H87" s="111" t="n"/>
      <c r="I87" s="111" t="n"/>
      <c r="J87" s="111" t="n"/>
      <c r="K87" s="111" t="n"/>
      <c r="L87" s="111" t="n"/>
      <c r="M87" s="111" t="n"/>
      <c r="N87" s="111" t="n"/>
      <c r="O87" s="111" t="n"/>
      <c r="P87" s="111" t="n"/>
      <c r="Q87" s="111" t="n"/>
      <c r="R87" s="111" t="n"/>
      <c r="S87" s="111" t="n"/>
      <c r="T87" s="111" t="n"/>
      <c r="U87" s="111" t="n"/>
      <c r="V87" s="111" t="n"/>
      <c r="W87" s="111" t="n"/>
      <c r="X87" s="111" t="n"/>
      <c r="Y87" s="111" t="n"/>
      <c r="Z87" s="111" t="n"/>
      <c r="AA87" s="111" t="n"/>
      <c r="AB87" s="111" t="n"/>
      <c r="AC87" s="111" t="n"/>
      <c r="AD87" s="111" t="n"/>
      <c r="AE87" s="111" t="n"/>
      <c r="AF87" s="111" t="n">
        <v>40</v>
      </c>
      <c r="AG87" s="111" t="n"/>
      <c r="AH87" s="111" t="n"/>
      <c r="AI87" s="111" t="n"/>
      <c r="AJ87" s="111" t="n"/>
      <c r="AK87" s="111" t="n"/>
      <c r="AL87" s="111" t="n"/>
      <c r="AM87" s="111" t="n"/>
      <c r="AN87" s="111" t="n"/>
      <c r="AO87" s="111" t="n"/>
      <c r="AP87" s="111" t="n"/>
      <c r="AQ87" s="111" t="n"/>
      <c r="AR87" s="111" t="n"/>
      <c r="AS87" s="111" t="n"/>
      <c r="AT87" s="111" t="n"/>
      <c r="AU87" s="111" t="n"/>
      <c r="AV87" s="111" t="n"/>
      <c r="AW87" s="244" t="n"/>
      <c r="AX87" s="611" t="n">
        <v>10</v>
      </c>
      <c r="AY87" s="244">
        <f>IF(AY1&lt;&gt;AX1, AX87*1.1,AX87)</f>
        <v/>
      </c>
      <c r="AZ87" s="111">
        <f>IF(AZ1&lt;&gt;AY1, AY87*1.1,AY87)</f>
        <v/>
      </c>
      <c r="BA87" s="111">
        <f>IF(BA1&lt;&gt;AZ1, AZ87*1.1,AZ87)</f>
        <v/>
      </c>
      <c r="BB87" s="111">
        <f>IF(BB1&lt;&gt;BA1, BA87*1.1,BA87)</f>
        <v/>
      </c>
      <c r="BC87" s="111">
        <f>IF(BC1&lt;&gt;BB1, BB87*1.1,BB87)</f>
        <v/>
      </c>
      <c r="BD87" s="111">
        <f>IF(BD1&lt;&gt;BC1, BC87*1.1,BC87)</f>
        <v/>
      </c>
      <c r="BE87" s="111">
        <f>IF(BE1&lt;&gt;BD1, BD87*1.1,BD87)</f>
        <v/>
      </c>
      <c r="BF87" s="111">
        <f>IF(BF1&lt;&gt;BE1, BE87*1.1,BE87)</f>
        <v/>
      </c>
      <c r="BG87" s="111">
        <f>IF(BG1&lt;&gt;BF1, BF87*1.1,BF87)</f>
        <v/>
      </c>
      <c r="BH87" s="111">
        <f>IF(BH1&lt;&gt;BG1, BG87*1.1,BG87)</f>
        <v/>
      </c>
      <c r="BI87" s="111">
        <f>IF(BI1&lt;&gt;BH1, BH87*1.1,BH87)</f>
        <v/>
      </c>
      <c r="BJ87" s="111">
        <f>IF(BJ1&lt;&gt;BI1, BI87*1.1,BI87)</f>
        <v/>
      </c>
      <c r="BK87" s="244">
        <f>IF(BK1&lt;&gt;BJ1, BJ87*1.1,BJ87)</f>
        <v/>
      </c>
      <c r="BL87" s="111">
        <f>IF(BL1&lt;&gt;BK1, BK87*1.1,BK87)</f>
        <v/>
      </c>
      <c r="BM87" s="111">
        <f>IF(BM1&lt;&gt;BL1, BL87*1.1,BL87)</f>
        <v/>
      </c>
      <c r="BN87" s="111">
        <f>IF(BN1&lt;&gt;BM1, BM87*1.1,BM87)</f>
        <v/>
      </c>
      <c r="BO87" s="111">
        <f>IF(BO1&lt;&gt;BN1, BN87*1.1,BN87)</f>
        <v/>
      </c>
      <c r="BP87" s="111">
        <f>IF(BP1&lt;&gt;BO1, BO87*1.1,BO87)</f>
        <v/>
      </c>
      <c r="BQ87" s="111">
        <f>IF(BQ1&lt;&gt;BP1, BP87*1.1,BP87)</f>
        <v/>
      </c>
      <c r="BR87" s="111">
        <f>IF(BR1&lt;&gt;BQ1, BQ87*1.1,BQ87)</f>
        <v/>
      </c>
      <c r="BS87" s="111">
        <f>IF(BS1&lt;&gt;BR1, BR87*1.1,BR87)</f>
        <v/>
      </c>
      <c r="BT87" s="111">
        <f>IF(BT1&lt;&gt;BS1, BS87*1.1,BS87)</f>
        <v/>
      </c>
      <c r="BU87" s="111">
        <f>IF(BU1&lt;&gt;BT1, BT87*1.1,BT87)</f>
        <v/>
      </c>
      <c r="BV87" s="111">
        <f>IF(BV1&lt;&gt;BU1, BU87*1.1,BU87)</f>
        <v/>
      </c>
      <c r="BW87" s="244">
        <f>IF(BW1&lt;&gt;BV1, BV87*1.1,BV87)</f>
        <v/>
      </c>
      <c r="BX87" s="111">
        <f>IF(BX1&lt;&gt;BW1, BW87*1.1,BW87)</f>
        <v/>
      </c>
      <c r="BY87" s="111">
        <f>IF(BY1&lt;&gt;BX1, BX87*1.1,BX87)</f>
        <v/>
      </c>
      <c r="BZ87" s="111">
        <f>IF(BZ1&lt;&gt;BY1, BY87*1.1,BY87)</f>
        <v/>
      </c>
      <c r="CA87" s="111">
        <f>IF(CA1&lt;&gt;BZ1, BZ87*1.1,BZ87)</f>
        <v/>
      </c>
      <c r="CB87" s="111">
        <f>IF(CB1&lt;&gt;CA1, CA87*1.1,CA87)</f>
        <v/>
      </c>
      <c r="CC87" s="111">
        <f>IF(CC1&lt;&gt;CB1, CB87*1.1,CB87)</f>
        <v/>
      </c>
      <c r="CD87" s="111">
        <f>IF(CD1&lt;&gt;CC1, CC87*1.1,CC87)</f>
        <v/>
      </c>
      <c r="CE87" s="111">
        <f>IF(CE1&lt;&gt;CD1, CD87*1.1,CD87)</f>
        <v/>
      </c>
      <c r="CF87" s="111">
        <f>IF(CF1&lt;&gt;CE1, CE87*1.1,CE87)</f>
        <v/>
      </c>
      <c r="CG87" s="111">
        <f>IF(CG1&lt;&gt;CF1, CF87*1.1,CF87)</f>
        <v/>
      </c>
      <c r="CH87" s="111">
        <f>IF(CH1&lt;&gt;CG1, CG87*1.1,CG87)</f>
        <v/>
      </c>
      <c r="CI87" s="244">
        <f>IF(CI1&lt;&gt;CH1, CH87*1.1,CH87)</f>
        <v/>
      </c>
      <c r="CJ87" s="111">
        <f>IF(CJ1&lt;&gt;CI1, CI87*1.1,CI87)</f>
        <v/>
      </c>
      <c r="CK87" s="111">
        <f>IF(CK1&lt;&gt;CJ1, CJ87*1.1,CJ87)</f>
        <v/>
      </c>
      <c r="CL87" s="111">
        <f>IF(CL1&lt;&gt;CK1, CK87*1.1,CK87)</f>
        <v/>
      </c>
      <c r="CM87" s="111">
        <f>IF(CM1&lt;&gt;CL1, CL87*1.1,CL87)</f>
        <v/>
      </c>
      <c r="CN87" s="111">
        <f>IF(CN1&lt;&gt;CM1, CM87*1.1,CM87)</f>
        <v/>
      </c>
      <c r="CO87" s="111">
        <f>IF(CO1&lt;&gt;CN1, CN87*1.1,CN87)</f>
        <v/>
      </c>
      <c r="CP87" s="111">
        <f>IF(CP1&lt;&gt;CO1, CO87*1.1,CO87)</f>
        <v/>
      </c>
      <c r="CQ87" s="111">
        <f>IF(CQ1&lt;&gt;CP1, CP87*1.1,CP87)</f>
        <v/>
      </c>
      <c r="CR87" s="111">
        <f>IF(CR1&lt;&gt;CQ1, CQ87*1.1,CQ87)</f>
        <v/>
      </c>
      <c r="CS87" s="111">
        <f>IF(CS1&lt;&gt;CR1, CR87*1.1,CR87)</f>
        <v/>
      </c>
      <c r="CT87" s="111">
        <f>IF(CT1&lt;&gt;CS1, CS87*1.1,CS87)</f>
        <v/>
      </c>
      <c r="CU87" s="244">
        <f>IF(CU1&lt;&gt;CT1, CT87*1.1,CT87)</f>
        <v/>
      </c>
      <c r="CV87" s="111">
        <f>IF(CV1&lt;&gt;CU1, CU87*1.1,CU87)</f>
        <v/>
      </c>
      <c r="CW87" s="111">
        <f>IF(CW1&lt;&gt;CV1, CV87*1.1,CV87)</f>
        <v/>
      </c>
      <c r="CX87" s="111">
        <f>IF(CX1&lt;&gt;CW1, CW87*1.1,CW87)</f>
        <v/>
      </c>
      <c r="CY87" s="111">
        <f>IF(CY1&lt;&gt;CX1, CX87*1.1,CX87)</f>
        <v/>
      </c>
      <c r="CZ87" s="111">
        <f>IF(CZ1&lt;&gt;CY1, CY87*1.1,CY87)</f>
        <v/>
      </c>
      <c r="DA87" s="111">
        <f>IF(DA1&lt;&gt;CZ1, CZ87*1.1,CZ87)</f>
        <v/>
      </c>
      <c r="DB87" s="111">
        <f>IF(DB1&lt;&gt;DA1, DA87*1.1,DA87)</f>
        <v/>
      </c>
      <c r="DC87" s="111">
        <f>IF(DC1&lt;&gt;DB1, DB87*1.1,DB87)</f>
        <v/>
      </c>
      <c r="DD87" s="111">
        <f>IF(DD1&lt;&gt;DC1, DC87*1.1,DC87)</f>
        <v/>
      </c>
      <c r="DE87" s="111">
        <f>IF(DE1&lt;&gt;DD1, DD87*1.1,DD87)</f>
        <v/>
      </c>
      <c r="DF87" s="111">
        <f>IF(DF1&lt;&gt;DE1, DE87*1.1,DE87)</f>
        <v/>
      </c>
      <c r="DG87" s="111">
        <f>IF(DG1&lt;&gt;DF1, DF87*1.1,DF87)</f>
        <v/>
      </c>
    </row>
    <row r="88">
      <c r="B88" s="1" t="inlineStr">
        <is>
          <t xml:space="preserve">      61000 Business Licences</t>
        </is>
      </c>
      <c r="C88" s="1" t="n"/>
      <c r="D88" s="111" t="n"/>
      <c r="E88" s="111" t="n"/>
      <c r="F88" s="111" t="n"/>
      <c r="G88" s="111" t="n"/>
      <c r="H88" s="111" t="n"/>
      <c r="I88" s="111" t="n"/>
      <c r="J88" s="111" t="n"/>
      <c r="K88" s="111" t="n"/>
      <c r="L88" s="111" t="n"/>
      <c r="M88" s="111" t="n"/>
      <c r="N88" s="111" t="n"/>
      <c r="O88" s="111" t="n"/>
      <c r="P88" s="111" t="n"/>
      <c r="Q88" s="111" t="n"/>
      <c r="R88" s="111" t="n"/>
      <c r="S88" s="111" t="n"/>
      <c r="T88" s="111" t="n"/>
      <c r="U88" s="111" t="n"/>
      <c r="V88" s="111" t="n"/>
      <c r="W88" s="111" t="n"/>
      <c r="X88" s="111" t="n"/>
      <c r="Y88" s="111" t="n"/>
      <c r="Z88" s="111" t="n"/>
      <c r="AA88" s="111" t="n"/>
      <c r="AB88" s="111" t="n"/>
      <c r="AC88" s="111" t="n"/>
      <c r="AD88" s="111" t="n"/>
      <c r="AE88" s="111" t="n"/>
      <c r="AF88" s="111" t="n"/>
      <c r="AG88" s="111" t="n">
        <v>50</v>
      </c>
      <c r="AH88" s="111" t="n"/>
      <c r="AI88" s="111" t="n"/>
      <c r="AJ88" s="111" t="n"/>
      <c r="AK88" s="111" t="n">
        <v>105</v>
      </c>
      <c r="AL88" s="111" t="n"/>
      <c r="AM88" s="111" t="n"/>
      <c r="AN88" s="111" t="n"/>
      <c r="AO88" s="111" t="n"/>
      <c r="AP88" s="111" t="n"/>
      <c r="AQ88" s="111" t="n"/>
      <c r="AR88" s="111" t="n"/>
      <c r="AS88" s="111" t="n"/>
      <c r="AT88" s="111" t="n"/>
      <c r="AU88" s="111" t="n">
        <v>62.81</v>
      </c>
      <c r="AV88" s="111" t="n">
        <v>0</v>
      </c>
      <c r="AW88" s="244" t="n">
        <v>0</v>
      </c>
      <c r="AX88" s="611">
        <f>+AL88</f>
        <v/>
      </c>
      <c r="AY88" s="244">
        <f>+AM88</f>
        <v/>
      </c>
      <c r="AZ88" s="111">
        <f>+AN88</f>
        <v/>
      </c>
      <c r="BA88" s="111">
        <f>+AO88</f>
        <v/>
      </c>
      <c r="BB88" s="111">
        <f>+AP88</f>
        <v/>
      </c>
      <c r="BC88" s="111">
        <f>+AQ88</f>
        <v/>
      </c>
      <c r="BD88" s="111">
        <f>+AR88</f>
        <v/>
      </c>
      <c r="BE88" s="111">
        <f>+AS88</f>
        <v/>
      </c>
      <c r="BF88" s="111">
        <f>+AT88</f>
        <v/>
      </c>
      <c r="BG88" s="111">
        <f>+AU88</f>
        <v/>
      </c>
      <c r="BH88" s="111">
        <f>+AV88</f>
        <v/>
      </c>
      <c r="BI88" s="111">
        <f>+AW88</f>
        <v/>
      </c>
      <c r="BJ88" s="111">
        <f>+AX88</f>
        <v/>
      </c>
      <c r="BK88" s="244">
        <f>+AY88</f>
        <v/>
      </c>
      <c r="BL88" s="111">
        <f>+AZ88</f>
        <v/>
      </c>
      <c r="BM88" s="111">
        <f>+BA88</f>
        <v/>
      </c>
      <c r="BN88" s="111">
        <f>+BB88</f>
        <v/>
      </c>
      <c r="BO88" s="111">
        <f>+BC88</f>
        <v/>
      </c>
      <c r="BP88" s="111">
        <f>+BD88</f>
        <v/>
      </c>
      <c r="BQ88" s="111">
        <f>+BE88</f>
        <v/>
      </c>
      <c r="BR88" s="111">
        <f>+BF88</f>
        <v/>
      </c>
      <c r="BS88" s="111">
        <f>+BG88</f>
        <v/>
      </c>
      <c r="BT88" s="111">
        <f>+BH88</f>
        <v/>
      </c>
      <c r="BU88" s="111">
        <f>+BI88</f>
        <v/>
      </c>
      <c r="BV88" s="111">
        <f>+BJ88</f>
        <v/>
      </c>
      <c r="BW88" s="244">
        <f>+BK88</f>
        <v/>
      </c>
      <c r="BX88" s="111">
        <f>+BL88</f>
        <v/>
      </c>
      <c r="BY88" s="111">
        <f>+BM88</f>
        <v/>
      </c>
      <c r="BZ88" s="111">
        <f>+BN88</f>
        <v/>
      </c>
      <c r="CA88" s="111">
        <f>+BO88</f>
        <v/>
      </c>
      <c r="CB88" s="111">
        <f>+BP88</f>
        <v/>
      </c>
      <c r="CC88" s="111">
        <f>+BQ88</f>
        <v/>
      </c>
      <c r="CD88" s="111">
        <f>+BR88</f>
        <v/>
      </c>
      <c r="CE88" s="111">
        <f>+BS88</f>
        <v/>
      </c>
      <c r="CF88" s="111">
        <f>+BT88</f>
        <v/>
      </c>
      <c r="CG88" s="111">
        <f>+BU88</f>
        <v/>
      </c>
      <c r="CH88" s="111">
        <f>+BV88</f>
        <v/>
      </c>
      <c r="CI88" s="244">
        <f>+BW88</f>
        <v/>
      </c>
      <c r="CJ88" s="111">
        <f>+BX88</f>
        <v/>
      </c>
      <c r="CK88" s="111">
        <f>+BY88</f>
        <v/>
      </c>
      <c r="CL88" s="111">
        <f>+BZ88</f>
        <v/>
      </c>
      <c r="CM88" s="111">
        <f>+CA88</f>
        <v/>
      </c>
      <c r="CN88" s="111">
        <f>+CB88</f>
        <v/>
      </c>
      <c r="CO88" s="111">
        <f>+CC88</f>
        <v/>
      </c>
      <c r="CP88" s="111">
        <f>+CD88</f>
        <v/>
      </c>
      <c r="CQ88" s="111">
        <f>+CE88</f>
        <v/>
      </c>
      <c r="CR88" s="111">
        <f>+CF88</f>
        <v/>
      </c>
      <c r="CS88" s="111">
        <f>+CG88</f>
        <v/>
      </c>
      <c r="CT88" s="111">
        <f>+CH88</f>
        <v/>
      </c>
      <c r="CU88" s="244">
        <f>+CI88</f>
        <v/>
      </c>
      <c r="CV88" s="111">
        <f>+CJ88</f>
        <v/>
      </c>
      <c r="CW88" s="111">
        <f>+CK88</f>
        <v/>
      </c>
      <c r="CX88" s="111">
        <f>+CL88</f>
        <v/>
      </c>
      <c r="CY88" s="111">
        <f>+CM88</f>
        <v/>
      </c>
      <c r="CZ88" s="111">
        <f>+CN88</f>
        <v/>
      </c>
      <c r="DA88" s="111">
        <f>+CO88</f>
        <v/>
      </c>
      <c r="DB88" s="111">
        <f>+CP88</f>
        <v/>
      </c>
      <c r="DC88" s="111">
        <f>+CQ88</f>
        <v/>
      </c>
      <c r="DD88" s="111">
        <f>+CR88</f>
        <v/>
      </c>
      <c r="DE88" s="111">
        <f>+CS88</f>
        <v/>
      </c>
      <c r="DF88" s="111">
        <f>+CT88</f>
        <v/>
      </c>
      <c r="DG88" s="111">
        <f>+CU88</f>
        <v/>
      </c>
    </row>
    <row r="89">
      <c r="B89" s="4" t="inlineStr">
        <is>
          <t>Total G&amp;A Expenses</t>
        </is>
      </c>
      <c r="C89" s="4" t="n"/>
      <c r="D89" s="823">
        <f>SUM(D74:D78)</f>
        <v/>
      </c>
      <c r="E89" s="823">
        <f>SUM(E74:E78)</f>
        <v/>
      </c>
      <c r="F89" s="823">
        <f>SUM(F74:F78)</f>
        <v/>
      </c>
      <c r="G89" s="823">
        <f>SUM(G74:G78)</f>
        <v/>
      </c>
      <c r="H89" s="823">
        <f>SUM(H74:H78)</f>
        <v/>
      </c>
      <c r="I89" s="823">
        <f>SUM(I74:I78)</f>
        <v/>
      </c>
      <c r="J89" s="823">
        <f>SUM(J74:J78)</f>
        <v/>
      </c>
      <c r="K89" s="823">
        <f>SUM(K74:K78)</f>
        <v/>
      </c>
      <c r="L89" s="823">
        <f>SUM(L74:L78)</f>
        <v/>
      </c>
      <c r="M89" s="823">
        <f>SUM(M74:M78)</f>
        <v/>
      </c>
      <c r="N89" s="823">
        <f>SUM(N74:N78)</f>
        <v/>
      </c>
      <c r="O89" s="823">
        <f>SUM(O74:O78)</f>
        <v/>
      </c>
      <c r="P89" s="823">
        <f>SUM(P74:P78)</f>
        <v/>
      </c>
      <c r="Q89" s="823">
        <f>SUM(Q74:Q78)</f>
        <v/>
      </c>
      <c r="R89" s="823">
        <f>SUM(R74:R78)</f>
        <v/>
      </c>
      <c r="S89" s="823">
        <f>SUM(S74:S78)</f>
        <v/>
      </c>
      <c r="T89" s="823">
        <f>SUM(T74:T78)</f>
        <v/>
      </c>
      <c r="U89" s="823">
        <f>SUM(U74:U78)</f>
        <v/>
      </c>
      <c r="V89" s="823">
        <f>SUM(V74:V86)</f>
        <v/>
      </c>
      <c r="W89" s="823">
        <f>SUM(W74:W86)</f>
        <v/>
      </c>
      <c r="X89" s="823">
        <f>SUM(X74:X86)</f>
        <v/>
      </c>
      <c r="Y89" s="823">
        <f>SUM(Y74:Y86)</f>
        <v/>
      </c>
      <c r="Z89" s="823">
        <f>SUM(Z74:Z86)</f>
        <v/>
      </c>
      <c r="AA89" s="823">
        <f>SUM(AA74:AA86)</f>
        <v/>
      </c>
      <c r="AB89" s="823">
        <f>+SUM(AB71, AB78, AB82:AB88)</f>
        <v/>
      </c>
      <c r="AC89" s="823">
        <f>+SUM(AC71, AC78, AC82:AC88)</f>
        <v/>
      </c>
      <c r="AD89" s="823">
        <f>+SUM(AD71, AD78, AD82:AD88)</f>
        <v/>
      </c>
      <c r="AE89" s="823">
        <f>+SUM(AE71, AE78, AE82:AE88)</f>
        <v/>
      </c>
      <c r="AF89" s="823">
        <f>+SUM(AF71, AF78, AF82:AF88)</f>
        <v/>
      </c>
      <c r="AG89" s="823">
        <f>+SUM(AG71, AG78, AG82:AG88)</f>
        <v/>
      </c>
      <c r="AH89" s="823">
        <f>+SUM(AH71, AH78, AH82:AH88)</f>
        <v/>
      </c>
      <c r="AI89" s="823">
        <f>+SUM(AI71, AI78, AI82:AI88)</f>
        <v/>
      </c>
      <c r="AJ89" s="823">
        <f>+SUM(AJ71, AJ78, AJ82:AJ88)</f>
        <v/>
      </c>
      <c r="AK89" s="823">
        <f>+SUM(AK71, AK78, AK82:AK88)</f>
        <v/>
      </c>
      <c r="AL89" s="823">
        <f>+SUM(AL71, AL78, AL82:AL88)</f>
        <v/>
      </c>
      <c r="AM89" s="823">
        <f>+SUM(AM71, AM78, AM82:AM88)</f>
        <v/>
      </c>
      <c r="AN89" s="823">
        <f>+SUM(AN71, AN78, AN82:AN88)</f>
        <v/>
      </c>
      <c r="AO89" s="823">
        <f>+SUM(AO71, AO78, AO82:AO88)</f>
        <v/>
      </c>
      <c r="AP89" s="823">
        <f>+SUM(AP71, AP78, AP82:AP88)</f>
        <v/>
      </c>
      <c r="AQ89" s="823">
        <f>+SUM(AQ71, AQ78, AQ82:AQ88)</f>
        <v/>
      </c>
      <c r="AR89" s="823">
        <f>+SUM(AR71, AR78, AR82:AR88)</f>
        <v/>
      </c>
      <c r="AS89" s="823">
        <f>+SUM(AS71, AS78, AS82:AS88)</f>
        <v/>
      </c>
      <c r="AT89" s="823">
        <f>+SUM(AT71, AT78, AT82:AT88)</f>
        <v/>
      </c>
      <c r="AU89" s="823">
        <f>+SUM(AU71, AU78, AU82:AU88)</f>
        <v/>
      </c>
      <c r="AV89" s="823">
        <f>+SUM(AV71, AV78, AV82:AV88)</f>
        <v/>
      </c>
      <c r="AW89" s="836">
        <f>+SUM(AW71, AW78, AW82:AW88)</f>
        <v/>
      </c>
      <c r="AX89" s="823">
        <f>+SUM(AX71, AX78, AX82:AX88)</f>
        <v/>
      </c>
      <c r="AY89" s="836">
        <f>+SUM(AY71, AY78, AY82:AY88)</f>
        <v/>
      </c>
      <c r="AZ89" s="823">
        <f>+SUM(AZ71, AZ78, AZ82:AZ88)</f>
        <v/>
      </c>
      <c r="BA89" s="823">
        <f>+SUM(BA71, BA78, BA82:BA88)</f>
        <v/>
      </c>
      <c r="BB89" s="823">
        <f>+SUM(BB71, BB78, BB82:BB88)</f>
        <v/>
      </c>
      <c r="BC89" s="823">
        <f>+SUM(BC71, BC78, BC82:BC88)</f>
        <v/>
      </c>
      <c r="BD89" s="823">
        <f>+SUM(BD71, BD78, BD82:BD88)</f>
        <v/>
      </c>
      <c r="BE89" s="823">
        <f>+SUM(BE71, BE78, BE82:BE88)</f>
        <v/>
      </c>
      <c r="BF89" s="823">
        <f>+SUM(BF71, BF78, BF82:BF88)</f>
        <v/>
      </c>
      <c r="BG89" s="823">
        <f>+SUM(BG71, BG78, BG82:BG88)</f>
        <v/>
      </c>
      <c r="BH89" s="823">
        <f>+SUM(BH71, BH78, BH82:BH88)</f>
        <v/>
      </c>
      <c r="BI89" s="823">
        <f>+SUM(BI71, BI78, BI82:BI88)</f>
        <v/>
      </c>
      <c r="BJ89" s="823">
        <f>+SUM(BJ71, BJ78, BJ82:BJ88)</f>
        <v/>
      </c>
      <c r="BK89" s="836">
        <f>+SUM(BK71, BK78, BK82:BK88)</f>
        <v/>
      </c>
      <c r="BL89" s="823">
        <f>+SUM(BL71, BL78, BL82:BL88)</f>
        <v/>
      </c>
      <c r="BM89" s="823">
        <f>+SUM(BM71, BM78, BM82:BM88)</f>
        <v/>
      </c>
      <c r="BN89" s="823">
        <f>+SUM(BN71, BN78, BN82:BN88)</f>
        <v/>
      </c>
      <c r="BO89" s="823">
        <f>+SUM(BO71, BO78, BO82:BO88)</f>
        <v/>
      </c>
      <c r="BP89" s="823">
        <f>+SUM(BP71, BP78, BP82:BP88)</f>
        <v/>
      </c>
      <c r="BQ89" s="823">
        <f>+SUM(BQ71, BQ78, BQ82:BQ88)</f>
        <v/>
      </c>
      <c r="BR89" s="823">
        <f>+SUM(BR71, BR78, BR82:BR88)</f>
        <v/>
      </c>
      <c r="BS89" s="823">
        <f>+SUM(BS71, BS78, BS82:BS88)</f>
        <v/>
      </c>
      <c r="BT89" s="823">
        <f>+SUM(BT71, BT78, BT82:BT88)</f>
        <v/>
      </c>
      <c r="BU89" s="823">
        <f>+SUM(BU71, BU78, BU82:BU88)</f>
        <v/>
      </c>
      <c r="BV89" s="823">
        <f>+SUM(BV71, BV78, BV82:BV88)</f>
        <v/>
      </c>
      <c r="BW89" s="836">
        <f>+SUM(BW71, BW78, BW82:BW88)</f>
        <v/>
      </c>
      <c r="BX89" s="823">
        <f>+SUM(BX71, BX78, BX82:BX88)</f>
        <v/>
      </c>
      <c r="BY89" s="823">
        <f>+SUM(BY71, BY78, BY82:BY88)</f>
        <v/>
      </c>
      <c r="BZ89" s="823">
        <f>+SUM(BZ71, BZ78, BZ82:BZ88)</f>
        <v/>
      </c>
      <c r="CA89" s="823">
        <f>+SUM(CA71, CA78, CA82:CA88)</f>
        <v/>
      </c>
      <c r="CB89" s="823">
        <f>+SUM(CB71, CB78, CB82:CB88)</f>
        <v/>
      </c>
      <c r="CC89" s="823">
        <f>+SUM(CC71, CC78, CC82:CC88)</f>
        <v/>
      </c>
      <c r="CD89" s="823">
        <f>+SUM(CD71, CD78, CD82:CD88)</f>
        <v/>
      </c>
      <c r="CE89" s="823">
        <f>+SUM(CE71, CE78, CE82:CE88)</f>
        <v/>
      </c>
      <c r="CF89" s="823">
        <f>+SUM(CF71, CF78, CF82:CF88)</f>
        <v/>
      </c>
      <c r="CG89" s="823">
        <f>+SUM(CG71, CG78, CG82:CG88)</f>
        <v/>
      </c>
      <c r="CH89" s="823">
        <f>+SUM(CH71, CH78, CH82:CH88)</f>
        <v/>
      </c>
      <c r="CI89" s="836">
        <f>+SUM(CI71, CI78, CI82:CI88)</f>
        <v/>
      </c>
      <c r="CJ89" s="823">
        <f>+SUM(CJ71, CJ78, CJ82:CJ88)</f>
        <v/>
      </c>
      <c r="CK89" s="823">
        <f>+SUM(CK71, CK78, CK82:CK88)</f>
        <v/>
      </c>
      <c r="CL89" s="823">
        <f>+SUM(CL71, CL78, CL82:CL88)</f>
        <v/>
      </c>
      <c r="CM89" s="823">
        <f>+SUM(CM71, CM78, CM82:CM88)</f>
        <v/>
      </c>
      <c r="CN89" s="823">
        <f>+SUM(CN71, CN78, CN82:CN88)</f>
        <v/>
      </c>
      <c r="CO89" s="823">
        <f>+SUM(CO71, CO78, CO82:CO88)</f>
        <v/>
      </c>
      <c r="CP89" s="823">
        <f>+SUM(CP71, CP78, CP82:CP88)</f>
        <v/>
      </c>
      <c r="CQ89" s="823">
        <f>+SUM(CQ71, CQ78, CQ82:CQ88)</f>
        <v/>
      </c>
      <c r="CR89" s="823">
        <f>+SUM(CR71, CR78, CR82:CR88)</f>
        <v/>
      </c>
      <c r="CS89" s="823">
        <f>+SUM(CS71, CS78, CS82:CS88)</f>
        <v/>
      </c>
      <c r="CT89" s="823">
        <f>+SUM(CT71, CT78, CT82:CT88)</f>
        <v/>
      </c>
      <c r="CU89" s="836">
        <f>+SUM(CU71, CU78, CU82:CU88)</f>
        <v/>
      </c>
      <c r="CV89" s="823">
        <f>+SUM(CV71, CV78, CV82:CV88)</f>
        <v/>
      </c>
      <c r="CW89" s="823">
        <f>+SUM(CW71, CW78, CW82:CW88)</f>
        <v/>
      </c>
      <c r="CX89" s="823">
        <f>+SUM(CX71, CX78, CX82:CX88)</f>
        <v/>
      </c>
      <c r="CY89" s="823">
        <f>+SUM(CY71, CY78, CY82:CY88)</f>
        <v/>
      </c>
      <c r="CZ89" s="823">
        <f>+SUM(CZ71, CZ78, CZ82:CZ88)</f>
        <v/>
      </c>
      <c r="DA89" s="823">
        <f>+SUM(DA71, DA78, DA82:DA88)</f>
        <v/>
      </c>
      <c r="DB89" s="823">
        <f>+SUM(DB71, DB78, DB82:DB88)</f>
        <v/>
      </c>
      <c r="DC89" s="823">
        <f>+SUM(DC71, DC78, DC82:DC88)</f>
        <v/>
      </c>
      <c r="DD89" s="823">
        <f>+SUM(DD71, DD78, DD82:DD88)</f>
        <v/>
      </c>
      <c r="DE89" s="823">
        <f>+SUM(DE71, DE78, DE82:DE88)</f>
        <v/>
      </c>
      <c r="DF89" s="823">
        <f>+SUM(DF71, DF78, DF82:DF88)</f>
        <v/>
      </c>
      <c r="DG89" s="823">
        <f>+SUM(DG71, DG78, DG82:DG88)</f>
        <v/>
      </c>
    </row>
    <row r="90">
      <c r="B90" s="4" t="inlineStr">
        <is>
          <t>Interest Paid</t>
        </is>
      </c>
      <c r="C90" s="4" t="n"/>
      <c r="D90" s="823" t="n"/>
      <c r="E90" s="823" t="n"/>
      <c r="F90" s="823" t="n"/>
      <c r="G90" s="823" t="n"/>
      <c r="H90" s="823" t="n"/>
      <c r="I90" s="823" t="n"/>
      <c r="J90" s="823" t="n"/>
      <c r="K90" s="823" t="n"/>
      <c r="L90" s="823" t="n"/>
      <c r="M90" s="823" t="n"/>
      <c r="N90" s="823" t="n"/>
      <c r="O90" s="823" t="n"/>
      <c r="P90" s="823" t="n"/>
      <c r="Q90" s="823" t="n"/>
      <c r="R90" s="823" t="n"/>
      <c r="S90" s="823" t="n"/>
      <c r="T90" s="823" t="n"/>
      <c r="U90" s="823" t="n"/>
      <c r="V90" s="823" t="n"/>
      <c r="W90" s="823" t="n"/>
      <c r="X90" s="823" t="n"/>
      <c r="Y90" s="823" t="n"/>
      <c r="Z90" s="823" t="n"/>
      <c r="AA90" s="823" t="n"/>
      <c r="AB90" s="823" t="n"/>
      <c r="AC90" s="823" t="n"/>
      <c r="AD90" s="823" t="n"/>
      <c r="AE90" s="823" t="n"/>
      <c r="AF90" s="823" t="n"/>
      <c r="AG90" s="823" t="n"/>
      <c r="AH90" s="823" t="n"/>
      <c r="AI90" s="823" t="n"/>
      <c r="AJ90" s="823" t="n"/>
      <c r="AK90" s="823" t="n"/>
      <c r="AL90" s="823" t="n"/>
      <c r="AM90" s="823" t="n"/>
      <c r="AN90" s="823" t="n"/>
      <c r="AO90" s="823" t="n"/>
      <c r="AP90" s="823" t="n"/>
      <c r="AQ90" s="823" t="n"/>
      <c r="AR90" s="823" t="n"/>
      <c r="AS90" s="823" t="n"/>
      <c r="AT90" s="823" t="n"/>
      <c r="AU90" s="823" t="n"/>
      <c r="AV90" s="823" t="n"/>
      <c r="AW90" s="244" t="n">
        <v>16.13</v>
      </c>
      <c r="AX90" s="823" t="n"/>
      <c r="AY90" s="836" t="n"/>
      <c r="AZ90" s="823" t="n"/>
      <c r="BA90" s="823" t="n"/>
      <c r="BB90" s="823" t="n"/>
      <c r="BC90" s="823" t="n"/>
      <c r="BD90" s="823" t="n"/>
      <c r="BE90" s="823" t="n"/>
      <c r="BF90" s="823" t="n"/>
      <c r="BG90" s="823" t="n"/>
      <c r="BH90" s="823" t="n"/>
      <c r="BI90" s="823" t="n"/>
      <c r="BJ90" s="823" t="n"/>
      <c r="BK90" s="836" t="n"/>
      <c r="BL90" s="823" t="n"/>
      <c r="BM90" s="823" t="n"/>
      <c r="BN90" s="823" t="n"/>
      <c r="BO90" s="823" t="n"/>
      <c r="BP90" s="823" t="n"/>
      <c r="BQ90" s="823" t="n"/>
      <c r="BR90" s="823" t="n"/>
      <c r="BS90" s="823" t="n"/>
      <c r="BT90" s="823" t="n"/>
      <c r="BU90" s="823" t="n"/>
      <c r="BV90" s="823" t="n"/>
      <c r="BW90" s="836" t="n"/>
      <c r="BX90" s="823" t="n"/>
      <c r="BY90" s="823" t="n"/>
      <c r="BZ90" s="823" t="n"/>
      <c r="CA90" s="823" t="n"/>
      <c r="CB90" s="823" t="n"/>
      <c r="CC90" s="823" t="n"/>
      <c r="CD90" s="823" t="n"/>
      <c r="CE90" s="823" t="n"/>
      <c r="CF90" s="823" t="n"/>
      <c r="CG90" s="823" t="n"/>
      <c r="CH90" s="823" t="n"/>
      <c r="CI90" s="836" t="n"/>
      <c r="CJ90" s="823" t="n"/>
      <c r="CK90" s="823" t="n"/>
      <c r="CL90" s="823" t="n"/>
      <c r="CM90" s="823" t="n"/>
      <c r="CN90" s="823" t="n"/>
      <c r="CO90" s="823" t="n"/>
      <c r="CP90" s="823" t="n"/>
      <c r="CQ90" s="823" t="n"/>
      <c r="CR90" s="823" t="n"/>
      <c r="CS90" s="823" t="n"/>
      <c r="CT90" s="823" t="n"/>
      <c r="CU90" s="836" t="n"/>
      <c r="CV90" s="823" t="n"/>
      <c r="CW90" s="823" t="n"/>
      <c r="CX90" s="823" t="n"/>
      <c r="CY90" s="823" t="n"/>
      <c r="CZ90" s="823" t="n"/>
      <c r="DA90" s="823" t="n"/>
      <c r="DB90" s="823" t="n"/>
      <c r="DC90" s="823" t="n"/>
      <c r="DD90" s="823" t="n"/>
      <c r="DE90" s="823" t="n"/>
      <c r="DF90" s="823" t="n"/>
      <c r="DG90" s="823" t="n"/>
    </row>
    <row r="91">
      <c r="A91" s="5" t="n"/>
      <c r="B91" s="6" t="inlineStr">
        <is>
          <t>Total Expenses</t>
        </is>
      </c>
      <c r="C91" s="6" t="n"/>
      <c r="D91" s="823">
        <f>SUM(D89:D89)</f>
        <v/>
      </c>
      <c r="E91" s="823">
        <f>SUM(E89:E89)</f>
        <v/>
      </c>
      <c r="F91" s="823">
        <f>SUM(F89:F89)</f>
        <v/>
      </c>
      <c r="G91" s="823">
        <f>SUM(G89:G89)</f>
        <v/>
      </c>
      <c r="H91" s="823">
        <f>SUM(H89:H89)</f>
        <v/>
      </c>
      <c r="I91" s="823">
        <f>SUM(I89:I89)</f>
        <v/>
      </c>
      <c r="J91" s="823">
        <f>SUM(J89:J89)</f>
        <v/>
      </c>
      <c r="K91" s="823">
        <f>SUM(K89:K89)</f>
        <v/>
      </c>
      <c r="L91" s="823">
        <f>SUM(L89:L89)</f>
        <v/>
      </c>
      <c r="M91" s="823">
        <f>SUM(M89:M89)</f>
        <v/>
      </c>
      <c r="N91" s="823">
        <f>SUM(N89:N89)</f>
        <v/>
      </c>
      <c r="O91" s="823">
        <f>SUM(O89:O89)</f>
        <v/>
      </c>
      <c r="P91" s="823">
        <f>SUM(P89:P89)</f>
        <v/>
      </c>
      <c r="Q91" s="823">
        <f>SUM(Q89:Q89)</f>
        <v/>
      </c>
      <c r="R91" s="823">
        <f>SUM(R89:R89)</f>
        <v/>
      </c>
      <c r="S91" s="823">
        <f>SUM(S89:S89)</f>
        <v/>
      </c>
      <c r="T91" s="823">
        <f>SUM(T89:T89)</f>
        <v/>
      </c>
      <c r="U91" s="823">
        <f>SUM(U89:U89)</f>
        <v/>
      </c>
      <c r="V91" s="823">
        <f>SUM(V89:V89)</f>
        <v/>
      </c>
      <c r="W91" s="823">
        <f>SUM(W89:W89)</f>
        <v/>
      </c>
      <c r="X91" s="823">
        <f>SUM(X89:X89)</f>
        <v/>
      </c>
      <c r="Y91" s="823">
        <f>SUM(Y89:Y89)</f>
        <v/>
      </c>
      <c r="Z91" s="823">
        <f>SUM(Z89:Z89)</f>
        <v/>
      </c>
      <c r="AA91" s="823">
        <f>SUM(AA89:AA89)</f>
        <v/>
      </c>
      <c r="AB91" s="823">
        <f>SUM(AB89:AB89)</f>
        <v/>
      </c>
      <c r="AC91" s="823">
        <f>SUM(AC89:AC89)</f>
        <v/>
      </c>
      <c r="AD91" s="823">
        <f>SUM(AD89:AD89)</f>
        <v/>
      </c>
      <c r="AE91" s="823">
        <f>SUM(AE89:AE89)</f>
        <v/>
      </c>
      <c r="AF91" s="823">
        <f>SUM(AF89:AF89)</f>
        <v/>
      </c>
      <c r="AG91" s="823">
        <f>SUM(AG89:AG89)</f>
        <v/>
      </c>
      <c r="AH91" s="823">
        <f>SUM(AH89:AH89)</f>
        <v/>
      </c>
      <c r="AI91" s="823">
        <f>SUM(AI89:AI89)</f>
        <v/>
      </c>
      <c r="AJ91" s="823">
        <f>SUM(AJ89:AJ89)</f>
        <v/>
      </c>
      <c r="AK91" s="823">
        <f>SUM(AK89:AK89)</f>
        <v/>
      </c>
      <c r="AL91" s="823">
        <f>SUM(AL89:AL89)</f>
        <v/>
      </c>
      <c r="AM91" s="823">
        <f>SUM(AM89:AM89)</f>
        <v/>
      </c>
      <c r="AN91" s="823">
        <f>SUM(AN89:AN89)</f>
        <v/>
      </c>
      <c r="AO91" s="823">
        <f>SUM(AO89:AO89)</f>
        <v/>
      </c>
      <c r="AP91" s="823">
        <f>SUM(AP89:AP89)</f>
        <v/>
      </c>
      <c r="AQ91" s="823">
        <f>SUM(AQ89:AQ89)</f>
        <v/>
      </c>
      <c r="AR91" s="823">
        <f>SUM(AR89:AR89)</f>
        <v/>
      </c>
      <c r="AS91" s="823">
        <f>SUM(AS89:AS89)</f>
        <v/>
      </c>
      <c r="AT91" s="823">
        <f>SUM(AT89:AT89)</f>
        <v/>
      </c>
      <c r="AU91" s="823">
        <f>SUM(AU89:AU89)</f>
        <v/>
      </c>
      <c r="AV91" s="823">
        <f>SUM(AV89:AV89)</f>
        <v/>
      </c>
      <c r="AW91" s="836">
        <f>SUM(AW89:AW89)+AW90</f>
        <v/>
      </c>
      <c r="AX91" s="823">
        <f>SUM(AX89:AX89)+AX90</f>
        <v/>
      </c>
      <c r="AY91" s="836">
        <f>SUM(AY89:AY89)+AY90</f>
        <v/>
      </c>
      <c r="AZ91" s="823">
        <f>SUM(AZ89:AZ89)+AZ90</f>
        <v/>
      </c>
      <c r="BA91" s="823">
        <f>SUM(BA89:BA89)+BA90</f>
        <v/>
      </c>
      <c r="BB91" s="823">
        <f>SUM(BB89:BB89)+BB90</f>
        <v/>
      </c>
      <c r="BC91" s="823">
        <f>SUM(BC89:BC89)+BC90</f>
        <v/>
      </c>
      <c r="BD91" s="823">
        <f>SUM(BD89:BD89)+BD90</f>
        <v/>
      </c>
      <c r="BE91" s="823">
        <f>SUM(BE89:BE89)+BE90</f>
        <v/>
      </c>
      <c r="BF91" s="823">
        <f>SUM(BF89:BF89)+BF90</f>
        <v/>
      </c>
      <c r="BG91" s="823">
        <f>SUM(BG89:BG89)+BG90</f>
        <v/>
      </c>
      <c r="BH91" s="823">
        <f>SUM(BH89:BH89)+BH90</f>
        <v/>
      </c>
      <c r="BI91" s="823">
        <f>SUM(BI89:BI89)+BI90</f>
        <v/>
      </c>
      <c r="BJ91" s="823">
        <f>SUM(BJ89:BJ89)+BJ90</f>
        <v/>
      </c>
      <c r="BK91" s="836">
        <f>SUM(BK89:BK89)+BK90</f>
        <v/>
      </c>
      <c r="BL91" s="823">
        <f>SUM(BL89:BL89)+BL90</f>
        <v/>
      </c>
      <c r="BM91" s="823">
        <f>SUM(BM89:BM89)+BM90</f>
        <v/>
      </c>
      <c r="BN91" s="823">
        <f>SUM(BN89:BN89)+BN90</f>
        <v/>
      </c>
      <c r="BO91" s="823">
        <f>SUM(BO89:BO89)+BO90</f>
        <v/>
      </c>
      <c r="BP91" s="823">
        <f>SUM(BP89:BP89)+BP90</f>
        <v/>
      </c>
      <c r="BQ91" s="823">
        <f>SUM(BQ89:BQ89)+BQ90</f>
        <v/>
      </c>
      <c r="BR91" s="823">
        <f>SUM(BR89:BR89)+BR90</f>
        <v/>
      </c>
      <c r="BS91" s="823">
        <f>SUM(BS89:BS89)+BS90</f>
        <v/>
      </c>
      <c r="BT91" s="823">
        <f>SUM(BT89:BT89)+BT90</f>
        <v/>
      </c>
      <c r="BU91" s="823">
        <f>SUM(BU89:BU89)+BU90</f>
        <v/>
      </c>
      <c r="BV91" s="823">
        <f>SUM(BV89:BV89)+BV90</f>
        <v/>
      </c>
      <c r="BW91" s="836">
        <f>SUM(BW89:BW89)+BW90</f>
        <v/>
      </c>
      <c r="BX91" s="823">
        <f>SUM(BX89:BX89)+BX90</f>
        <v/>
      </c>
      <c r="BY91" s="823">
        <f>SUM(BY89:BY89)+BY90</f>
        <v/>
      </c>
      <c r="BZ91" s="823">
        <f>SUM(BZ89:BZ89)+BZ90</f>
        <v/>
      </c>
      <c r="CA91" s="823">
        <f>SUM(CA89:CA89)+CA90</f>
        <v/>
      </c>
      <c r="CB91" s="823">
        <f>SUM(CB89:CB89)+CB90</f>
        <v/>
      </c>
      <c r="CC91" s="823">
        <f>SUM(CC89:CC89)+CC90</f>
        <v/>
      </c>
      <c r="CD91" s="823">
        <f>SUM(CD89:CD89)+CD90</f>
        <v/>
      </c>
      <c r="CE91" s="823">
        <f>SUM(CE89:CE89)+CE90</f>
        <v/>
      </c>
      <c r="CF91" s="823">
        <f>SUM(CF89:CF89)+CF90</f>
        <v/>
      </c>
      <c r="CG91" s="823">
        <f>SUM(CG89:CG89)+CG90</f>
        <v/>
      </c>
      <c r="CH91" s="823">
        <f>SUM(CH89:CH89)+CH90</f>
        <v/>
      </c>
      <c r="CI91" s="836">
        <f>SUM(CI89:CI89)+CI90</f>
        <v/>
      </c>
      <c r="CJ91" s="823">
        <f>SUM(CJ89:CJ89)+CJ90</f>
        <v/>
      </c>
      <c r="CK91" s="823">
        <f>SUM(CK89:CK89)+CK90</f>
        <v/>
      </c>
      <c r="CL91" s="823">
        <f>SUM(CL89:CL89)+CL90</f>
        <v/>
      </c>
      <c r="CM91" s="823">
        <f>SUM(CM89:CM89)+CM90</f>
        <v/>
      </c>
      <c r="CN91" s="823">
        <f>SUM(CN89:CN89)+CN90</f>
        <v/>
      </c>
      <c r="CO91" s="823">
        <f>SUM(CO89:CO89)+CO90</f>
        <v/>
      </c>
      <c r="CP91" s="823">
        <f>SUM(CP89:CP89)+CP90</f>
        <v/>
      </c>
      <c r="CQ91" s="823">
        <f>SUM(CQ89:CQ89)+CQ90</f>
        <v/>
      </c>
      <c r="CR91" s="823">
        <f>SUM(CR89:CR89)+CR90</f>
        <v/>
      </c>
      <c r="CS91" s="823">
        <f>SUM(CS89:CS89)+CS90</f>
        <v/>
      </c>
      <c r="CT91" s="823">
        <f>SUM(CT89:CT89)+CT90</f>
        <v/>
      </c>
      <c r="CU91" s="836">
        <f>SUM(CU89:CU89)+CU90</f>
        <v/>
      </c>
      <c r="CV91" s="823">
        <f>SUM(CV89:CV89)+CV90</f>
        <v/>
      </c>
      <c r="CW91" s="823">
        <f>SUM(CW89:CW89)+CW90</f>
        <v/>
      </c>
      <c r="CX91" s="823">
        <f>SUM(CX89:CX89)+CX90</f>
        <v/>
      </c>
      <c r="CY91" s="823">
        <f>SUM(CY89:CY89)+CY90</f>
        <v/>
      </c>
      <c r="CZ91" s="823">
        <f>SUM(CZ89:CZ89)+CZ90</f>
        <v/>
      </c>
      <c r="DA91" s="823">
        <f>SUM(DA89:DA89)+DA90</f>
        <v/>
      </c>
      <c r="DB91" s="823">
        <f>SUM(DB89:DB89)+DB90</f>
        <v/>
      </c>
      <c r="DC91" s="823">
        <f>SUM(DC89:DC89)+DC90</f>
        <v/>
      </c>
      <c r="DD91" s="823">
        <f>SUM(DD89:DD89)+DD90</f>
        <v/>
      </c>
      <c r="DE91" s="823">
        <f>SUM(DE89:DE89)+DE90</f>
        <v/>
      </c>
      <c r="DF91" s="823">
        <f>SUM(DF89:DF89)+DF90</f>
        <v/>
      </c>
      <c r="DG91" s="823">
        <f>SUM(DG89:DG89)+DG90</f>
        <v/>
      </c>
    </row>
    <row r="92">
      <c r="A92" s="3" t="n"/>
      <c r="B92" s="4" t="inlineStr">
        <is>
          <t>Net Operating Income</t>
        </is>
      </c>
      <c r="C92" s="4" t="n"/>
      <c r="D92" s="823">
        <f>D65-D91</f>
        <v/>
      </c>
      <c r="E92" s="823">
        <f>E65-E91</f>
        <v/>
      </c>
      <c r="F92" s="823">
        <f>F65-F91</f>
        <v/>
      </c>
      <c r="G92" s="823">
        <f>G65-G91</f>
        <v/>
      </c>
      <c r="H92" s="823">
        <f>H65-H91</f>
        <v/>
      </c>
      <c r="I92" s="823">
        <f>I65-I91</f>
        <v/>
      </c>
      <c r="J92" s="823">
        <f>J65-J91</f>
        <v/>
      </c>
      <c r="K92" s="823">
        <f>K65-K91</f>
        <v/>
      </c>
      <c r="L92" s="823">
        <f>L65-L91</f>
        <v/>
      </c>
      <c r="M92" s="823">
        <f>M65-M91</f>
        <v/>
      </c>
      <c r="N92" s="823">
        <f>N65-N91</f>
        <v/>
      </c>
      <c r="O92" s="823">
        <f>O65-O91</f>
        <v/>
      </c>
      <c r="P92" s="823">
        <f>P65-P91</f>
        <v/>
      </c>
      <c r="Q92" s="823">
        <f>Q65-Q91</f>
        <v/>
      </c>
      <c r="R92" s="823">
        <f>R65-R91</f>
        <v/>
      </c>
      <c r="S92" s="823">
        <f>S65-S91</f>
        <v/>
      </c>
      <c r="T92" s="823">
        <f>T65-T91</f>
        <v/>
      </c>
      <c r="U92" s="823">
        <f>U65-U91</f>
        <v/>
      </c>
      <c r="V92" s="823">
        <f>V65-V91</f>
        <v/>
      </c>
      <c r="W92" s="929">
        <f>W65-W91</f>
        <v/>
      </c>
      <c r="X92" s="823">
        <f>X65-X91</f>
        <v/>
      </c>
      <c r="Y92" s="823">
        <f>Y65-Y91</f>
        <v/>
      </c>
      <c r="Z92" s="823">
        <f>Z65-Z91</f>
        <v/>
      </c>
      <c r="AA92" s="823">
        <f>AA65-AA91</f>
        <v/>
      </c>
      <c r="AB92" s="823">
        <f>AB65-AB91</f>
        <v/>
      </c>
      <c r="AC92" s="823">
        <f>AC65-AC91</f>
        <v/>
      </c>
      <c r="AD92" s="823">
        <f>AD65-AD91</f>
        <v/>
      </c>
      <c r="AE92" s="823">
        <f>AE65-AE91</f>
        <v/>
      </c>
      <c r="AF92" s="823">
        <f>AF65-AF91</f>
        <v/>
      </c>
      <c r="AG92" s="823">
        <f>AG65-AG91</f>
        <v/>
      </c>
      <c r="AH92" s="823">
        <f>AH65-AH91</f>
        <v/>
      </c>
      <c r="AI92" s="823">
        <f>AI65-AI91</f>
        <v/>
      </c>
      <c r="AJ92" s="823">
        <f>AJ65-AJ91</f>
        <v/>
      </c>
      <c r="AK92" s="823">
        <f>AK65-AK91</f>
        <v/>
      </c>
      <c r="AL92" s="823">
        <f>AL65-AL91</f>
        <v/>
      </c>
      <c r="AM92" s="823">
        <f>AM65-AM91</f>
        <v/>
      </c>
      <c r="AN92" s="823">
        <f>AN65-AN91</f>
        <v/>
      </c>
      <c r="AO92" s="823">
        <f>AO65-AO91</f>
        <v/>
      </c>
      <c r="AP92" s="823">
        <f>AP65-AP91</f>
        <v/>
      </c>
      <c r="AQ92" s="823">
        <f>AQ65-AQ91</f>
        <v/>
      </c>
      <c r="AR92" s="823">
        <f>AR65-AR91</f>
        <v/>
      </c>
      <c r="AS92" s="823">
        <f>AS65-AS91</f>
        <v/>
      </c>
      <c r="AT92" s="823">
        <f>AT65-AT91</f>
        <v/>
      </c>
      <c r="AU92" s="823">
        <f>AU65-AU91</f>
        <v/>
      </c>
      <c r="AV92" s="823">
        <f>AV65-AV91</f>
        <v/>
      </c>
      <c r="AW92" s="836">
        <f>AW65-AW91</f>
        <v/>
      </c>
      <c r="AX92" s="823">
        <f>AX65-AX91</f>
        <v/>
      </c>
      <c r="AY92" s="836">
        <f>AY65-AY91</f>
        <v/>
      </c>
      <c r="AZ92" s="823">
        <f>AZ65-AZ91</f>
        <v/>
      </c>
      <c r="BA92" s="823">
        <f>BA65-BA91</f>
        <v/>
      </c>
      <c r="BB92" s="823">
        <f>BB65-BB91</f>
        <v/>
      </c>
      <c r="BC92" s="823">
        <f>BC65-BC91</f>
        <v/>
      </c>
      <c r="BD92" s="823">
        <f>BD65-BD91</f>
        <v/>
      </c>
      <c r="BE92" s="823">
        <f>BE65-BE91</f>
        <v/>
      </c>
      <c r="BF92" s="823">
        <f>BF65-BF91</f>
        <v/>
      </c>
      <c r="BG92" s="823">
        <f>BG65-BG91</f>
        <v/>
      </c>
      <c r="BH92" s="823">
        <f>BH65-BH91</f>
        <v/>
      </c>
      <c r="BI92" s="823">
        <f>BI65-BI91</f>
        <v/>
      </c>
      <c r="BJ92" s="823">
        <f>BJ65-BJ91</f>
        <v/>
      </c>
      <c r="BK92" s="836">
        <f>BK65-BK91</f>
        <v/>
      </c>
      <c r="BL92" s="823">
        <f>BL65-BL91</f>
        <v/>
      </c>
      <c r="BM92" s="823">
        <f>BM65-BM91</f>
        <v/>
      </c>
      <c r="BN92" s="823">
        <f>BN65-BN91</f>
        <v/>
      </c>
      <c r="BO92" s="823">
        <f>BO65-BO91</f>
        <v/>
      </c>
      <c r="BP92" s="823">
        <f>BP65-BP91</f>
        <v/>
      </c>
      <c r="BQ92" s="823">
        <f>BQ65-BQ91</f>
        <v/>
      </c>
      <c r="BR92" s="823">
        <f>BR65-BR91</f>
        <v/>
      </c>
      <c r="BS92" s="823">
        <f>BS65-BS91</f>
        <v/>
      </c>
      <c r="BT92" s="823">
        <f>BT65-BT91</f>
        <v/>
      </c>
      <c r="BU92" s="823">
        <f>BU65-BU91</f>
        <v/>
      </c>
      <c r="BV92" s="823">
        <f>BV65-BV91</f>
        <v/>
      </c>
      <c r="BW92" s="836">
        <f>BW65-BW91</f>
        <v/>
      </c>
      <c r="BX92" s="823">
        <f>BX65-BX91</f>
        <v/>
      </c>
      <c r="BY92" s="823">
        <f>BY65-BY91</f>
        <v/>
      </c>
      <c r="BZ92" s="823">
        <f>BZ65-BZ91</f>
        <v/>
      </c>
      <c r="CA92" s="823">
        <f>CA65-CA91</f>
        <v/>
      </c>
      <c r="CB92" s="823">
        <f>CB65-CB91</f>
        <v/>
      </c>
      <c r="CC92" s="823">
        <f>CC65-CC91</f>
        <v/>
      </c>
      <c r="CD92" s="823">
        <f>CD65-CD91</f>
        <v/>
      </c>
      <c r="CE92" s="823">
        <f>CE65-CE91</f>
        <v/>
      </c>
      <c r="CF92" s="823">
        <f>CF65-CF91</f>
        <v/>
      </c>
      <c r="CG92" s="823">
        <f>CG65-CG91</f>
        <v/>
      </c>
      <c r="CH92" s="823">
        <f>CH65-CH91</f>
        <v/>
      </c>
      <c r="CI92" s="836">
        <f>CI65-CI91</f>
        <v/>
      </c>
      <c r="CJ92" s="823">
        <f>CJ65-CJ91</f>
        <v/>
      </c>
      <c r="CK92" s="823">
        <f>CK65-CK91</f>
        <v/>
      </c>
      <c r="CL92" s="823">
        <f>CL65-CL91</f>
        <v/>
      </c>
      <c r="CM92" s="823">
        <f>CM65-CM91</f>
        <v/>
      </c>
      <c r="CN92" s="823">
        <f>CN65-CN91</f>
        <v/>
      </c>
      <c r="CO92" s="823">
        <f>CO65-CO91</f>
        <v/>
      </c>
      <c r="CP92" s="823">
        <f>CP65-CP91</f>
        <v/>
      </c>
      <c r="CQ92" s="823">
        <f>CQ65-CQ91</f>
        <v/>
      </c>
      <c r="CR92" s="823">
        <f>CR65-CR91</f>
        <v/>
      </c>
      <c r="CS92" s="823">
        <f>CS65-CS91</f>
        <v/>
      </c>
      <c r="CT92" s="823">
        <f>CT65-CT91</f>
        <v/>
      </c>
      <c r="CU92" s="836">
        <f>CU65-CU91</f>
        <v/>
      </c>
      <c r="CV92" s="823">
        <f>CV65-CV91</f>
        <v/>
      </c>
      <c r="CW92" s="823">
        <f>CW65-CW91</f>
        <v/>
      </c>
      <c r="CX92" s="823">
        <f>CX65-CX91</f>
        <v/>
      </c>
      <c r="CY92" s="823">
        <f>CY65-CY91</f>
        <v/>
      </c>
      <c r="CZ92" s="823">
        <f>CZ65-CZ91</f>
        <v/>
      </c>
      <c r="DA92" s="823">
        <f>DA65-DA91</f>
        <v/>
      </c>
      <c r="DB92" s="823">
        <f>DB65-DB91</f>
        <v/>
      </c>
      <c r="DC92" s="823">
        <f>DC65-DC91</f>
        <v/>
      </c>
      <c r="DD92" s="823">
        <f>DD65-DD91</f>
        <v/>
      </c>
      <c r="DE92" s="823">
        <f>DE65-DE91</f>
        <v/>
      </c>
      <c r="DF92" s="823">
        <f>DF65-DF91</f>
        <v/>
      </c>
      <c r="DG92" s="823">
        <f>DG65-DG91</f>
        <v/>
      </c>
    </row>
    <row r="93" customFormat="1" s="164">
      <c r="B93" s="275" t="n"/>
      <c r="C93" s="275" t="inlineStr">
        <is>
          <t>CAC</t>
        </is>
      </c>
      <c r="D93" s="930" t="n"/>
      <c r="E93" s="930" t="n"/>
      <c r="F93" s="930" t="n"/>
      <c r="G93" s="930" t="n"/>
      <c r="H93" s="930" t="n"/>
      <c r="I93" s="930" t="n"/>
      <c r="J93" s="930" t="n"/>
      <c r="K93" s="930" t="n"/>
      <c r="L93" s="930" t="n"/>
      <c r="M93" s="930" t="n"/>
      <c r="N93" s="930" t="n"/>
      <c r="O93" s="930" t="n"/>
      <c r="P93" s="930" t="n"/>
      <c r="Q93" s="930" t="n"/>
      <c r="R93" s="930" t="n"/>
      <c r="S93" s="930" t="n"/>
      <c r="T93" s="930" t="n"/>
      <c r="U93" s="930" t="n"/>
      <c r="V93" s="930" t="n"/>
      <c r="W93" s="931">
        <f>+SUM(W75:W77,W61)</f>
        <v/>
      </c>
      <c r="X93" s="932">
        <f>+SUM(X75:X77,X61)</f>
        <v/>
      </c>
      <c r="Y93" s="932">
        <f>+SUM(Y75:Y77,Y61)</f>
        <v/>
      </c>
      <c r="Z93" s="932">
        <f>+SUM(Z75:Z77,Z61)</f>
        <v/>
      </c>
      <c r="AA93" s="932">
        <f>+SUM(AA75:AA77,AA61)</f>
        <v/>
      </c>
      <c r="AB93" s="932">
        <f>+SUM(AB75:AB77,AB61, AB85:AB86)</f>
        <v/>
      </c>
      <c r="AC93" s="932">
        <f>+SUM(AC75:AC77,AC61, AC85:AC86)</f>
        <v/>
      </c>
      <c r="AD93" s="932">
        <f>+SUM(AD75:AD77,AD61, AD85:AD86)</f>
        <v/>
      </c>
      <c r="AE93" s="932">
        <f>+SUM(AE75:AE77,AE61, AE85:AE86)</f>
        <v/>
      </c>
      <c r="AF93" s="932">
        <f>+SUM(AF75:AF77,AF61, AF85:AF86)</f>
        <v/>
      </c>
      <c r="AG93" s="932">
        <f>+SUM(AG75:AG77,AG61, AG85:AG86)</f>
        <v/>
      </c>
      <c r="AH93" s="932">
        <f>+SUM(AH75:AH77,AH61, AH85:AH86)</f>
        <v/>
      </c>
      <c r="AI93" s="932">
        <f>+SUM(AI75:AI77,AI61, AI85:AI86)</f>
        <v/>
      </c>
      <c r="AJ93" s="932">
        <f>+SUM(AJ75:AJ77,AJ61, AJ85:AJ86)</f>
        <v/>
      </c>
      <c r="AK93" s="932">
        <f>+SUM(AK75:AK77,AK61, AK85:AK86)</f>
        <v/>
      </c>
      <c r="AL93" s="932">
        <f>+SUM(AL75:AL77,AL61, AL85:AL86)</f>
        <v/>
      </c>
      <c r="AM93" s="932">
        <f>+SUM(AM75:AM77,AM61, AM85:AM86)</f>
        <v/>
      </c>
      <c r="AN93" s="932">
        <f>+SUM(AN75:AN77,AN61, AN85:AN86)</f>
        <v/>
      </c>
      <c r="AO93" s="932">
        <f>+SUM(AO75:AO77,AO61, AO85:AO86)</f>
        <v/>
      </c>
      <c r="AP93" s="932">
        <f>+SUM(AP75:AP77,AP61, AP85:AP86)</f>
        <v/>
      </c>
      <c r="AQ93" s="932">
        <f>+SUM(AQ75:AQ77,AQ61, AQ85:AQ86)</f>
        <v/>
      </c>
      <c r="AR93" s="932">
        <f>+SUM(AR75:AR77,AR61, AR85:AR86)</f>
        <v/>
      </c>
      <c r="AS93" s="932">
        <f>+SUM(AS75:AS77,AS61, AS85:AS86)</f>
        <v/>
      </c>
      <c r="AT93" s="932">
        <f>+SUM(AT75:AT77,AT61, AT85:AT86)</f>
        <v/>
      </c>
      <c r="AU93" s="932">
        <f>+SUM(AU75:AU77,AU61, AU85:AU86)</f>
        <v/>
      </c>
      <c r="AV93" s="932">
        <f>+SUM(AV75:AV77,AV61, AV85:AV86)</f>
        <v/>
      </c>
      <c r="AW93" s="933">
        <f>+SUM(AW75:AW77,AW61, AW85:AW86)</f>
        <v/>
      </c>
      <c r="AX93" s="932">
        <f>+SUM(AX75:AX77,AX61, AX85:AX86)</f>
        <v/>
      </c>
      <c r="AY93" s="933">
        <f>+SUM(AY75:AY77,AY61, AY85:AY86)</f>
        <v/>
      </c>
      <c r="AZ93" s="932">
        <f>+SUM(AZ75:AZ77,AZ61, AZ85:AZ86)</f>
        <v/>
      </c>
      <c r="BA93" s="932">
        <f>+SUM(BA75:BA77,BA61, BA85:BA86)</f>
        <v/>
      </c>
      <c r="BB93" s="932">
        <f>+SUM(BB75:BB77,BB61, BB85:BB86)</f>
        <v/>
      </c>
      <c r="BC93" s="932">
        <f>+SUM(BC75:BC77,BC61, BC85:BC86)</f>
        <v/>
      </c>
      <c r="BD93" s="932">
        <f>+SUM(BD75:BD77,BD61, BD85:BD86)</f>
        <v/>
      </c>
      <c r="BE93" s="932">
        <f>+SUM(BE75:BE77,BE61, BE85:BE86)</f>
        <v/>
      </c>
      <c r="BF93" s="932">
        <f>+SUM(BF75:BF77,BF61, BF85:BF86)</f>
        <v/>
      </c>
      <c r="BG93" s="932">
        <f>+SUM(BG75:BG77,BG61, BG85:BG86)</f>
        <v/>
      </c>
      <c r="BH93" s="932">
        <f>+SUM(BH75:BH77,BH61, BH85:BH86)</f>
        <v/>
      </c>
      <c r="BI93" s="932">
        <f>+SUM(BI75:BI77,BI61, BI85:BI86)</f>
        <v/>
      </c>
      <c r="BJ93" s="932">
        <f>+SUM(BJ75:BJ77,BJ61, BJ85:BJ86)</f>
        <v/>
      </c>
      <c r="BK93" s="933">
        <f>+SUM(BK75:BK77,BK61, BK85:BK86)</f>
        <v/>
      </c>
      <c r="BL93" s="932">
        <f>+SUM(BL75:BL77,BL61, BL85:BL86)</f>
        <v/>
      </c>
      <c r="BM93" s="932">
        <f>+SUM(BM75:BM77,BM61, BM85:BM86)</f>
        <v/>
      </c>
      <c r="BN93" s="932">
        <f>+SUM(BN75:BN77,BN61, BN85:BN86)</f>
        <v/>
      </c>
      <c r="BO93" s="932">
        <f>+SUM(BO75:BO77,BO61, BO85:BO86)</f>
        <v/>
      </c>
      <c r="BP93" s="932">
        <f>+SUM(BP75:BP77,BP61, BP85:BP86)</f>
        <v/>
      </c>
      <c r="BQ93" s="932">
        <f>+SUM(BQ75:BQ77,BQ61, BQ85:BQ86)</f>
        <v/>
      </c>
      <c r="BR93" s="932">
        <f>+SUM(BR75:BR77,BR61, BR85:BR86)</f>
        <v/>
      </c>
      <c r="BS93" s="932">
        <f>+SUM(BS75:BS77,BS61, BS85:BS86)</f>
        <v/>
      </c>
      <c r="BT93" s="932">
        <f>+SUM(BT75:BT77,BT61, BT85:BT86)</f>
        <v/>
      </c>
      <c r="BU93" s="932">
        <f>+SUM(BU75:BU77,BU61, BU85:BU86)</f>
        <v/>
      </c>
      <c r="BV93" s="932">
        <f>+SUM(BV75:BV77,BV61, BV85:BV86)</f>
        <v/>
      </c>
      <c r="BW93" s="933">
        <f>+SUM(BW75:BW77,BW61, BW85:BW86)</f>
        <v/>
      </c>
      <c r="BX93" s="932">
        <f>+SUM(BX75:BX77,BX61, BX85:BX86)</f>
        <v/>
      </c>
      <c r="BY93" s="932">
        <f>+SUM(BY75:BY77,BY61, BY85:BY86)</f>
        <v/>
      </c>
      <c r="BZ93" s="932">
        <f>+SUM(BZ75:BZ77,BZ61, BZ85:BZ86)</f>
        <v/>
      </c>
      <c r="CA93" s="932">
        <f>+SUM(CA75:CA77,CA61, CA85:CA86)</f>
        <v/>
      </c>
      <c r="CB93" s="932">
        <f>+SUM(CB75:CB77,CB61, CB85:CB86)</f>
        <v/>
      </c>
      <c r="CC93" s="932">
        <f>+SUM(CC75:CC77,CC61, CC85:CC86)</f>
        <v/>
      </c>
      <c r="CD93" s="932">
        <f>+SUM(CD75:CD77,CD61, CD85:CD86)</f>
        <v/>
      </c>
      <c r="CE93" s="932">
        <f>+SUM(CE75:CE77,CE61, CE85:CE86)</f>
        <v/>
      </c>
      <c r="CF93" s="932">
        <f>+SUM(CF75:CF77,CF61, CF85:CF86)</f>
        <v/>
      </c>
      <c r="CG93" s="932">
        <f>+SUM(CG75:CG77,CG61, CG85:CG86)</f>
        <v/>
      </c>
      <c r="CH93" s="932">
        <f>+SUM(CH75:CH77,CH61, CH85:CH86)</f>
        <v/>
      </c>
      <c r="CI93" s="933">
        <f>+SUM(CI75:CI77,CI61, CI85:CI86)</f>
        <v/>
      </c>
      <c r="CJ93" s="932">
        <f>+SUM(CJ75:CJ77,CJ61, CJ85:CJ86)</f>
        <v/>
      </c>
      <c r="CK93" s="932">
        <f>+SUM(CK75:CK77,CK61, CK85:CK86)</f>
        <v/>
      </c>
      <c r="CL93" s="932">
        <f>+SUM(CL75:CL77,CL61, CL85:CL86)</f>
        <v/>
      </c>
      <c r="CM93" s="932">
        <f>+SUM(CM75:CM77,CM61, CM85:CM86)</f>
        <v/>
      </c>
      <c r="CN93" s="932">
        <f>+SUM(CN75:CN77,CN61, CN85:CN86)</f>
        <v/>
      </c>
      <c r="CO93" s="932">
        <f>+SUM(CO75:CO77,CO61, CO85:CO86)</f>
        <v/>
      </c>
      <c r="CP93" s="932">
        <f>+SUM(CP75:CP77,CP61, CP85:CP86)</f>
        <v/>
      </c>
      <c r="CQ93" s="932">
        <f>+SUM(CQ75:CQ77,CQ61, CQ85:CQ86)</f>
        <v/>
      </c>
      <c r="CR93" s="932">
        <f>+SUM(CR75:CR77,CR61, CR85:CR86)</f>
        <v/>
      </c>
      <c r="CS93" s="932">
        <f>+SUM(CS75:CS77,CS61, CS85:CS86)</f>
        <v/>
      </c>
      <c r="CT93" s="932">
        <f>+SUM(CT75:CT77,CT61, CT85:CT86)</f>
        <v/>
      </c>
      <c r="CU93" s="933">
        <f>+SUM(CU75:CU77,CU61, CU85:CU86)</f>
        <v/>
      </c>
      <c r="CV93" s="932">
        <f>+SUM(CV75:CV77,CV61, CV85:CV86)</f>
        <v/>
      </c>
      <c r="CW93" s="932">
        <f>+SUM(CW75:CW77,CW61, CW85:CW86)</f>
        <v/>
      </c>
      <c r="CX93" s="932">
        <f>+SUM(CX75:CX77,CX61, CX85:CX86)</f>
        <v/>
      </c>
      <c r="CY93" s="932">
        <f>+SUM(CY75:CY77,CY61, CY85:CY86)</f>
        <v/>
      </c>
      <c r="CZ93" s="932">
        <f>+SUM(CZ75:CZ77,CZ61, CZ85:CZ86)</f>
        <v/>
      </c>
      <c r="DA93" s="932">
        <f>+SUM(DA75:DA77,DA61, DA85:DA86)</f>
        <v/>
      </c>
      <c r="DB93" s="932">
        <f>+SUM(DB75:DB77,DB61, DB85:DB86)</f>
        <v/>
      </c>
      <c r="DC93" s="932">
        <f>+SUM(DC75:DC77,DC61, DC85:DC86)</f>
        <v/>
      </c>
      <c r="DD93" s="932">
        <f>+SUM(DD75:DD77,DD61, DD85:DD86)</f>
        <v/>
      </c>
      <c r="DE93" s="932">
        <f>+SUM(DE75:DE77,DE61, DE85:DE86)</f>
        <v/>
      </c>
      <c r="DF93" s="932">
        <f>+SUM(DF75:DF77,DF61, DF85:DF86)</f>
        <v/>
      </c>
      <c r="DG93" s="932">
        <f>+SUM(DG75:DG77,DG61, DG85:DG86)</f>
        <v/>
      </c>
    </row>
    <row r="94">
      <c r="B94" s="1" t="inlineStr">
        <is>
          <t>Other Income</t>
        </is>
      </c>
      <c r="C94" s="1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W94" s="243" t="n"/>
      <c r="AY94" s="243" t="n"/>
      <c r="BK94" s="243" t="n"/>
      <c r="BW94" s="243" t="n"/>
      <c r="CI94" s="243" t="n"/>
      <c r="CU94" s="243" t="n"/>
    </row>
    <row r="95">
      <c r="B95" s="1" t="inlineStr">
        <is>
          <t xml:space="preserve">   Interest Income</t>
        </is>
      </c>
      <c r="C95" s="1" t="n"/>
      <c r="D95" s="111" t="n"/>
      <c r="E95" s="111" t="n"/>
      <c r="F95" s="111" t="n"/>
      <c r="G95" s="111" t="n"/>
      <c r="H95" s="111" t="n"/>
      <c r="I95" s="111" t="n"/>
      <c r="J95" s="111" t="n"/>
      <c r="K95" s="111" t="n"/>
      <c r="L95" s="111" t="n"/>
      <c r="M95" s="111" t="n"/>
      <c r="N95" s="111" t="n"/>
      <c r="O95" s="111" t="n"/>
      <c r="P95" s="111" t="n">
        <v>0</v>
      </c>
      <c r="Q95" s="111" t="n">
        <v>0</v>
      </c>
      <c r="R95" s="111" t="n">
        <v>0</v>
      </c>
      <c r="S95" s="111" t="n"/>
      <c r="T95" s="111" t="n"/>
      <c r="U95" s="111" t="n"/>
      <c r="V95" s="111" t="n"/>
      <c r="W95" s="111" t="n"/>
      <c r="X95" s="111" t="n">
        <v>0</v>
      </c>
      <c r="Y95" s="111" t="n">
        <v>0</v>
      </c>
      <c r="Z95" s="111" t="n">
        <v>0</v>
      </c>
      <c r="AA95" s="111" t="n">
        <v>0</v>
      </c>
      <c r="AB95" s="111" t="n">
        <v>0</v>
      </c>
      <c r="AC95" s="111" t="n">
        <v>0</v>
      </c>
      <c r="AD95" s="111" t="n">
        <v>0</v>
      </c>
      <c r="AE95" s="111" t="n">
        <v>0</v>
      </c>
      <c r="AF95" s="111" t="n">
        <v>0</v>
      </c>
      <c r="AG95" s="111" t="n">
        <v>0</v>
      </c>
      <c r="AH95" s="111" t="n">
        <v>0</v>
      </c>
      <c r="AI95" s="111" t="n">
        <v>0</v>
      </c>
      <c r="AJ95" s="111" t="n">
        <v>0</v>
      </c>
      <c r="AK95" s="111" t="n">
        <v>0</v>
      </c>
      <c r="AL95" s="111" t="n">
        <v>0</v>
      </c>
      <c r="AM95" s="111" t="n">
        <v>0</v>
      </c>
      <c r="AN95" s="111" t="n">
        <v>0</v>
      </c>
      <c r="AO95" s="111" t="n">
        <v>0</v>
      </c>
      <c r="AP95" s="111" t="n">
        <v>2.35</v>
      </c>
      <c r="AQ95" s="111" t="n">
        <v>3.21</v>
      </c>
      <c r="AR95" s="111" t="n">
        <v>4.3</v>
      </c>
      <c r="AS95" s="111" t="n">
        <v>3.94</v>
      </c>
      <c r="AT95" s="111" t="n">
        <v>4.21</v>
      </c>
      <c r="AU95" s="111" t="n">
        <v>3.44</v>
      </c>
      <c r="AV95" s="111" t="n">
        <v>2.61</v>
      </c>
      <c r="AW95" s="244" t="n">
        <v>1.78</v>
      </c>
      <c r="AX95" s="611">
        <f>AW95</f>
        <v/>
      </c>
      <c r="AY95" s="244">
        <f>AX95</f>
        <v/>
      </c>
      <c r="AZ95" s="111">
        <f>AY95</f>
        <v/>
      </c>
      <c r="BA95" s="111">
        <f>AZ95</f>
        <v/>
      </c>
      <c r="BB95" s="111">
        <f>BA95</f>
        <v/>
      </c>
      <c r="BC95" s="111">
        <f>BB95</f>
        <v/>
      </c>
      <c r="BD95" s="111">
        <f>BC95</f>
        <v/>
      </c>
      <c r="BE95" s="111">
        <f>BD95</f>
        <v/>
      </c>
      <c r="BF95" s="111">
        <f>BE95</f>
        <v/>
      </c>
      <c r="BG95" s="111">
        <f>BF95</f>
        <v/>
      </c>
      <c r="BH95" s="111">
        <f>BG95</f>
        <v/>
      </c>
      <c r="BI95" s="111">
        <f>BH95</f>
        <v/>
      </c>
      <c r="BJ95" s="111">
        <f>BI95</f>
        <v/>
      </c>
      <c r="BK95" s="244">
        <f>BJ95</f>
        <v/>
      </c>
      <c r="BL95" s="111">
        <f>BK95</f>
        <v/>
      </c>
      <c r="BM95" s="111">
        <f>BL95</f>
        <v/>
      </c>
      <c r="BN95" s="111">
        <f>BM95</f>
        <v/>
      </c>
      <c r="BO95" s="111">
        <f>BN95</f>
        <v/>
      </c>
      <c r="BP95" s="111">
        <f>BO95</f>
        <v/>
      </c>
      <c r="BQ95" s="111">
        <f>BP95</f>
        <v/>
      </c>
      <c r="BR95" s="111">
        <f>BQ95</f>
        <v/>
      </c>
      <c r="BS95" s="111">
        <f>BR95</f>
        <v/>
      </c>
      <c r="BT95" s="111">
        <f>BS95</f>
        <v/>
      </c>
      <c r="BU95" s="111">
        <f>BT95</f>
        <v/>
      </c>
      <c r="BV95" s="111">
        <f>BU95</f>
        <v/>
      </c>
      <c r="BW95" s="244">
        <f>BV95</f>
        <v/>
      </c>
      <c r="BX95" s="111">
        <f>BW95</f>
        <v/>
      </c>
      <c r="BY95" s="111">
        <f>BX95</f>
        <v/>
      </c>
      <c r="BZ95" s="111">
        <f>BY95</f>
        <v/>
      </c>
      <c r="CA95" s="111">
        <f>BZ95</f>
        <v/>
      </c>
      <c r="CB95" s="111">
        <f>CA95</f>
        <v/>
      </c>
      <c r="CC95" s="111">
        <f>CB95</f>
        <v/>
      </c>
      <c r="CD95" s="111">
        <f>CC95</f>
        <v/>
      </c>
      <c r="CE95" s="111">
        <f>CD95</f>
        <v/>
      </c>
      <c r="CF95" s="111">
        <f>CE95</f>
        <v/>
      </c>
      <c r="CG95" s="111">
        <f>CF95</f>
        <v/>
      </c>
      <c r="CH95" s="111">
        <f>CG95</f>
        <v/>
      </c>
      <c r="CI95" s="244">
        <f>CH95</f>
        <v/>
      </c>
      <c r="CJ95" s="111">
        <f>CI95</f>
        <v/>
      </c>
      <c r="CK95" s="111">
        <f>CJ95</f>
        <v/>
      </c>
      <c r="CL95" s="111">
        <f>CK95</f>
        <v/>
      </c>
      <c r="CM95" s="111">
        <f>CL95</f>
        <v/>
      </c>
      <c r="CN95" s="111">
        <f>CM95</f>
        <v/>
      </c>
      <c r="CO95" s="111">
        <f>CN95</f>
        <v/>
      </c>
      <c r="CP95" s="111">
        <f>CO95</f>
        <v/>
      </c>
      <c r="CQ95" s="111">
        <f>CP95</f>
        <v/>
      </c>
      <c r="CR95" s="111">
        <f>CQ95</f>
        <v/>
      </c>
      <c r="CS95" s="111">
        <f>CR95</f>
        <v/>
      </c>
      <c r="CT95" s="111">
        <f>CS95</f>
        <v/>
      </c>
      <c r="CU95" s="244">
        <f>CT95</f>
        <v/>
      </c>
      <c r="CV95" s="111">
        <f>CU95</f>
        <v/>
      </c>
      <c r="CW95" s="111">
        <f>CV95</f>
        <v/>
      </c>
      <c r="CX95" s="111">
        <f>CW95</f>
        <v/>
      </c>
      <c r="CY95" s="111">
        <f>CX95</f>
        <v/>
      </c>
      <c r="CZ95" s="111">
        <f>CY95</f>
        <v/>
      </c>
      <c r="DA95" s="111">
        <f>CZ95</f>
        <v/>
      </c>
      <c r="DB95" s="111">
        <f>DA95</f>
        <v/>
      </c>
      <c r="DC95" s="111">
        <f>DB95</f>
        <v/>
      </c>
      <c r="DD95" s="111">
        <f>DC95</f>
        <v/>
      </c>
      <c r="DE95" s="111">
        <f>DD95</f>
        <v/>
      </c>
      <c r="DF95" s="111">
        <f>DE95</f>
        <v/>
      </c>
      <c r="DG95" s="111">
        <f>DF95</f>
        <v/>
      </c>
    </row>
    <row r="96">
      <c r="A96" s="5" t="n"/>
      <c r="B96" s="6" t="inlineStr">
        <is>
          <t>Total Other Income</t>
        </is>
      </c>
      <c r="C96" s="6" t="n"/>
      <c r="D96" s="823">
        <f>D95</f>
        <v/>
      </c>
      <c r="E96" s="823">
        <f>E95</f>
        <v/>
      </c>
      <c r="F96" s="823">
        <f>F95</f>
        <v/>
      </c>
      <c r="G96" s="823">
        <f>G95</f>
        <v/>
      </c>
      <c r="H96" s="823">
        <f>H95</f>
        <v/>
      </c>
      <c r="I96" s="823">
        <f>I95</f>
        <v/>
      </c>
      <c r="J96" s="823">
        <f>J95</f>
        <v/>
      </c>
      <c r="K96" s="823" t="n">
        <v>0</v>
      </c>
      <c r="L96" s="823" t="n">
        <v>0</v>
      </c>
      <c r="M96" s="824" t="n"/>
      <c r="N96" s="824">
        <f>N95</f>
        <v/>
      </c>
      <c r="O96" s="824">
        <f>O95</f>
        <v/>
      </c>
      <c r="P96" s="824">
        <f>P95</f>
        <v/>
      </c>
      <c r="Q96" s="824">
        <f>Q95</f>
        <v/>
      </c>
      <c r="R96" s="824">
        <f>R95</f>
        <v/>
      </c>
      <c r="S96" s="824">
        <f>S95</f>
        <v/>
      </c>
      <c r="T96" s="824">
        <f>T95</f>
        <v/>
      </c>
      <c r="U96" s="824">
        <f>U95</f>
        <v/>
      </c>
      <c r="V96" s="824">
        <f>V95</f>
        <v/>
      </c>
      <c r="W96" s="824">
        <f>W95</f>
        <v/>
      </c>
      <c r="X96" s="824">
        <f>X95</f>
        <v/>
      </c>
      <c r="Y96" s="824">
        <f>Y95</f>
        <v/>
      </c>
      <c r="Z96" s="824">
        <f>Z95</f>
        <v/>
      </c>
      <c r="AA96" s="824">
        <f>AA95</f>
        <v/>
      </c>
      <c r="AB96" s="824">
        <f>AB95</f>
        <v/>
      </c>
      <c r="AC96" s="824">
        <f>AC95</f>
        <v/>
      </c>
      <c r="AD96" s="824">
        <f>AD95</f>
        <v/>
      </c>
      <c r="AE96" s="824">
        <f>AE95</f>
        <v/>
      </c>
      <c r="AF96" s="824">
        <f>AF95</f>
        <v/>
      </c>
      <c r="AG96" s="824">
        <f>AG95</f>
        <v/>
      </c>
      <c r="AH96" s="824">
        <f>AH95</f>
        <v/>
      </c>
      <c r="AI96" s="824">
        <f>AI95</f>
        <v/>
      </c>
      <c r="AJ96" s="824">
        <f>AJ95</f>
        <v/>
      </c>
      <c r="AK96" s="824">
        <f>AK95</f>
        <v/>
      </c>
      <c r="AL96" s="824">
        <f>AL95</f>
        <v/>
      </c>
      <c r="AM96" s="824">
        <f>AM95</f>
        <v/>
      </c>
      <c r="AN96" s="824">
        <f>AN95</f>
        <v/>
      </c>
      <c r="AO96" s="824">
        <f>AO95</f>
        <v/>
      </c>
      <c r="AP96" s="824">
        <f>AP95</f>
        <v/>
      </c>
      <c r="AQ96" s="824">
        <f>AQ95</f>
        <v/>
      </c>
      <c r="AR96" s="824">
        <f>AR95</f>
        <v/>
      </c>
      <c r="AS96" s="824">
        <f>AS95</f>
        <v/>
      </c>
      <c r="AT96" s="824">
        <f>AT95</f>
        <v/>
      </c>
      <c r="AU96" s="824">
        <f>AU95</f>
        <v/>
      </c>
      <c r="AV96" s="824">
        <f>AV95</f>
        <v/>
      </c>
      <c r="AW96" s="825">
        <f>AW95</f>
        <v/>
      </c>
      <c r="AX96" s="824">
        <f>AX95</f>
        <v/>
      </c>
      <c r="AY96" s="825">
        <f>AY95</f>
        <v/>
      </c>
      <c r="AZ96" s="824">
        <f>AZ95</f>
        <v/>
      </c>
      <c r="BA96" s="824">
        <f>BA95</f>
        <v/>
      </c>
      <c r="BB96" s="824">
        <f>BB95</f>
        <v/>
      </c>
      <c r="BC96" s="824">
        <f>BC95</f>
        <v/>
      </c>
      <c r="BD96" s="824">
        <f>BD95</f>
        <v/>
      </c>
      <c r="BE96" s="824">
        <f>BE95</f>
        <v/>
      </c>
      <c r="BF96" s="824">
        <f>BF95</f>
        <v/>
      </c>
      <c r="BG96" s="824">
        <f>BG95</f>
        <v/>
      </c>
      <c r="BH96" s="824">
        <f>BH95</f>
        <v/>
      </c>
      <c r="BI96" s="824">
        <f>BI95</f>
        <v/>
      </c>
      <c r="BJ96" s="824">
        <f>BJ95</f>
        <v/>
      </c>
      <c r="BK96" s="825">
        <f>BK95</f>
        <v/>
      </c>
      <c r="BL96" s="824">
        <f>BL95</f>
        <v/>
      </c>
      <c r="BM96" s="824">
        <f>BM95</f>
        <v/>
      </c>
      <c r="BN96" s="824">
        <f>BN95</f>
        <v/>
      </c>
      <c r="BO96" s="824">
        <f>BO95</f>
        <v/>
      </c>
      <c r="BP96" s="824">
        <f>BP95</f>
        <v/>
      </c>
      <c r="BQ96" s="824">
        <f>BQ95</f>
        <v/>
      </c>
      <c r="BR96" s="824">
        <f>BR95</f>
        <v/>
      </c>
      <c r="BS96" s="824">
        <f>BS95</f>
        <v/>
      </c>
      <c r="BT96" s="824">
        <f>BT95</f>
        <v/>
      </c>
      <c r="BU96" s="824">
        <f>BU95</f>
        <v/>
      </c>
      <c r="BV96" s="824">
        <f>BV95</f>
        <v/>
      </c>
      <c r="BW96" s="825">
        <f>BW95</f>
        <v/>
      </c>
      <c r="BX96" s="824">
        <f>BX95</f>
        <v/>
      </c>
      <c r="BY96" s="824">
        <f>BY95</f>
        <v/>
      </c>
      <c r="BZ96" s="824">
        <f>BZ95</f>
        <v/>
      </c>
      <c r="CA96" s="824">
        <f>CA95</f>
        <v/>
      </c>
      <c r="CB96" s="824">
        <f>CB95</f>
        <v/>
      </c>
      <c r="CC96" s="824">
        <f>CC95</f>
        <v/>
      </c>
      <c r="CD96" s="824">
        <f>CD95</f>
        <v/>
      </c>
      <c r="CE96" s="824">
        <f>CE95</f>
        <v/>
      </c>
      <c r="CF96" s="824">
        <f>CF95</f>
        <v/>
      </c>
      <c r="CG96" s="824">
        <f>CG95</f>
        <v/>
      </c>
      <c r="CH96" s="824">
        <f>CH95</f>
        <v/>
      </c>
      <c r="CI96" s="825">
        <f>CI95</f>
        <v/>
      </c>
      <c r="CJ96" s="824">
        <f>CJ95</f>
        <v/>
      </c>
      <c r="CK96" s="824">
        <f>CK95</f>
        <v/>
      </c>
      <c r="CL96" s="824">
        <f>CL95</f>
        <v/>
      </c>
      <c r="CM96" s="824">
        <f>CM95</f>
        <v/>
      </c>
      <c r="CN96" s="824">
        <f>CN95</f>
        <v/>
      </c>
      <c r="CO96" s="824">
        <f>CO95</f>
        <v/>
      </c>
      <c r="CP96" s="824">
        <f>CP95</f>
        <v/>
      </c>
      <c r="CQ96" s="824">
        <f>CQ95</f>
        <v/>
      </c>
      <c r="CR96" s="824">
        <f>CR95</f>
        <v/>
      </c>
      <c r="CS96" s="824">
        <f>CS95</f>
        <v/>
      </c>
      <c r="CT96" s="824">
        <f>CT95</f>
        <v/>
      </c>
      <c r="CU96" s="825">
        <f>CU95</f>
        <v/>
      </c>
      <c r="CV96" s="824">
        <f>CV95</f>
        <v/>
      </c>
      <c r="CW96" s="824">
        <f>CW95</f>
        <v/>
      </c>
      <c r="CX96" s="824">
        <f>CX95</f>
        <v/>
      </c>
      <c r="CY96" s="824">
        <f>CY95</f>
        <v/>
      </c>
      <c r="CZ96" s="824">
        <f>CZ95</f>
        <v/>
      </c>
      <c r="DA96" s="824">
        <f>DA95</f>
        <v/>
      </c>
      <c r="DB96" s="824">
        <f>DB95</f>
        <v/>
      </c>
      <c r="DC96" s="824">
        <f>DC95</f>
        <v/>
      </c>
      <c r="DD96" s="824">
        <f>DD95</f>
        <v/>
      </c>
      <c r="DE96" s="824">
        <f>DE95</f>
        <v/>
      </c>
      <c r="DF96" s="824">
        <f>DF95</f>
        <v/>
      </c>
      <c r="DG96" s="824">
        <f>DG95</f>
        <v/>
      </c>
    </row>
    <row r="97">
      <c r="A97" s="5" t="n"/>
      <c r="B97" s="6" t="inlineStr">
        <is>
          <t>Net Other Income</t>
        </is>
      </c>
      <c r="C97" s="6" t="n"/>
      <c r="D97" s="823">
        <f>D96</f>
        <v/>
      </c>
      <c r="E97" s="823">
        <f>E96</f>
        <v/>
      </c>
      <c r="F97" s="823">
        <f>F96</f>
        <v/>
      </c>
      <c r="G97" s="823">
        <f>G96</f>
        <v/>
      </c>
      <c r="H97" s="823">
        <f>H96</f>
        <v/>
      </c>
      <c r="I97" s="823">
        <f>I96</f>
        <v/>
      </c>
      <c r="J97" s="823">
        <f>J96</f>
        <v/>
      </c>
      <c r="K97" s="823">
        <f>K96</f>
        <v/>
      </c>
      <c r="L97" s="823">
        <f>L96</f>
        <v/>
      </c>
      <c r="M97" s="824">
        <f>M96</f>
        <v/>
      </c>
      <c r="N97" s="824">
        <f>N96</f>
        <v/>
      </c>
      <c r="O97" s="824">
        <f>O96</f>
        <v/>
      </c>
      <c r="P97" s="824">
        <f>P96</f>
        <v/>
      </c>
      <c r="Q97" s="824">
        <f>Q96</f>
        <v/>
      </c>
      <c r="R97" s="824">
        <f>R96</f>
        <v/>
      </c>
      <c r="S97" s="824">
        <f>S96</f>
        <v/>
      </c>
      <c r="T97" s="824">
        <f>T96</f>
        <v/>
      </c>
      <c r="U97" s="824">
        <f>U96</f>
        <v/>
      </c>
      <c r="V97" s="824">
        <f>V96</f>
        <v/>
      </c>
      <c r="W97" s="824">
        <f>W96</f>
        <v/>
      </c>
      <c r="X97" s="824">
        <f>X96</f>
        <v/>
      </c>
      <c r="Y97" s="824">
        <f>Y96</f>
        <v/>
      </c>
      <c r="Z97" s="824">
        <f>Z96</f>
        <v/>
      </c>
      <c r="AA97" s="824">
        <f>AA96</f>
        <v/>
      </c>
      <c r="AB97" s="824">
        <f>AB96</f>
        <v/>
      </c>
      <c r="AC97" s="824">
        <f>AC96</f>
        <v/>
      </c>
      <c r="AD97" s="824">
        <f>AD96</f>
        <v/>
      </c>
      <c r="AE97" s="824">
        <f>AE96</f>
        <v/>
      </c>
      <c r="AF97" s="824">
        <f>AF96</f>
        <v/>
      </c>
      <c r="AG97" s="824">
        <f>AG96</f>
        <v/>
      </c>
      <c r="AH97" s="824">
        <f>AH96</f>
        <v/>
      </c>
      <c r="AI97" s="824">
        <f>AI96</f>
        <v/>
      </c>
      <c r="AJ97" s="824">
        <f>AJ96</f>
        <v/>
      </c>
      <c r="AK97" s="824">
        <f>AK96</f>
        <v/>
      </c>
      <c r="AL97" s="824">
        <f>AL96</f>
        <v/>
      </c>
      <c r="AM97" s="824">
        <f>AM96</f>
        <v/>
      </c>
      <c r="AN97" s="824">
        <f>AN96</f>
        <v/>
      </c>
      <c r="AO97" s="824">
        <f>AO96</f>
        <v/>
      </c>
      <c r="AP97" s="824">
        <f>AP96</f>
        <v/>
      </c>
      <c r="AQ97" s="824">
        <f>AQ96</f>
        <v/>
      </c>
      <c r="AR97" s="824">
        <f>AR96</f>
        <v/>
      </c>
      <c r="AS97" s="824">
        <f>AS96</f>
        <v/>
      </c>
      <c r="AT97" s="824">
        <f>AT96</f>
        <v/>
      </c>
      <c r="AU97" s="824">
        <f>AU96</f>
        <v/>
      </c>
      <c r="AV97" s="824">
        <f>AV96</f>
        <v/>
      </c>
      <c r="AW97" s="825">
        <f>AW96</f>
        <v/>
      </c>
      <c r="AX97" s="824">
        <f>AX96</f>
        <v/>
      </c>
      <c r="AY97" s="825">
        <f>AY96</f>
        <v/>
      </c>
      <c r="AZ97" s="824">
        <f>AZ96</f>
        <v/>
      </c>
      <c r="BA97" s="824">
        <f>BA96</f>
        <v/>
      </c>
      <c r="BB97" s="824">
        <f>BB96</f>
        <v/>
      </c>
      <c r="BC97" s="824">
        <f>BC96</f>
        <v/>
      </c>
      <c r="BD97" s="824">
        <f>BD96</f>
        <v/>
      </c>
      <c r="BE97" s="824">
        <f>BE96</f>
        <v/>
      </c>
      <c r="BF97" s="824">
        <f>BF96</f>
        <v/>
      </c>
      <c r="BG97" s="824">
        <f>BG96</f>
        <v/>
      </c>
      <c r="BH97" s="824">
        <f>BH96</f>
        <v/>
      </c>
      <c r="BI97" s="824">
        <f>BI96</f>
        <v/>
      </c>
      <c r="BJ97" s="824">
        <f>BJ96</f>
        <v/>
      </c>
      <c r="BK97" s="825">
        <f>BK96</f>
        <v/>
      </c>
      <c r="BL97" s="824">
        <f>BL96</f>
        <v/>
      </c>
      <c r="BM97" s="824">
        <f>BM96</f>
        <v/>
      </c>
      <c r="BN97" s="824">
        <f>BN96</f>
        <v/>
      </c>
      <c r="BO97" s="824">
        <f>BO96</f>
        <v/>
      </c>
      <c r="BP97" s="824">
        <f>BP96</f>
        <v/>
      </c>
      <c r="BQ97" s="824">
        <f>BQ96</f>
        <v/>
      </c>
      <c r="BR97" s="824">
        <f>BR96</f>
        <v/>
      </c>
      <c r="BS97" s="824">
        <f>BS96</f>
        <v/>
      </c>
      <c r="BT97" s="824">
        <f>BT96</f>
        <v/>
      </c>
      <c r="BU97" s="824">
        <f>BU96</f>
        <v/>
      </c>
      <c r="BV97" s="824">
        <f>BV96</f>
        <v/>
      </c>
      <c r="BW97" s="825">
        <f>BW96</f>
        <v/>
      </c>
      <c r="BX97" s="824">
        <f>BX96</f>
        <v/>
      </c>
      <c r="BY97" s="824">
        <f>BY96</f>
        <v/>
      </c>
      <c r="BZ97" s="824">
        <f>BZ96</f>
        <v/>
      </c>
      <c r="CA97" s="824">
        <f>CA96</f>
        <v/>
      </c>
      <c r="CB97" s="824">
        <f>CB96</f>
        <v/>
      </c>
      <c r="CC97" s="824">
        <f>CC96</f>
        <v/>
      </c>
      <c r="CD97" s="824">
        <f>CD96</f>
        <v/>
      </c>
      <c r="CE97" s="824">
        <f>CE96</f>
        <v/>
      </c>
      <c r="CF97" s="824">
        <f>CF96</f>
        <v/>
      </c>
      <c r="CG97" s="824">
        <f>CG96</f>
        <v/>
      </c>
      <c r="CH97" s="824">
        <f>CH96</f>
        <v/>
      </c>
      <c r="CI97" s="825">
        <f>CI96</f>
        <v/>
      </c>
      <c r="CJ97" s="824">
        <f>CJ96</f>
        <v/>
      </c>
      <c r="CK97" s="824">
        <f>CK96</f>
        <v/>
      </c>
      <c r="CL97" s="824">
        <f>CL96</f>
        <v/>
      </c>
      <c r="CM97" s="824">
        <f>CM96</f>
        <v/>
      </c>
      <c r="CN97" s="824">
        <f>CN96</f>
        <v/>
      </c>
      <c r="CO97" s="824">
        <f>CO96</f>
        <v/>
      </c>
      <c r="CP97" s="824">
        <f>CP96</f>
        <v/>
      </c>
      <c r="CQ97" s="824">
        <f>CQ96</f>
        <v/>
      </c>
      <c r="CR97" s="824">
        <f>CR96</f>
        <v/>
      </c>
      <c r="CS97" s="824">
        <f>CS96</f>
        <v/>
      </c>
      <c r="CT97" s="824">
        <f>CT96</f>
        <v/>
      </c>
      <c r="CU97" s="825">
        <f>CU96</f>
        <v/>
      </c>
      <c r="CV97" s="824">
        <f>CV96</f>
        <v/>
      </c>
      <c r="CW97" s="824">
        <f>CW96</f>
        <v/>
      </c>
      <c r="CX97" s="824">
        <f>CX96</f>
        <v/>
      </c>
      <c r="CY97" s="824">
        <f>CY96</f>
        <v/>
      </c>
      <c r="CZ97" s="824">
        <f>CZ96</f>
        <v/>
      </c>
      <c r="DA97" s="824">
        <f>DA96</f>
        <v/>
      </c>
      <c r="DB97" s="824">
        <f>DB96</f>
        <v/>
      </c>
      <c r="DC97" s="824">
        <f>DC96</f>
        <v/>
      </c>
      <c r="DD97" s="824">
        <f>DD96</f>
        <v/>
      </c>
      <c r="DE97" s="824">
        <f>DE96</f>
        <v/>
      </c>
      <c r="DF97" s="824">
        <f>DF96</f>
        <v/>
      </c>
      <c r="DG97" s="824">
        <f>DG96</f>
        <v/>
      </c>
    </row>
    <row r="98" customFormat="1" s="3">
      <c r="B98" s="4" t="inlineStr">
        <is>
          <t>Net Income</t>
        </is>
      </c>
      <c r="C98" s="4" t="n"/>
      <c r="D98" s="823">
        <f>D92+D97</f>
        <v/>
      </c>
      <c r="E98" s="823">
        <f>E92+E97</f>
        <v/>
      </c>
      <c r="F98" s="823">
        <f>F92+F97</f>
        <v/>
      </c>
      <c r="G98" s="823">
        <f>G92+G97</f>
        <v/>
      </c>
      <c r="H98" s="823">
        <f>H92+H97</f>
        <v/>
      </c>
      <c r="I98" s="823">
        <f>I92+I97</f>
        <v/>
      </c>
      <c r="J98" s="823">
        <f>J92+J97</f>
        <v/>
      </c>
      <c r="K98" s="823">
        <f>K92+K97</f>
        <v/>
      </c>
      <c r="L98" s="823">
        <f>L92+L97</f>
        <v/>
      </c>
      <c r="M98" s="823">
        <f>M92+M97</f>
        <v/>
      </c>
      <c r="N98" s="823">
        <f>N92+N97</f>
        <v/>
      </c>
      <c r="O98" s="823">
        <f>O92+O97</f>
        <v/>
      </c>
      <c r="P98" s="823">
        <f>P92+P97</f>
        <v/>
      </c>
      <c r="Q98" s="823">
        <f>Q92+Q97</f>
        <v/>
      </c>
      <c r="R98" s="823">
        <f>R92+R97</f>
        <v/>
      </c>
      <c r="S98" s="823">
        <f>S92+S97</f>
        <v/>
      </c>
      <c r="T98" s="823">
        <f>T92+T97</f>
        <v/>
      </c>
      <c r="U98" s="823">
        <f>U92+U97</f>
        <v/>
      </c>
      <c r="V98" s="823">
        <f>V92+V97</f>
        <v/>
      </c>
      <c r="W98" s="823">
        <f>W92+W97</f>
        <v/>
      </c>
      <c r="X98" s="823">
        <f>X92+X97</f>
        <v/>
      </c>
      <c r="Y98" s="823">
        <f>Y92+Y97</f>
        <v/>
      </c>
      <c r="Z98" s="823">
        <f>Z92+Z97</f>
        <v/>
      </c>
      <c r="AA98" s="823">
        <f>AA92+AA97</f>
        <v/>
      </c>
      <c r="AB98" s="823">
        <f>AB92+AB97</f>
        <v/>
      </c>
      <c r="AC98" s="823">
        <f>AC92+AC97</f>
        <v/>
      </c>
      <c r="AD98" s="823">
        <f>AD92+AD97</f>
        <v/>
      </c>
      <c r="AE98" s="823">
        <f>AE92+AE97</f>
        <v/>
      </c>
      <c r="AF98" s="823">
        <f>AF92+AF97</f>
        <v/>
      </c>
      <c r="AG98" s="823">
        <f>AG92+AG97</f>
        <v/>
      </c>
      <c r="AH98" s="823">
        <f>AH92+AH97</f>
        <v/>
      </c>
      <c r="AI98" s="823">
        <f>AI92+AI97</f>
        <v/>
      </c>
      <c r="AJ98" s="823">
        <f>AJ92+AJ97</f>
        <v/>
      </c>
      <c r="AK98" s="823">
        <f>AK92+AK97</f>
        <v/>
      </c>
      <c r="AL98" s="823">
        <f>AL92+AL97</f>
        <v/>
      </c>
      <c r="AM98" s="823">
        <f>AM92+AM97</f>
        <v/>
      </c>
      <c r="AN98" s="823">
        <f>AN92+AN97</f>
        <v/>
      </c>
      <c r="AO98" s="823">
        <f>AO92+AO97</f>
        <v/>
      </c>
      <c r="AP98" s="823">
        <f>AP92+AP97</f>
        <v/>
      </c>
      <c r="AQ98" s="823">
        <f>AQ92+AQ97</f>
        <v/>
      </c>
      <c r="AR98" s="823">
        <f>AR92+AR97</f>
        <v/>
      </c>
      <c r="AS98" s="823">
        <f>AS92+AS97</f>
        <v/>
      </c>
      <c r="AT98" s="823">
        <f>AT92+AT97</f>
        <v/>
      </c>
      <c r="AU98" s="823">
        <f>AU92+AU97</f>
        <v/>
      </c>
      <c r="AV98" s="823">
        <f>AV92+AV97</f>
        <v/>
      </c>
      <c r="AW98" s="836">
        <f>AW92+AW97</f>
        <v/>
      </c>
      <c r="AX98" s="823">
        <f>AX92+AX97</f>
        <v/>
      </c>
      <c r="AY98" s="836">
        <f>AY92+AY97</f>
        <v/>
      </c>
      <c r="AZ98" s="823">
        <f>AZ92+AZ97</f>
        <v/>
      </c>
      <c r="BA98" s="823">
        <f>BA92+BA97</f>
        <v/>
      </c>
      <c r="BB98" s="823">
        <f>BB92+BB97</f>
        <v/>
      </c>
      <c r="BC98" s="823">
        <f>BC92+BC97</f>
        <v/>
      </c>
      <c r="BD98" s="823">
        <f>BD92+BD97</f>
        <v/>
      </c>
      <c r="BE98" s="823">
        <f>BE92+BE97</f>
        <v/>
      </c>
      <c r="BF98" s="823">
        <f>BF92+BF97</f>
        <v/>
      </c>
      <c r="BG98" s="823">
        <f>BG92+BG97</f>
        <v/>
      </c>
      <c r="BH98" s="823">
        <f>BH92+BH97</f>
        <v/>
      </c>
      <c r="BI98" s="823">
        <f>BI92+BI97</f>
        <v/>
      </c>
      <c r="BJ98" s="823">
        <f>BJ92+BJ97</f>
        <v/>
      </c>
      <c r="BK98" s="836">
        <f>BK92+BK97</f>
        <v/>
      </c>
      <c r="BL98" s="823">
        <f>BL92+BL97</f>
        <v/>
      </c>
      <c r="BM98" s="823">
        <f>BM92+BM97</f>
        <v/>
      </c>
      <c r="BN98" s="823">
        <f>BN92+BN97</f>
        <v/>
      </c>
      <c r="BO98" s="823">
        <f>BO92+BO97</f>
        <v/>
      </c>
      <c r="BP98" s="823">
        <f>BP92+BP97</f>
        <v/>
      </c>
      <c r="BQ98" s="823">
        <f>BQ92+BQ97</f>
        <v/>
      </c>
      <c r="BR98" s="823">
        <f>BR92+BR97</f>
        <v/>
      </c>
      <c r="BS98" s="823">
        <f>BS92+BS97</f>
        <v/>
      </c>
      <c r="BT98" s="823">
        <f>BT92+BT97</f>
        <v/>
      </c>
      <c r="BU98" s="823">
        <f>BU92+BU97</f>
        <v/>
      </c>
      <c r="BV98" s="823">
        <f>BV92+BV97</f>
        <v/>
      </c>
      <c r="BW98" s="836">
        <f>BW92+BW97</f>
        <v/>
      </c>
      <c r="BX98" s="823">
        <f>BX92+BX97</f>
        <v/>
      </c>
      <c r="BY98" s="823">
        <f>BY92+BY97</f>
        <v/>
      </c>
      <c r="BZ98" s="823">
        <f>BZ92+BZ97</f>
        <v/>
      </c>
      <c r="CA98" s="823">
        <f>CA92+CA97</f>
        <v/>
      </c>
      <c r="CB98" s="823">
        <f>CB92+CB97</f>
        <v/>
      </c>
      <c r="CC98" s="823">
        <f>CC92+CC97</f>
        <v/>
      </c>
      <c r="CD98" s="823">
        <f>CD92+CD97</f>
        <v/>
      </c>
      <c r="CE98" s="823">
        <f>CE92+CE97</f>
        <v/>
      </c>
      <c r="CF98" s="823">
        <f>CF92+CF97</f>
        <v/>
      </c>
      <c r="CG98" s="823">
        <f>CG92+CG97</f>
        <v/>
      </c>
      <c r="CH98" s="823">
        <f>CH92+CH97</f>
        <v/>
      </c>
      <c r="CI98" s="836">
        <f>CI92+CI97</f>
        <v/>
      </c>
      <c r="CJ98" s="823">
        <f>CJ92+CJ97</f>
        <v/>
      </c>
      <c r="CK98" s="823">
        <f>CK92+CK97</f>
        <v/>
      </c>
      <c r="CL98" s="823">
        <f>CL92+CL97</f>
        <v/>
      </c>
      <c r="CM98" s="823">
        <f>CM92+CM97</f>
        <v/>
      </c>
      <c r="CN98" s="823">
        <f>CN92+CN97</f>
        <v/>
      </c>
      <c r="CO98" s="823">
        <f>CO92+CO97</f>
        <v/>
      </c>
      <c r="CP98" s="823">
        <f>CP92+CP97</f>
        <v/>
      </c>
      <c r="CQ98" s="823">
        <f>CQ92+CQ97</f>
        <v/>
      </c>
      <c r="CR98" s="823">
        <f>CR92+CR97</f>
        <v/>
      </c>
      <c r="CS98" s="823">
        <f>CS92+CS97</f>
        <v/>
      </c>
      <c r="CT98" s="823">
        <f>CT92+CT97</f>
        <v/>
      </c>
      <c r="CU98" s="836">
        <f>CU92+CU97</f>
        <v/>
      </c>
      <c r="CV98" s="823">
        <f>CV92+CV97</f>
        <v/>
      </c>
      <c r="CW98" s="823">
        <f>CW92+CW97</f>
        <v/>
      </c>
      <c r="CX98" s="823">
        <f>CX92+CX97</f>
        <v/>
      </c>
      <c r="CY98" s="823">
        <f>CY92+CY97</f>
        <v/>
      </c>
      <c r="CZ98" s="823">
        <f>CZ92+CZ97</f>
        <v/>
      </c>
      <c r="DA98" s="823">
        <f>DA92+DA97</f>
        <v/>
      </c>
      <c r="DB98" s="823">
        <f>DB92+DB97</f>
        <v/>
      </c>
      <c r="DC98" s="823">
        <f>DC92+DC97</f>
        <v/>
      </c>
      <c r="DD98" s="823">
        <f>DD92+DD97</f>
        <v/>
      </c>
      <c r="DE98" s="823">
        <f>DE92+DE97</f>
        <v/>
      </c>
      <c r="DF98" s="823">
        <f>DF92+DF97</f>
        <v/>
      </c>
      <c r="DG98" s="823">
        <f>DG92+DG97</f>
        <v/>
      </c>
    </row>
    <row r="99">
      <c r="B99" s="1" t="n"/>
      <c r="C99" s="1" t="n"/>
      <c r="D99" s="838" t="n"/>
      <c r="E99" s="838" t="n"/>
      <c r="F99" s="838" t="n"/>
      <c r="G99" s="838" t="n"/>
      <c r="H99" s="838" t="n"/>
      <c r="I99" s="838" t="n"/>
      <c r="J99" s="838" t="n"/>
      <c r="K99" s="838" t="n"/>
      <c r="L99" s="838" t="n"/>
      <c r="M99" s="838" t="n"/>
      <c r="N99" s="838" t="n"/>
      <c r="O99" s="838" t="n"/>
      <c r="P99" s="838" t="n"/>
      <c r="Q99" s="838" t="n"/>
      <c r="R99" s="838" t="n"/>
      <c r="S99" s="838" t="n"/>
      <c r="T99" s="838" t="n"/>
      <c r="U99" s="838" t="n"/>
      <c r="V99" s="838" t="n"/>
      <c r="W99" s="838" t="n"/>
      <c r="X99" s="838" t="n"/>
      <c r="Y99" s="838" t="n"/>
      <c r="Z99" s="838" t="n"/>
      <c r="AA99" s="838" t="n"/>
      <c r="AB99" s="838" t="n"/>
      <c r="AC99" s="838" t="n"/>
      <c r="AD99" s="838" t="n"/>
      <c r="AE99" s="838" t="n"/>
      <c r="AF99" s="838" t="n"/>
      <c r="AG99" s="838" t="n"/>
      <c r="AH99" s="838" t="n"/>
      <c r="AI99" s="838" t="n"/>
      <c r="AJ99" s="838" t="n"/>
      <c r="AK99" s="838" t="n"/>
      <c r="AL99" s="838" t="n"/>
      <c r="AM99" s="838" t="n"/>
      <c r="AN99" s="838" t="n"/>
      <c r="AO99" s="838" t="n"/>
      <c r="AP99" s="838" t="n"/>
      <c r="AQ99" s="838" t="n"/>
      <c r="AR99" s="838" t="n"/>
      <c r="AS99" s="838" t="n"/>
      <c r="AT99" s="838" t="n"/>
      <c r="AU99" s="838" t="n"/>
      <c r="AV99" s="838" t="n"/>
      <c r="AW99" s="839" t="n"/>
      <c r="AX99" s="838" t="n"/>
      <c r="AY99" s="839" t="n"/>
      <c r="AZ99" s="838" t="n"/>
      <c r="BA99" s="838" t="n"/>
      <c r="BB99" s="838" t="n"/>
      <c r="BC99" s="838" t="n"/>
      <c r="BD99" s="838" t="n"/>
      <c r="BE99" s="838" t="n"/>
      <c r="BF99" s="838" t="n"/>
      <c r="BG99" s="838" t="n"/>
      <c r="BH99" s="838" t="n"/>
      <c r="BI99" s="838" t="n"/>
      <c r="BJ99" s="838" t="n"/>
      <c r="BK99" s="839" t="n"/>
      <c r="BL99" s="838" t="n"/>
      <c r="BM99" s="838" t="n"/>
      <c r="BN99" s="838" t="n"/>
      <c r="BO99" s="838" t="n"/>
      <c r="BP99" s="838" t="n"/>
      <c r="BQ99" s="838" t="n"/>
      <c r="BR99" s="838" t="n"/>
      <c r="BS99" s="838" t="n"/>
      <c r="BT99" s="838" t="n"/>
      <c r="BU99" s="838" t="n"/>
      <c r="BV99" s="838" t="n"/>
      <c r="BW99" s="839" t="n"/>
      <c r="BX99" s="838" t="n"/>
      <c r="BY99" s="838" t="n"/>
      <c r="BZ99" s="838" t="n"/>
      <c r="CA99" s="838" t="n"/>
      <c r="CB99" s="838" t="n"/>
      <c r="CC99" s="838" t="n"/>
      <c r="CD99" s="838" t="n"/>
      <c r="CE99" s="838" t="n"/>
      <c r="CF99" s="838" t="n"/>
      <c r="CG99" s="838" t="n"/>
      <c r="CH99" s="838" t="n"/>
      <c r="CI99" s="839" t="n"/>
      <c r="CJ99" s="838" t="n"/>
      <c r="CK99" s="838" t="n"/>
      <c r="CL99" s="838" t="n"/>
      <c r="CM99" s="838" t="n"/>
      <c r="CN99" s="838" t="n"/>
      <c r="CO99" s="838" t="n"/>
      <c r="CP99" s="838" t="n"/>
      <c r="CQ99" s="838" t="n"/>
      <c r="CR99" s="838" t="n"/>
      <c r="CS99" s="838" t="n"/>
      <c r="CT99" s="838" t="n"/>
      <c r="CU99" s="839" t="n"/>
      <c r="CV99" s="838" t="n"/>
      <c r="CW99" s="838" t="n"/>
      <c r="CX99" s="838" t="n"/>
      <c r="CY99" s="838" t="n"/>
      <c r="CZ99" s="838" t="n"/>
      <c r="DA99" s="838" t="n"/>
      <c r="DB99" s="838" t="n"/>
      <c r="DC99" s="838" t="n"/>
      <c r="DD99" s="838" t="n"/>
      <c r="DE99" s="838" t="n"/>
      <c r="DF99" s="838" t="n"/>
      <c r="DG99" s="838" t="n"/>
    </row>
    <row r="100">
      <c r="A100" s="28" t="n"/>
      <c r="B100" s="65" t="n"/>
      <c r="C100" s="65" t="n"/>
      <c r="D100" s="934" t="n"/>
      <c r="E100" s="934" t="n"/>
      <c r="F100" s="934" t="n"/>
      <c r="G100" s="934" t="n"/>
      <c r="H100" s="934" t="n"/>
      <c r="I100" s="934" t="n"/>
      <c r="J100" s="934" t="n"/>
      <c r="K100" s="934" t="n"/>
      <c r="L100" s="934" t="n"/>
      <c r="M100" s="934" t="n"/>
      <c r="N100" s="934" t="n"/>
      <c r="O100" s="934" t="n"/>
      <c r="P100" s="934" t="n"/>
      <c r="Q100" s="934" t="n"/>
      <c r="R100" s="934" t="n"/>
      <c r="S100" s="934" t="n"/>
      <c r="T100" s="934" t="n"/>
      <c r="U100" s="934" t="n"/>
      <c r="V100" s="934" t="n"/>
      <c r="W100" s="934" t="n"/>
      <c r="X100" s="934" t="n"/>
      <c r="Y100" s="934" t="n"/>
      <c r="Z100" s="934" t="n"/>
      <c r="AA100" s="934" t="n"/>
      <c r="AB100" s="934" t="n"/>
      <c r="AC100" s="934" t="n"/>
      <c r="AD100" s="934" t="n"/>
      <c r="AE100" s="934" t="n"/>
      <c r="AF100" s="934" t="n"/>
      <c r="AG100" s="934" t="n"/>
      <c r="AH100" s="934" t="n"/>
      <c r="AI100" s="934" t="n"/>
      <c r="AJ100" s="934" t="n"/>
      <c r="AK100" s="934" t="n"/>
      <c r="AL100" s="934" t="n"/>
      <c r="AM100" s="934" t="n"/>
      <c r="AN100" s="934" t="n"/>
      <c r="AO100" s="934" t="n"/>
      <c r="AP100" s="934" t="n"/>
      <c r="AQ100" s="934" t="n"/>
      <c r="AR100" s="934" t="n"/>
      <c r="AS100" s="934" t="n"/>
      <c r="AT100" s="934" t="n"/>
      <c r="AU100" s="934" t="n"/>
      <c r="AV100" s="934" t="n"/>
      <c r="AW100" s="935" t="n"/>
      <c r="AX100" s="934" t="n"/>
      <c r="AY100" s="935" t="n"/>
      <c r="AZ100" s="934" t="n"/>
      <c r="BA100" s="934" t="n"/>
      <c r="BB100" s="934" t="n"/>
      <c r="BC100" s="934" t="n"/>
      <c r="BD100" s="934" t="n"/>
      <c r="BE100" s="934" t="n"/>
      <c r="BF100" s="934" t="n"/>
      <c r="BG100" s="934" t="n"/>
      <c r="BH100" s="934" t="n"/>
      <c r="BI100" s="934" t="n"/>
      <c r="BJ100" s="934" t="n"/>
      <c r="BK100" s="935" t="n"/>
      <c r="BL100" s="934" t="n"/>
      <c r="BM100" s="934" t="n"/>
      <c r="BN100" s="934" t="n"/>
      <c r="BO100" s="934" t="n"/>
      <c r="BP100" s="934" t="n"/>
      <c r="BQ100" s="934" t="n"/>
      <c r="BR100" s="934" t="n"/>
      <c r="BS100" s="934" t="n"/>
      <c r="BT100" s="934" t="n"/>
      <c r="BU100" s="934" t="n"/>
      <c r="BV100" s="934" t="n"/>
      <c r="BW100" s="935" t="n"/>
      <c r="BX100" s="934" t="n"/>
      <c r="BY100" s="934" t="n"/>
      <c r="BZ100" s="934" t="n"/>
      <c r="CA100" s="934" t="n"/>
      <c r="CB100" s="934" t="n"/>
      <c r="CC100" s="934" t="n"/>
      <c r="CD100" s="934" t="n"/>
      <c r="CE100" s="934" t="n"/>
      <c r="CF100" s="934" t="n"/>
      <c r="CG100" s="934" t="n"/>
      <c r="CH100" s="934" t="n"/>
      <c r="CI100" s="935" t="n"/>
      <c r="CJ100" s="934" t="n"/>
      <c r="CK100" s="934" t="n"/>
      <c r="CL100" s="934" t="n"/>
      <c r="CM100" s="934" t="n"/>
      <c r="CN100" s="934" t="n"/>
      <c r="CO100" s="934" t="n"/>
      <c r="CP100" s="934" t="n"/>
      <c r="CQ100" s="934" t="n"/>
      <c r="CR100" s="934" t="n"/>
      <c r="CS100" s="934" t="n"/>
      <c r="CT100" s="934" t="n"/>
      <c r="CU100" s="935" t="n"/>
      <c r="CV100" s="934" t="n"/>
      <c r="CW100" s="934" t="n"/>
      <c r="CX100" s="934" t="n"/>
      <c r="CY100" s="934" t="n"/>
      <c r="CZ100" s="934" t="n"/>
      <c r="DA100" s="934" t="n"/>
      <c r="DB100" s="934" t="n"/>
      <c r="DC100" s="934" t="n"/>
      <c r="DD100" s="934" t="n"/>
      <c r="DE100" s="934" t="n"/>
      <c r="DF100" s="934" t="n"/>
      <c r="DG100" s="934" t="n"/>
    </row>
    <row r="101" customFormat="1" s="5">
      <c r="B101" s="1" t="n"/>
      <c r="C101" s="1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O101" s="2" t="n"/>
      <c r="P101" s="2" t="n"/>
      <c r="Q101" s="2" t="n"/>
      <c r="R101" s="2" t="n"/>
      <c r="AW101" s="243" t="n"/>
      <c r="AY101" s="243" t="n"/>
      <c r="BK101" s="243" t="n"/>
      <c r="BW101" s="243" t="n"/>
      <c r="CI101" s="243" t="n"/>
      <c r="CU101" s="243" t="n"/>
    </row>
    <row r="102" customFormat="1" s="63">
      <c r="B102" s="1" t="inlineStr">
        <is>
          <t>ASSETS</t>
        </is>
      </c>
      <c r="C102" s="1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O102" s="2" t="n"/>
      <c r="P102" s="2" t="n"/>
      <c r="Q102" s="2" t="n"/>
      <c r="R102" s="2" t="n"/>
      <c r="AW102" s="243" t="n"/>
      <c r="AY102" s="243" t="n"/>
      <c r="BK102" s="243" t="n"/>
      <c r="BW102" s="243" t="n"/>
      <c r="CI102" s="243" t="n"/>
      <c r="CU102" s="243" t="n"/>
    </row>
    <row r="103">
      <c r="B103" s="1" t="inlineStr">
        <is>
          <t xml:space="preserve">   Current Assets</t>
        </is>
      </c>
      <c r="C103" s="1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O103" s="2" t="n"/>
      <c r="P103" s="2" t="n"/>
      <c r="Q103" s="2" t="n"/>
      <c r="R103" s="2" t="n"/>
      <c r="AW103" s="243" t="n"/>
      <c r="AY103" s="243" t="n"/>
      <c r="BK103" s="243" t="n"/>
      <c r="BW103" s="243" t="n"/>
      <c r="CI103" s="243" t="n"/>
      <c r="CU103" s="243" t="n"/>
    </row>
    <row r="104">
      <c r="B104" s="1" t="inlineStr">
        <is>
          <t xml:space="preserve">      Bank Accounts</t>
        </is>
      </c>
      <c r="C104" s="1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O104" s="2" t="n"/>
      <c r="P104" s="2" t="n"/>
      <c r="Q104" s="2" t="n"/>
      <c r="R104" s="2" t="n"/>
      <c r="AW104" s="243" t="n"/>
      <c r="AY104" s="243" t="n"/>
      <c r="BK104" s="243" t="n"/>
      <c r="BW104" s="243" t="n"/>
      <c r="CI104" s="243" t="n"/>
      <c r="CU104" s="243" t="n"/>
    </row>
    <row r="105" customFormat="1" s="3">
      <c r="B105" s="1" t="inlineStr">
        <is>
          <t xml:space="preserve">         10100 Operating - 2528</t>
        </is>
      </c>
      <c r="C105" s="1" t="n"/>
      <c r="D105" s="111" t="n"/>
      <c r="E105" s="111" t="n"/>
      <c r="F105" s="111" t="n"/>
      <c r="G105" s="111" t="n"/>
      <c r="H105" s="111" t="n"/>
      <c r="I105" s="111" t="n"/>
      <c r="J105" s="111" t="n"/>
      <c r="K105" s="111" t="n"/>
      <c r="L105" s="111" t="n"/>
      <c r="M105" s="111" t="n"/>
      <c r="V105" s="111" t="n"/>
      <c r="W105" s="111" t="n"/>
      <c r="X105" s="111" t="n"/>
      <c r="Y105" s="111" t="n"/>
      <c r="Z105" s="111" t="n"/>
      <c r="AA105" s="111" t="n"/>
      <c r="AB105" s="111" t="n">
        <v>260.54</v>
      </c>
      <c r="AC105" s="111" t="n">
        <v>592.16</v>
      </c>
      <c r="AD105" s="111" t="n">
        <v>287.01</v>
      </c>
      <c r="AE105" s="111" t="n">
        <v>310.12</v>
      </c>
      <c r="AF105" s="111" t="n">
        <v>382.24</v>
      </c>
      <c r="AG105" s="111" t="n">
        <v>223.41</v>
      </c>
      <c r="AH105" s="111" t="n">
        <v>-42.23</v>
      </c>
      <c r="AI105" s="111" t="n">
        <v>419.06</v>
      </c>
      <c r="AJ105" s="111" t="n">
        <v>-99.91</v>
      </c>
      <c r="AK105" s="111" t="n">
        <v>294.48</v>
      </c>
      <c r="AL105" s="111" t="n">
        <v>115.05</v>
      </c>
      <c r="AM105" s="111" t="n">
        <v>158.48</v>
      </c>
      <c r="AN105" s="111" t="n">
        <v>378.97</v>
      </c>
      <c r="AO105" s="111" t="n">
        <v>146.71</v>
      </c>
      <c r="AP105" s="111" t="n">
        <v>454.06</v>
      </c>
      <c r="AQ105" s="111" t="n">
        <v>209.74</v>
      </c>
      <c r="AR105" s="111" t="n">
        <v>785.34</v>
      </c>
      <c r="AS105" s="111" t="n">
        <v>815.92</v>
      </c>
      <c r="AT105" s="111" t="n">
        <v>277.28</v>
      </c>
      <c r="AU105" s="111" t="n">
        <v>542.45</v>
      </c>
      <c r="AV105" s="111" t="n">
        <v>526.25</v>
      </c>
      <c r="AW105" s="244">
        <f>599.48</f>
        <v/>
      </c>
      <c r="AX105" s="819">
        <f>+AW105+AX170</f>
        <v/>
      </c>
      <c r="AY105" s="936">
        <f>+AX105+AY170</f>
        <v/>
      </c>
      <c r="AZ105" s="819">
        <f>+AY105+AZ170</f>
        <v/>
      </c>
      <c r="BA105" s="819">
        <f>+AZ105+BA170</f>
        <v/>
      </c>
      <c r="BB105" s="819">
        <f>+BA105+BB170</f>
        <v/>
      </c>
      <c r="BC105" s="819">
        <f>+BB105+BC170</f>
        <v/>
      </c>
      <c r="BD105" s="819">
        <f>+BC105+BD170</f>
        <v/>
      </c>
      <c r="BE105" s="819">
        <f>+BD105+BE170</f>
        <v/>
      </c>
      <c r="BF105" s="819">
        <f>+BE105+BF170</f>
        <v/>
      </c>
      <c r="BG105" s="819">
        <f>+BF105+BG170</f>
        <v/>
      </c>
      <c r="BH105" s="819">
        <f>+BG105+BH170</f>
        <v/>
      </c>
      <c r="BI105" s="819">
        <f>+BH105+BI170</f>
        <v/>
      </c>
      <c r="BJ105" s="819">
        <f>+BI105+BJ170</f>
        <v/>
      </c>
      <c r="BK105" s="936">
        <f>+BJ105+BK170</f>
        <v/>
      </c>
      <c r="BL105" s="819">
        <f>+BK105+BL170</f>
        <v/>
      </c>
      <c r="BM105" s="819">
        <f>+BL105+BM170</f>
        <v/>
      </c>
      <c r="BN105" s="819">
        <f>+BM105+BN170</f>
        <v/>
      </c>
      <c r="BO105" s="819">
        <f>+BN105+BO170</f>
        <v/>
      </c>
      <c r="BP105" s="819">
        <f>+BO105+BP170</f>
        <v/>
      </c>
      <c r="BQ105" s="819">
        <f>+BP105+BQ170</f>
        <v/>
      </c>
      <c r="BR105" s="819">
        <f>+BQ105+BR170</f>
        <v/>
      </c>
      <c r="BS105" s="819">
        <f>+BR105+BS170</f>
        <v/>
      </c>
      <c r="BT105" s="819">
        <f>+BS105+BT170</f>
        <v/>
      </c>
      <c r="BU105" s="819">
        <f>+BT105+BU170</f>
        <v/>
      </c>
      <c r="BV105" s="819">
        <f>+BU105+BV170</f>
        <v/>
      </c>
      <c r="BW105" s="936">
        <f>+BV105+BW170</f>
        <v/>
      </c>
      <c r="BX105" s="819">
        <f>+BW105+BX170</f>
        <v/>
      </c>
      <c r="BY105" s="819">
        <f>+BX105+BY170</f>
        <v/>
      </c>
      <c r="BZ105" s="819">
        <f>+BY105+BZ170</f>
        <v/>
      </c>
      <c r="CA105" s="819">
        <f>+BZ105+CA170</f>
        <v/>
      </c>
      <c r="CB105" s="819">
        <f>+CA105+CB170</f>
        <v/>
      </c>
      <c r="CC105" s="819">
        <f>+CB105+CC170</f>
        <v/>
      </c>
      <c r="CD105" s="819">
        <f>+CC105+CD170</f>
        <v/>
      </c>
      <c r="CE105" s="819">
        <f>+CD105+CE170</f>
        <v/>
      </c>
      <c r="CF105" s="819">
        <f>+CE105+CF170</f>
        <v/>
      </c>
      <c r="CG105" s="819">
        <f>+CF105+CG170</f>
        <v/>
      </c>
      <c r="CH105" s="819">
        <f>+CG105+CH170</f>
        <v/>
      </c>
      <c r="CI105" s="936">
        <f>+CH105+CI170</f>
        <v/>
      </c>
      <c r="CJ105" s="819">
        <f>+CI105+CJ170</f>
        <v/>
      </c>
      <c r="CK105" s="819">
        <f>+CJ105+CK170</f>
        <v/>
      </c>
      <c r="CL105" s="819">
        <f>+CK105+CL170</f>
        <v/>
      </c>
      <c r="CM105" s="819">
        <f>+CL105+CM170</f>
        <v/>
      </c>
      <c r="CN105" s="819">
        <f>+CM105+CN170</f>
        <v/>
      </c>
      <c r="CO105" s="819">
        <f>+CN105+CO170</f>
        <v/>
      </c>
      <c r="CP105" s="819">
        <f>+CO105+CP170</f>
        <v/>
      </c>
      <c r="CQ105" s="819">
        <f>+CP105+CQ170</f>
        <v/>
      </c>
      <c r="CR105" s="819">
        <f>+CQ105+CR170</f>
        <v/>
      </c>
      <c r="CS105" s="819">
        <f>+CR105+CS170</f>
        <v/>
      </c>
      <c r="CT105" s="819">
        <f>+CS105+CT170</f>
        <v/>
      </c>
      <c r="CU105" s="936">
        <f>+CT105+CU170</f>
        <v/>
      </c>
      <c r="CV105" s="819">
        <f>+CU105+CV170</f>
        <v/>
      </c>
      <c r="CW105" s="819">
        <f>+CV105+CW170</f>
        <v/>
      </c>
      <c r="CX105" s="819">
        <f>+CW105+CX170</f>
        <v/>
      </c>
      <c r="CY105" s="819">
        <f>+CX105+CY170</f>
        <v/>
      </c>
      <c r="CZ105" s="819">
        <f>+CY105+CZ170</f>
        <v/>
      </c>
      <c r="DA105" s="819">
        <f>+CZ105+DA170</f>
        <v/>
      </c>
      <c r="DB105" s="819">
        <f>+DA105+DB170</f>
        <v/>
      </c>
      <c r="DC105" s="819">
        <f>+DB105+DC170</f>
        <v/>
      </c>
      <c r="DD105" s="819">
        <f>+DC105+DD170</f>
        <v/>
      </c>
      <c r="DE105" s="819">
        <f>+DD105+DE170</f>
        <v/>
      </c>
      <c r="DF105" s="819">
        <f>+DE105+DF170</f>
        <v/>
      </c>
      <c r="DG105" s="819">
        <f>+DF105+DG170</f>
        <v/>
      </c>
    </row>
    <row r="106">
      <c r="B106" s="1" t="inlineStr">
        <is>
          <t xml:space="preserve">         10200 Savings - 7351</t>
        </is>
      </c>
      <c r="C106" s="1" t="n"/>
      <c r="D106" s="111" t="n"/>
      <c r="E106" s="111" t="n"/>
      <c r="F106" s="111" t="n"/>
      <c r="G106" s="111" t="n"/>
      <c r="H106" s="111" t="n"/>
      <c r="I106" s="111" t="n"/>
      <c r="J106" s="111" t="n"/>
      <c r="K106" s="111" t="n"/>
      <c r="L106" s="111" t="n"/>
      <c r="M106" s="111" t="n"/>
      <c r="V106" s="111" t="n"/>
      <c r="W106" s="111" t="n"/>
      <c r="X106" s="111" t="n"/>
      <c r="Y106" s="111" t="n"/>
      <c r="Z106" s="111" t="n"/>
      <c r="AA106" s="111" t="n"/>
      <c r="AB106" s="111" t="n">
        <v>130.91</v>
      </c>
      <c r="AC106" s="111" t="n">
        <v>33.95</v>
      </c>
      <c r="AD106" s="111" t="n">
        <v>770.48</v>
      </c>
      <c r="AE106" s="111" t="n">
        <v>79.36</v>
      </c>
      <c r="AF106" s="111" t="n">
        <v>107.93</v>
      </c>
      <c r="AG106" s="111" t="n">
        <v>496.7</v>
      </c>
      <c r="AH106" s="111" t="n">
        <v>27.5</v>
      </c>
      <c r="AI106" s="111" t="n">
        <v>53.18</v>
      </c>
      <c r="AJ106" s="111" t="n">
        <v>110.31</v>
      </c>
      <c r="AK106" s="111" t="n">
        <v>540.47</v>
      </c>
      <c r="AL106" s="111" t="n">
        <v>28.95</v>
      </c>
      <c r="AM106" s="111" t="n">
        <v>92.91</v>
      </c>
      <c r="AN106" s="111" t="n">
        <v>45.02</v>
      </c>
      <c r="AO106" s="111" t="n">
        <v>68.56</v>
      </c>
      <c r="AP106" s="111" t="n">
        <v>0.03</v>
      </c>
      <c r="AQ106" s="111" t="n">
        <v>9.57</v>
      </c>
      <c r="AR106" s="111" t="n">
        <v>150.5</v>
      </c>
      <c r="AS106" s="111" t="n">
        <v>17.12</v>
      </c>
      <c r="AT106" s="111" t="n">
        <v>50.77</v>
      </c>
      <c r="AU106" s="111" t="n">
        <v>0.77</v>
      </c>
      <c r="AV106" s="111" t="n">
        <v>37.46</v>
      </c>
      <c r="AW106" s="244">
        <f>15.87</f>
        <v/>
      </c>
      <c r="AX106" s="819">
        <f>+AW106</f>
        <v/>
      </c>
      <c r="AY106" s="936">
        <f>+AX106</f>
        <v/>
      </c>
      <c r="AZ106" s="819">
        <f>+AY106</f>
        <v/>
      </c>
      <c r="BA106" s="819">
        <f>+AZ106</f>
        <v/>
      </c>
      <c r="BB106" s="819">
        <f>+BA106</f>
        <v/>
      </c>
      <c r="BC106" s="819">
        <f>+BB106</f>
        <v/>
      </c>
      <c r="BD106" s="819">
        <f>+BC106</f>
        <v/>
      </c>
      <c r="BE106" s="819">
        <f>+BD106</f>
        <v/>
      </c>
      <c r="BF106" s="819">
        <f>+BE106</f>
        <v/>
      </c>
      <c r="BG106" s="819">
        <f>+BF106</f>
        <v/>
      </c>
      <c r="BH106" s="819">
        <f>+BG106</f>
        <v/>
      </c>
      <c r="BI106" s="819">
        <f>+BH106</f>
        <v/>
      </c>
      <c r="BJ106" s="819">
        <f>+BI106</f>
        <v/>
      </c>
      <c r="BK106" s="936">
        <f>+BJ106</f>
        <v/>
      </c>
      <c r="BL106" s="819">
        <f>+BK106</f>
        <v/>
      </c>
      <c r="BM106" s="819">
        <f>+BL106</f>
        <v/>
      </c>
      <c r="BN106" s="819">
        <f>+BM106</f>
        <v/>
      </c>
      <c r="BO106" s="819">
        <f>+BN106</f>
        <v/>
      </c>
      <c r="BP106" s="819">
        <f>+BO106</f>
        <v/>
      </c>
      <c r="BQ106" s="819">
        <f>+BP106</f>
        <v/>
      </c>
      <c r="BR106" s="819">
        <f>+BQ106</f>
        <v/>
      </c>
      <c r="BS106" s="819">
        <f>+BR106</f>
        <v/>
      </c>
      <c r="BT106" s="819">
        <f>+BS106</f>
        <v/>
      </c>
      <c r="BU106" s="819">
        <f>+BT106</f>
        <v/>
      </c>
      <c r="BV106" s="819">
        <f>+BU106</f>
        <v/>
      </c>
      <c r="BW106" s="936">
        <f>+BV106</f>
        <v/>
      </c>
      <c r="BX106" s="819">
        <f>+BW106</f>
        <v/>
      </c>
      <c r="BY106" s="819">
        <f>+BX106</f>
        <v/>
      </c>
      <c r="BZ106" s="819">
        <f>+BY106</f>
        <v/>
      </c>
      <c r="CA106" s="819">
        <f>+BZ106</f>
        <v/>
      </c>
      <c r="CB106" s="819">
        <f>+CA106</f>
        <v/>
      </c>
      <c r="CC106" s="819">
        <f>+CB106</f>
        <v/>
      </c>
      <c r="CD106" s="819">
        <f>+CC106</f>
        <v/>
      </c>
      <c r="CE106" s="819">
        <f>+CD106</f>
        <v/>
      </c>
      <c r="CF106" s="819">
        <f>+CE106</f>
        <v/>
      </c>
      <c r="CG106" s="819">
        <f>+CF106</f>
        <v/>
      </c>
      <c r="CH106" s="819">
        <f>+CG106</f>
        <v/>
      </c>
      <c r="CI106" s="936">
        <f>+CH106</f>
        <v/>
      </c>
      <c r="CJ106" s="819">
        <f>+CI106</f>
        <v/>
      </c>
      <c r="CK106" s="819">
        <f>+CJ106</f>
        <v/>
      </c>
      <c r="CL106" s="819">
        <f>+CK106</f>
        <v/>
      </c>
      <c r="CM106" s="819">
        <f>+CL106</f>
        <v/>
      </c>
      <c r="CN106" s="819">
        <f>+CM106</f>
        <v/>
      </c>
      <c r="CO106" s="819">
        <f>+CN106</f>
        <v/>
      </c>
      <c r="CP106" s="819">
        <f>+CO106</f>
        <v/>
      </c>
      <c r="CQ106" s="819">
        <f>+CP106</f>
        <v/>
      </c>
      <c r="CR106" s="819">
        <f>+CQ106</f>
        <v/>
      </c>
      <c r="CS106" s="819">
        <f>+CR106</f>
        <v/>
      </c>
      <c r="CT106" s="819">
        <f>+CS106</f>
        <v/>
      </c>
      <c r="CU106" s="936">
        <f>+CT106</f>
        <v/>
      </c>
      <c r="CV106" s="819">
        <f>+CU106</f>
        <v/>
      </c>
      <c r="CW106" s="819">
        <f>+CV106</f>
        <v/>
      </c>
      <c r="CX106" s="819">
        <f>+CW106</f>
        <v/>
      </c>
      <c r="CY106" s="819">
        <f>+CX106</f>
        <v/>
      </c>
      <c r="CZ106" s="819">
        <f>+CY106</f>
        <v/>
      </c>
      <c r="DA106" s="819">
        <f>+CZ106</f>
        <v/>
      </c>
      <c r="DB106" s="819">
        <f>+DA106</f>
        <v/>
      </c>
      <c r="DC106" s="819">
        <f>+DB106</f>
        <v/>
      </c>
      <c r="DD106" s="819">
        <f>+DC106</f>
        <v/>
      </c>
      <c r="DE106" s="819">
        <f>+DD106</f>
        <v/>
      </c>
      <c r="DF106" s="819">
        <f>+DE106</f>
        <v/>
      </c>
      <c r="DG106" s="819">
        <f>+DF106</f>
        <v/>
      </c>
    </row>
    <row r="107">
      <c r="B107" s="1" t="inlineStr">
        <is>
          <t xml:space="preserve">         10300 Tax - 9887</t>
        </is>
      </c>
      <c r="C107" s="1" t="n"/>
      <c r="D107" s="111" t="n"/>
      <c r="E107" s="111" t="n"/>
      <c r="F107" s="111" t="n"/>
      <c r="G107" s="111" t="n"/>
      <c r="H107" s="111" t="n"/>
      <c r="I107" s="111" t="n"/>
      <c r="J107" s="111" t="n"/>
      <c r="K107" s="111" t="n"/>
      <c r="L107" s="111" t="n"/>
      <c r="M107" s="111" t="n"/>
      <c r="V107" s="111" t="n"/>
      <c r="W107" s="111" t="n"/>
      <c r="X107" s="111" t="n"/>
      <c r="Y107" s="111" t="n"/>
      <c r="Z107" s="111" t="n"/>
      <c r="AA107" s="111" t="n"/>
      <c r="AB107" s="111" t="n">
        <v>541.95</v>
      </c>
      <c r="AC107" s="111" t="n">
        <v>419.66</v>
      </c>
      <c r="AD107" s="111" t="n">
        <v>1750.64</v>
      </c>
      <c r="AE107" s="111" t="n">
        <v>495.44</v>
      </c>
      <c r="AF107" s="111" t="n">
        <v>755.47</v>
      </c>
      <c r="AG107" s="111" t="n">
        <v>797.2</v>
      </c>
      <c r="AH107" s="111" t="n">
        <v>1788.29</v>
      </c>
      <c r="AI107" s="111" t="n">
        <v>644.48</v>
      </c>
      <c r="AJ107" s="111" t="n">
        <v>112.76</v>
      </c>
      <c r="AK107" s="111" t="n">
        <v>831.5599999999999</v>
      </c>
      <c r="AL107" s="111" t="n">
        <v>1468.65</v>
      </c>
      <c r="AM107" s="111" t="n">
        <v>685.86</v>
      </c>
      <c r="AN107" s="111" t="n">
        <v>519.0700000000001</v>
      </c>
      <c r="AO107" s="111" t="n">
        <v>274.31</v>
      </c>
      <c r="AP107" s="111" t="n">
        <v>0.14</v>
      </c>
      <c r="AQ107" s="111" t="n">
        <v>38.29</v>
      </c>
      <c r="AR107" s="111" t="n">
        <v>276.86</v>
      </c>
      <c r="AS107" s="111" t="n">
        <v>158.34</v>
      </c>
      <c r="AT107" s="111" t="n">
        <v>133.11</v>
      </c>
      <c r="AU107" s="111" t="n">
        <v>3.07</v>
      </c>
      <c r="AV107" s="111" t="n">
        <v>241.74</v>
      </c>
      <c r="AW107" s="244">
        <f>63.45</f>
        <v/>
      </c>
      <c r="AX107" s="819">
        <f>+AW107</f>
        <v/>
      </c>
      <c r="AY107" s="936">
        <f>+AX107</f>
        <v/>
      </c>
      <c r="AZ107" s="819">
        <f>+AY107</f>
        <v/>
      </c>
      <c r="BA107" s="819">
        <f>+AZ107</f>
        <v/>
      </c>
      <c r="BB107" s="819">
        <f>+BA107</f>
        <v/>
      </c>
      <c r="BC107" s="819">
        <f>+BB107</f>
        <v/>
      </c>
      <c r="BD107" s="819">
        <f>+BC107</f>
        <v/>
      </c>
      <c r="BE107" s="819">
        <f>+BD107</f>
        <v/>
      </c>
      <c r="BF107" s="819">
        <f>+BE107</f>
        <v/>
      </c>
      <c r="BG107" s="819">
        <f>+BF107</f>
        <v/>
      </c>
      <c r="BH107" s="819">
        <f>+BG107</f>
        <v/>
      </c>
      <c r="BI107" s="819">
        <f>+BH107</f>
        <v/>
      </c>
      <c r="BJ107" s="819">
        <f>+BI107</f>
        <v/>
      </c>
      <c r="BK107" s="936">
        <f>+BJ107</f>
        <v/>
      </c>
      <c r="BL107" s="819">
        <f>+BK107</f>
        <v/>
      </c>
      <c r="BM107" s="819">
        <f>+BL107</f>
        <v/>
      </c>
      <c r="BN107" s="819">
        <f>+BM107</f>
        <v/>
      </c>
      <c r="BO107" s="819">
        <f>+BN107</f>
        <v/>
      </c>
      <c r="BP107" s="819">
        <f>+BO107</f>
        <v/>
      </c>
      <c r="BQ107" s="819">
        <f>+BP107</f>
        <v/>
      </c>
      <c r="BR107" s="819">
        <f>+BQ107</f>
        <v/>
      </c>
      <c r="BS107" s="819">
        <f>+BR107</f>
        <v/>
      </c>
      <c r="BT107" s="819">
        <f>+BS107</f>
        <v/>
      </c>
      <c r="BU107" s="819">
        <f>+BT107</f>
        <v/>
      </c>
      <c r="BV107" s="819">
        <f>+BU107</f>
        <v/>
      </c>
      <c r="BW107" s="936">
        <f>+BV107</f>
        <v/>
      </c>
      <c r="BX107" s="819">
        <f>+BW107</f>
        <v/>
      </c>
      <c r="BY107" s="819">
        <f>+BX107</f>
        <v/>
      </c>
      <c r="BZ107" s="819">
        <f>+BY107</f>
        <v/>
      </c>
      <c r="CA107" s="819">
        <f>+BZ107</f>
        <v/>
      </c>
      <c r="CB107" s="819">
        <f>+CA107</f>
        <v/>
      </c>
      <c r="CC107" s="819">
        <f>+CB107</f>
        <v/>
      </c>
      <c r="CD107" s="819">
        <f>+CC107</f>
        <v/>
      </c>
      <c r="CE107" s="819">
        <f>+CD107</f>
        <v/>
      </c>
      <c r="CF107" s="819">
        <f>+CE107</f>
        <v/>
      </c>
      <c r="CG107" s="819">
        <f>+CF107</f>
        <v/>
      </c>
      <c r="CH107" s="819">
        <f>+CG107</f>
        <v/>
      </c>
      <c r="CI107" s="936">
        <f>+CH107</f>
        <v/>
      </c>
      <c r="CJ107" s="819">
        <f>+CI107</f>
        <v/>
      </c>
      <c r="CK107" s="819">
        <f>+CJ107</f>
        <v/>
      </c>
      <c r="CL107" s="819">
        <f>+CK107</f>
        <v/>
      </c>
      <c r="CM107" s="819">
        <f>+CL107</f>
        <v/>
      </c>
      <c r="CN107" s="819">
        <f>+CM107</f>
        <v/>
      </c>
      <c r="CO107" s="819">
        <f>+CN107</f>
        <v/>
      </c>
      <c r="CP107" s="819">
        <f>+CO107</f>
        <v/>
      </c>
      <c r="CQ107" s="819">
        <f>+CP107</f>
        <v/>
      </c>
      <c r="CR107" s="819">
        <f>+CQ107</f>
        <v/>
      </c>
      <c r="CS107" s="819">
        <f>+CR107</f>
        <v/>
      </c>
      <c r="CT107" s="819">
        <f>+CS107</f>
        <v/>
      </c>
      <c r="CU107" s="936">
        <f>+CT107</f>
        <v/>
      </c>
      <c r="CV107" s="819">
        <f>+CU107</f>
        <v/>
      </c>
      <c r="CW107" s="819">
        <f>+CV107</f>
        <v/>
      </c>
      <c r="CX107" s="819">
        <f>+CW107</f>
        <v/>
      </c>
      <c r="CY107" s="819">
        <f>+CX107</f>
        <v/>
      </c>
      <c r="CZ107" s="819">
        <f>+CY107</f>
        <v/>
      </c>
      <c r="DA107" s="819">
        <f>+CZ107</f>
        <v/>
      </c>
      <c r="DB107" s="819">
        <f>+DA107</f>
        <v/>
      </c>
      <c r="DC107" s="819">
        <f>+DB107</f>
        <v/>
      </c>
      <c r="DD107" s="819">
        <f>+DC107</f>
        <v/>
      </c>
      <c r="DE107" s="819">
        <f>+DD107</f>
        <v/>
      </c>
      <c r="DF107" s="819">
        <f>+DE107</f>
        <v/>
      </c>
      <c r="DG107" s="819">
        <f>+DF107</f>
        <v/>
      </c>
    </row>
    <row r="108">
      <c r="B108" s="1" t="inlineStr">
        <is>
          <t xml:space="preserve">         10400 VACU Checking - 2865</t>
        </is>
      </c>
      <c r="C108" s="1" t="n"/>
      <c r="D108" s="111" t="n"/>
      <c r="E108" s="111" t="n"/>
      <c r="F108" s="111" t="n"/>
      <c r="G108" s="111" t="n"/>
      <c r="H108" s="111" t="n"/>
      <c r="I108" s="111" t="n"/>
      <c r="J108" s="111" t="n"/>
      <c r="K108" s="111" t="n"/>
      <c r="L108" s="111" t="n"/>
      <c r="M108" s="111" t="n"/>
      <c r="V108" s="111" t="n"/>
      <c r="W108" s="111" t="n"/>
      <c r="X108" s="111" t="n"/>
      <c r="Y108" s="111" t="n"/>
      <c r="Z108" s="111" t="n"/>
      <c r="AA108" s="111" t="n"/>
      <c r="AB108" s="111" t="n"/>
      <c r="AC108" s="111" t="n">
        <v>0</v>
      </c>
      <c r="AD108" s="111" t="n">
        <v>0</v>
      </c>
      <c r="AE108" s="111" t="n">
        <v>895</v>
      </c>
      <c r="AF108" s="111" t="n">
        <v>1364.89</v>
      </c>
      <c r="AG108" s="111" t="n">
        <v>1103.06</v>
      </c>
      <c r="AH108" s="111" t="n">
        <v>1139.18</v>
      </c>
      <c r="AI108" s="111" t="n">
        <v>-55.2</v>
      </c>
      <c r="AJ108" s="111" t="n">
        <v>0.31</v>
      </c>
      <c r="AK108" s="111" t="n">
        <v>605.3099999999999</v>
      </c>
      <c r="AL108" s="111" t="n">
        <v>224.02</v>
      </c>
      <c r="AM108" s="111" t="n">
        <v>488.75</v>
      </c>
      <c r="AN108" s="111" t="n">
        <v>1097.26</v>
      </c>
      <c r="AO108" s="111" t="n">
        <v>401.39</v>
      </c>
      <c r="AP108" s="111" t="n">
        <v>82.66</v>
      </c>
      <c r="AQ108" s="111" t="n">
        <v>547.45</v>
      </c>
      <c r="AR108" s="111" t="n">
        <v>1327.16</v>
      </c>
      <c r="AS108" s="111" t="n">
        <v>1711.63</v>
      </c>
      <c r="AT108" s="111" t="n">
        <v>1168.87</v>
      </c>
      <c r="AU108" s="111" t="n">
        <v>1355.36</v>
      </c>
      <c r="AV108" s="111" t="n">
        <v>346.15</v>
      </c>
      <c r="AW108" s="244">
        <f>38.99</f>
        <v/>
      </c>
      <c r="AX108" s="819">
        <f>+AW108</f>
        <v/>
      </c>
      <c r="AY108" s="936">
        <f>+AX108</f>
        <v/>
      </c>
      <c r="AZ108" s="819">
        <f>+AY108</f>
        <v/>
      </c>
      <c r="BA108" s="819">
        <f>+AZ108</f>
        <v/>
      </c>
      <c r="BB108" s="819">
        <f>+BA108</f>
        <v/>
      </c>
      <c r="BC108" s="819">
        <f>+BB108</f>
        <v/>
      </c>
      <c r="BD108" s="819">
        <f>+BC108</f>
        <v/>
      </c>
      <c r="BE108" s="819">
        <f>+BD108</f>
        <v/>
      </c>
      <c r="BF108" s="819">
        <f>+BE108</f>
        <v/>
      </c>
      <c r="BG108" s="819">
        <f>+BF108</f>
        <v/>
      </c>
      <c r="BH108" s="819">
        <f>+BG108</f>
        <v/>
      </c>
      <c r="BI108" s="819">
        <f>+BH108</f>
        <v/>
      </c>
      <c r="BJ108" s="819">
        <f>+BI108</f>
        <v/>
      </c>
      <c r="BK108" s="936">
        <f>+BJ108</f>
        <v/>
      </c>
      <c r="BL108" s="819">
        <f>+BK108</f>
        <v/>
      </c>
      <c r="BM108" s="819">
        <f>+BL108</f>
        <v/>
      </c>
      <c r="BN108" s="819">
        <f>+BM108</f>
        <v/>
      </c>
      <c r="BO108" s="819">
        <f>+BN108</f>
        <v/>
      </c>
      <c r="BP108" s="819">
        <f>+BO108</f>
        <v/>
      </c>
      <c r="BQ108" s="819">
        <f>+BP108</f>
        <v/>
      </c>
      <c r="BR108" s="819">
        <f>+BQ108</f>
        <v/>
      </c>
      <c r="BS108" s="819">
        <f>+BR108</f>
        <v/>
      </c>
      <c r="BT108" s="819">
        <f>+BS108</f>
        <v/>
      </c>
      <c r="BU108" s="819">
        <f>+BT108</f>
        <v/>
      </c>
      <c r="BV108" s="819">
        <f>+BU108</f>
        <v/>
      </c>
      <c r="BW108" s="936">
        <f>+BV108</f>
        <v/>
      </c>
      <c r="BX108" s="819">
        <f>+BW108</f>
        <v/>
      </c>
      <c r="BY108" s="819">
        <f>+BX108</f>
        <v/>
      </c>
      <c r="BZ108" s="819">
        <f>+BY108</f>
        <v/>
      </c>
      <c r="CA108" s="819">
        <f>+BZ108</f>
        <v/>
      </c>
      <c r="CB108" s="819">
        <f>+CA108</f>
        <v/>
      </c>
      <c r="CC108" s="819">
        <f>+CB108</f>
        <v/>
      </c>
      <c r="CD108" s="819">
        <f>+CC108</f>
        <v/>
      </c>
      <c r="CE108" s="819">
        <f>+CD108</f>
        <v/>
      </c>
      <c r="CF108" s="819">
        <f>+CE108</f>
        <v/>
      </c>
      <c r="CG108" s="819">
        <f>+CF108</f>
        <v/>
      </c>
      <c r="CH108" s="819">
        <f>+CG108</f>
        <v/>
      </c>
      <c r="CI108" s="936">
        <f>+CH108</f>
        <v/>
      </c>
      <c r="CJ108" s="819">
        <f>+CI108</f>
        <v/>
      </c>
      <c r="CK108" s="819">
        <f>+CJ108</f>
        <v/>
      </c>
      <c r="CL108" s="819">
        <f>+CK108</f>
        <v/>
      </c>
      <c r="CM108" s="819">
        <f>+CL108</f>
        <v/>
      </c>
      <c r="CN108" s="819">
        <f>+CM108</f>
        <v/>
      </c>
      <c r="CO108" s="819">
        <f>+CN108</f>
        <v/>
      </c>
      <c r="CP108" s="819">
        <f>+CO108</f>
        <v/>
      </c>
      <c r="CQ108" s="819">
        <f>+CP108</f>
        <v/>
      </c>
      <c r="CR108" s="819">
        <f>+CQ108</f>
        <v/>
      </c>
      <c r="CS108" s="819">
        <f>+CR108</f>
        <v/>
      </c>
      <c r="CT108" s="819">
        <f>+CS108</f>
        <v/>
      </c>
      <c r="CU108" s="936">
        <f>+CT108</f>
        <v/>
      </c>
      <c r="CV108" s="819">
        <f>+CU108</f>
        <v/>
      </c>
      <c r="CW108" s="819">
        <f>+CV108</f>
        <v/>
      </c>
      <c r="CX108" s="819">
        <f>+CW108</f>
        <v/>
      </c>
      <c r="CY108" s="819">
        <f>+CX108</f>
        <v/>
      </c>
      <c r="CZ108" s="819">
        <f>+CY108</f>
        <v/>
      </c>
      <c r="DA108" s="819">
        <f>+CZ108</f>
        <v/>
      </c>
      <c r="DB108" s="819">
        <f>+DA108</f>
        <v/>
      </c>
      <c r="DC108" s="819">
        <f>+DB108</f>
        <v/>
      </c>
      <c r="DD108" s="819">
        <f>+DC108</f>
        <v/>
      </c>
      <c r="DE108" s="819">
        <f>+DD108</f>
        <v/>
      </c>
      <c r="DF108" s="819">
        <f>+DE108</f>
        <v/>
      </c>
      <c r="DG108" s="819">
        <f>+DF108</f>
        <v/>
      </c>
    </row>
    <row r="109">
      <c r="B109" s="1" t="inlineStr">
        <is>
          <t xml:space="preserve">         10500 Cash</t>
        </is>
      </c>
      <c r="C109" s="1" t="n"/>
      <c r="D109" s="111" t="n"/>
      <c r="E109" s="111" t="n"/>
      <c r="F109" s="111" t="n"/>
      <c r="G109" s="111" t="n"/>
      <c r="H109" s="111" t="n"/>
      <c r="I109" s="111" t="n"/>
      <c r="J109" s="111" t="n"/>
      <c r="K109" s="111" t="n"/>
      <c r="L109" s="111" t="n"/>
      <c r="M109" s="111" t="n"/>
      <c r="V109" s="111" t="n"/>
      <c r="W109" s="111" t="n"/>
      <c r="X109" s="111" t="n"/>
      <c r="Y109" s="111" t="n"/>
      <c r="Z109" s="111" t="n"/>
      <c r="AA109" s="111" t="n"/>
      <c r="AB109" s="111" t="n">
        <v>0</v>
      </c>
      <c r="AC109" s="111" t="n">
        <v>0</v>
      </c>
      <c r="AD109" s="111" t="n">
        <v>0</v>
      </c>
      <c r="AE109" s="111" t="n">
        <v>0</v>
      </c>
      <c r="AF109" s="111" t="n">
        <v>0</v>
      </c>
      <c r="AG109" s="111" t="n">
        <v>0</v>
      </c>
      <c r="AH109" s="111" t="n">
        <v>0</v>
      </c>
      <c r="AI109" s="111" t="n">
        <v>0</v>
      </c>
      <c r="AJ109" s="111" t="n">
        <v>0</v>
      </c>
      <c r="AK109" s="111" t="n">
        <v>0</v>
      </c>
      <c r="AL109" s="111" t="n">
        <v>0</v>
      </c>
      <c r="AM109" s="111" t="n">
        <v>0</v>
      </c>
      <c r="AN109" s="111" t="n">
        <v>0</v>
      </c>
      <c r="AO109" s="111" t="n">
        <v>0</v>
      </c>
      <c r="AP109" s="111" t="n">
        <v>0</v>
      </c>
      <c r="AQ109" s="111" t="n">
        <v>0</v>
      </c>
      <c r="AR109" s="111" t="n">
        <v>0</v>
      </c>
      <c r="AS109" s="111" t="n">
        <v>0</v>
      </c>
      <c r="AT109" s="111" t="n">
        <v>0</v>
      </c>
      <c r="AU109" s="111" t="n">
        <v>0</v>
      </c>
      <c r="AV109" s="111" t="n">
        <v>0</v>
      </c>
      <c r="AW109" s="244" t="n">
        <v>0</v>
      </c>
      <c r="AX109" s="819" t="n"/>
      <c r="AY109" s="936" t="n"/>
      <c r="AZ109" s="819" t="n"/>
      <c r="BA109" s="819" t="n"/>
      <c r="BB109" s="819" t="n"/>
      <c r="BC109" s="819" t="n"/>
      <c r="BD109" s="819" t="n"/>
      <c r="BE109" s="819" t="n"/>
      <c r="BF109" s="819" t="n"/>
      <c r="BG109" s="819" t="n"/>
      <c r="BH109" s="819" t="n"/>
      <c r="BI109" s="819" t="n"/>
      <c r="BJ109" s="819" t="n"/>
      <c r="BK109" s="936" t="n"/>
      <c r="BL109" s="819" t="n"/>
      <c r="BM109" s="819" t="n"/>
      <c r="BN109" s="819" t="n"/>
      <c r="BO109" s="819" t="n"/>
      <c r="BP109" s="819" t="n"/>
      <c r="BQ109" s="819" t="n"/>
      <c r="BR109" s="819" t="n"/>
      <c r="BS109" s="819" t="n"/>
      <c r="BT109" s="819" t="n"/>
      <c r="BU109" s="819" t="n"/>
      <c r="BV109" s="819" t="n"/>
      <c r="BW109" s="936" t="n"/>
      <c r="BX109" s="819" t="n"/>
      <c r="BY109" s="819" t="n"/>
      <c r="BZ109" s="819" t="n"/>
      <c r="CA109" s="819" t="n"/>
      <c r="CB109" s="819" t="n"/>
      <c r="CC109" s="819" t="n"/>
      <c r="CD109" s="819" t="n"/>
      <c r="CE109" s="819" t="n"/>
      <c r="CF109" s="819" t="n"/>
      <c r="CG109" s="819" t="n"/>
      <c r="CH109" s="819" t="n"/>
      <c r="CI109" s="936" t="n"/>
      <c r="CJ109" s="819" t="n"/>
      <c r="CK109" s="819" t="n"/>
      <c r="CL109" s="819" t="n"/>
      <c r="CM109" s="819" t="n"/>
      <c r="CN109" s="819" t="n"/>
      <c r="CO109" s="819" t="n"/>
      <c r="CP109" s="819" t="n"/>
      <c r="CQ109" s="819" t="n"/>
      <c r="CR109" s="819" t="n"/>
      <c r="CS109" s="819" t="n"/>
      <c r="CT109" s="819" t="n"/>
      <c r="CU109" s="936" t="n"/>
      <c r="CV109" s="819" t="n"/>
      <c r="CW109" s="819" t="n"/>
      <c r="CX109" s="819" t="n"/>
      <c r="CY109" s="819" t="n"/>
      <c r="CZ109" s="819" t="n"/>
      <c r="DA109" s="819" t="n"/>
      <c r="DB109" s="819" t="n"/>
      <c r="DC109" s="819" t="n"/>
      <c r="DD109" s="819" t="n"/>
      <c r="DE109" s="819" t="n"/>
      <c r="DF109" s="819" t="n"/>
      <c r="DG109" s="819" t="n"/>
    </row>
    <row r="110">
      <c r="B110" s="1" t="inlineStr">
        <is>
          <t xml:space="preserve">         Money Market (4030)</t>
        </is>
      </c>
      <c r="C110" s="1" t="n"/>
      <c r="D110" s="111" t="n"/>
      <c r="E110" s="111" t="n"/>
      <c r="F110" s="111" t="n"/>
      <c r="G110" s="111" t="n"/>
      <c r="H110" s="111" t="n"/>
      <c r="I110" s="111" t="n"/>
      <c r="J110" s="111" t="n"/>
      <c r="K110" s="111" t="n"/>
      <c r="L110" s="111" t="n"/>
      <c r="M110" s="111" t="n"/>
      <c r="V110" s="111" t="n"/>
      <c r="W110" s="111" t="n"/>
      <c r="X110" s="111" t="n"/>
      <c r="Y110" s="111" t="n"/>
      <c r="Z110" s="111" t="n"/>
      <c r="AA110" s="111" t="n"/>
      <c r="AB110" s="111" t="n"/>
      <c r="AC110" s="111" t="n"/>
      <c r="AD110" s="111" t="n"/>
      <c r="AE110" s="111" t="n"/>
      <c r="AF110" s="111" t="n"/>
      <c r="AG110" s="111" t="n"/>
      <c r="AH110" s="111" t="n"/>
      <c r="AI110" s="111" t="n"/>
      <c r="AJ110" s="111" t="n"/>
      <c r="AK110" s="111" t="n"/>
      <c r="AL110" s="111" t="n"/>
      <c r="AM110" s="111" t="n"/>
      <c r="AN110" s="111" t="n"/>
      <c r="AO110" s="111" t="n">
        <v>1580.92</v>
      </c>
      <c r="AP110" s="111" t="n">
        <v>2852.35</v>
      </c>
      <c r="AQ110" s="111" t="n">
        <v>3503.21</v>
      </c>
      <c r="AR110" s="111" t="n">
        <v>4004.08</v>
      </c>
      <c r="AS110" s="111" t="n">
        <v>4008.02</v>
      </c>
      <c r="AT110" s="111" t="n">
        <v>5004.21</v>
      </c>
      <c r="AU110" s="111" t="n">
        <v>5253.44</v>
      </c>
      <c r="AV110" s="111" t="n">
        <v>5256.05</v>
      </c>
      <c r="AW110" s="244" t="n">
        <v>5157.83</v>
      </c>
      <c r="AX110" s="819">
        <f>+AW110</f>
        <v/>
      </c>
      <c r="AY110" s="936">
        <f>+AX110</f>
        <v/>
      </c>
      <c r="AZ110" s="819">
        <f>+AY110</f>
        <v/>
      </c>
      <c r="BA110" s="819">
        <f>+AZ110</f>
        <v/>
      </c>
      <c r="BB110" s="819">
        <f>+BA110</f>
        <v/>
      </c>
      <c r="BC110" s="819">
        <f>+BB110</f>
        <v/>
      </c>
      <c r="BD110" s="819">
        <f>+BC110</f>
        <v/>
      </c>
      <c r="BE110" s="819">
        <f>+BD110</f>
        <v/>
      </c>
      <c r="BF110" s="819">
        <f>+BE110</f>
        <v/>
      </c>
      <c r="BG110" s="819">
        <f>+BF110</f>
        <v/>
      </c>
      <c r="BH110" s="819">
        <f>+BG110</f>
        <v/>
      </c>
      <c r="BI110" s="819">
        <f>+BH110</f>
        <v/>
      </c>
      <c r="BJ110" s="819">
        <f>+BI110</f>
        <v/>
      </c>
      <c r="BK110" s="936">
        <f>+BJ110</f>
        <v/>
      </c>
      <c r="BL110" s="819">
        <f>+BK110</f>
        <v/>
      </c>
      <c r="BM110" s="819">
        <f>+BL110</f>
        <v/>
      </c>
      <c r="BN110" s="819">
        <f>+BM110</f>
        <v/>
      </c>
      <c r="BO110" s="819">
        <f>+BN110</f>
        <v/>
      </c>
      <c r="BP110" s="819">
        <f>+BO110</f>
        <v/>
      </c>
      <c r="BQ110" s="819">
        <f>+BP110</f>
        <v/>
      </c>
      <c r="BR110" s="819">
        <f>+BQ110</f>
        <v/>
      </c>
      <c r="BS110" s="819">
        <f>+BR110</f>
        <v/>
      </c>
      <c r="BT110" s="819">
        <f>+BS110</f>
        <v/>
      </c>
      <c r="BU110" s="819">
        <f>+BT110</f>
        <v/>
      </c>
      <c r="BV110" s="819">
        <f>+BU110</f>
        <v/>
      </c>
      <c r="BW110" s="936">
        <f>+BV110</f>
        <v/>
      </c>
      <c r="BX110" s="819">
        <f>+BW110</f>
        <v/>
      </c>
      <c r="BY110" s="819">
        <f>+BX110</f>
        <v/>
      </c>
      <c r="BZ110" s="819">
        <f>+BY110</f>
        <v/>
      </c>
      <c r="CA110" s="819">
        <f>+BZ110</f>
        <v/>
      </c>
      <c r="CB110" s="819">
        <f>+CA110</f>
        <v/>
      </c>
      <c r="CC110" s="819">
        <f>+CB110</f>
        <v/>
      </c>
      <c r="CD110" s="819">
        <f>+CC110</f>
        <v/>
      </c>
      <c r="CE110" s="819">
        <f>+CD110</f>
        <v/>
      </c>
      <c r="CF110" s="819">
        <f>+CE110</f>
        <v/>
      </c>
      <c r="CG110" s="819">
        <f>+CF110</f>
        <v/>
      </c>
      <c r="CH110" s="819">
        <f>+CG110</f>
        <v/>
      </c>
      <c r="CI110" s="936">
        <f>+CH110</f>
        <v/>
      </c>
      <c r="CJ110" s="819">
        <f>+CI110</f>
        <v/>
      </c>
      <c r="CK110" s="819">
        <f>+CJ110</f>
        <v/>
      </c>
      <c r="CL110" s="819">
        <f>+CK110</f>
        <v/>
      </c>
      <c r="CM110" s="819">
        <f>+CL110</f>
        <v/>
      </c>
      <c r="CN110" s="819">
        <f>+CM110</f>
        <v/>
      </c>
      <c r="CO110" s="819">
        <f>+CN110</f>
        <v/>
      </c>
      <c r="CP110" s="819">
        <f>+CO110</f>
        <v/>
      </c>
      <c r="CQ110" s="819">
        <f>+CP110</f>
        <v/>
      </c>
      <c r="CR110" s="819">
        <f>+CQ110</f>
        <v/>
      </c>
      <c r="CS110" s="819">
        <f>+CR110</f>
        <v/>
      </c>
      <c r="CT110" s="819">
        <f>+CS110</f>
        <v/>
      </c>
      <c r="CU110" s="936">
        <f>+CT110</f>
        <v/>
      </c>
      <c r="CV110" s="819">
        <f>+CU110</f>
        <v/>
      </c>
      <c r="CW110" s="819">
        <f>+CV110</f>
        <v/>
      </c>
      <c r="CX110" s="819">
        <f>+CW110</f>
        <v/>
      </c>
      <c r="CY110" s="819">
        <f>+CX110</f>
        <v/>
      </c>
      <c r="CZ110" s="819">
        <f>+CY110</f>
        <v/>
      </c>
      <c r="DA110" s="819">
        <f>+CZ110</f>
        <v/>
      </c>
      <c r="DB110" s="819">
        <f>+DA110</f>
        <v/>
      </c>
      <c r="DC110" s="819">
        <f>+DB110</f>
        <v/>
      </c>
      <c r="DD110" s="819">
        <f>+DC110</f>
        <v/>
      </c>
      <c r="DE110" s="819">
        <f>+DD110</f>
        <v/>
      </c>
      <c r="DF110" s="819">
        <f>+DE110</f>
        <v/>
      </c>
      <c r="DG110" s="819">
        <f>+DF110</f>
        <v/>
      </c>
    </row>
    <row r="111">
      <c r="A111" s="3" t="n"/>
      <c r="B111" s="4" t="inlineStr">
        <is>
          <t xml:space="preserve">      Total Bank Accounts</t>
        </is>
      </c>
      <c r="C111" s="4" t="n"/>
      <c r="D111" s="823">
        <f>(((D105)+(D106)))</f>
        <v/>
      </c>
      <c r="E111" s="823" t="n">
        <v>0</v>
      </c>
      <c r="F111" s="823" t="n">
        <v>0</v>
      </c>
      <c r="G111" s="823" t="n">
        <v>0</v>
      </c>
      <c r="H111" s="823" t="n">
        <v>0</v>
      </c>
      <c r="I111" s="823" t="n">
        <v>0</v>
      </c>
      <c r="J111" s="823">
        <f>SUM(J105:J106)</f>
        <v/>
      </c>
      <c r="K111" s="823">
        <f>SUM(K105:K106)</f>
        <v/>
      </c>
      <c r="L111" s="823">
        <f>SUM(L105:L106)</f>
        <v/>
      </c>
      <c r="M111" s="823">
        <f>SUM(M105:M106)</f>
        <v/>
      </c>
      <c r="N111" s="823">
        <f>SUM(N105:N106)</f>
        <v/>
      </c>
      <c r="O111" s="823">
        <f>SUM(O105:O106)</f>
        <v/>
      </c>
      <c r="P111" s="823">
        <f>SUM(P105:P106)</f>
        <v/>
      </c>
      <c r="Q111" s="823">
        <f>SUM(Q105:Q106)</f>
        <v/>
      </c>
      <c r="R111" s="823">
        <f>SUM(R105:R106)</f>
        <v/>
      </c>
      <c r="S111" s="823">
        <f>SUM(S105:S106)</f>
        <v/>
      </c>
      <c r="T111" s="823">
        <f>SUM(T105:T106)</f>
        <v/>
      </c>
      <c r="U111" s="823">
        <f>SUM(U105:U106)</f>
        <v/>
      </c>
      <c r="V111" s="823">
        <f>SUM(V105:V106)</f>
        <v/>
      </c>
      <c r="W111" s="823">
        <f>SUM(W105:W106)</f>
        <v/>
      </c>
      <c r="X111" s="823">
        <f>SUM(X105:X106)</f>
        <v/>
      </c>
      <c r="Y111" s="823">
        <f>SUM(Y105:Y106)</f>
        <v/>
      </c>
      <c r="Z111" s="823">
        <f>SUM(Z105:Z106)</f>
        <v/>
      </c>
      <c r="AA111" s="823">
        <f>SUM(AA105:AA106)</f>
        <v/>
      </c>
      <c r="AB111" s="823">
        <f>SUM(AB105:AB109)</f>
        <v/>
      </c>
      <c r="AC111" s="823">
        <f>SUM(AC105:AC109)</f>
        <v/>
      </c>
      <c r="AD111" s="823">
        <f>SUM(AD105:AD109)</f>
        <v/>
      </c>
      <c r="AE111" s="823">
        <f>SUM(AE105:AE109)</f>
        <v/>
      </c>
      <c r="AF111" s="823">
        <f>SUM(AF105:AF109)</f>
        <v/>
      </c>
      <c r="AG111" s="823">
        <f>SUM(AG105:AG109)</f>
        <v/>
      </c>
      <c r="AH111" s="823">
        <f>SUM(AH105:AH109)</f>
        <v/>
      </c>
      <c r="AI111" s="823">
        <f>SUM(AI105:AI109)</f>
        <v/>
      </c>
      <c r="AJ111" s="823">
        <f>SUM(AJ105:AJ109)</f>
        <v/>
      </c>
      <c r="AK111" s="823">
        <f>SUM(AK105:AK109)</f>
        <v/>
      </c>
      <c r="AL111" s="823">
        <f>SUM(AL105:AL109)</f>
        <v/>
      </c>
      <c r="AM111" s="823">
        <f>SUM(AM105:AM109)</f>
        <v/>
      </c>
      <c r="AN111" s="823">
        <f>SUM(AN105:AN109)</f>
        <v/>
      </c>
      <c r="AO111" s="823">
        <f>SUM(AO105:AO110)</f>
        <v/>
      </c>
      <c r="AP111" s="823">
        <f>SUM(AP105:AP110)</f>
        <v/>
      </c>
      <c r="AQ111" s="823">
        <f>SUM(AQ105:AQ110)</f>
        <v/>
      </c>
      <c r="AR111" s="823">
        <f>SUM(AR105:AR110)</f>
        <v/>
      </c>
      <c r="AS111" s="823">
        <f>SUM(AS105:AS110)</f>
        <v/>
      </c>
      <c r="AT111" s="823">
        <f>SUM(AT105:AT110)</f>
        <v/>
      </c>
      <c r="AU111" s="823">
        <f>SUM(AU105:AU110)</f>
        <v/>
      </c>
      <c r="AV111" s="823">
        <f>SUM(AV105:AV110)</f>
        <v/>
      </c>
      <c r="AW111" s="836">
        <f>SUM(AW105:AW110)</f>
        <v/>
      </c>
      <c r="AX111" s="830">
        <f>SUM(AX105:AX110)</f>
        <v/>
      </c>
      <c r="AY111" s="937">
        <f>SUM(AY105:AY110)</f>
        <v/>
      </c>
      <c r="AZ111" s="830">
        <f>SUM(AZ105:AZ110)</f>
        <v/>
      </c>
      <c r="BA111" s="830">
        <f>SUM(BA105:BA110)</f>
        <v/>
      </c>
      <c r="BB111" s="830">
        <f>SUM(BB105:BB110)</f>
        <v/>
      </c>
      <c r="BC111" s="830">
        <f>SUM(BC105:BC110)</f>
        <v/>
      </c>
      <c r="BD111" s="830">
        <f>SUM(BD105:BD110)</f>
        <v/>
      </c>
      <c r="BE111" s="830">
        <f>SUM(BE105:BE110)</f>
        <v/>
      </c>
      <c r="BF111" s="830">
        <f>SUM(BF105:BF110)</f>
        <v/>
      </c>
      <c r="BG111" s="830">
        <f>SUM(BG105:BG110)</f>
        <v/>
      </c>
      <c r="BH111" s="830">
        <f>SUM(BH105:BH110)</f>
        <v/>
      </c>
      <c r="BI111" s="830">
        <f>SUM(BI105:BI110)</f>
        <v/>
      </c>
      <c r="BJ111" s="830">
        <f>SUM(BJ105:BJ110)</f>
        <v/>
      </c>
      <c r="BK111" s="937">
        <f>SUM(BK105:BK110)</f>
        <v/>
      </c>
      <c r="BL111" s="830">
        <f>SUM(BL105:BL110)</f>
        <v/>
      </c>
      <c r="BM111" s="830">
        <f>SUM(BM105:BM110)</f>
        <v/>
      </c>
      <c r="BN111" s="830">
        <f>SUM(BN105:BN110)</f>
        <v/>
      </c>
      <c r="BO111" s="830">
        <f>SUM(BO105:BO110)</f>
        <v/>
      </c>
      <c r="BP111" s="830">
        <f>SUM(BP105:BP110)</f>
        <v/>
      </c>
      <c r="BQ111" s="830">
        <f>SUM(BQ105:BQ110)</f>
        <v/>
      </c>
      <c r="BR111" s="830">
        <f>SUM(BR105:BR110)</f>
        <v/>
      </c>
      <c r="BS111" s="830">
        <f>SUM(BS105:BS110)</f>
        <v/>
      </c>
      <c r="BT111" s="830">
        <f>SUM(BT105:BT110)</f>
        <v/>
      </c>
      <c r="BU111" s="830">
        <f>SUM(BU105:BU110)</f>
        <v/>
      </c>
      <c r="BV111" s="830">
        <f>SUM(BV105:BV110)</f>
        <v/>
      </c>
      <c r="BW111" s="937">
        <f>SUM(BW105:BW110)</f>
        <v/>
      </c>
      <c r="BX111" s="830">
        <f>SUM(BX105:BX110)</f>
        <v/>
      </c>
      <c r="BY111" s="830">
        <f>SUM(BY105:BY110)</f>
        <v/>
      </c>
      <c r="BZ111" s="830">
        <f>SUM(BZ105:BZ110)</f>
        <v/>
      </c>
      <c r="CA111" s="830">
        <f>SUM(CA105:CA110)</f>
        <v/>
      </c>
      <c r="CB111" s="830">
        <f>SUM(CB105:CB110)</f>
        <v/>
      </c>
      <c r="CC111" s="830">
        <f>SUM(CC105:CC110)</f>
        <v/>
      </c>
      <c r="CD111" s="830">
        <f>SUM(CD105:CD110)</f>
        <v/>
      </c>
      <c r="CE111" s="830">
        <f>SUM(CE105:CE110)</f>
        <v/>
      </c>
      <c r="CF111" s="830">
        <f>SUM(CF105:CF110)</f>
        <v/>
      </c>
      <c r="CG111" s="830">
        <f>SUM(CG105:CG110)</f>
        <v/>
      </c>
      <c r="CH111" s="830">
        <f>SUM(CH105:CH110)</f>
        <v/>
      </c>
      <c r="CI111" s="937">
        <f>SUM(CI105:CI110)</f>
        <v/>
      </c>
      <c r="CJ111" s="830">
        <f>SUM(CJ105:CJ110)</f>
        <v/>
      </c>
      <c r="CK111" s="830">
        <f>SUM(CK105:CK110)</f>
        <v/>
      </c>
      <c r="CL111" s="830">
        <f>SUM(CL105:CL110)</f>
        <v/>
      </c>
      <c r="CM111" s="830">
        <f>SUM(CM105:CM110)</f>
        <v/>
      </c>
      <c r="CN111" s="830">
        <f>SUM(CN105:CN110)</f>
        <v/>
      </c>
      <c r="CO111" s="830">
        <f>SUM(CO105:CO110)</f>
        <v/>
      </c>
      <c r="CP111" s="830">
        <f>SUM(CP105:CP110)</f>
        <v/>
      </c>
      <c r="CQ111" s="830">
        <f>SUM(CQ105:CQ110)</f>
        <v/>
      </c>
      <c r="CR111" s="830">
        <f>SUM(CR105:CR110)</f>
        <v/>
      </c>
      <c r="CS111" s="830">
        <f>SUM(CS105:CS110)</f>
        <v/>
      </c>
      <c r="CT111" s="830">
        <f>SUM(CT105:CT110)</f>
        <v/>
      </c>
      <c r="CU111" s="937">
        <f>SUM(CU105:CU110)</f>
        <v/>
      </c>
      <c r="CV111" s="830">
        <f>SUM(CV105:CV110)</f>
        <v/>
      </c>
      <c r="CW111" s="830">
        <f>SUM(CW105:CW110)</f>
        <v/>
      </c>
      <c r="CX111" s="830">
        <f>SUM(CX105:CX110)</f>
        <v/>
      </c>
      <c r="CY111" s="830">
        <f>SUM(CY105:CY110)</f>
        <v/>
      </c>
      <c r="CZ111" s="830">
        <f>SUM(CZ105:CZ110)</f>
        <v/>
      </c>
      <c r="DA111" s="830">
        <f>SUM(DA105:DA110)</f>
        <v/>
      </c>
      <c r="DB111" s="830">
        <f>SUM(DB105:DB110)</f>
        <v/>
      </c>
      <c r="DC111" s="830">
        <f>SUM(DC105:DC110)</f>
        <v/>
      </c>
      <c r="DD111" s="830">
        <f>SUM(DD105:DD110)</f>
        <v/>
      </c>
      <c r="DE111" s="830">
        <f>SUM(DE105:DE110)</f>
        <v/>
      </c>
      <c r="DF111" s="830">
        <f>SUM(DF105:DF110)</f>
        <v/>
      </c>
      <c r="DG111" s="830">
        <f>SUM(DG105:DG110)</f>
        <v/>
      </c>
    </row>
    <row r="112" customFormat="1" s="164">
      <c r="B112" s="275" t="n"/>
      <c r="C112" s="275" t="inlineStr">
        <is>
          <t>Adjusted Cash Balance (Operating)</t>
        </is>
      </c>
      <c r="D112" s="930" t="n"/>
      <c r="E112" s="930" t="n"/>
      <c r="F112" s="930" t="n"/>
      <c r="G112" s="930" t="n"/>
      <c r="H112" s="930" t="n"/>
      <c r="I112" s="930" t="n"/>
      <c r="J112" s="930" t="n"/>
      <c r="K112" s="930" t="n"/>
      <c r="L112" s="930" t="n"/>
      <c r="M112" s="930" t="n"/>
      <c r="N112" s="930" t="n"/>
      <c r="O112" s="930" t="n"/>
      <c r="P112" s="930" t="n"/>
      <c r="Q112" s="930" t="n"/>
      <c r="R112" s="930" t="n"/>
      <c r="S112" s="930" t="n"/>
      <c r="T112" s="930" t="n"/>
      <c r="U112" s="930" t="n"/>
      <c r="V112" s="930" t="n"/>
      <c r="W112" s="930" t="n"/>
      <c r="X112" s="930" t="n"/>
      <c r="Y112" s="930" t="n"/>
      <c r="Z112" s="930" t="n"/>
      <c r="AA112" s="930" t="n"/>
      <c r="AB112" s="930">
        <f>+AB111*0.65</f>
        <v/>
      </c>
      <c r="AC112" s="930">
        <f>+AC111*0.65</f>
        <v/>
      </c>
      <c r="AD112" s="930">
        <f>+AD111*0.65</f>
        <v/>
      </c>
      <c r="AE112" s="930">
        <f>+AE111*0.65</f>
        <v/>
      </c>
      <c r="AF112" s="930">
        <f>+AF111*0.65</f>
        <v/>
      </c>
      <c r="AG112" s="930">
        <f>+AG111*0.65</f>
        <v/>
      </c>
      <c r="AH112" s="930">
        <f>+AH111*0.65</f>
        <v/>
      </c>
      <c r="AI112" s="930">
        <f>+AI111*0.65</f>
        <v/>
      </c>
      <c r="AJ112" s="930">
        <f>+AJ111*0.65</f>
        <v/>
      </c>
      <c r="AK112" s="930">
        <f>+AK111*0.65</f>
        <v/>
      </c>
      <c r="AL112" s="930">
        <f>+AL111*0.65</f>
        <v/>
      </c>
      <c r="AM112" s="930">
        <f>+AM111*0.65</f>
        <v/>
      </c>
      <c r="AN112" s="930">
        <f>+AN111*0.65</f>
        <v/>
      </c>
      <c r="AO112" s="930">
        <f>+AO111*0.65</f>
        <v/>
      </c>
      <c r="AP112" s="930">
        <f>+AP111*0.65</f>
        <v/>
      </c>
      <c r="AQ112" s="930">
        <f>+AQ111*0.65</f>
        <v/>
      </c>
      <c r="AR112" s="930">
        <f>+AR111*0.65</f>
        <v/>
      </c>
      <c r="AS112" s="930">
        <f>+AS111*0.65</f>
        <v/>
      </c>
      <c r="AT112" s="930">
        <f>+AT111*0.65</f>
        <v/>
      </c>
      <c r="AU112" s="930">
        <f>+AU111*0.65</f>
        <v/>
      </c>
      <c r="AV112" s="930">
        <f>+AV111*0.65</f>
        <v/>
      </c>
      <c r="AW112" s="938">
        <f>+AW111*0.65</f>
        <v/>
      </c>
      <c r="AX112" s="939">
        <f>+AX111*0.65</f>
        <v/>
      </c>
      <c r="AY112" s="940">
        <f>+AY111*0.65</f>
        <v/>
      </c>
      <c r="AZ112" s="939">
        <f>+AZ111*0.65</f>
        <v/>
      </c>
      <c r="BA112" s="939">
        <f>+BA111*0.65</f>
        <v/>
      </c>
      <c r="BB112" s="939">
        <f>+BB111*0.65</f>
        <v/>
      </c>
      <c r="BC112" s="939">
        <f>+BC111*0.65</f>
        <v/>
      </c>
      <c r="BD112" s="939">
        <f>+BD111*0.65</f>
        <v/>
      </c>
      <c r="BE112" s="939">
        <f>+BE111*0.65</f>
        <v/>
      </c>
      <c r="BF112" s="939">
        <f>+BF111*0.65</f>
        <v/>
      </c>
      <c r="BG112" s="939">
        <f>+BG111*0.65</f>
        <v/>
      </c>
      <c r="BH112" s="939">
        <f>+BH111*0.65</f>
        <v/>
      </c>
      <c r="BI112" s="939">
        <f>+BI111*0.65</f>
        <v/>
      </c>
      <c r="BJ112" s="939">
        <f>+BJ111*0.65</f>
        <v/>
      </c>
      <c r="BK112" s="940">
        <f>+BK111*0.65</f>
        <v/>
      </c>
      <c r="BL112" s="939">
        <f>+BL111*0.65</f>
        <v/>
      </c>
      <c r="BM112" s="939">
        <f>+BM111*0.65</f>
        <v/>
      </c>
      <c r="BN112" s="939">
        <f>+BN111*0.65</f>
        <v/>
      </c>
      <c r="BO112" s="939">
        <f>+BO111*0.65</f>
        <v/>
      </c>
      <c r="BP112" s="939">
        <f>+BP111*0.65</f>
        <v/>
      </c>
      <c r="BQ112" s="939">
        <f>+BQ111*0.65</f>
        <v/>
      </c>
      <c r="BR112" s="939">
        <f>+BR111*0.65</f>
        <v/>
      </c>
      <c r="BS112" s="939">
        <f>+BS111*0.65</f>
        <v/>
      </c>
      <c r="BT112" s="939">
        <f>+BT111*0.65</f>
        <v/>
      </c>
      <c r="BU112" s="939">
        <f>+BU111*0.65</f>
        <v/>
      </c>
      <c r="BV112" s="939">
        <f>+BV111*0.65</f>
        <v/>
      </c>
      <c r="BW112" s="940">
        <f>+BW111*0.65</f>
        <v/>
      </c>
      <c r="BX112" s="939">
        <f>+BX111*0.65</f>
        <v/>
      </c>
      <c r="BY112" s="939">
        <f>+BY111*0.65</f>
        <v/>
      </c>
      <c r="BZ112" s="939">
        <f>+BZ111*0.65</f>
        <v/>
      </c>
      <c r="CA112" s="939">
        <f>+CA111*0.65</f>
        <v/>
      </c>
      <c r="CB112" s="939">
        <f>+CB111*0.65</f>
        <v/>
      </c>
      <c r="CC112" s="939">
        <f>+CC111*0.65</f>
        <v/>
      </c>
      <c r="CD112" s="939">
        <f>+CD111*0.65</f>
        <v/>
      </c>
      <c r="CE112" s="939">
        <f>+CE111*0.65</f>
        <v/>
      </c>
      <c r="CF112" s="939">
        <f>+CF111*0.65</f>
        <v/>
      </c>
      <c r="CG112" s="939">
        <f>+CG111*0.65</f>
        <v/>
      </c>
      <c r="CH112" s="939">
        <f>+CH111*0.65</f>
        <v/>
      </c>
      <c r="CI112" s="940">
        <f>+CI111*0.65</f>
        <v/>
      </c>
      <c r="CJ112" s="939">
        <f>+CJ111*0.65</f>
        <v/>
      </c>
      <c r="CK112" s="939">
        <f>+CK111*0.65</f>
        <v/>
      </c>
      <c r="CL112" s="939">
        <f>+CL111*0.65</f>
        <v/>
      </c>
      <c r="CM112" s="939">
        <f>+CM111*0.65</f>
        <v/>
      </c>
      <c r="CN112" s="939">
        <f>+CN111*0.65</f>
        <v/>
      </c>
      <c r="CO112" s="939">
        <f>+CO111*0.65</f>
        <v/>
      </c>
      <c r="CP112" s="939">
        <f>+CP111*0.65</f>
        <v/>
      </c>
      <c r="CQ112" s="939">
        <f>+CQ111*0.65</f>
        <v/>
      </c>
      <c r="CR112" s="939">
        <f>+CR111*0.65</f>
        <v/>
      </c>
      <c r="CS112" s="939">
        <f>+CS111*0.65</f>
        <v/>
      </c>
      <c r="CT112" s="939">
        <f>+CT111*0.65</f>
        <v/>
      </c>
      <c r="CU112" s="940">
        <f>+CU111*0.65</f>
        <v/>
      </c>
      <c r="CV112" s="939">
        <f>+CV111*0.65</f>
        <v/>
      </c>
      <c r="CW112" s="939">
        <f>+CW111*0.65</f>
        <v/>
      </c>
      <c r="CX112" s="939">
        <f>+CX111*0.65</f>
        <v/>
      </c>
      <c r="CY112" s="939">
        <f>+CY111*0.65</f>
        <v/>
      </c>
      <c r="CZ112" s="939">
        <f>+CZ111*0.65</f>
        <v/>
      </c>
      <c r="DA112" s="939">
        <f>+DA111*0.65</f>
        <v/>
      </c>
      <c r="DB112" s="939">
        <f>+DB111*0.65</f>
        <v/>
      </c>
      <c r="DC112" s="939">
        <f>+DC111*0.65</f>
        <v/>
      </c>
      <c r="DD112" s="939">
        <f>+DD111*0.65</f>
        <v/>
      </c>
      <c r="DE112" s="939">
        <f>+DE111*0.65</f>
        <v/>
      </c>
      <c r="DF112" s="939">
        <f>+DF111*0.65</f>
        <v/>
      </c>
      <c r="DG112" s="939">
        <f>+DG111*0.65</f>
        <v/>
      </c>
    </row>
    <row r="113">
      <c r="B113" s="1" t="inlineStr">
        <is>
          <t xml:space="preserve">      Accounts Receivable</t>
        </is>
      </c>
      <c r="C113" s="1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574" t="n"/>
      <c r="AY113" s="243" t="n"/>
      <c r="BK113" s="243" t="n"/>
      <c r="BW113" s="243" t="n"/>
      <c r="CI113" s="243" t="n"/>
      <c r="CU113" s="243" t="n"/>
    </row>
    <row r="114">
      <c r="B114" s="1" t="inlineStr">
        <is>
          <t xml:space="preserve">         30000 Accounts Receivable (A/R)</t>
        </is>
      </c>
      <c r="C114" s="1" t="n"/>
      <c r="D114" s="111" t="n"/>
      <c r="E114" s="111" t="n"/>
      <c r="F114" s="111" t="n"/>
      <c r="G114" s="111" t="n"/>
      <c r="H114" s="111" t="n"/>
      <c r="I114" s="111" t="n"/>
      <c r="J114" s="111" t="n"/>
      <c r="K114" s="111" t="n"/>
      <c r="L114" s="111" t="n"/>
      <c r="M114" s="111" t="n"/>
      <c r="N114" s="111" t="n"/>
      <c r="O114" s="111" t="n"/>
      <c r="P114" s="111" t="n"/>
      <c r="Q114" s="111" t="n"/>
      <c r="R114" s="111" t="n"/>
      <c r="S114" s="111" t="n"/>
      <c r="T114" s="111" t="n"/>
      <c r="U114" s="111" t="n"/>
      <c r="V114" s="111" t="n">
        <v>0</v>
      </c>
      <c r="W114" s="111" t="n">
        <v>0</v>
      </c>
      <c r="X114" s="111" t="n">
        <v>0</v>
      </c>
      <c r="Y114" s="111" t="n">
        <v>0</v>
      </c>
      <c r="Z114" s="111" t="n">
        <v>0</v>
      </c>
      <c r="AA114" s="111" t="n">
        <v>0</v>
      </c>
      <c r="AB114" s="111" t="n"/>
      <c r="AC114" s="111" t="n">
        <v>0</v>
      </c>
      <c r="AD114" s="111" t="n">
        <v>125</v>
      </c>
      <c r="AE114" s="111" t="n">
        <v>250</v>
      </c>
      <c r="AF114" s="111" t="n">
        <v>250</v>
      </c>
      <c r="AG114" s="111" t="n">
        <v>250</v>
      </c>
      <c r="AH114" s="111" t="n">
        <v>250</v>
      </c>
      <c r="AI114" s="111" t="n">
        <v>250</v>
      </c>
      <c r="AJ114" s="111" t="n">
        <v>600</v>
      </c>
      <c r="AK114" s="111" t="n">
        <v>480</v>
      </c>
      <c r="AL114" s="111" t="n">
        <v>480</v>
      </c>
      <c r="AM114" s="111" t="n">
        <v>480</v>
      </c>
      <c r="AN114" s="111" t="n">
        <v>480</v>
      </c>
      <c r="AO114" s="111" t="n">
        <v>480</v>
      </c>
      <c r="AP114" s="111" t="n">
        <v>480</v>
      </c>
      <c r="AQ114" s="111" t="n">
        <v>480</v>
      </c>
      <c r="AR114" s="111" t="n">
        <v>480</v>
      </c>
      <c r="AS114" s="111" t="n">
        <v>480</v>
      </c>
      <c r="AT114" s="111" t="n">
        <v>480</v>
      </c>
      <c r="AU114" s="111" t="n">
        <v>480</v>
      </c>
      <c r="AV114" s="111" t="n">
        <v>480</v>
      </c>
      <c r="AW114" s="244" t="n">
        <v>480</v>
      </c>
      <c r="AX114" s="111">
        <f>+(AX116*AX9)/30.433</f>
        <v/>
      </c>
      <c r="AY114" s="244">
        <f>+(AY116*AY9)/30.433</f>
        <v/>
      </c>
      <c r="AZ114" s="111">
        <f>+(AZ116*AZ9)/30.433</f>
        <v/>
      </c>
      <c r="BA114" s="111">
        <f>+(BA116*BA9)/30.433</f>
        <v/>
      </c>
      <c r="BB114" s="111">
        <f>+(BB116*BB9)/30.433</f>
        <v/>
      </c>
      <c r="BC114" s="111">
        <f>+(BC116*BC9)/30.433</f>
        <v/>
      </c>
      <c r="BD114" s="111">
        <f>+(BD116*BD9)/30.433</f>
        <v/>
      </c>
      <c r="BE114" s="111">
        <f>+(BE116*BE9)/30.433</f>
        <v/>
      </c>
      <c r="BF114" s="111">
        <f>+(BF116*BF9)/30.433</f>
        <v/>
      </c>
      <c r="BG114" s="111">
        <f>+(BG116*BG9)/30.433</f>
        <v/>
      </c>
      <c r="BH114" s="111">
        <f>+(BH116*BH9)/30.433</f>
        <v/>
      </c>
      <c r="BI114" s="111">
        <f>+(BI116*BI9)/30.433</f>
        <v/>
      </c>
      <c r="BJ114" s="111">
        <f>+(BJ116*BJ9)/30.433</f>
        <v/>
      </c>
      <c r="BK114" s="244">
        <f>+(BK116*BK9)/30.433</f>
        <v/>
      </c>
      <c r="BL114" s="111">
        <f>+(BL116*BL9)/30.433</f>
        <v/>
      </c>
      <c r="BM114" s="111">
        <f>+(BM116*BM9)/30.433</f>
        <v/>
      </c>
      <c r="BN114" s="111">
        <f>+(BN116*BN9)/30.433</f>
        <v/>
      </c>
      <c r="BO114" s="111">
        <f>+(BO116*BO9)/30.433</f>
        <v/>
      </c>
      <c r="BP114" s="111">
        <f>+(BP116*BP9)/30.433</f>
        <v/>
      </c>
      <c r="BQ114" s="111">
        <f>+(BQ116*BQ9)/30.433</f>
        <v/>
      </c>
      <c r="BR114" s="111">
        <f>+(BR116*BR9)/30.433</f>
        <v/>
      </c>
      <c r="BS114" s="111">
        <f>+(BS116*BS9)/30.433</f>
        <v/>
      </c>
      <c r="BT114" s="111">
        <f>+(BT116*BT9)/30.433</f>
        <v/>
      </c>
      <c r="BU114" s="111">
        <f>+(BU116*BU9)/30.433</f>
        <v/>
      </c>
      <c r="BV114" s="111">
        <f>+(BV116*BV9)/30.433</f>
        <v/>
      </c>
      <c r="BW114" s="244">
        <f>+(BW116*BW9)/30.433</f>
        <v/>
      </c>
      <c r="BX114" s="111">
        <f>+(BX116*BX9)/30.433</f>
        <v/>
      </c>
      <c r="BY114" s="111">
        <f>+(BY116*BY9)/30.433</f>
        <v/>
      </c>
      <c r="BZ114" s="111">
        <f>+(BZ116*BZ9)/30.433</f>
        <v/>
      </c>
      <c r="CA114" s="111">
        <f>+(CA116*CA9)/30.433</f>
        <v/>
      </c>
      <c r="CB114" s="111">
        <f>+(CB116*CB9)/30.433</f>
        <v/>
      </c>
      <c r="CC114" s="111">
        <f>+(CC116*CC9)/30.433</f>
        <v/>
      </c>
      <c r="CD114" s="111">
        <f>+(CD116*CD9)/30.433</f>
        <v/>
      </c>
      <c r="CE114" s="111">
        <f>+(CE116*CE9)/30.433</f>
        <v/>
      </c>
      <c r="CF114" s="111">
        <f>+(CF116*CF9)/30.433</f>
        <v/>
      </c>
      <c r="CG114" s="111">
        <f>+(CG116*CG9)/30.433</f>
        <v/>
      </c>
      <c r="CH114" s="111">
        <f>+(CH116*CH9)/30.433</f>
        <v/>
      </c>
      <c r="CI114" s="244">
        <f>+(CI116*CI9)/30.433</f>
        <v/>
      </c>
      <c r="CJ114" s="111">
        <f>+(CJ116*CJ9)/30.433</f>
        <v/>
      </c>
      <c r="CK114" s="111">
        <f>+(CK116*CK9)/30.433</f>
        <v/>
      </c>
      <c r="CL114" s="111">
        <f>+(CL116*CL9)/30.433</f>
        <v/>
      </c>
      <c r="CM114" s="111">
        <f>+(CM116*CM9)/30.433</f>
        <v/>
      </c>
      <c r="CN114" s="111">
        <f>+(CN116*CN9)/30.433</f>
        <v/>
      </c>
      <c r="CO114" s="111">
        <f>+(CO116*CO9)/30.433</f>
        <v/>
      </c>
      <c r="CP114" s="111">
        <f>+(CP116*CP9)/30.433</f>
        <v/>
      </c>
      <c r="CQ114" s="111">
        <f>+(CQ116*CQ9)/30.433</f>
        <v/>
      </c>
      <c r="CR114" s="111">
        <f>+(CR116*CR9)/30.433</f>
        <v/>
      </c>
      <c r="CS114" s="111">
        <f>+(CS116*CS9)/30.433</f>
        <v/>
      </c>
      <c r="CT114" s="111">
        <f>+(CT116*CT9)/30.433</f>
        <v/>
      </c>
      <c r="CU114" s="244">
        <f>+(CU116*CU9)/30.433</f>
        <v/>
      </c>
      <c r="CV114" s="111">
        <f>+(CV116*CV9)/30.433</f>
        <v/>
      </c>
      <c r="CW114" s="111">
        <f>+(CW116*CW9)/30.433</f>
        <v/>
      </c>
      <c r="CX114" s="111">
        <f>+(CX116*CX9)/30.433</f>
        <v/>
      </c>
      <c r="CY114" s="111">
        <f>+(CY116*CY9)/30.433</f>
        <v/>
      </c>
      <c r="CZ114" s="111">
        <f>+(CZ116*CZ9)/30.433</f>
        <v/>
      </c>
      <c r="DA114" s="111">
        <f>+(DA116*DA9)/30.433</f>
        <v/>
      </c>
      <c r="DB114" s="111">
        <f>+(DB116*DB9)/30.433</f>
        <v/>
      </c>
      <c r="DC114" s="111">
        <f>+(DC116*DC9)/30.433</f>
        <v/>
      </c>
      <c r="DD114" s="111">
        <f>+(DD116*DD9)/30.433</f>
        <v/>
      </c>
      <c r="DE114" s="111">
        <f>+(DE116*DE9)/30.433</f>
        <v/>
      </c>
      <c r="DF114" s="111">
        <f>+(DF116*DF9)/30.433</f>
        <v/>
      </c>
      <c r="DG114" s="111">
        <f>+(DG116*DG9)/30.433</f>
        <v/>
      </c>
    </row>
    <row r="115">
      <c r="A115" s="5" t="n"/>
      <c r="B115" s="6" t="inlineStr">
        <is>
          <t xml:space="preserve">      Total Accounts Receivable</t>
        </is>
      </c>
      <c r="C115" s="6" t="n"/>
      <c r="D115" s="824">
        <f>D114</f>
        <v/>
      </c>
      <c r="E115" s="824">
        <f>E114</f>
        <v/>
      </c>
      <c r="F115" s="824">
        <f>F114</f>
        <v/>
      </c>
      <c r="G115" s="824">
        <f>G114</f>
        <v/>
      </c>
      <c r="H115" s="824">
        <f>H114</f>
        <v/>
      </c>
      <c r="I115" s="824">
        <f>I114</f>
        <v/>
      </c>
      <c r="J115" s="824">
        <f>J114</f>
        <v/>
      </c>
      <c r="K115" s="824">
        <f>K114</f>
        <v/>
      </c>
      <c r="L115" s="824">
        <f>L114</f>
        <v/>
      </c>
      <c r="M115" s="824">
        <f>M114</f>
        <v/>
      </c>
      <c r="N115" s="824">
        <f>N114</f>
        <v/>
      </c>
      <c r="O115" s="824">
        <f>O114</f>
        <v/>
      </c>
      <c r="P115" s="824">
        <f>P114</f>
        <v/>
      </c>
      <c r="Q115" s="824">
        <f>Q114</f>
        <v/>
      </c>
      <c r="R115" s="824">
        <f>R114</f>
        <v/>
      </c>
      <c r="S115" s="824">
        <f>S114</f>
        <v/>
      </c>
      <c r="T115" s="824">
        <f>T114</f>
        <v/>
      </c>
      <c r="U115" s="824">
        <f>U114</f>
        <v/>
      </c>
      <c r="V115" s="824">
        <f>V114</f>
        <v/>
      </c>
      <c r="W115" s="824">
        <f>W114</f>
        <v/>
      </c>
      <c r="X115" s="824">
        <f>X114</f>
        <v/>
      </c>
      <c r="Y115" s="824">
        <f>Y114</f>
        <v/>
      </c>
      <c r="Z115" s="824">
        <f>Z114</f>
        <v/>
      </c>
      <c r="AA115" s="824">
        <f>AA114</f>
        <v/>
      </c>
      <c r="AB115" s="824">
        <f>AB114</f>
        <v/>
      </c>
      <c r="AC115" s="824">
        <f>AC114</f>
        <v/>
      </c>
      <c r="AD115" s="824">
        <f>AD114</f>
        <v/>
      </c>
      <c r="AE115" s="824">
        <f>AE114</f>
        <v/>
      </c>
      <c r="AF115" s="824">
        <f>AF114</f>
        <v/>
      </c>
      <c r="AG115" s="824">
        <f>AG114</f>
        <v/>
      </c>
      <c r="AH115" s="824">
        <f>AH114</f>
        <v/>
      </c>
      <c r="AI115" s="824">
        <f>AI114</f>
        <v/>
      </c>
      <c r="AJ115" s="824">
        <f>AJ114</f>
        <v/>
      </c>
      <c r="AK115" s="824">
        <f>AK114</f>
        <v/>
      </c>
      <c r="AL115" s="824">
        <f>AL114</f>
        <v/>
      </c>
      <c r="AM115" s="824">
        <f>AM114</f>
        <v/>
      </c>
      <c r="AN115" s="824">
        <f>AN114</f>
        <v/>
      </c>
      <c r="AO115" s="824">
        <f>AO114</f>
        <v/>
      </c>
      <c r="AP115" s="824">
        <f>AP114</f>
        <v/>
      </c>
      <c r="AQ115" s="824">
        <f>AQ114</f>
        <v/>
      </c>
      <c r="AR115" s="824">
        <f>AR114</f>
        <v/>
      </c>
      <c r="AS115" s="824">
        <f>AS114</f>
        <v/>
      </c>
      <c r="AT115" s="824">
        <f>AT114</f>
        <v/>
      </c>
      <c r="AU115" s="824">
        <f>AU114</f>
        <v/>
      </c>
      <c r="AV115" s="824">
        <f>AV114</f>
        <v/>
      </c>
      <c r="AW115" s="825">
        <f>AW114</f>
        <v/>
      </c>
      <c r="AX115" s="824">
        <f>AX114</f>
        <v/>
      </c>
      <c r="AY115" s="825">
        <f>AY114</f>
        <v/>
      </c>
      <c r="AZ115" s="824">
        <f>AZ114</f>
        <v/>
      </c>
      <c r="BA115" s="824">
        <f>BA114</f>
        <v/>
      </c>
      <c r="BB115" s="824">
        <f>BB114</f>
        <v/>
      </c>
      <c r="BC115" s="824">
        <f>BC114</f>
        <v/>
      </c>
      <c r="BD115" s="824">
        <f>BD114</f>
        <v/>
      </c>
      <c r="BE115" s="824">
        <f>BE114</f>
        <v/>
      </c>
      <c r="BF115" s="824">
        <f>BF114</f>
        <v/>
      </c>
      <c r="BG115" s="824">
        <f>BG114</f>
        <v/>
      </c>
      <c r="BH115" s="824">
        <f>BH114</f>
        <v/>
      </c>
      <c r="BI115" s="824">
        <f>BI114</f>
        <v/>
      </c>
      <c r="BJ115" s="824">
        <f>BJ114</f>
        <v/>
      </c>
      <c r="BK115" s="825">
        <f>BK114</f>
        <v/>
      </c>
      <c r="BL115" s="824">
        <f>BL114</f>
        <v/>
      </c>
      <c r="BM115" s="824">
        <f>BM114</f>
        <v/>
      </c>
      <c r="BN115" s="824">
        <f>BN114</f>
        <v/>
      </c>
      <c r="BO115" s="824">
        <f>BO114</f>
        <v/>
      </c>
      <c r="BP115" s="824">
        <f>BP114</f>
        <v/>
      </c>
      <c r="BQ115" s="824">
        <f>BQ114</f>
        <v/>
      </c>
      <c r="BR115" s="824">
        <f>BR114</f>
        <v/>
      </c>
      <c r="BS115" s="824">
        <f>BS114</f>
        <v/>
      </c>
      <c r="BT115" s="824">
        <f>BT114</f>
        <v/>
      </c>
      <c r="BU115" s="824">
        <f>BU114</f>
        <v/>
      </c>
      <c r="BV115" s="824">
        <f>BV114</f>
        <v/>
      </c>
      <c r="BW115" s="825">
        <f>BW114</f>
        <v/>
      </c>
      <c r="BX115" s="824">
        <f>BX114</f>
        <v/>
      </c>
      <c r="BY115" s="824">
        <f>BY114</f>
        <v/>
      </c>
      <c r="BZ115" s="824">
        <f>BZ114</f>
        <v/>
      </c>
      <c r="CA115" s="824">
        <f>CA114</f>
        <v/>
      </c>
      <c r="CB115" s="824">
        <f>CB114</f>
        <v/>
      </c>
      <c r="CC115" s="824">
        <f>CC114</f>
        <v/>
      </c>
      <c r="CD115" s="824">
        <f>CD114</f>
        <v/>
      </c>
      <c r="CE115" s="824">
        <f>CE114</f>
        <v/>
      </c>
      <c r="CF115" s="824">
        <f>CF114</f>
        <v/>
      </c>
      <c r="CG115" s="824">
        <f>CG114</f>
        <v/>
      </c>
      <c r="CH115" s="824">
        <f>CH114</f>
        <v/>
      </c>
      <c r="CI115" s="825">
        <f>CI114</f>
        <v/>
      </c>
      <c r="CJ115" s="824">
        <f>CJ114</f>
        <v/>
      </c>
      <c r="CK115" s="824">
        <f>CK114</f>
        <v/>
      </c>
      <c r="CL115" s="824">
        <f>CL114</f>
        <v/>
      </c>
      <c r="CM115" s="824">
        <f>CM114</f>
        <v/>
      </c>
      <c r="CN115" s="824">
        <f>CN114</f>
        <v/>
      </c>
      <c r="CO115" s="824">
        <f>CO114</f>
        <v/>
      </c>
      <c r="CP115" s="824">
        <f>CP114</f>
        <v/>
      </c>
      <c r="CQ115" s="824">
        <f>CQ114</f>
        <v/>
      </c>
      <c r="CR115" s="824">
        <f>CR114</f>
        <v/>
      </c>
      <c r="CS115" s="824">
        <f>CS114</f>
        <v/>
      </c>
      <c r="CT115" s="824">
        <f>CT114</f>
        <v/>
      </c>
      <c r="CU115" s="825">
        <f>CU114</f>
        <v/>
      </c>
      <c r="CV115" s="824">
        <f>CV114</f>
        <v/>
      </c>
      <c r="CW115" s="824">
        <f>CW114</f>
        <v/>
      </c>
      <c r="CX115" s="824">
        <f>CX114</f>
        <v/>
      </c>
      <c r="CY115" s="824">
        <f>CY114</f>
        <v/>
      </c>
      <c r="CZ115" s="824">
        <f>CZ114</f>
        <v/>
      </c>
      <c r="DA115" s="824">
        <f>DA114</f>
        <v/>
      </c>
      <c r="DB115" s="824">
        <f>DB114</f>
        <v/>
      </c>
      <c r="DC115" s="824">
        <f>DC114</f>
        <v/>
      </c>
      <c r="DD115" s="824">
        <f>DD114</f>
        <v/>
      </c>
      <c r="DE115" s="824">
        <f>DE114</f>
        <v/>
      </c>
      <c r="DF115" s="824">
        <f>DF114</f>
        <v/>
      </c>
      <c r="DG115" s="824">
        <f>DG114</f>
        <v/>
      </c>
    </row>
    <row r="116">
      <c r="A116" s="63" t="n"/>
      <c r="B116" s="60" t="n"/>
      <c r="C116" s="61" t="inlineStr">
        <is>
          <t>AR Days</t>
        </is>
      </c>
      <c r="D116" s="62" t="n">
        <v>0</v>
      </c>
      <c r="E116" s="62">
        <f>IFERROR(AVERAGE(D114:E114)/(E13/30.4333), 0)</f>
        <v/>
      </c>
      <c r="F116" s="62">
        <f>IFERROR(AVERAGE(E114:F114)/(F13/30.4333), 0)</f>
        <v/>
      </c>
      <c r="G116" s="62">
        <f>IFERROR(AVERAGE(F114:G114)/(G13/30.4333), 0)</f>
        <v/>
      </c>
      <c r="H116" s="62">
        <f>IFERROR(AVERAGE(G114:H114)/(H13/30.4333), 0)</f>
        <v/>
      </c>
      <c r="I116" s="62">
        <f>IFERROR(AVERAGE(H114:I114)/(I13/30.4333), 0)</f>
        <v/>
      </c>
      <c r="J116" s="62">
        <f>IFERROR(AVERAGE(I114:J114)/(J13/30.4333), 0)</f>
        <v/>
      </c>
      <c r="K116" s="62">
        <f>IFERROR(AVERAGE(J114:K114)/(K13/30.4333), 0)</f>
        <v/>
      </c>
      <c r="L116" s="62">
        <f>IFERROR(AVERAGE(K114:L114)/(L13/30.4333), 0)</f>
        <v/>
      </c>
      <c r="M116" s="62">
        <f>IFERROR(AVERAGE(L114:M114)/(M13/30.4333), 0)</f>
        <v/>
      </c>
      <c r="N116" s="62">
        <f>IFERROR(AVERAGE(M114:N114)/(N13/30.4333), 0)</f>
        <v/>
      </c>
      <c r="O116" s="62">
        <f>IFERROR(AVERAGE(N114:O114)/(O13/30.4333), 0)</f>
        <v/>
      </c>
      <c r="P116" s="62">
        <f>IFERROR(AVERAGE(O114:P114)/(P13/30.4333), 0)</f>
        <v/>
      </c>
      <c r="Q116" s="62">
        <f>IFERROR(AVERAGE(P114:Q114)/(Q13/30.4333), 0)</f>
        <v/>
      </c>
      <c r="R116" s="62">
        <f>IFERROR(AVERAGE(Q114:R114)/(R13/30.4333), 0)</f>
        <v/>
      </c>
      <c r="S116" s="62">
        <f>IFERROR(AVERAGE(R114:S114)/(S13/30.4333), 0)</f>
        <v/>
      </c>
      <c r="T116" s="62">
        <f>IFERROR(AVERAGE(S114:T114)/(T13/30.4333), 0)</f>
        <v/>
      </c>
      <c r="U116" s="62">
        <f>IFERROR(AVERAGE(T114:U114)/(U13/30.4333), 0)</f>
        <v/>
      </c>
      <c r="V116" s="62">
        <f>IFERROR(AVERAGE(U114:V114)/(V13/30.4333), 0)</f>
        <v/>
      </c>
      <c r="W116" s="62">
        <f>IFERROR(AVERAGE(V114:W114)/(W13/30.4333), 0)</f>
        <v/>
      </c>
      <c r="X116" s="62">
        <f>IFERROR(AVERAGE(W114:X114)/(X13/30.4333), 0)</f>
        <v/>
      </c>
      <c r="Y116" s="62">
        <f>IFERROR(AVERAGE(X114:Y114)/(Y13/30.4333), 0)</f>
        <v/>
      </c>
      <c r="Z116" s="62">
        <f>IFERROR(AVERAGE(Y114:Z114)/(Z13/30.4333), 0)</f>
        <v/>
      </c>
      <c r="AA116" s="62">
        <f>IFERROR(AVERAGE(Z114:AA114)/(AA13/30.4333), 0)</f>
        <v/>
      </c>
      <c r="AB116" s="62">
        <f>IFERROR(AVERAGE(AA114:AB114)/(AB13/30.4333), 0)</f>
        <v/>
      </c>
      <c r="AC116" s="62">
        <f>IFERROR(AVERAGE(AB114:AC114)/(AC13/30.4333), 0)</f>
        <v/>
      </c>
      <c r="AD116" s="62">
        <f>IFERROR(AVERAGE(AC114:AD114)/(AD13/30.4333), 0)</f>
        <v/>
      </c>
      <c r="AE116" s="62">
        <f>IFERROR(AVERAGE(AD114:AE114)/(AE13/30.4333), 0)</f>
        <v/>
      </c>
      <c r="AF116" s="62">
        <f>IFERROR(AVERAGE(AE114:AF114)/(AF13/30.4333), 0)</f>
        <v/>
      </c>
      <c r="AG116" s="62">
        <f>IFERROR(AVERAGE(AF114:AG114)/(AG13/30.4333), 0)</f>
        <v/>
      </c>
      <c r="AH116" s="62">
        <f>IFERROR(AVERAGE(AG114:AH114)/(AH13/30.4333), 0)</f>
        <v/>
      </c>
      <c r="AI116" s="62">
        <f>IFERROR(AVERAGE(AH114:AI114)/(AI13/30.4333), 0)</f>
        <v/>
      </c>
      <c r="AJ116" s="62">
        <f>IFERROR(AVERAGE(AI114:AJ114)/(AJ13/30.4333), 0)</f>
        <v/>
      </c>
      <c r="AK116" s="62">
        <f>IFERROR(AVERAGE(AJ114:AK114)/(AK13/30.4333), 0)</f>
        <v/>
      </c>
      <c r="AL116" s="62">
        <f>IFERROR(AVERAGE(AK114:AL114)/(AL13/30.4333), 0)</f>
        <v/>
      </c>
      <c r="AM116" s="62">
        <f>IFERROR(AVERAGE(AL114:AM114)/(AM13/30.4333), 0)</f>
        <v/>
      </c>
      <c r="AN116" s="62">
        <f>IFERROR(AVERAGE(AM114:AN114)/(AN13/30.4333), 0)</f>
        <v/>
      </c>
      <c r="AO116" s="62">
        <f>IFERROR(AVERAGE(AN114:AO114)/(AO13/30.4333), 0)</f>
        <v/>
      </c>
      <c r="AP116" s="62">
        <f>IFERROR(AVERAGE(AO114:AP114)/(AP13/30.4333), 0)</f>
        <v/>
      </c>
      <c r="AQ116" s="62">
        <f>IFERROR(AVERAGE(AP114:AQ114)/(AQ13/30.4333), 0)</f>
        <v/>
      </c>
      <c r="AR116" s="62">
        <f>IFERROR(AVERAGE(AQ114:AR114)/(AR13/30.4333), 0)</f>
        <v/>
      </c>
      <c r="AS116" s="62">
        <f>IFERROR(AVERAGE(AR114:AS114)/(AS13/30.4333), 0)</f>
        <v/>
      </c>
      <c r="AT116" s="62">
        <f>IFERROR(AVERAGE(AS114:AT114)/(AT13/30.4333), 0)</f>
        <v/>
      </c>
      <c r="AU116" s="62">
        <f>IFERROR(AVERAGE(AT114:AU114)/(AU13/30.4333), 0)</f>
        <v/>
      </c>
      <c r="AV116" s="62">
        <f>IFERROR(AVERAGE(AU114:AV114)/(AV13/30.4333), 0)</f>
        <v/>
      </c>
      <c r="AW116" s="251">
        <f>IFERROR(AVERAGE(AV114:AW114)/(AW13/30.4333), 0)</f>
        <v/>
      </c>
      <c r="AX116" s="611" t="n">
        <v>1</v>
      </c>
      <c r="AY116" s="251">
        <f>AX116</f>
        <v/>
      </c>
      <c r="AZ116" s="62">
        <f>AY116</f>
        <v/>
      </c>
      <c r="BA116" s="62">
        <f>AZ116</f>
        <v/>
      </c>
      <c r="BB116" s="62">
        <f>BA116</f>
        <v/>
      </c>
      <c r="BC116" s="62">
        <f>BB116</f>
        <v/>
      </c>
      <c r="BD116" s="62">
        <f>BC116</f>
        <v/>
      </c>
      <c r="BE116" s="62">
        <f>BD116</f>
        <v/>
      </c>
      <c r="BF116" s="62">
        <f>BE116</f>
        <v/>
      </c>
      <c r="BG116" s="62">
        <f>BF116</f>
        <v/>
      </c>
      <c r="BH116" s="62">
        <f>BG116</f>
        <v/>
      </c>
      <c r="BI116" s="62">
        <f>BH116</f>
        <v/>
      </c>
      <c r="BJ116" s="62">
        <f>BI116</f>
        <v/>
      </c>
      <c r="BK116" s="251">
        <f>BJ116</f>
        <v/>
      </c>
      <c r="BL116" s="62">
        <f>BK116</f>
        <v/>
      </c>
      <c r="BM116" s="62">
        <f>BL116</f>
        <v/>
      </c>
      <c r="BN116" s="62">
        <f>BM116</f>
        <v/>
      </c>
      <c r="BO116" s="62">
        <f>BN116</f>
        <v/>
      </c>
      <c r="BP116" s="62">
        <f>BO116</f>
        <v/>
      </c>
      <c r="BQ116" s="62">
        <f>BP116</f>
        <v/>
      </c>
      <c r="BR116" s="62">
        <f>BQ116</f>
        <v/>
      </c>
      <c r="BS116" s="62">
        <f>BR116</f>
        <v/>
      </c>
      <c r="BT116" s="62">
        <f>BS116</f>
        <v/>
      </c>
      <c r="BU116" s="62">
        <f>BT116</f>
        <v/>
      </c>
      <c r="BV116" s="62">
        <f>BU116</f>
        <v/>
      </c>
      <c r="BW116" s="251">
        <f>BV116</f>
        <v/>
      </c>
      <c r="BX116" s="62">
        <f>BW116</f>
        <v/>
      </c>
      <c r="BY116" s="62">
        <f>BX116</f>
        <v/>
      </c>
      <c r="BZ116" s="62">
        <f>BY116</f>
        <v/>
      </c>
      <c r="CA116" s="62">
        <f>BZ116</f>
        <v/>
      </c>
      <c r="CB116" s="62">
        <f>CA116</f>
        <v/>
      </c>
      <c r="CC116" s="62">
        <f>CB116</f>
        <v/>
      </c>
      <c r="CD116" s="62">
        <f>CC116</f>
        <v/>
      </c>
      <c r="CE116" s="62">
        <f>CD116</f>
        <v/>
      </c>
      <c r="CF116" s="62">
        <f>CE116</f>
        <v/>
      </c>
      <c r="CG116" s="62">
        <f>CF116</f>
        <v/>
      </c>
      <c r="CH116" s="62">
        <f>CG116</f>
        <v/>
      </c>
      <c r="CI116" s="251">
        <f>CH116</f>
        <v/>
      </c>
      <c r="CJ116" s="62">
        <f>CI116</f>
        <v/>
      </c>
      <c r="CK116" s="62">
        <f>CJ116</f>
        <v/>
      </c>
      <c r="CL116" s="62">
        <f>CK116</f>
        <v/>
      </c>
      <c r="CM116" s="62">
        <f>CL116</f>
        <v/>
      </c>
      <c r="CN116" s="62">
        <f>CM116</f>
        <v/>
      </c>
      <c r="CO116" s="62">
        <f>CN116</f>
        <v/>
      </c>
      <c r="CP116" s="62">
        <f>CO116</f>
        <v/>
      </c>
      <c r="CQ116" s="62">
        <f>CP116</f>
        <v/>
      </c>
      <c r="CR116" s="62">
        <f>CQ116</f>
        <v/>
      </c>
      <c r="CS116" s="62">
        <f>CR116</f>
        <v/>
      </c>
      <c r="CT116" s="62">
        <f>CS116</f>
        <v/>
      </c>
      <c r="CU116" s="251">
        <f>CT116</f>
        <v/>
      </c>
      <c r="CV116" s="62">
        <f>CU116</f>
        <v/>
      </c>
      <c r="CW116" s="62">
        <f>CV116</f>
        <v/>
      </c>
      <c r="CX116" s="62">
        <f>CW116</f>
        <v/>
      </c>
      <c r="CY116" s="62">
        <f>CX116</f>
        <v/>
      </c>
      <c r="CZ116" s="62">
        <f>CY116</f>
        <v/>
      </c>
      <c r="DA116" s="62">
        <f>CZ116</f>
        <v/>
      </c>
      <c r="DB116" s="62">
        <f>DA116</f>
        <v/>
      </c>
      <c r="DC116" s="62">
        <f>DB116</f>
        <v/>
      </c>
      <c r="DD116" s="62">
        <f>DC116</f>
        <v/>
      </c>
      <c r="DE116" s="62">
        <f>DD116</f>
        <v/>
      </c>
      <c r="DF116" s="62">
        <f>DE116</f>
        <v/>
      </c>
      <c r="DG116" s="62">
        <f>DF116</f>
        <v/>
      </c>
    </row>
    <row r="117">
      <c r="B117" s="1" t="inlineStr">
        <is>
          <t xml:space="preserve">   Other Current Assets</t>
        </is>
      </c>
      <c r="C117" s="1" t="n"/>
      <c r="D117" s="838" t="n"/>
      <c r="E117" s="838" t="n"/>
      <c r="F117" s="838" t="n"/>
      <c r="G117" s="838" t="n"/>
      <c r="H117" s="838" t="n"/>
      <c r="I117" s="838" t="n"/>
      <c r="J117" s="838" t="n"/>
      <c r="K117" s="838" t="n"/>
      <c r="L117" s="838" t="n"/>
      <c r="M117" s="838" t="inlineStr">
        <is>
          <t xml:space="preserve"> </t>
        </is>
      </c>
      <c r="O117" s="941" t="n"/>
      <c r="P117" s="941" t="n"/>
      <c r="Q117" s="941" t="n"/>
      <c r="R117" s="941" t="n"/>
      <c r="S117" s="941" t="n"/>
      <c r="T117" s="941" t="n"/>
      <c r="U117" s="941" t="n"/>
      <c r="V117" s="941" t="n"/>
      <c r="W117" s="941" t="n"/>
      <c r="X117" s="941" t="n"/>
      <c r="Y117" s="941" t="n"/>
      <c r="Z117" s="941" t="n"/>
      <c r="AA117" s="941" t="n"/>
      <c r="AB117" s="941" t="n"/>
      <c r="AC117" s="941" t="n"/>
      <c r="AD117" s="941" t="n"/>
      <c r="AE117" s="941" t="n"/>
      <c r="AF117" s="941" t="n"/>
      <c r="AG117" s="941" t="n"/>
      <c r="AH117" s="941" t="n"/>
      <c r="AI117" s="941" t="n"/>
      <c r="AJ117" s="941" t="n"/>
      <c r="AK117" s="941" t="n"/>
      <c r="AL117" s="941" t="n"/>
      <c r="AM117" s="941" t="n"/>
      <c r="AN117" s="941" t="n"/>
      <c r="AO117" s="941" t="n"/>
      <c r="AP117" s="941" t="n"/>
      <c r="AQ117" s="941" t="n"/>
      <c r="AR117" s="941" t="n"/>
      <c r="AS117" s="941" t="n"/>
      <c r="AT117" s="941" t="n"/>
      <c r="AU117" s="941" t="n"/>
      <c r="AV117" s="941" t="n"/>
      <c r="AW117" s="942" t="n"/>
      <c r="AX117" s="941" t="n"/>
      <c r="AY117" s="243" t="n"/>
      <c r="BK117" s="243" t="n"/>
      <c r="BW117" s="243" t="n"/>
      <c r="CI117" s="243" t="n"/>
      <c r="CU117" s="243" t="n"/>
    </row>
    <row r="118">
      <c r="B118" s="1" t="inlineStr">
        <is>
          <t xml:space="preserve">         10500 Cash in Transit</t>
        </is>
      </c>
      <c r="C118" s="1" t="n"/>
      <c r="D118" s="838" t="n"/>
      <c r="E118" s="838" t="n"/>
      <c r="F118" s="838" t="n"/>
      <c r="G118" s="838" t="n"/>
      <c r="H118" s="838" t="n"/>
      <c r="I118" s="838" t="n"/>
      <c r="J118" s="838" t="n"/>
      <c r="K118" s="838" t="n"/>
      <c r="L118" s="838" t="n"/>
      <c r="M118" s="838" t="n"/>
      <c r="O118" s="941" t="n"/>
      <c r="P118" s="111" t="n">
        <v>0</v>
      </c>
      <c r="Q118" s="111" t="n">
        <v>0</v>
      </c>
      <c r="R118" s="111" t="n"/>
      <c r="S118" s="111" t="n">
        <v>0</v>
      </c>
      <c r="T118" s="111" t="n">
        <v>0</v>
      </c>
      <c r="U118" s="111" t="n">
        <v>0</v>
      </c>
      <c r="V118" s="111" t="n">
        <v>0</v>
      </c>
      <c r="W118" s="111" t="n">
        <v>0</v>
      </c>
      <c r="X118" s="111" t="n">
        <v>0</v>
      </c>
      <c r="Y118" s="111" t="n">
        <v>0</v>
      </c>
      <c r="Z118" s="111" t="n">
        <v>0</v>
      </c>
      <c r="AA118" s="111" t="n">
        <v>0</v>
      </c>
      <c r="AB118" s="111" t="n">
        <v>0</v>
      </c>
      <c r="AC118" s="111" t="n">
        <v>0</v>
      </c>
      <c r="AD118" s="111" t="n">
        <v>0</v>
      </c>
      <c r="AE118" s="111" t="n">
        <v>0</v>
      </c>
      <c r="AF118" s="111" t="n">
        <v>0</v>
      </c>
      <c r="AG118" s="111" t="n">
        <v>0</v>
      </c>
      <c r="AH118" s="111" t="n">
        <v>0</v>
      </c>
      <c r="AI118" s="111" t="n">
        <v>0</v>
      </c>
      <c r="AJ118" s="111" t="n">
        <v>0</v>
      </c>
      <c r="AK118" s="111" t="n">
        <v>0</v>
      </c>
      <c r="AL118" s="111" t="n">
        <v>0</v>
      </c>
      <c r="AM118" s="111" t="n">
        <v>0</v>
      </c>
      <c r="AN118" s="111" t="n">
        <v>0</v>
      </c>
      <c r="AO118" s="111" t="n">
        <v>0</v>
      </c>
      <c r="AP118" s="111" t="n">
        <v>0</v>
      </c>
      <c r="AQ118" s="111" t="n">
        <v>0</v>
      </c>
      <c r="AR118" s="111" t="n">
        <v>0</v>
      </c>
      <c r="AS118" s="111" t="n">
        <v>0</v>
      </c>
      <c r="AT118" s="111" t="n">
        <v>0</v>
      </c>
      <c r="AU118" s="111" t="n">
        <v>0</v>
      </c>
      <c r="AV118" s="111" t="n">
        <v>0</v>
      </c>
      <c r="AW118" s="244" t="n">
        <v>0</v>
      </c>
      <c r="AX118" s="943">
        <f>AW118</f>
        <v/>
      </c>
      <c r="AY118" s="244">
        <f>AX118</f>
        <v/>
      </c>
      <c r="AZ118" s="111">
        <f>AY118</f>
        <v/>
      </c>
      <c r="BA118" s="111">
        <f>AZ118</f>
        <v/>
      </c>
      <c r="BB118" s="111">
        <f>BA118</f>
        <v/>
      </c>
      <c r="BC118" s="111">
        <f>BB118</f>
        <v/>
      </c>
      <c r="BD118" s="111">
        <f>BC118</f>
        <v/>
      </c>
      <c r="BE118" s="111">
        <f>BD118</f>
        <v/>
      </c>
      <c r="BF118" s="111">
        <f>BE118</f>
        <v/>
      </c>
      <c r="BG118" s="111">
        <f>BF118</f>
        <v/>
      </c>
      <c r="BH118" s="111">
        <f>BG118</f>
        <v/>
      </c>
      <c r="BI118" s="111">
        <f>BH118</f>
        <v/>
      </c>
      <c r="BJ118" s="111">
        <f>BI118</f>
        <v/>
      </c>
      <c r="BK118" s="244">
        <f>BJ118</f>
        <v/>
      </c>
      <c r="BL118" s="111">
        <f>BK118</f>
        <v/>
      </c>
      <c r="BM118" s="111">
        <f>BL118</f>
        <v/>
      </c>
      <c r="BN118" s="111">
        <f>BM118</f>
        <v/>
      </c>
      <c r="BO118" s="111">
        <f>BN118</f>
        <v/>
      </c>
      <c r="BP118" s="111">
        <f>BO118</f>
        <v/>
      </c>
      <c r="BQ118" s="111">
        <f>BP118</f>
        <v/>
      </c>
      <c r="BR118" s="111">
        <f>BQ118</f>
        <v/>
      </c>
      <c r="BS118" s="111">
        <f>BR118</f>
        <v/>
      </c>
      <c r="BT118" s="111">
        <f>BS118</f>
        <v/>
      </c>
      <c r="BU118" s="111">
        <f>BT118</f>
        <v/>
      </c>
      <c r="BV118" s="111">
        <f>BU118</f>
        <v/>
      </c>
      <c r="BW118" s="244">
        <f>BV118</f>
        <v/>
      </c>
      <c r="BX118" s="111">
        <f>BW118</f>
        <v/>
      </c>
      <c r="BY118" s="111">
        <f>BX118</f>
        <v/>
      </c>
      <c r="BZ118" s="111">
        <f>BY118</f>
        <v/>
      </c>
      <c r="CA118" s="111">
        <f>BZ118</f>
        <v/>
      </c>
      <c r="CB118" s="111">
        <f>CA118</f>
        <v/>
      </c>
      <c r="CC118" s="111">
        <f>CB118</f>
        <v/>
      </c>
      <c r="CD118" s="111">
        <f>CC118</f>
        <v/>
      </c>
      <c r="CE118" s="111">
        <f>CD118</f>
        <v/>
      </c>
      <c r="CF118" s="111">
        <f>CE118</f>
        <v/>
      </c>
      <c r="CG118" s="111">
        <f>CF118</f>
        <v/>
      </c>
      <c r="CH118" s="111">
        <f>CG118</f>
        <v/>
      </c>
      <c r="CI118" s="244">
        <f>CH118</f>
        <v/>
      </c>
      <c r="CJ118" s="111">
        <f>CI118</f>
        <v/>
      </c>
      <c r="CK118" s="111">
        <f>CJ118</f>
        <v/>
      </c>
      <c r="CL118" s="111">
        <f>CK118</f>
        <v/>
      </c>
      <c r="CM118" s="111">
        <f>CL118</f>
        <v/>
      </c>
      <c r="CN118" s="111">
        <f>CM118</f>
        <v/>
      </c>
      <c r="CO118" s="111">
        <f>CN118</f>
        <v/>
      </c>
      <c r="CP118" s="111">
        <f>CO118</f>
        <v/>
      </c>
      <c r="CQ118" s="111">
        <f>CP118</f>
        <v/>
      </c>
      <c r="CR118" s="111">
        <f>CQ118</f>
        <v/>
      </c>
      <c r="CS118" s="111">
        <f>CR118</f>
        <v/>
      </c>
      <c r="CT118" s="111">
        <f>CS118</f>
        <v/>
      </c>
      <c r="CU118" s="244">
        <f>CT118</f>
        <v/>
      </c>
      <c r="CV118" s="111">
        <f>CU118</f>
        <v/>
      </c>
      <c r="CW118" s="111">
        <f>CV118</f>
        <v/>
      </c>
      <c r="CX118" s="111">
        <f>CW118</f>
        <v/>
      </c>
      <c r="CY118" s="111">
        <f>CX118</f>
        <v/>
      </c>
      <c r="CZ118" s="111">
        <f>CY118</f>
        <v/>
      </c>
      <c r="DA118" s="111">
        <f>CZ118</f>
        <v/>
      </c>
      <c r="DB118" s="111">
        <f>DA118</f>
        <v/>
      </c>
      <c r="DC118" s="111">
        <f>DB118</f>
        <v/>
      </c>
      <c r="DD118" s="111">
        <f>DC118</f>
        <v/>
      </c>
      <c r="DE118" s="111">
        <f>DD118</f>
        <v/>
      </c>
      <c r="DF118" s="111">
        <f>DE118</f>
        <v/>
      </c>
      <c r="DG118" s="111">
        <f>DF118</f>
        <v/>
      </c>
    </row>
    <row r="119">
      <c r="B119" s="1" t="inlineStr">
        <is>
          <t xml:space="preserve">         50000 Cash-in-Transit - Square</t>
        </is>
      </c>
      <c r="C119" s="1" t="n"/>
      <c r="D119" s="838" t="n"/>
      <c r="E119" s="838" t="n"/>
      <c r="F119" s="838" t="n"/>
      <c r="G119" s="838" t="n"/>
      <c r="H119" s="838" t="n"/>
      <c r="I119" s="838" t="n"/>
      <c r="J119" s="838" t="n"/>
      <c r="K119" s="838" t="n"/>
      <c r="L119" s="838" t="n"/>
      <c r="M119" s="838" t="n"/>
      <c r="O119" s="941" t="n"/>
      <c r="P119" s="111" t="n"/>
      <c r="Q119" s="111" t="n"/>
      <c r="R119" s="111" t="n"/>
      <c r="S119" s="111" t="n"/>
      <c r="T119" s="111" t="n"/>
      <c r="U119" s="111" t="n"/>
      <c r="V119" s="111" t="n"/>
      <c r="W119" s="111" t="n">
        <v>0</v>
      </c>
      <c r="X119" s="111" t="n">
        <v>0</v>
      </c>
      <c r="Y119" s="111" t="n">
        <v>0</v>
      </c>
      <c r="Z119" s="111" t="n">
        <v>0</v>
      </c>
      <c r="AA119" s="111" t="n">
        <v>0</v>
      </c>
      <c r="AB119" s="111" t="n">
        <v>-46.73</v>
      </c>
      <c r="AC119" s="111" t="n">
        <v>-48.27</v>
      </c>
      <c r="AD119" s="111" t="n">
        <v>-50.63</v>
      </c>
      <c r="AE119" s="111" t="n">
        <v>37.75</v>
      </c>
      <c r="AF119" s="111" t="n">
        <v>22.17</v>
      </c>
      <c r="AG119" s="111" t="n">
        <v>90.95999999999999</v>
      </c>
      <c r="AH119" s="111" t="n">
        <v>88.15000000000001</v>
      </c>
      <c r="AI119" s="111" t="n">
        <v>131.29</v>
      </c>
      <c r="AJ119" s="111" t="n">
        <v>130.43</v>
      </c>
      <c r="AK119" s="111" t="n">
        <v>-28.63</v>
      </c>
      <c r="AL119" s="111" t="n">
        <v>-293</v>
      </c>
      <c r="AM119" s="111" t="n">
        <v>14.56</v>
      </c>
      <c r="AN119" s="111" t="n">
        <v>123.94</v>
      </c>
      <c r="AO119" s="111" t="n">
        <v>5.71</v>
      </c>
      <c r="AP119" s="111" t="n">
        <v>11.65</v>
      </c>
      <c r="AQ119" s="111" t="n">
        <v>2.88</v>
      </c>
      <c r="AR119" s="111" t="n">
        <v>2.88</v>
      </c>
      <c r="AS119" s="111" t="n">
        <v>2.88</v>
      </c>
      <c r="AT119" s="111" t="n">
        <v>0</v>
      </c>
      <c r="AU119" s="111" t="n">
        <v>0</v>
      </c>
      <c r="AV119" s="111" t="n">
        <v>0</v>
      </c>
      <c r="AW119" s="244" t="n">
        <v>0</v>
      </c>
      <c r="AX119" s="943">
        <f>AW119</f>
        <v/>
      </c>
      <c r="AY119" s="244">
        <f>AX119</f>
        <v/>
      </c>
      <c r="AZ119" s="111">
        <f>AY119</f>
        <v/>
      </c>
      <c r="BA119" s="111">
        <f>AZ119</f>
        <v/>
      </c>
      <c r="BB119" s="111">
        <f>BA119</f>
        <v/>
      </c>
      <c r="BC119" s="111">
        <f>BB119</f>
        <v/>
      </c>
      <c r="BD119" s="111">
        <f>BC119</f>
        <v/>
      </c>
      <c r="BE119" s="111">
        <f>BD119</f>
        <v/>
      </c>
      <c r="BF119" s="111">
        <f>BE119</f>
        <v/>
      </c>
      <c r="BG119" s="111">
        <f>BF119</f>
        <v/>
      </c>
      <c r="BH119" s="111">
        <f>BG119</f>
        <v/>
      </c>
      <c r="BI119" s="111">
        <f>BH119</f>
        <v/>
      </c>
      <c r="BJ119" s="111">
        <f>BI119</f>
        <v/>
      </c>
      <c r="BK119" s="244">
        <f>BJ119</f>
        <v/>
      </c>
      <c r="BL119" s="111">
        <f>BK119</f>
        <v/>
      </c>
      <c r="BM119" s="111">
        <f>BL119</f>
        <v/>
      </c>
      <c r="BN119" s="111">
        <f>BM119</f>
        <v/>
      </c>
      <c r="BO119" s="111">
        <f>BN119</f>
        <v/>
      </c>
      <c r="BP119" s="111">
        <f>BO119</f>
        <v/>
      </c>
      <c r="BQ119" s="111">
        <f>BP119</f>
        <v/>
      </c>
      <c r="BR119" s="111">
        <f>BQ119</f>
        <v/>
      </c>
      <c r="BS119" s="111">
        <f>BR119</f>
        <v/>
      </c>
      <c r="BT119" s="111">
        <f>BS119</f>
        <v/>
      </c>
      <c r="BU119" s="111">
        <f>BT119</f>
        <v/>
      </c>
      <c r="BV119" s="111">
        <f>BU119</f>
        <v/>
      </c>
      <c r="BW119" s="244">
        <f>BV119</f>
        <v/>
      </c>
      <c r="BX119" s="111">
        <f>BW119</f>
        <v/>
      </c>
      <c r="BY119" s="111">
        <f>BX119</f>
        <v/>
      </c>
      <c r="BZ119" s="111">
        <f>BY119</f>
        <v/>
      </c>
      <c r="CA119" s="111">
        <f>BZ119</f>
        <v/>
      </c>
      <c r="CB119" s="111">
        <f>CA119</f>
        <v/>
      </c>
      <c r="CC119" s="111">
        <f>CB119</f>
        <v/>
      </c>
      <c r="CD119" s="111">
        <f>CC119</f>
        <v/>
      </c>
      <c r="CE119" s="111">
        <f>CD119</f>
        <v/>
      </c>
      <c r="CF119" s="111">
        <f>CE119</f>
        <v/>
      </c>
      <c r="CG119" s="111">
        <f>CF119</f>
        <v/>
      </c>
      <c r="CH119" s="111">
        <f>CG119</f>
        <v/>
      </c>
      <c r="CI119" s="244">
        <f>CH119</f>
        <v/>
      </c>
      <c r="CJ119" s="111">
        <f>CI119</f>
        <v/>
      </c>
      <c r="CK119" s="111">
        <f>CJ119</f>
        <v/>
      </c>
      <c r="CL119" s="111">
        <f>CK119</f>
        <v/>
      </c>
      <c r="CM119" s="111">
        <f>CL119</f>
        <v/>
      </c>
      <c r="CN119" s="111">
        <f>CM119</f>
        <v/>
      </c>
      <c r="CO119" s="111">
        <f>CN119</f>
        <v/>
      </c>
      <c r="CP119" s="111">
        <f>CO119</f>
        <v/>
      </c>
      <c r="CQ119" s="111">
        <f>CP119</f>
        <v/>
      </c>
      <c r="CR119" s="111">
        <f>CQ119</f>
        <v/>
      </c>
      <c r="CS119" s="111">
        <f>CR119</f>
        <v/>
      </c>
      <c r="CT119" s="111">
        <f>CS119</f>
        <v/>
      </c>
      <c r="CU119" s="244">
        <f>CT119</f>
        <v/>
      </c>
      <c r="CV119" s="111">
        <f>CU119</f>
        <v/>
      </c>
      <c r="CW119" s="111">
        <f>CV119</f>
        <v/>
      </c>
      <c r="CX119" s="111">
        <f>CW119</f>
        <v/>
      </c>
      <c r="CY119" s="111">
        <f>CX119</f>
        <v/>
      </c>
      <c r="CZ119" s="111">
        <f>CY119</f>
        <v/>
      </c>
      <c r="DA119" s="111">
        <f>CZ119</f>
        <v/>
      </c>
      <c r="DB119" s="111">
        <f>DA119</f>
        <v/>
      </c>
      <c r="DC119" s="111">
        <f>DB119</f>
        <v/>
      </c>
      <c r="DD119" s="111">
        <f>DC119</f>
        <v/>
      </c>
      <c r="DE119" s="111">
        <f>DD119</f>
        <v/>
      </c>
      <c r="DF119" s="111">
        <f>DE119</f>
        <v/>
      </c>
      <c r="DG119" s="111">
        <f>DF119</f>
        <v/>
      </c>
    </row>
    <row r="120" hidden="1" s="627">
      <c r="B120" s="1" t="inlineStr">
        <is>
          <t xml:space="preserve">            10520 Cash in Transit - Cash App</t>
        </is>
      </c>
      <c r="C120" s="1" t="n"/>
      <c r="D120" s="838" t="n"/>
      <c r="E120" s="838" t="n"/>
      <c r="F120" s="838" t="n"/>
      <c r="G120" s="838" t="n"/>
      <c r="H120" s="838" t="n"/>
      <c r="I120" s="838" t="n"/>
      <c r="J120" s="838" t="n"/>
      <c r="K120" s="838" t="n"/>
      <c r="L120" s="838" t="n"/>
      <c r="M120" s="838" t="n"/>
      <c r="O120" s="941" t="n"/>
      <c r="P120" s="111" t="n"/>
      <c r="Q120" s="111" t="n"/>
      <c r="R120" s="111" t="n"/>
      <c r="S120" s="111" t="n"/>
      <c r="T120" s="111" t="n"/>
      <c r="U120" s="111" t="n"/>
      <c r="V120" s="111" t="n"/>
      <c r="W120" s="111" t="n">
        <v>0</v>
      </c>
      <c r="X120" s="111" t="n">
        <v>0</v>
      </c>
      <c r="Y120" s="111" t="n">
        <v>0</v>
      </c>
      <c r="Z120" s="111" t="n">
        <v>0</v>
      </c>
      <c r="AA120" s="111" t="n">
        <v>0</v>
      </c>
      <c r="AB120" s="111" t="n">
        <v>0</v>
      </c>
      <c r="AC120" s="111" t="n">
        <v>0</v>
      </c>
      <c r="AD120" s="111" t="n">
        <v>0</v>
      </c>
      <c r="AE120" s="111" t="n">
        <v>0</v>
      </c>
      <c r="AF120" s="111" t="n">
        <v>0</v>
      </c>
      <c r="AG120" s="111" t="n">
        <v>0</v>
      </c>
      <c r="AH120" s="111" t="n">
        <v>0</v>
      </c>
      <c r="AI120" s="111" t="n">
        <v>0</v>
      </c>
      <c r="AJ120" s="111" t="n">
        <v>0</v>
      </c>
      <c r="AK120" s="111" t="n">
        <v>0</v>
      </c>
      <c r="AL120" s="111" t="n">
        <v>0</v>
      </c>
      <c r="AM120" s="111" t="n">
        <v>0</v>
      </c>
      <c r="AN120" s="111" t="n">
        <v>0</v>
      </c>
      <c r="AO120" s="111" t="n">
        <v>0</v>
      </c>
      <c r="AP120" s="111" t="n">
        <v>0</v>
      </c>
      <c r="AQ120" s="111" t="n">
        <v>0</v>
      </c>
      <c r="AR120" s="111" t="n">
        <v>0</v>
      </c>
      <c r="AS120" s="111" t="n">
        <v>0</v>
      </c>
      <c r="AT120" s="111" t="n">
        <v>0</v>
      </c>
      <c r="AU120" s="111" t="n">
        <v>0</v>
      </c>
      <c r="AV120" s="111" t="n">
        <v>0</v>
      </c>
      <c r="AW120" s="244" t="n">
        <v>0</v>
      </c>
      <c r="AX120" s="943">
        <f>AW120</f>
        <v/>
      </c>
      <c r="AY120" s="244">
        <f>AX120</f>
        <v/>
      </c>
      <c r="AZ120" s="111">
        <f>AY120</f>
        <v/>
      </c>
      <c r="BA120" s="111">
        <f>AZ120</f>
        <v/>
      </c>
      <c r="BB120" s="111">
        <f>BA120</f>
        <v/>
      </c>
      <c r="BC120" s="111">
        <f>BB120</f>
        <v/>
      </c>
      <c r="BD120" s="111">
        <f>BC120</f>
        <v/>
      </c>
      <c r="BE120" s="111">
        <f>BD120</f>
        <v/>
      </c>
      <c r="BF120" s="111">
        <f>BE120</f>
        <v/>
      </c>
      <c r="BG120" s="111">
        <f>BF120</f>
        <v/>
      </c>
      <c r="BH120" s="111">
        <f>BG120</f>
        <v/>
      </c>
      <c r="BI120" s="111">
        <f>BH120</f>
        <v/>
      </c>
      <c r="BJ120" s="111">
        <f>BI120</f>
        <v/>
      </c>
      <c r="BK120" s="244">
        <f>BJ120</f>
        <v/>
      </c>
      <c r="BL120" s="111">
        <f>BK120</f>
        <v/>
      </c>
      <c r="BM120" s="111">
        <f>BL120</f>
        <v/>
      </c>
      <c r="BN120" s="111">
        <f>BM120</f>
        <v/>
      </c>
      <c r="BO120" s="111">
        <f>BN120</f>
        <v/>
      </c>
      <c r="BP120" s="111">
        <f>BO120</f>
        <v/>
      </c>
      <c r="BQ120" s="111">
        <f>BP120</f>
        <v/>
      </c>
      <c r="BR120" s="111">
        <f>BQ120</f>
        <v/>
      </c>
      <c r="BS120" s="111">
        <f>BR120</f>
        <v/>
      </c>
      <c r="BT120" s="111">
        <f>BS120</f>
        <v/>
      </c>
      <c r="BU120" s="111">
        <f>BT120</f>
        <v/>
      </c>
      <c r="BV120" s="111">
        <f>BU120</f>
        <v/>
      </c>
      <c r="BW120" s="244">
        <f>BV120</f>
        <v/>
      </c>
      <c r="BX120" s="111">
        <f>BW120</f>
        <v/>
      </c>
      <c r="BY120" s="111">
        <f>BX120</f>
        <v/>
      </c>
      <c r="BZ120" s="111">
        <f>BY120</f>
        <v/>
      </c>
      <c r="CA120" s="111">
        <f>BZ120</f>
        <v/>
      </c>
      <c r="CB120" s="111">
        <f>CA120</f>
        <v/>
      </c>
      <c r="CC120" s="111">
        <f>CB120</f>
        <v/>
      </c>
      <c r="CD120" s="111">
        <f>CC120</f>
        <v/>
      </c>
      <c r="CE120" s="111">
        <f>CD120</f>
        <v/>
      </c>
      <c r="CF120" s="111">
        <f>CE120</f>
        <v/>
      </c>
      <c r="CG120" s="111">
        <f>CF120</f>
        <v/>
      </c>
      <c r="CH120" s="111">
        <f>CG120</f>
        <v/>
      </c>
      <c r="CI120" s="244">
        <f>CH120</f>
        <v/>
      </c>
      <c r="CJ120" s="111">
        <f>CI120</f>
        <v/>
      </c>
      <c r="CK120" s="111">
        <f>CJ120</f>
        <v/>
      </c>
      <c r="CL120" s="111">
        <f>CK120</f>
        <v/>
      </c>
      <c r="CM120" s="111">
        <f>CL120</f>
        <v/>
      </c>
      <c r="CN120" s="111">
        <f>CM120</f>
        <v/>
      </c>
      <c r="CO120" s="111">
        <f>CN120</f>
        <v/>
      </c>
      <c r="CP120" s="111">
        <f>CO120</f>
        <v/>
      </c>
      <c r="CQ120" s="111">
        <f>CP120</f>
        <v/>
      </c>
      <c r="CR120" s="111">
        <f>CQ120</f>
        <v/>
      </c>
      <c r="CS120" s="111">
        <f>CR120</f>
        <v/>
      </c>
      <c r="CT120" s="111">
        <f>CS120</f>
        <v/>
      </c>
      <c r="CU120" s="244">
        <f>CT120</f>
        <v/>
      </c>
      <c r="CV120" s="111">
        <f>CU120</f>
        <v/>
      </c>
      <c r="CW120" s="111">
        <f>CV120</f>
        <v/>
      </c>
      <c r="CX120" s="111">
        <f>CW120</f>
        <v/>
      </c>
      <c r="CY120" s="111">
        <f>CX120</f>
        <v/>
      </c>
      <c r="CZ120" s="111">
        <f>CY120</f>
        <v/>
      </c>
      <c r="DA120" s="111">
        <f>CZ120</f>
        <v/>
      </c>
      <c r="DB120" s="111">
        <f>DA120</f>
        <v/>
      </c>
      <c r="DC120" s="111">
        <f>DB120</f>
        <v/>
      </c>
      <c r="DD120" s="111">
        <f>DC120</f>
        <v/>
      </c>
      <c r="DE120" s="111">
        <f>DD120</f>
        <v/>
      </c>
      <c r="DF120" s="111">
        <f>DE120</f>
        <v/>
      </c>
      <c r="DG120" s="111">
        <f>DF120</f>
        <v/>
      </c>
    </row>
    <row r="121" hidden="1" s="627">
      <c r="B121" s="1" t="inlineStr">
        <is>
          <t xml:space="preserve">            10530 Cash in Transit - Venmo</t>
        </is>
      </c>
      <c r="C121" s="1" t="n"/>
      <c r="D121" s="838" t="n"/>
      <c r="E121" s="838" t="n"/>
      <c r="F121" s="838" t="n"/>
      <c r="G121" s="838" t="n"/>
      <c r="H121" s="838" t="n"/>
      <c r="I121" s="838" t="n"/>
      <c r="J121" s="838" t="n"/>
      <c r="K121" s="838" t="n"/>
      <c r="L121" s="838" t="n"/>
      <c r="M121" s="838" t="n"/>
      <c r="O121" s="941" t="n"/>
      <c r="P121" s="111" t="n"/>
      <c r="Q121" s="111" t="n"/>
      <c r="R121" s="111" t="n"/>
      <c r="S121" s="111" t="n"/>
      <c r="T121" s="111" t="n"/>
      <c r="U121" s="111" t="n"/>
      <c r="V121" s="111" t="n"/>
      <c r="W121" s="111" t="n">
        <v>0</v>
      </c>
      <c r="X121" s="111" t="n">
        <v>0</v>
      </c>
      <c r="Y121" s="111" t="n">
        <v>0</v>
      </c>
      <c r="Z121" s="111" t="n">
        <v>0</v>
      </c>
      <c r="AA121" s="111" t="n">
        <v>0</v>
      </c>
      <c r="AB121" s="111" t="n">
        <v>0</v>
      </c>
      <c r="AC121" s="111" t="n">
        <v>0</v>
      </c>
      <c r="AD121" s="111" t="n">
        <v>0</v>
      </c>
      <c r="AE121" s="111" t="n">
        <v>0</v>
      </c>
      <c r="AF121" s="111" t="n">
        <v>0</v>
      </c>
      <c r="AG121" s="111" t="n">
        <v>0</v>
      </c>
      <c r="AH121" s="111" t="n">
        <v>0</v>
      </c>
      <c r="AI121" s="111" t="n">
        <v>0</v>
      </c>
      <c r="AJ121" s="111" t="n">
        <v>0</v>
      </c>
      <c r="AK121" s="111" t="n">
        <v>0</v>
      </c>
      <c r="AL121" s="111" t="n">
        <v>0</v>
      </c>
      <c r="AM121" s="111" t="n">
        <v>0</v>
      </c>
      <c r="AN121" s="111" t="n">
        <v>0</v>
      </c>
      <c r="AO121" s="111" t="n">
        <v>0</v>
      </c>
      <c r="AP121" s="111" t="n">
        <v>0</v>
      </c>
      <c r="AQ121" s="111" t="n">
        <v>0</v>
      </c>
      <c r="AR121" s="111" t="n">
        <v>0</v>
      </c>
      <c r="AS121" s="111" t="n">
        <v>0</v>
      </c>
      <c r="AT121" s="111" t="n">
        <v>0</v>
      </c>
      <c r="AU121" s="111" t="n">
        <v>0</v>
      </c>
      <c r="AV121" s="111" t="n">
        <v>0</v>
      </c>
      <c r="AW121" s="244" t="n">
        <v>0</v>
      </c>
      <c r="AX121" s="943">
        <f>AW121</f>
        <v/>
      </c>
      <c r="AY121" s="244">
        <f>AX121</f>
        <v/>
      </c>
      <c r="AZ121" s="111">
        <f>AY121</f>
        <v/>
      </c>
      <c r="BA121" s="111">
        <f>AZ121</f>
        <v/>
      </c>
      <c r="BB121" s="111">
        <f>BA121</f>
        <v/>
      </c>
      <c r="BC121" s="111">
        <f>BB121</f>
        <v/>
      </c>
      <c r="BD121" s="111">
        <f>BC121</f>
        <v/>
      </c>
      <c r="BE121" s="111">
        <f>BD121</f>
        <v/>
      </c>
      <c r="BF121" s="111">
        <f>BE121</f>
        <v/>
      </c>
      <c r="BG121" s="111">
        <f>BF121</f>
        <v/>
      </c>
      <c r="BH121" s="111">
        <f>BG121</f>
        <v/>
      </c>
      <c r="BI121" s="111">
        <f>BH121</f>
        <v/>
      </c>
      <c r="BJ121" s="111">
        <f>BI121</f>
        <v/>
      </c>
      <c r="BK121" s="244">
        <f>BJ121</f>
        <v/>
      </c>
      <c r="BL121" s="111">
        <f>BK121</f>
        <v/>
      </c>
      <c r="BM121" s="111">
        <f>BL121</f>
        <v/>
      </c>
      <c r="BN121" s="111">
        <f>BM121</f>
        <v/>
      </c>
      <c r="BO121" s="111">
        <f>BN121</f>
        <v/>
      </c>
      <c r="BP121" s="111">
        <f>BO121</f>
        <v/>
      </c>
      <c r="BQ121" s="111">
        <f>BP121</f>
        <v/>
      </c>
      <c r="BR121" s="111">
        <f>BQ121</f>
        <v/>
      </c>
      <c r="BS121" s="111">
        <f>BR121</f>
        <v/>
      </c>
      <c r="BT121" s="111">
        <f>BS121</f>
        <v/>
      </c>
      <c r="BU121" s="111">
        <f>BT121</f>
        <v/>
      </c>
      <c r="BV121" s="111">
        <f>BU121</f>
        <v/>
      </c>
      <c r="BW121" s="244">
        <f>BV121</f>
        <v/>
      </c>
      <c r="BX121" s="111">
        <f>BW121</f>
        <v/>
      </c>
      <c r="BY121" s="111">
        <f>BX121</f>
        <v/>
      </c>
      <c r="BZ121" s="111">
        <f>BY121</f>
        <v/>
      </c>
      <c r="CA121" s="111">
        <f>BZ121</f>
        <v/>
      </c>
      <c r="CB121" s="111">
        <f>CA121</f>
        <v/>
      </c>
      <c r="CC121" s="111">
        <f>CB121</f>
        <v/>
      </c>
      <c r="CD121" s="111">
        <f>CC121</f>
        <v/>
      </c>
      <c r="CE121" s="111">
        <f>CD121</f>
        <v/>
      </c>
      <c r="CF121" s="111">
        <f>CE121</f>
        <v/>
      </c>
      <c r="CG121" s="111">
        <f>CF121</f>
        <v/>
      </c>
      <c r="CH121" s="111">
        <f>CG121</f>
        <v/>
      </c>
      <c r="CI121" s="244">
        <f>CH121</f>
        <v/>
      </c>
      <c r="CJ121" s="111">
        <f>CI121</f>
        <v/>
      </c>
      <c r="CK121" s="111">
        <f>CJ121</f>
        <v/>
      </c>
      <c r="CL121" s="111">
        <f>CK121</f>
        <v/>
      </c>
      <c r="CM121" s="111">
        <f>CL121</f>
        <v/>
      </c>
      <c r="CN121" s="111">
        <f>CM121</f>
        <v/>
      </c>
      <c r="CO121" s="111">
        <f>CN121</f>
        <v/>
      </c>
      <c r="CP121" s="111">
        <f>CO121</f>
        <v/>
      </c>
      <c r="CQ121" s="111">
        <f>CP121</f>
        <v/>
      </c>
      <c r="CR121" s="111">
        <f>CQ121</f>
        <v/>
      </c>
      <c r="CS121" s="111">
        <f>CR121</f>
        <v/>
      </c>
      <c r="CT121" s="111">
        <f>CS121</f>
        <v/>
      </c>
      <c r="CU121" s="244">
        <f>CT121</f>
        <v/>
      </c>
      <c r="CV121" s="111">
        <f>CU121</f>
        <v/>
      </c>
      <c r="CW121" s="111">
        <f>CV121</f>
        <v/>
      </c>
      <c r="CX121" s="111">
        <f>CW121</f>
        <v/>
      </c>
      <c r="CY121" s="111">
        <f>CX121</f>
        <v/>
      </c>
      <c r="CZ121" s="111">
        <f>CY121</f>
        <v/>
      </c>
      <c r="DA121" s="111">
        <f>CZ121</f>
        <v/>
      </c>
      <c r="DB121" s="111">
        <f>DA121</f>
        <v/>
      </c>
      <c r="DC121" s="111">
        <f>DB121</f>
        <v/>
      </c>
      <c r="DD121" s="111">
        <f>DC121</f>
        <v/>
      </c>
      <c r="DE121" s="111">
        <f>DD121</f>
        <v/>
      </c>
      <c r="DF121" s="111">
        <f>DE121</f>
        <v/>
      </c>
      <c r="DG121" s="111">
        <f>DF121</f>
        <v/>
      </c>
    </row>
    <row r="122" hidden="1" s="627">
      <c r="B122" s="1" t="inlineStr">
        <is>
          <t xml:space="preserve">            10540 Cash in Transit - Apple Cash</t>
        </is>
      </c>
      <c r="C122" s="1" t="n"/>
      <c r="D122" s="838" t="n"/>
      <c r="E122" s="838" t="n"/>
      <c r="F122" s="838" t="n"/>
      <c r="G122" s="838" t="n"/>
      <c r="H122" s="838" t="n"/>
      <c r="I122" s="838" t="n"/>
      <c r="J122" s="838" t="n"/>
      <c r="K122" s="838" t="n"/>
      <c r="L122" s="838" t="n"/>
      <c r="M122" s="838" t="n"/>
      <c r="O122" s="941" t="n"/>
      <c r="P122" s="111" t="n"/>
      <c r="Q122" s="111" t="n"/>
      <c r="R122" s="111" t="n"/>
      <c r="S122" s="111" t="n"/>
      <c r="T122" s="111" t="n"/>
      <c r="U122" s="111" t="n"/>
      <c r="V122" s="111" t="n"/>
      <c r="W122" s="111" t="n">
        <v>0</v>
      </c>
      <c r="X122" s="111" t="n">
        <v>0</v>
      </c>
      <c r="Y122" s="111" t="n">
        <v>0</v>
      </c>
      <c r="Z122" s="111" t="n">
        <v>0</v>
      </c>
      <c r="AA122" s="111" t="n">
        <v>0</v>
      </c>
      <c r="AB122" s="111" t="n">
        <v>0</v>
      </c>
      <c r="AC122" s="111" t="n">
        <v>0</v>
      </c>
      <c r="AD122" s="111" t="n">
        <v>0</v>
      </c>
      <c r="AE122" s="111" t="n">
        <v>0</v>
      </c>
      <c r="AF122" s="111" t="n">
        <v>0</v>
      </c>
      <c r="AG122" s="111" t="n">
        <v>0</v>
      </c>
      <c r="AH122" s="111" t="n">
        <v>0</v>
      </c>
      <c r="AI122" s="111" t="n">
        <v>0</v>
      </c>
      <c r="AJ122" s="111" t="n">
        <v>0</v>
      </c>
      <c r="AK122" s="111" t="n">
        <v>0</v>
      </c>
      <c r="AL122" s="111" t="n">
        <v>0</v>
      </c>
      <c r="AM122" s="111" t="n">
        <v>0</v>
      </c>
      <c r="AN122" s="111" t="n">
        <v>0</v>
      </c>
      <c r="AO122" s="111" t="n">
        <v>0</v>
      </c>
      <c r="AP122" s="111" t="n">
        <v>0</v>
      </c>
      <c r="AQ122" s="111" t="n">
        <v>0</v>
      </c>
      <c r="AR122" s="111" t="n">
        <v>0</v>
      </c>
      <c r="AS122" s="111" t="n">
        <v>0</v>
      </c>
      <c r="AT122" s="111" t="n">
        <v>0</v>
      </c>
      <c r="AU122" s="111" t="n">
        <v>0</v>
      </c>
      <c r="AV122" s="111" t="n">
        <v>0</v>
      </c>
      <c r="AW122" s="244" t="n">
        <v>0</v>
      </c>
      <c r="AX122" s="943">
        <f>AW122</f>
        <v/>
      </c>
      <c r="AY122" s="244">
        <f>AX122</f>
        <v/>
      </c>
      <c r="AZ122" s="111">
        <f>AY122</f>
        <v/>
      </c>
      <c r="BA122" s="111">
        <f>AZ122</f>
        <v/>
      </c>
      <c r="BB122" s="111">
        <f>BA122</f>
        <v/>
      </c>
      <c r="BC122" s="111">
        <f>BB122</f>
        <v/>
      </c>
      <c r="BD122" s="111">
        <f>BC122</f>
        <v/>
      </c>
      <c r="BE122" s="111">
        <f>BD122</f>
        <v/>
      </c>
      <c r="BF122" s="111">
        <f>BE122</f>
        <v/>
      </c>
      <c r="BG122" s="111">
        <f>BF122</f>
        <v/>
      </c>
      <c r="BH122" s="111">
        <f>BG122</f>
        <v/>
      </c>
      <c r="BI122" s="111">
        <f>BH122</f>
        <v/>
      </c>
      <c r="BJ122" s="111">
        <f>BI122</f>
        <v/>
      </c>
      <c r="BK122" s="244">
        <f>BJ122</f>
        <v/>
      </c>
      <c r="BL122" s="111">
        <f>BK122</f>
        <v/>
      </c>
      <c r="BM122" s="111">
        <f>BL122</f>
        <v/>
      </c>
      <c r="BN122" s="111">
        <f>BM122</f>
        <v/>
      </c>
      <c r="BO122" s="111">
        <f>BN122</f>
        <v/>
      </c>
      <c r="BP122" s="111">
        <f>BO122</f>
        <v/>
      </c>
      <c r="BQ122" s="111">
        <f>BP122</f>
        <v/>
      </c>
      <c r="BR122" s="111">
        <f>BQ122</f>
        <v/>
      </c>
      <c r="BS122" s="111">
        <f>BR122</f>
        <v/>
      </c>
      <c r="BT122" s="111">
        <f>BS122</f>
        <v/>
      </c>
      <c r="BU122" s="111">
        <f>BT122</f>
        <v/>
      </c>
      <c r="BV122" s="111">
        <f>BU122</f>
        <v/>
      </c>
      <c r="BW122" s="244">
        <f>BV122</f>
        <v/>
      </c>
      <c r="BX122" s="111">
        <f>BW122</f>
        <v/>
      </c>
      <c r="BY122" s="111">
        <f>BX122</f>
        <v/>
      </c>
      <c r="BZ122" s="111">
        <f>BY122</f>
        <v/>
      </c>
      <c r="CA122" s="111">
        <f>BZ122</f>
        <v/>
      </c>
      <c r="CB122" s="111">
        <f>CA122</f>
        <v/>
      </c>
      <c r="CC122" s="111">
        <f>CB122</f>
        <v/>
      </c>
      <c r="CD122" s="111">
        <f>CC122</f>
        <v/>
      </c>
      <c r="CE122" s="111">
        <f>CD122</f>
        <v/>
      </c>
      <c r="CF122" s="111">
        <f>CE122</f>
        <v/>
      </c>
      <c r="CG122" s="111">
        <f>CF122</f>
        <v/>
      </c>
      <c r="CH122" s="111">
        <f>CG122</f>
        <v/>
      </c>
      <c r="CI122" s="244">
        <f>CH122</f>
        <v/>
      </c>
      <c r="CJ122" s="111">
        <f>CI122</f>
        <v/>
      </c>
      <c r="CK122" s="111">
        <f>CJ122</f>
        <v/>
      </c>
      <c r="CL122" s="111">
        <f>CK122</f>
        <v/>
      </c>
      <c r="CM122" s="111">
        <f>CL122</f>
        <v/>
      </c>
      <c r="CN122" s="111">
        <f>CM122</f>
        <v/>
      </c>
      <c r="CO122" s="111">
        <f>CN122</f>
        <v/>
      </c>
      <c r="CP122" s="111">
        <f>CO122</f>
        <v/>
      </c>
      <c r="CQ122" s="111">
        <f>CP122</f>
        <v/>
      </c>
      <c r="CR122" s="111">
        <f>CQ122</f>
        <v/>
      </c>
      <c r="CS122" s="111">
        <f>CR122</f>
        <v/>
      </c>
      <c r="CT122" s="111">
        <f>CS122</f>
        <v/>
      </c>
      <c r="CU122" s="244">
        <f>CT122</f>
        <v/>
      </c>
      <c r="CV122" s="111">
        <f>CU122</f>
        <v/>
      </c>
      <c r="CW122" s="111">
        <f>CV122</f>
        <v/>
      </c>
      <c r="CX122" s="111">
        <f>CW122</f>
        <v/>
      </c>
      <c r="CY122" s="111">
        <f>CX122</f>
        <v/>
      </c>
      <c r="CZ122" s="111">
        <f>CY122</f>
        <v/>
      </c>
      <c r="DA122" s="111">
        <f>CZ122</f>
        <v/>
      </c>
      <c r="DB122" s="111">
        <f>DA122</f>
        <v/>
      </c>
      <c r="DC122" s="111">
        <f>DB122</f>
        <v/>
      </c>
      <c r="DD122" s="111">
        <f>DC122</f>
        <v/>
      </c>
      <c r="DE122" s="111">
        <f>DD122</f>
        <v/>
      </c>
      <c r="DF122" s="111">
        <f>DE122</f>
        <v/>
      </c>
      <c r="DG122" s="111">
        <f>DF122</f>
        <v/>
      </c>
    </row>
    <row r="123" hidden="1" s="627">
      <c r="B123" s="1" t="inlineStr">
        <is>
          <t xml:space="preserve">            10550 Cash in Transit - Infinite Loop</t>
        </is>
      </c>
      <c r="C123" s="1" t="n"/>
      <c r="D123" s="838" t="n"/>
      <c r="E123" s="838" t="n"/>
      <c r="F123" s="838" t="n"/>
      <c r="G123" s="838" t="n"/>
      <c r="H123" s="838" t="n"/>
      <c r="I123" s="838" t="n"/>
      <c r="J123" s="838" t="n"/>
      <c r="K123" s="838" t="n"/>
      <c r="L123" s="838" t="n"/>
      <c r="M123" s="838" t="n"/>
      <c r="O123" s="941" t="n"/>
      <c r="P123" s="111" t="n"/>
      <c r="Q123" s="111" t="n"/>
      <c r="R123" s="111" t="n"/>
      <c r="S123" s="111" t="n"/>
      <c r="T123" s="111" t="n"/>
      <c r="U123" s="111" t="n"/>
      <c r="V123" s="111" t="n"/>
      <c r="W123" s="111" t="n">
        <v>0</v>
      </c>
      <c r="X123" s="111" t="n">
        <v>0</v>
      </c>
      <c r="Y123" s="111" t="n">
        <v>0</v>
      </c>
      <c r="Z123" s="111" t="n">
        <v>0</v>
      </c>
      <c r="AA123" s="111" t="n">
        <v>0</v>
      </c>
      <c r="AB123" s="111" t="n">
        <v>0</v>
      </c>
      <c r="AC123" s="111" t="n">
        <v>0</v>
      </c>
      <c r="AD123" s="111" t="n">
        <v>0</v>
      </c>
      <c r="AE123" s="111" t="n">
        <v>0</v>
      </c>
      <c r="AF123" s="111" t="n">
        <v>0</v>
      </c>
      <c r="AG123" s="111" t="n">
        <v>0</v>
      </c>
      <c r="AH123" s="111" t="n">
        <v>0</v>
      </c>
      <c r="AI123" s="111" t="n">
        <v>0</v>
      </c>
      <c r="AJ123" s="111" t="n">
        <v>0</v>
      </c>
      <c r="AK123" s="111" t="n">
        <v>0</v>
      </c>
      <c r="AL123" s="111" t="n">
        <v>0</v>
      </c>
      <c r="AM123" s="111" t="n">
        <v>0</v>
      </c>
      <c r="AN123" s="111" t="n">
        <v>0</v>
      </c>
      <c r="AO123" s="111" t="n">
        <v>0</v>
      </c>
      <c r="AP123" s="111" t="n">
        <v>0</v>
      </c>
      <c r="AQ123" s="111" t="n">
        <v>0</v>
      </c>
      <c r="AR123" s="111" t="n">
        <v>0</v>
      </c>
      <c r="AS123" s="111" t="n">
        <v>0</v>
      </c>
      <c r="AT123" s="111" t="n">
        <v>0</v>
      </c>
      <c r="AU123" s="111" t="n">
        <v>0</v>
      </c>
      <c r="AV123" s="111" t="n">
        <v>0</v>
      </c>
      <c r="AW123" s="244" t="n">
        <v>0</v>
      </c>
      <c r="AX123" s="943">
        <f>AW123</f>
        <v/>
      </c>
      <c r="AY123" s="244">
        <f>AX123</f>
        <v/>
      </c>
      <c r="AZ123" s="111">
        <f>AY123</f>
        <v/>
      </c>
      <c r="BA123" s="111">
        <f>AZ123</f>
        <v/>
      </c>
      <c r="BB123" s="111">
        <f>BA123</f>
        <v/>
      </c>
      <c r="BC123" s="111">
        <f>BB123</f>
        <v/>
      </c>
      <c r="BD123" s="111">
        <f>BC123</f>
        <v/>
      </c>
      <c r="BE123" s="111">
        <f>BD123</f>
        <v/>
      </c>
      <c r="BF123" s="111">
        <f>BE123</f>
        <v/>
      </c>
      <c r="BG123" s="111">
        <f>BF123</f>
        <v/>
      </c>
      <c r="BH123" s="111">
        <f>BG123</f>
        <v/>
      </c>
      <c r="BI123" s="111">
        <f>BH123</f>
        <v/>
      </c>
      <c r="BJ123" s="111">
        <f>BI123</f>
        <v/>
      </c>
      <c r="BK123" s="244">
        <f>BJ123</f>
        <v/>
      </c>
      <c r="BL123" s="111">
        <f>BK123</f>
        <v/>
      </c>
      <c r="BM123" s="111">
        <f>BL123</f>
        <v/>
      </c>
      <c r="BN123" s="111">
        <f>BM123</f>
        <v/>
      </c>
      <c r="BO123" s="111">
        <f>BN123</f>
        <v/>
      </c>
      <c r="BP123" s="111">
        <f>BO123</f>
        <v/>
      </c>
      <c r="BQ123" s="111">
        <f>BP123</f>
        <v/>
      </c>
      <c r="BR123" s="111">
        <f>BQ123</f>
        <v/>
      </c>
      <c r="BS123" s="111">
        <f>BR123</f>
        <v/>
      </c>
      <c r="BT123" s="111">
        <f>BS123</f>
        <v/>
      </c>
      <c r="BU123" s="111">
        <f>BT123</f>
        <v/>
      </c>
      <c r="BV123" s="111">
        <f>BU123</f>
        <v/>
      </c>
      <c r="BW123" s="244">
        <f>BV123</f>
        <v/>
      </c>
      <c r="BX123" s="111">
        <f>BW123</f>
        <v/>
      </c>
      <c r="BY123" s="111">
        <f>BX123</f>
        <v/>
      </c>
      <c r="BZ123" s="111">
        <f>BY123</f>
        <v/>
      </c>
      <c r="CA123" s="111">
        <f>BZ123</f>
        <v/>
      </c>
      <c r="CB123" s="111">
        <f>CA123</f>
        <v/>
      </c>
      <c r="CC123" s="111">
        <f>CB123</f>
        <v/>
      </c>
      <c r="CD123" s="111">
        <f>CC123</f>
        <v/>
      </c>
      <c r="CE123" s="111">
        <f>CD123</f>
        <v/>
      </c>
      <c r="CF123" s="111">
        <f>CE123</f>
        <v/>
      </c>
      <c r="CG123" s="111">
        <f>CF123</f>
        <v/>
      </c>
      <c r="CH123" s="111">
        <f>CG123</f>
        <v/>
      </c>
      <c r="CI123" s="244">
        <f>CH123</f>
        <v/>
      </c>
      <c r="CJ123" s="111">
        <f>CI123</f>
        <v/>
      </c>
      <c r="CK123" s="111">
        <f>CJ123</f>
        <v/>
      </c>
      <c r="CL123" s="111">
        <f>CK123</f>
        <v/>
      </c>
      <c r="CM123" s="111">
        <f>CL123</f>
        <v/>
      </c>
      <c r="CN123" s="111">
        <f>CM123</f>
        <v/>
      </c>
      <c r="CO123" s="111">
        <f>CN123</f>
        <v/>
      </c>
      <c r="CP123" s="111">
        <f>CO123</f>
        <v/>
      </c>
      <c r="CQ123" s="111">
        <f>CP123</f>
        <v/>
      </c>
      <c r="CR123" s="111">
        <f>CQ123</f>
        <v/>
      </c>
      <c r="CS123" s="111">
        <f>CR123</f>
        <v/>
      </c>
      <c r="CT123" s="111">
        <f>CS123</f>
        <v/>
      </c>
      <c r="CU123" s="244">
        <f>CT123</f>
        <v/>
      </c>
      <c r="CV123" s="111">
        <f>CU123</f>
        <v/>
      </c>
      <c r="CW123" s="111">
        <f>CV123</f>
        <v/>
      </c>
      <c r="CX123" s="111">
        <f>CW123</f>
        <v/>
      </c>
      <c r="CY123" s="111">
        <f>CX123</f>
        <v/>
      </c>
      <c r="CZ123" s="111">
        <f>CY123</f>
        <v/>
      </c>
      <c r="DA123" s="111">
        <f>CZ123</f>
        <v/>
      </c>
      <c r="DB123" s="111">
        <f>DA123</f>
        <v/>
      </c>
      <c r="DC123" s="111">
        <f>DB123</f>
        <v/>
      </c>
      <c r="DD123" s="111">
        <f>DC123</f>
        <v/>
      </c>
      <c r="DE123" s="111">
        <f>DD123</f>
        <v/>
      </c>
      <c r="DF123" s="111">
        <f>DE123</f>
        <v/>
      </c>
      <c r="DG123" s="111">
        <f>DF123</f>
        <v/>
      </c>
    </row>
    <row r="124">
      <c r="A124" s="5" t="n"/>
      <c r="B124" s="6" t="inlineStr">
        <is>
          <t xml:space="preserve">         Total 10500 Cash in Transit</t>
        </is>
      </c>
      <c r="C124" s="6" t="n"/>
      <c r="D124" s="824" t="n"/>
      <c r="E124" s="824" t="n"/>
      <c r="F124" s="824" t="n"/>
      <c r="G124" s="824" t="n"/>
      <c r="H124" s="824" t="n"/>
      <c r="I124" s="824" t="n"/>
      <c r="J124" s="824" t="n"/>
      <c r="K124" s="824" t="n"/>
      <c r="L124" s="824" t="n"/>
      <c r="M124" s="824" t="n"/>
      <c r="N124" s="824" t="n"/>
      <c r="O124" s="824" t="n"/>
      <c r="P124" s="824" t="n"/>
      <c r="Q124" s="824" t="n"/>
      <c r="R124" s="824" t="n"/>
      <c r="S124" s="824" t="n"/>
      <c r="T124" s="824" t="n"/>
      <c r="U124" s="824" t="n"/>
      <c r="V124" s="824" t="n"/>
      <c r="W124" s="824">
        <f>SUM(W118:W123)</f>
        <v/>
      </c>
      <c r="X124" s="824">
        <f>SUM(X118:X123)</f>
        <v/>
      </c>
      <c r="Y124" s="824">
        <f>SUM(Y118:Y123)</f>
        <v/>
      </c>
      <c r="Z124" s="824">
        <f>SUM(Z118:Z123)</f>
        <v/>
      </c>
      <c r="AA124" s="824">
        <f>SUM(AA118:AA123)</f>
        <v/>
      </c>
      <c r="AB124" s="824">
        <f>SUM(AB118:AB123)</f>
        <v/>
      </c>
      <c r="AC124" s="824">
        <f>SUM(AC118:AC123)</f>
        <v/>
      </c>
      <c r="AD124" s="824">
        <f>SUM(AD118:AD123)</f>
        <v/>
      </c>
      <c r="AE124" s="824">
        <f>SUM(AE118:AE123)</f>
        <v/>
      </c>
      <c r="AF124" s="824">
        <f>SUM(AF118:AF123)</f>
        <v/>
      </c>
      <c r="AG124" s="824">
        <f>SUM(AG118:AG123)</f>
        <v/>
      </c>
      <c r="AH124" s="824">
        <f>SUM(AH118:AH123)</f>
        <v/>
      </c>
      <c r="AI124" s="824">
        <f>SUM(AI118:AI123)</f>
        <v/>
      </c>
      <c r="AJ124" s="824">
        <f>SUM(AJ118:AJ123)</f>
        <v/>
      </c>
      <c r="AK124" s="824">
        <f>SUM(AK118:AK123)</f>
        <v/>
      </c>
      <c r="AL124" s="824">
        <f>SUM(AL118:AL123)</f>
        <v/>
      </c>
      <c r="AM124" s="824">
        <f>SUM(AM118:AM123)</f>
        <v/>
      </c>
      <c r="AN124" s="824">
        <f>SUM(AN118:AN123)</f>
        <v/>
      </c>
      <c r="AO124" s="824">
        <f>SUM(AO118:AO123)</f>
        <v/>
      </c>
      <c r="AP124" s="824">
        <f>SUM(AP118:AP123)</f>
        <v/>
      </c>
      <c r="AQ124" s="824">
        <f>SUM(AQ118:AQ123)</f>
        <v/>
      </c>
      <c r="AR124" s="824">
        <f>SUM(AR118:AR123)</f>
        <v/>
      </c>
      <c r="AS124" s="824">
        <f>SUM(AS118:AS123)</f>
        <v/>
      </c>
      <c r="AT124" s="824">
        <f>SUM(AT118:AT123)</f>
        <v/>
      </c>
      <c r="AU124" s="824">
        <f>SUM(AU118:AU123)</f>
        <v/>
      </c>
      <c r="AV124" s="824">
        <f>SUM(AV118:AV123)</f>
        <v/>
      </c>
      <c r="AW124" s="825">
        <f>SUM(AW118:AW123)</f>
        <v/>
      </c>
      <c r="AX124" s="824">
        <f>SUM(AX118:AX123)</f>
        <v/>
      </c>
      <c r="AY124" s="825">
        <f>SUM(AY118:AY123)</f>
        <v/>
      </c>
      <c r="AZ124" s="824">
        <f>SUM(AZ118:AZ123)</f>
        <v/>
      </c>
      <c r="BA124" s="824">
        <f>SUM(BA118:BA123)</f>
        <v/>
      </c>
      <c r="BB124" s="824">
        <f>SUM(BB118:BB123)</f>
        <v/>
      </c>
      <c r="BC124" s="824">
        <f>SUM(BC118:BC123)</f>
        <v/>
      </c>
      <c r="BD124" s="824">
        <f>SUM(BD118:BD123)</f>
        <v/>
      </c>
      <c r="BE124" s="824">
        <f>SUM(BE118:BE123)</f>
        <v/>
      </c>
      <c r="BF124" s="824">
        <f>SUM(BF118:BF123)</f>
        <v/>
      </c>
      <c r="BG124" s="824">
        <f>SUM(BG118:BG123)</f>
        <v/>
      </c>
      <c r="BH124" s="824">
        <f>SUM(BH118:BH123)</f>
        <v/>
      </c>
      <c r="BI124" s="824">
        <f>SUM(BI118:BI123)</f>
        <v/>
      </c>
      <c r="BJ124" s="824">
        <f>SUM(BJ118:BJ123)</f>
        <v/>
      </c>
      <c r="BK124" s="825">
        <f>SUM(BK118:BK123)</f>
        <v/>
      </c>
      <c r="BL124" s="824">
        <f>SUM(BL118:BL123)</f>
        <v/>
      </c>
      <c r="BM124" s="824">
        <f>SUM(BM118:BM123)</f>
        <v/>
      </c>
      <c r="BN124" s="824">
        <f>SUM(BN118:BN123)</f>
        <v/>
      </c>
      <c r="BO124" s="824">
        <f>SUM(BO118:BO123)</f>
        <v/>
      </c>
      <c r="BP124" s="824">
        <f>SUM(BP118:BP123)</f>
        <v/>
      </c>
      <c r="BQ124" s="824">
        <f>SUM(BQ118:BQ123)</f>
        <v/>
      </c>
      <c r="BR124" s="824">
        <f>SUM(BR118:BR123)</f>
        <v/>
      </c>
      <c r="BS124" s="824">
        <f>SUM(BS118:BS123)</f>
        <v/>
      </c>
      <c r="BT124" s="824">
        <f>SUM(BT118:BT123)</f>
        <v/>
      </c>
      <c r="BU124" s="824">
        <f>SUM(BU118:BU123)</f>
        <v/>
      </c>
      <c r="BV124" s="824">
        <f>SUM(BV118:BV123)</f>
        <v/>
      </c>
      <c r="BW124" s="825">
        <f>SUM(BW118:BW123)</f>
        <v/>
      </c>
      <c r="BX124" s="824">
        <f>SUM(BX118:BX123)</f>
        <v/>
      </c>
      <c r="BY124" s="824">
        <f>SUM(BY118:BY123)</f>
        <v/>
      </c>
      <c r="BZ124" s="824">
        <f>SUM(BZ118:BZ123)</f>
        <v/>
      </c>
      <c r="CA124" s="824">
        <f>SUM(CA118:CA123)</f>
        <v/>
      </c>
      <c r="CB124" s="824">
        <f>SUM(CB118:CB123)</f>
        <v/>
      </c>
      <c r="CC124" s="824">
        <f>SUM(CC118:CC123)</f>
        <v/>
      </c>
      <c r="CD124" s="824">
        <f>SUM(CD118:CD123)</f>
        <v/>
      </c>
      <c r="CE124" s="824">
        <f>SUM(CE118:CE123)</f>
        <v/>
      </c>
      <c r="CF124" s="824">
        <f>SUM(CF118:CF123)</f>
        <v/>
      </c>
      <c r="CG124" s="824">
        <f>SUM(CG118:CG123)</f>
        <v/>
      </c>
      <c r="CH124" s="824">
        <f>SUM(CH118:CH123)</f>
        <v/>
      </c>
      <c r="CI124" s="825">
        <f>SUM(CI118:CI123)</f>
        <v/>
      </c>
      <c r="CJ124" s="824">
        <f>SUM(CJ118:CJ123)</f>
        <v/>
      </c>
      <c r="CK124" s="824">
        <f>SUM(CK118:CK123)</f>
        <v/>
      </c>
      <c r="CL124" s="824">
        <f>SUM(CL118:CL123)</f>
        <v/>
      </c>
      <c r="CM124" s="824">
        <f>SUM(CM118:CM123)</f>
        <v/>
      </c>
      <c r="CN124" s="824">
        <f>SUM(CN118:CN123)</f>
        <v/>
      </c>
      <c r="CO124" s="824">
        <f>SUM(CO118:CO123)</f>
        <v/>
      </c>
      <c r="CP124" s="824">
        <f>SUM(CP118:CP123)</f>
        <v/>
      </c>
      <c r="CQ124" s="824">
        <f>SUM(CQ118:CQ123)</f>
        <v/>
      </c>
      <c r="CR124" s="824">
        <f>SUM(CR118:CR123)</f>
        <v/>
      </c>
      <c r="CS124" s="824">
        <f>SUM(CS118:CS123)</f>
        <v/>
      </c>
      <c r="CT124" s="824">
        <f>SUM(CT118:CT123)</f>
        <v/>
      </c>
      <c r="CU124" s="825">
        <f>SUM(CU118:CU123)</f>
        <v/>
      </c>
      <c r="CV124" s="824">
        <f>SUM(CV118:CV123)</f>
        <v/>
      </c>
      <c r="CW124" s="824">
        <f>SUM(CW118:CW123)</f>
        <v/>
      </c>
      <c r="CX124" s="824">
        <f>SUM(CX118:CX123)</f>
        <v/>
      </c>
      <c r="CY124" s="824">
        <f>SUM(CY118:CY123)</f>
        <v/>
      </c>
      <c r="CZ124" s="824">
        <f>SUM(CZ118:CZ123)</f>
        <v/>
      </c>
      <c r="DA124" s="824">
        <f>SUM(DA118:DA123)</f>
        <v/>
      </c>
      <c r="DB124" s="824">
        <f>SUM(DB118:DB123)</f>
        <v/>
      </c>
      <c r="DC124" s="824">
        <f>SUM(DC118:DC123)</f>
        <v/>
      </c>
      <c r="DD124" s="824">
        <f>SUM(DD118:DD123)</f>
        <v/>
      </c>
      <c r="DE124" s="824">
        <f>SUM(DE118:DE123)</f>
        <v/>
      </c>
      <c r="DF124" s="824">
        <f>SUM(DF118:DF123)</f>
        <v/>
      </c>
      <c r="DG124" s="824">
        <f>SUM(DG118:DG123)</f>
        <v/>
      </c>
    </row>
    <row r="125">
      <c r="B125" s="1" t="inlineStr">
        <is>
          <t xml:space="preserve">         Undeposited Funds</t>
        </is>
      </c>
      <c r="C125" s="1" t="n"/>
      <c r="D125" s="838" t="n"/>
      <c r="E125" s="838" t="n"/>
      <c r="F125" s="838" t="n"/>
      <c r="G125" s="838" t="n"/>
      <c r="H125" s="838" t="n"/>
      <c r="I125" s="838" t="n"/>
      <c r="J125" s="838" t="n"/>
      <c r="K125" s="838" t="n"/>
      <c r="L125" s="838" t="n"/>
      <c r="M125" s="838" t="n"/>
      <c r="O125" s="941" t="n"/>
      <c r="P125" s="111" t="n"/>
      <c r="Q125" s="111" t="n"/>
      <c r="R125" s="111" t="n"/>
      <c r="S125" s="111" t="n"/>
      <c r="T125" s="111" t="n"/>
      <c r="U125" s="111" t="n"/>
      <c r="V125" s="111" t="n">
        <v>0</v>
      </c>
      <c r="W125" s="111" t="n">
        <v>0</v>
      </c>
      <c r="X125" s="111" t="n">
        <v>0</v>
      </c>
      <c r="Y125" s="111" t="n">
        <v>0</v>
      </c>
      <c r="Z125" s="111" t="n">
        <v>0</v>
      </c>
      <c r="AA125" s="111" t="n">
        <v>0</v>
      </c>
      <c r="AB125" s="111" t="n">
        <v>0</v>
      </c>
      <c r="AC125" s="111" t="n">
        <v>0</v>
      </c>
      <c r="AD125" s="111" t="n">
        <v>0</v>
      </c>
      <c r="AE125" s="111" t="n">
        <v>0</v>
      </c>
      <c r="AF125" s="111" t="n">
        <v>0</v>
      </c>
      <c r="AG125" s="111" t="n">
        <v>0</v>
      </c>
      <c r="AH125" s="111" t="n">
        <v>0</v>
      </c>
      <c r="AI125" s="111" t="n">
        <v>0</v>
      </c>
      <c r="AJ125" s="111" t="n">
        <v>0</v>
      </c>
      <c r="AK125" s="111" t="n">
        <v>0</v>
      </c>
      <c r="AL125" s="111" t="n">
        <v>0</v>
      </c>
      <c r="AM125" s="111" t="n">
        <v>0</v>
      </c>
      <c r="AN125" s="111" t="n">
        <v>0</v>
      </c>
      <c r="AO125" s="111" t="n">
        <v>0</v>
      </c>
      <c r="AP125" s="111" t="n">
        <v>0</v>
      </c>
      <c r="AQ125" s="111" t="n">
        <v>0</v>
      </c>
      <c r="AR125" s="111" t="n">
        <v>0</v>
      </c>
      <c r="AS125" s="111" t="n">
        <v>0</v>
      </c>
      <c r="AT125" s="111" t="n">
        <v>0</v>
      </c>
      <c r="AU125" s="111" t="n">
        <v>0</v>
      </c>
      <c r="AV125" s="111" t="n">
        <v>0</v>
      </c>
      <c r="AW125" s="244" t="n">
        <v>0</v>
      </c>
      <c r="AX125" s="943" t="n">
        <v>0</v>
      </c>
      <c r="AY125" s="244" t="n">
        <v>0</v>
      </c>
      <c r="AZ125" s="111" t="n">
        <v>0</v>
      </c>
      <c r="BA125" s="111" t="n">
        <v>0</v>
      </c>
      <c r="BB125" s="111" t="n">
        <v>0</v>
      </c>
      <c r="BC125" s="111" t="n">
        <v>0</v>
      </c>
      <c r="BD125" s="111" t="n">
        <v>0</v>
      </c>
      <c r="BE125" s="111" t="n">
        <v>0</v>
      </c>
      <c r="BF125" s="111" t="n">
        <v>0</v>
      </c>
      <c r="BG125" s="111" t="n">
        <v>0</v>
      </c>
      <c r="BH125" s="111" t="n">
        <v>0</v>
      </c>
      <c r="BI125" s="111" t="n">
        <v>0</v>
      </c>
      <c r="BJ125" s="111" t="n">
        <v>0</v>
      </c>
      <c r="BK125" s="244" t="n">
        <v>0</v>
      </c>
      <c r="BL125" s="111" t="n">
        <v>0</v>
      </c>
      <c r="BM125" s="111" t="n">
        <v>0</v>
      </c>
      <c r="BN125" s="111" t="n">
        <v>0</v>
      </c>
      <c r="BO125" s="111" t="n">
        <v>0</v>
      </c>
      <c r="BP125" s="111" t="n">
        <v>0</v>
      </c>
      <c r="BQ125" s="111" t="n">
        <v>0</v>
      </c>
      <c r="BR125" s="111" t="n">
        <v>0</v>
      </c>
      <c r="BS125" s="111" t="n">
        <v>0</v>
      </c>
      <c r="BT125" s="111" t="n">
        <v>0</v>
      </c>
      <c r="BU125" s="111" t="n">
        <v>0</v>
      </c>
      <c r="BV125" s="111" t="n">
        <v>0</v>
      </c>
      <c r="BW125" s="244" t="n">
        <v>0</v>
      </c>
      <c r="BX125" s="111" t="n">
        <v>0</v>
      </c>
      <c r="BY125" s="111" t="n">
        <v>0</v>
      </c>
      <c r="BZ125" s="111" t="n">
        <v>0</v>
      </c>
      <c r="CA125" s="111" t="n">
        <v>0</v>
      </c>
      <c r="CB125" s="111" t="n">
        <v>0</v>
      </c>
      <c r="CC125" s="111" t="n">
        <v>0</v>
      </c>
      <c r="CD125" s="111" t="n">
        <v>0</v>
      </c>
      <c r="CE125" s="111" t="n">
        <v>0</v>
      </c>
      <c r="CF125" s="111" t="n">
        <v>0</v>
      </c>
      <c r="CG125" s="111" t="n">
        <v>0</v>
      </c>
      <c r="CH125" s="111" t="n">
        <v>0</v>
      </c>
      <c r="CI125" s="244" t="n">
        <v>0</v>
      </c>
      <c r="CJ125" s="111" t="n">
        <v>0</v>
      </c>
      <c r="CK125" s="111" t="n">
        <v>0</v>
      </c>
      <c r="CL125" s="111" t="n">
        <v>0</v>
      </c>
      <c r="CM125" s="111" t="n">
        <v>0</v>
      </c>
      <c r="CN125" s="111" t="n">
        <v>0</v>
      </c>
      <c r="CO125" s="111" t="n">
        <v>0</v>
      </c>
      <c r="CP125" s="111" t="n">
        <v>0</v>
      </c>
      <c r="CQ125" s="111" t="n">
        <v>0</v>
      </c>
      <c r="CR125" s="111" t="n">
        <v>0</v>
      </c>
      <c r="CS125" s="111" t="n">
        <v>0</v>
      </c>
      <c r="CT125" s="111" t="n">
        <v>0</v>
      </c>
      <c r="CU125" s="244" t="n">
        <v>0</v>
      </c>
      <c r="CV125" s="111" t="n">
        <v>0</v>
      </c>
      <c r="CW125" s="111" t="n">
        <v>0</v>
      </c>
      <c r="CX125" s="111" t="n">
        <v>0</v>
      </c>
      <c r="CY125" s="111" t="n">
        <v>0</v>
      </c>
      <c r="CZ125" s="111" t="n">
        <v>0</v>
      </c>
      <c r="DA125" s="111" t="n">
        <v>0</v>
      </c>
      <c r="DB125" s="111" t="n">
        <v>0</v>
      </c>
      <c r="DC125" s="111" t="n">
        <v>0</v>
      </c>
      <c r="DD125" s="111" t="n">
        <v>0</v>
      </c>
      <c r="DE125" s="111" t="n">
        <v>0</v>
      </c>
      <c r="DF125" s="111" t="n">
        <v>0</v>
      </c>
      <c r="DG125" s="111" t="n">
        <v>0</v>
      </c>
    </row>
    <row r="126">
      <c r="B126" s="1" t="inlineStr">
        <is>
          <t xml:space="preserve">         Prepaid Expenses</t>
        </is>
      </c>
      <c r="C126" s="1" t="n"/>
      <c r="D126" s="838" t="n"/>
      <c r="E126" s="838" t="n"/>
      <c r="F126" s="838" t="n"/>
      <c r="G126" s="838" t="n"/>
      <c r="H126" s="838" t="n"/>
      <c r="I126" s="838" t="n"/>
      <c r="J126" s="838" t="n"/>
      <c r="K126" s="838" t="n"/>
      <c r="L126" s="838" t="n"/>
      <c r="M126" s="838" t="n"/>
      <c r="O126" s="941" t="n"/>
      <c r="P126" s="111" t="n"/>
      <c r="Q126" s="111" t="n"/>
      <c r="R126" s="111" t="n"/>
      <c r="S126" s="111" t="n"/>
      <c r="T126" s="111" t="n"/>
      <c r="U126" s="111" t="n"/>
      <c r="V126" s="111" t="n"/>
      <c r="W126" s="111" t="n"/>
      <c r="X126" s="111" t="n"/>
      <c r="Y126" s="111" t="n"/>
      <c r="Z126" s="111" t="n"/>
      <c r="AA126" s="111" t="n"/>
      <c r="AB126" s="111" t="n"/>
      <c r="AC126" s="111" t="n"/>
      <c r="AD126" s="111" t="n"/>
      <c r="AE126" s="111" t="n"/>
      <c r="AF126" s="111" t="n"/>
      <c r="AG126" s="111" t="n"/>
      <c r="AH126" s="111" t="n"/>
      <c r="AI126" s="111" t="n"/>
      <c r="AJ126" s="111" t="n"/>
      <c r="AK126" s="111" t="n"/>
      <c r="AL126" s="111" t="n"/>
      <c r="AM126" s="111" t="n"/>
      <c r="AN126" s="111" t="n"/>
      <c r="AO126" s="111" t="n">
        <v>0</v>
      </c>
      <c r="AP126" s="111" t="n">
        <v>0</v>
      </c>
      <c r="AQ126" s="111" t="n">
        <v>400</v>
      </c>
      <c r="AR126" s="111" t="n">
        <v>300</v>
      </c>
      <c r="AS126" s="111" t="n">
        <v>0</v>
      </c>
      <c r="AT126" s="111" t="n">
        <v>0</v>
      </c>
      <c r="AU126" s="111" t="n">
        <v>300</v>
      </c>
      <c r="AV126" s="111" t="n">
        <v>0</v>
      </c>
      <c r="AW126" s="244" t="n">
        <v>0</v>
      </c>
      <c r="AX126" s="943" t="n"/>
      <c r="AY126" s="244" t="n"/>
      <c r="AZ126" s="111" t="n"/>
      <c r="BA126" s="111" t="n"/>
      <c r="BB126" s="111" t="n"/>
      <c r="BC126" s="111" t="n"/>
      <c r="BD126" s="111" t="n"/>
      <c r="BE126" s="111" t="n"/>
      <c r="BF126" s="111" t="n"/>
      <c r="BG126" s="111" t="n"/>
      <c r="BH126" s="111" t="n"/>
      <c r="BI126" s="111" t="n"/>
      <c r="BJ126" s="111" t="n"/>
      <c r="BK126" s="244" t="n"/>
      <c r="BL126" s="111" t="n"/>
      <c r="BM126" s="111" t="n"/>
      <c r="BN126" s="111" t="n"/>
      <c r="BO126" s="111" t="n"/>
      <c r="BP126" s="111" t="n"/>
      <c r="BQ126" s="111" t="n"/>
      <c r="BR126" s="111" t="n"/>
      <c r="BS126" s="111" t="n"/>
      <c r="BT126" s="111" t="n"/>
      <c r="BU126" s="111" t="n"/>
      <c r="BV126" s="111" t="n"/>
      <c r="BW126" s="244" t="n"/>
      <c r="BX126" s="111" t="n"/>
      <c r="BY126" s="111" t="n"/>
      <c r="BZ126" s="111" t="n"/>
      <c r="CA126" s="111" t="n"/>
      <c r="CB126" s="111" t="n"/>
      <c r="CC126" s="111" t="n"/>
      <c r="CD126" s="111" t="n"/>
      <c r="CE126" s="111" t="n"/>
      <c r="CF126" s="111" t="n"/>
      <c r="CG126" s="111" t="n"/>
      <c r="CH126" s="111" t="n"/>
      <c r="CI126" s="244" t="n"/>
      <c r="CJ126" s="111" t="n"/>
      <c r="CK126" s="111" t="n"/>
      <c r="CL126" s="111" t="n"/>
      <c r="CM126" s="111" t="n"/>
      <c r="CN126" s="111" t="n"/>
      <c r="CO126" s="111" t="n"/>
      <c r="CP126" s="111" t="n"/>
      <c r="CQ126" s="111" t="n"/>
      <c r="CR126" s="111" t="n"/>
      <c r="CS126" s="111" t="n"/>
      <c r="CT126" s="111" t="n"/>
      <c r="CU126" s="244" t="n"/>
      <c r="CV126" s="111" t="n"/>
      <c r="CW126" s="111" t="n"/>
      <c r="CX126" s="111" t="n"/>
      <c r="CY126" s="111" t="n"/>
      <c r="CZ126" s="111" t="n"/>
      <c r="DA126" s="111" t="n"/>
      <c r="DB126" s="111" t="n"/>
      <c r="DC126" s="111" t="n"/>
      <c r="DD126" s="111" t="n"/>
      <c r="DE126" s="111" t="n"/>
      <c r="DF126" s="111" t="n"/>
      <c r="DG126" s="111" t="n"/>
    </row>
    <row r="127">
      <c r="A127" s="5" t="n"/>
      <c r="B127" s="6" t="inlineStr">
        <is>
          <t xml:space="preserve">   Total Other Current Assets</t>
        </is>
      </c>
      <c r="C127" s="6" t="n"/>
      <c r="D127" s="824" t="n"/>
      <c r="E127" s="824" t="n"/>
      <c r="F127" s="824" t="n"/>
      <c r="G127" s="824" t="n"/>
      <c r="H127" s="824" t="n"/>
      <c r="I127" s="824" t="n"/>
      <c r="J127" s="824" t="n"/>
      <c r="K127" s="824" t="n"/>
      <c r="L127" s="824" t="n"/>
      <c r="M127" s="824" t="n"/>
      <c r="N127" s="824" t="n"/>
      <c r="O127" s="824" t="n"/>
      <c r="P127" s="824">
        <f>+SUM(P118:P125)</f>
        <v/>
      </c>
      <c r="Q127" s="824">
        <f>+SUM(Q118:Q125)</f>
        <v/>
      </c>
      <c r="R127" s="824">
        <f>+SUM(R118:R125)</f>
        <v/>
      </c>
      <c r="S127" s="824">
        <f>+SUM(S118:S125)</f>
        <v/>
      </c>
      <c r="T127" s="824">
        <f>+SUM(T118:T125)</f>
        <v/>
      </c>
      <c r="U127" s="824">
        <f>+SUM(U118:U125)</f>
        <v/>
      </c>
      <c r="V127" s="824">
        <f>+SUM(V118:V125)</f>
        <v/>
      </c>
      <c r="W127" s="824">
        <f>+SUM(W118:W125)</f>
        <v/>
      </c>
      <c r="X127" s="824">
        <f>+SUM(X118:X125)</f>
        <v/>
      </c>
      <c r="Y127" s="824">
        <f>+SUM(Y118:Y125)</f>
        <v/>
      </c>
      <c r="Z127" s="824">
        <f>+SUM(Z118:Z125)</f>
        <v/>
      </c>
      <c r="AA127" s="824">
        <f>+SUM(AA118:AA125)</f>
        <v/>
      </c>
      <c r="AB127" s="824">
        <f>+SUM(AB118:AB123)</f>
        <v/>
      </c>
      <c r="AC127" s="824">
        <f>+SUM(AC118:AC123)</f>
        <v/>
      </c>
      <c r="AD127" s="824">
        <f>+SUM(AD118:AD123)</f>
        <v/>
      </c>
      <c r="AE127" s="824">
        <f>+SUM(AE118:AE123)</f>
        <v/>
      </c>
      <c r="AF127" s="824">
        <f>+SUM(AF118:AF123)</f>
        <v/>
      </c>
      <c r="AG127" s="824">
        <f>+SUM(AG118:AG123)</f>
        <v/>
      </c>
      <c r="AH127" s="824">
        <f>+SUM(AH118:AH123)</f>
        <v/>
      </c>
      <c r="AI127" s="824">
        <f>+SUM(AI118:AI123)</f>
        <v/>
      </c>
      <c r="AJ127" s="824">
        <f>+SUM(AJ118:AJ123)</f>
        <v/>
      </c>
      <c r="AK127" s="824">
        <f>+SUM(AK118:AK123)</f>
        <v/>
      </c>
      <c r="AL127" s="824">
        <f>+SUM(AL118:AL123)</f>
        <v/>
      </c>
      <c r="AM127" s="824">
        <f>+SUM(AM118:AM123)</f>
        <v/>
      </c>
      <c r="AN127" s="824">
        <f>+SUM(AN123:AN126)</f>
        <v/>
      </c>
      <c r="AO127" s="824">
        <f>+SUM(AO123:AO126)</f>
        <v/>
      </c>
      <c r="AP127" s="824">
        <f>+SUM(AP123:AP126)</f>
        <v/>
      </c>
      <c r="AQ127" s="824">
        <f>+SUM(AQ123:AQ126)</f>
        <v/>
      </c>
      <c r="AR127" s="824">
        <f>+SUM(AR123:AR126)</f>
        <v/>
      </c>
      <c r="AS127" s="824">
        <f>+SUM(AS123:AS126)</f>
        <v/>
      </c>
      <c r="AT127" s="824">
        <f>+SUM(AT123:AT126)</f>
        <v/>
      </c>
      <c r="AU127" s="824">
        <f>+SUM(AU123:AU126)</f>
        <v/>
      </c>
      <c r="AV127" s="824">
        <f>+SUM(AV123:AV126)</f>
        <v/>
      </c>
      <c r="AW127" s="825">
        <f>+SUM(AW123:AW126)</f>
        <v/>
      </c>
      <c r="AX127" s="824">
        <f>+SUM(AX123:AX126)</f>
        <v/>
      </c>
      <c r="AY127" s="825">
        <f>+SUM(AY123:AY126)</f>
        <v/>
      </c>
      <c r="AZ127" s="824">
        <f>+SUM(AZ123:AZ126)</f>
        <v/>
      </c>
      <c r="BA127" s="824">
        <f>+SUM(BA123:BA126)</f>
        <v/>
      </c>
      <c r="BB127" s="824">
        <f>+SUM(BB123:BB126)</f>
        <v/>
      </c>
      <c r="BC127" s="824">
        <f>+SUM(BC123:BC126)</f>
        <v/>
      </c>
      <c r="BD127" s="824">
        <f>+SUM(BD123:BD126)</f>
        <v/>
      </c>
      <c r="BE127" s="824">
        <f>+SUM(BE123:BE126)</f>
        <v/>
      </c>
      <c r="BF127" s="824">
        <f>+SUM(BF123:BF126)</f>
        <v/>
      </c>
      <c r="BG127" s="824">
        <f>+SUM(BG123:BG126)</f>
        <v/>
      </c>
      <c r="BH127" s="824">
        <f>+SUM(BH123:BH126)</f>
        <v/>
      </c>
      <c r="BI127" s="824">
        <f>+SUM(BI123:BI126)</f>
        <v/>
      </c>
      <c r="BJ127" s="824">
        <f>+SUM(BJ123:BJ126)</f>
        <v/>
      </c>
      <c r="BK127" s="825">
        <f>+SUM(BK123:BK126)</f>
        <v/>
      </c>
      <c r="BL127" s="824">
        <f>+SUM(BL123:BL126)</f>
        <v/>
      </c>
      <c r="BM127" s="824">
        <f>+SUM(BM123:BM126)</f>
        <v/>
      </c>
      <c r="BN127" s="824">
        <f>+SUM(BN123:BN126)</f>
        <v/>
      </c>
      <c r="BO127" s="824">
        <f>+SUM(BO123:BO126)</f>
        <v/>
      </c>
      <c r="BP127" s="824">
        <f>+SUM(BP123:BP126)</f>
        <v/>
      </c>
      <c r="BQ127" s="824">
        <f>+SUM(BQ123:BQ126)</f>
        <v/>
      </c>
      <c r="BR127" s="824">
        <f>+SUM(BR123:BR126)</f>
        <v/>
      </c>
      <c r="BS127" s="824">
        <f>+SUM(BS123:BS126)</f>
        <v/>
      </c>
      <c r="BT127" s="824">
        <f>+SUM(BT123:BT126)</f>
        <v/>
      </c>
      <c r="BU127" s="824">
        <f>+SUM(BU123:BU126)</f>
        <v/>
      </c>
      <c r="BV127" s="824">
        <f>+SUM(BV123:BV126)</f>
        <v/>
      </c>
      <c r="BW127" s="825">
        <f>+SUM(BW123:BW126)</f>
        <v/>
      </c>
      <c r="BX127" s="824">
        <f>+SUM(BX123:BX126)</f>
        <v/>
      </c>
      <c r="BY127" s="824">
        <f>+SUM(BY123:BY126)</f>
        <v/>
      </c>
      <c r="BZ127" s="824">
        <f>+SUM(BZ123:BZ126)</f>
        <v/>
      </c>
      <c r="CA127" s="824">
        <f>+SUM(CA123:CA126)</f>
        <v/>
      </c>
      <c r="CB127" s="824">
        <f>+SUM(CB123:CB126)</f>
        <v/>
      </c>
      <c r="CC127" s="824">
        <f>+SUM(CC123:CC126)</f>
        <v/>
      </c>
      <c r="CD127" s="824">
        <f>+SUM(CD123:CD126)</f>
        <v/>
      </c>
      <c r="CE127" s="824">
        <f>+SUM(CE123:CE126)</f>
        <v/>
      </c>
      <c r="CF127" s="824">
        <f>+SUM(CF123:CF126)</f>
        <v/>
      </c>
      <c r="CG127" s="824">
        <f>+SUM(CG123:CG126)</f>
        <v/>
      </c>
      <c r="CH127" s="824">
        <f>+SUM(CH123:CH126)</f>
        <v/>
      </c>
      <c r="CI127" s="825">
        <f>+SUM(CI123:CI126)</f>
        <v/>
      </c>
      <c r="CJ127" s="824">
        <f>+SUM(CJ123:CJ126)</f>
        <v/>
      </c>
      <c r="CK127" s="824">
        <f>+SUM(CK123:CK126)</f>
        <v/>
      </c>
      <c r="CL127" s="824">
        <f>+SUM(CL123:CL126)</f>
        <v/>
      </c>
      <c r="CM127" s="824">
        <f>+SUM(CM123:CM126)</f>
        <v/>
      </c>
      <c r="CN127" s="824">
        <f>+SUM(CN123:CN126)</f>
        <v/>
      </c>
      <c r="CO127" s="824">
        <f>+SUM(CO123:CO126)</f>
        <v/>
      </c>
      <c r="CP127" s="824">
        <f>+SUM(CP123:CP126)</f>
        <v/>
      </c>
      <c r="CQ127" s="824">
        <f>+SUM(CQ123:CQ126)</f>
        <v/>
      </c>
      <c r="CR127" s="824">
        <f>+SUM(CR123:CR126)</f>
        <v/>
      </c>
      <c r="CS127" s="824">
        <f>+SUM(CS123:CS126)</f>
        <v/>
      </c>
      <c r="CT127" s="824">
        <f>+SUM(CT123:CT126)</f>
        <v/>
      </c>
      <c r="CU127" s="825">
        <f>+SUM(CU123:CU126)</f>
        <v/>
      </c>
      <c r="CV127" s="824">
        <f>+SUM(CV123:CV126)</f>
        <v/>
      </c>
      <c r="CW127" s="824">
        <f>+SUM(CW123:CW126)</f>
        <v/>
      </c>
      <c r="CX127" s="824">
        <f>+SUM(CX123:CX126)</f>
        <v/>
      </c>
      <c r="CY127" s="824">
        <f>+SUM(CY123:CY126)</f>
        <v/>
      </c>
      <c r="CZ127" s="824">
        <f>+SUM(CZ123:CZ126)</f>
        <v/>
      </c>
      <c r="DA127" s="824">
        <f>+SUM(DA123:DA126)</f>
        <v/>
      </c>
      <c r="DB127" s="824">
        <f>+SUM(DB123:DB126)</f>
        <v/>
      </c>
      <c r="DC127" s="824">
        <f>+SUM(DC123:DC126)</f>
        <v/>
      </c>
      <c r="DD127" s="824">
        <f>+SUM(DD123:DD126)</f>
        <v/>
      </c>
      <c r="DE127" s="824">
        <f>+SUM(DE123:DE126)</f>
        <v/>
      </c>
      <c r="DF127" s="824">
        <f>+SUM(DF123:DF126)</f>
        <v/>
      </c>
      <c r="DG127" s="824">
        <f>+SUM(DG123:DG126)</f>
        <v/>
      </c>
    </row>
    <row r="128" customFormat="1" s="5">
      <c r="B128" s="1" t="inlineStr">
        <is>
          <t xml:space="preserve">   Total Current Assets</t>
        </is>
      </c>
      <c r="C128" s="1" t="n"/>
      <c r="D128" s="944">
        <f>(D111)+(D115)</f>
        <v/>
      </c>
      <c r="E128" s="944">
        <f>(E111)+(E115)</f>
        <v/>
      </c>
      <c r="F128" s="944">
        <f>(F111)+(F115)</f>
        <v/>
      </c>
      <c r="G128" s="944">
        <f>(G111)+(G115)</f>
        <v/>
      </c>
      <c r="H128" s="944">
        <f>(H111)+(H115)</f>
        <v/>
      </c>
      <c r="I128" s="944">
        <f>(I111)+(I115)</f>
        <v/>
      </c>
      <c r="J128" s="944">
        <f>(J111)+(J115)</f>
        <v/>
      </c>
      <c r="K128" s="944">
        <f>K115+K111</f>
        <v/>
      </c>
      <c r="L128" s="944">
        <f>L115+L111</f>
        <v/>
      </c>
      <c r="M128" s="944">
        <f>M115+M111</f>
        <v/>
      </c>
      <c r="N128" s="838">
        <f>N115+N111</f>
        <v/>
      </c>
      <c r="O128" s="838">
        <f>O115+O111</f>
        <v/>
      </c>
      <c r="P128" s="838">
        <f>P115+P111+P127</f>
        <v/>
      </c>
      <c r="Q128" s="838">
        <f>Q115+Q111+Q127</f>
        <v/>
      </c>
      <c r="R128" s="838">
        <f>R115+R111+R127</f>
        <v/>
      </c>
      <c r="S128" s="838">
        <f>S115+S111+S127</f>
        <v/>
      </c>
      <c r="T128" s="838">
        <f>T115+T111+T127</f>
        <v/>
      </c>
      <c r="U128" s="838">
        <f>U115+U111+U127</f>
        <v/>
      </c>
      <c r="V128" s="838">
        <f>V115+V111+V127</f>
        <v/>
      </c>
      <c r="W128" s="838">
        <f>W115+W111+W127</f>
        <v/>
      </c>
      <c r="X128" s="838">
        <f>X115+X111+X127</f>
        <v/>
      </c>
      <c r="Y128" s="838">
        <f>Y115+Y111+Y127</f>
        <v/>
      </c>
      <c r="Z128" s="838">
        <f>Z115+Z111+Z127</f>
        <v/>
      </c>
      <c r="AA128" s="838">
        <f>AA115+AA111+AA127</f>
        <v/>
      </c>
      <c r="AB128" s="838">
        <f>AB115+AB111+AB127</f>
        <v/>
      </c>
      <c r="AC128" s="838">
        <f>AC115+AC111+AC127</f>
        <v/>
      </c>
      <c r="AD128" s="838">
        <f>AD115+AD111+AD127</f>
        <v/>
      </c>
      <c r="AE128" s="838">
        <f>AE115+AE111+AE127</f>
        <v/>
      </c>
      <c r="AF128" s="838">
        <f>AF115+AF111+AF127</f>
        <v/>
      </c>
      <c r="AG128" s="838">
        <f>AG115+AG111+AG127</f>
        <v/>
      </c>
      <c r="AH128" s="838">
        <f>AH115+AH111+AH127</f>
        <v/>
      </c>
      <c r="AI128" s="838">
        <f>AI115+AI111+AI127</f>
        <v/>
      </c>
      <c r="AJ128" s="838">
        <f>AJ115+AJ111+AJ127</f>
        <v/>
      </c>
      <c r="AK128" s="838">
        <f>AK115+AK111+AK127</f>
        <v/>
      </c>
      <c r="AL128" s="838">
        <f>AL115+AL111+AL127</f>
        <v/>
      </c>
      <c r="AM128" s="838">
        <f>AM115+AM111+AM127</f>
        <v/>
      </c>
      <c r="AN128" s="838">
        <f>AN115+AN111+AN127</f>
        <v/>
      </c>
      <c r="AO128" s="838">
        <f>AO115+AO111+AO127</f>
        <v/>
      </c>
      <c r="AP128" s="838">
        <f>AP115+AP111+AP127</f>
        <v/>
      </c>
      <c r="AQ128" s="838">
        <f>AQ115+AQ111+AQ127</f>
        <v/>
      </c>
      <c r="AR128" s="838">
        <f>AR115+AR111+AR127</f>
        <v/>
      </c>
      <c r="AS128" s="838">
        <f>AS115+AS111+AS127</f>
        <v/>
      </c>
      <c r="AT128" s="838">
        <f>AT115+AT111+AT127</f>
        <v/>
      </c>
      <c r="AU128" s="838">
        <f>AU115+AU111+AU127</f>
        <v/>
      </c>
      <c r="AV128" s="838">
        <f>AV115+AV111+AV127</f>
        <v/>
      </c>
      <c r="AW128" s="839">
        <f>AW115+AW111+AW127</f>
        <v/>
      </c>
      <c r="AX128" s="838">
        <f>AX115+AX111+AX127</f>
        <v/>
      </c>
      <c r="AY128" s="839">
        <f>AY115+AY111+AY127</f>
        <v/>
      </c>
      <c r="AZ128" s="838">
        <f>AZ115+AZ111+AZ127</f>
        <v/>
      </c>
      <c r="BA128" s="838">
        <f>BA115+BA111+BA127</f>
        <v/>
      </c>
      <c r="BB128" s="838">
        <f>BB115+BB111+BB127</f>
        <v/>
      </c>
      <c r="BC128" s="838">
        <f>BC115+BC111+BC127</f>
        <v/>
      </c>
      <c r="BD128" s="838">
        <f>BD115+BD111+BD127</f>
        <v/>
      </c>
      <c r="BE128" s="838">
        <f>BE115+BE111+BE127</f>
        <v/>
      </c>
      <c r="BF128" s="838">
        <f>BF115+BF111+BF127</f>
        <v/>
      </c>
      <c r="BG128" s="838">
        <f>BG115+BG111+BG127</f>
        <v/>
      </c>
      <c r="BH128" s="838">
        <f>BH115+BH111+BH127</f>
        <v/>
      </c>
      <c r="BI128" s="838">
        <f>BI115+BI111+BI127</f>
        <v/>
      </c>
      <c r="BJ128" s="838">
        <f>BJ115+BJ111+BJ127</f>
        <v/>
      </c>
      <c r="BK128" s="839">
        <f>BK115+BK111+BK127</f>
        <v/>
      </c>
      <c r="BL128" s="838">
        <f>BL115+BL111+BL127</f>
        <v/>
      </c>
      <c r="BM128" s="838">
        <f>BM115+BM111+BM127</f>
        <v/>
      </c>
      <c r="BN128" s="838">
        <f>BN115+BN111+BN127</f>
        <v/>
      </c>
      <c r="BO128" s="838">
        <f>BO115+BO111+BO127</f>
        <v/>
      </c>
      <c r="BP128" s="838">
        <f>BP115+BP111+BP127</f>
        <v/>
      </c>
      <c r="BQ128" s="838">
        <f>BQ115+BQ111+BQ127</f>
        <v/>
      </c>
      <c r="BR128" s="838">
        <f>BR115+BR111+BR127</f>
        <v/>
      </c>
      <c r="BS128" s="838">
        <f>BS115+BS111+BS127</f>
        <v/>
      </c>
      <c r="BT128" s="838">
        <f>BT115+BT111+BT127</f>
        <v/>
      </c>
      <c r="BU128" s="838">
        <f>BU115+BU111+BU127</f>
        <v/>
      </c>
      <c r="BV128" s="838">
        <f>BV115+BV111+BV127</f>
        <v/>
      </c>
      <c r="BW128" s="839">
        <f>BW115+BW111+BW127</f>
        <v/>
      </c>
      <c r="BX128" s="838">
        <f>BX115+BX111+BX127</f>
        <v/>
      </c>
      <c r="BY128" s="838">
        <f>BY115+BY111+BY127</f>
        <v/>
      </c>
      <c r="BZ128" s="838">
        <f>BZ115+BZ111+BZ127</f>
        <v/>
      </c>
      <c r="CA128" s="838">
        <f>CA115+CA111+CA127</f>
        <v/>
      </c>
      <c r="CB128" s="838">
        <f>CB115+CB111+CB127</f>
        <v/>
      </c>
      <c r="CC128" s="838">
        <f>CC115+CC111+CC127</f>
        <v/>
      </c>
      <c r="CD128" s="838">
        <f>CD115+CD111+CD127</f>
        <v/>
      </c>
      <c r="CE128" s="838">
        <f>CE115+CE111+CE127</f>
        <v/>
      </c>
      <c r="CF128" s="838">
        <f>CF115+CF111+CF127</f>
        <v/>
      </c>
      <c r="CG128" s="838">
        <f>CG115+CG111+CG127</f>
        <v/>
      </c>
      <c r="CH128" s="838">
        <f>CH115+CH111+CH127</f>
        <v/>
      </c>
      <c r="CI128" s="839">
        <f>CI115+CI111+CI127</f>
        <v/>
      </c>
      <c r="CJ128" s="838">
        <f>CJ115+CJ111+CJ127</f>
        <v/>
      </c>
      <c r="CK128" s="838">
        <f>CK115+CK111+CK127</f>
        <v/>
      </c>
      <c r="CL128" s="838">
        <f>CL115+CL111+CL127</f>
        <v/>
      </c>
      <c r="CM128" s="838">
        <f>CM115+CM111+CM127</f>
        <v/>
      </c>
      <c r="CN128" s="838">
        <f>CN115+CN111+CN127</f>
        <v/>
      </c>
      <c r="CO128" s="838">
        <f>CO115+CO111+CO127</f>
        <v/>
      </c>
      <c r="CP128" s="838">
        <f>CP115+CP111+CP127</f>
        <v/>
      </c>
      <c r="CQ128" s="838">
        <f>CQ115+CQ111+CQ127</f>
        <v/>
      </c>
      <c r="CR128" s="838">
        <f>CR115+CR111+CR127</f>
        <v/>
      </c>
      <c r="CS128" s="838">
        <f>CS115+CS111+CS127</f>
        <v/>
      </c>
      <c r="CT128" s="838">
        <f>CT115+CT111+CT127</f>
        <v/>
      </c>
      <c r="CU128" s="839">
        <f>CU115+CU111+CU127</f>
        <v/>
      </c>
      <c r="CV128" s="838">
        <f>CV115+CV111+CV127</f>
        <v/>
      </c>
      <c r="CW128" s="838">
        <f>CW115+CW111+CW127</f>
        <v/>
      </c>
      <c r="CX128" s="838">
        <f>CX115+CX111+CX127</f>
        <v/>
      </c>
      <c r="CY128" s="838">
        <f>CY115+CY111+CY127</f>
        <v/>
      </c>
      <c r="CZ128" s="838">
        <f>CZ115+CZ111+CZ127</f>
        <v/>
      </c>
      <c r="DA128" s="838">
        <f>DA115+DA111+DA127</f>
        <v/>
      </c>
      <c r="DB128" s="838">
        <f>DB115+DB111+DB127</f>
        <v/>
      </c>
      <c r="DC128" s="838">
        <f>DC115+DC111+DC127</f>
        <v/>
      </c>
      <c r="DD128" s="838">
        <f>DD115+DD111+DD127</f>
        <v/>
      </c>
      <c r="DE128" s="838">
        <f>DE115+DE111+DE127</f>
        <v/>
      </c>
      <c r="DF128" s="838">
        <f>DF115+DF111+DF127</f>
        <v/>
      </c>
      <c r="DG128" s="838">
        <f>DG115+DG111+DG127</f>
        <v/>
      </c>
    </row>
    <row r="129">
      <c r="A129" s="3" t="n"/>
      <c r="B129" s="4" t="inlineStr">
        <is>
          <t>TOTAL ASSETS</t>
        </is>
      </c>
      <c r="C129" s="4" t="n"/>
      <c r="D129" s="823">
        <f>D128</f>
        <v/>
      </c>
      <c r="E129" s="823">
        <f>E128</f>
        <v/>
      </c>
      <c r="F129" s="823">
        <f>F128</f>
        <v/>
      </c>
      <c r="G129" s="823">
        <f>G128</f>
        <v/>
      </c>
      <c r="H129" s="823">
        <f>H128</f>
        <v/>
      </c>
      <c r="I129" s="823">
        <f>I128</f>
        <v/>
      </c>
      <c r="J129" s="823">
        <f>J128</f>
        <v/>
      </c>
      <c r="K129" s="823">
        <f>K128</f>
        <v/>
      </c>
      <c r="L129" s="823">
        <f>L128</f>
        <v/>
      </c>
      <c r="M129" s="823">
        <f>M128</f>
        <v/>
      </c>
      <c r="N129" s="823">
        <f>N128</f>
        <v/>
      </c>
      <c r="O129" s="823">
        <f>O128</f>
        <v/>
      </c>
      <c r="P129" s="823">
        <f>P128</f>
        <v/>
      </c>
      <c r="Q129" s="823">
        <f>Q128</f>
        <v/>
      </c>
      <c r="R129" s="823">
        <f>R128</f>
        <v/>
      </c>
      <c r="S129" s="823">
        <f>S128</f>
        <v/>
      </c>
      <c r="T129" s="823">
        <f>T128</f>
        <v/>
      </c>
      <c r="U129" s="823">
        <f>U128</f>
        <v/>
      </c>
      <c r="V129" s="823">
        <f>V128</f>
        <v/>
      </c>
      <c r="W129" s="823">
        <f>W128</f>
        <v/>
      </c>
      <c r="X129" s="823">
        <f>X128</f>
        <v/>
      </c>
      <c r="Y129" s="823">
        <f>Y128</f>
        <v/>
      </c>
      <c r="Z129" s="823">
        <f>Z128</f>
        <v/>
      </c>
      <c r="AA129" s="823">
        <f>AA128</f>
        <v/>
      </c>
      <c r="AB129" s="823">
        <f>AB128</f>
        <v/>
      </c>
      <c r="AC129" s="823">
        <f>AC128</f>
        <v/>
      </c>
      <c r="AD129" s="823">
        <f>AD128</f>
        <v/>
      </c>
      <c r="AE129" s="823">
        <f>AE128</f>
        <v/>
      </c>
      <c r="AF129" s="823">
        <f>AF128</f>
        <v/>
      </c>
      <c r="AG129" s="823">
        <f>AG128</f>
        <v/>
      </c>
      <c r="AH129" s="823">
        <f>AH128</f>
        <v/>
      </c>
      <c r="AI129" s="823">
        <f>AI128</f>
        <v/>
      </c>
      <c r="AJ129" s="823">
        <f>AJ128</f>
        <v/>
      </c>
      <c r="AK129" s="823">
        <f>AK128</f>
        <v/>
      </c>
      <c r="AL129" s="823">
        <f>AL128</f>
        <v/>
      </c>
      <c r="AM129" s="823">
        <f>AM128</f>
        <v/>
      </c>
      <c r="AN129" s="823">
        <f>AN128</f>
        <v/>
      </c>
      <c r="AO129" s="823">
        <f>AO128</f>
        <v/>
      </c>
      <c r="AP129" s="823">
        <f>AP128</f>
        <v/>
      </c>
      <c r="AQ129" s="823">
        <f>AQ128</f>
        <v/>
      </c>
      <c r="AR129" s="823">
        <f>AR128</f>
        <v/>
      </c>
      <c r="AS129" s="823">
        <f>AS128</f>
        <v/>
      </c>
      <c r="AT129" s="823">
        <f>AT128</f>
        <v/>
      </c>
      <c r="AU129" s="823">
        <f>AU128</f>
        <v/>
      </c>
      <c r="AV129" s="823">
        <f>AV128</f>
        <v/>
      </c>
      <c r="AW129" s="836">
        <f>AW128</f>
        <v/>
      </c>
      <c r="AX129" s="823">
        <f>AX128</f>
        <v/>
      </c>
      <c r="AY129" s="836">
        <f>AY128</f>
        <v/>
      </c>
      <c r="AZ129" s="823">
        <f>AZ128</f>
        <v/>
      </c>
      <c r="BA129" s="823">
        <f>BA128</f>
        <v/>
      </c>
      <c r="BB129" s="823">
        <f>BB128</f>
        <v/>
      </c>
      <c r="BC129" s="823">
        <f>BC128</f>
        <v/>
      </c>
      <c r="BD129" s="823">
        <f>BD128</f>
        <v/>
      </c>
      <c r="BE129" s="823">
        <f>BE128</f>
        <v/>
      </c>
      <c r="BF129" s="823">
        <f>BF128</f>
        <v/>
      </c>
      <c r="BG129" s="823">
        <f>BG128</f>
        <v/>
      </c>
      <c r="BH129" s="823">
        <f>BH128</f>
        <v/>
      </c>
      <c r="BI129" s="823">
        <f>BI128</f>
        <v/>
      </c>
      <c r="BJ129" s="823">
        <f>BJ128</f>
        <v/>
      </c>
      <c r="BK129" s="836">
        <f>BK128</f>
        <v/>
      </c>
      <c r="BL129" s="823">
        <f>BL128</f>
        <v/>
      </c>
      <c r="BM129" s="823">
        <f>BM128</f>
        <v/>
      </c>
      <c r="BN129" s="823">
        <f>BN128</f>
        <v/>
      </c>
      <c r="BO129" s="823">
        <f>BO128</f>
        <v/>
      </c>
      <c r="BP129" s="823">
        <f>BP128</f>
        <v/>
      </c>
      <c r="BQ129" s="823">
        <f>BQ128</f>
        <v/>
      </c>
      <c r="BR129" s="823">
        <f>BR128</f>
        <v/>
      </c>
      <c r="BS129" s="823">
        <f>BS128</f>
        <v/>
      </c>
      <c r="BT129" s="823">
        <f>BT128</f>
        <v/>
      </c>
      <c r="BU129" s="823">
        <f>BU128</f>
        <v/>
      </c>
      <c r="BV129" s="823">
        <f>BV128</f>
        <v/>
      </c>
      <c r="BW129" s="836">
        <f>BW128</f>
        <v/>
      </c>
      <c r="BX129" s="823">
        <f>BX128</f>
        <v/>
      </c>
      <c r="BY129" s="823">
        <f>BY128</f>
        <v/>
      </c>
      <c r="BZ129" s="823">
        <f>BZ128</f>
        <v/>
      </c>
      <c r="CA129" s="823">
        <f>CA128</f>
        <v/>
      </c>
      <c r="CB129" s="823">
        <f>CB128</f>
        <v/>
      </c>
      <c r="CC129" s="823">
        <f>CC128</f>
        <v/>
      </c>
      <c r="CD129" s="823">
        <f>CD128</f>
        <v/>
      </c>
      <c r="CE129" s="823">
        <f>CE128</f>
        <v/>
      </c>
      <c r="CF129" s="823">
        <f>CF128</f>
        <v/>
      </c>
      <c r="CG129" s="823">
        <f>CG128</f>
        <v/>
      </c>
      <c r="CH129" s="823">
        <f>CH128</f>
        <v/>
      </c>
      <c r="CI129" s="836">
        <f>CI128</f>
        <v/>
      </c>
      <c r="CJ129" s="823">
        <f>CJ128</f>
        <v/>
      </c>
      <c r="CK129" s="823">
        <f>CK128</f>
        <v/>
      </c>
      <c r="CL129" s="823">
        <f>CL128</f>
        <v/>
      </c>
      <c r="CM129" s="823">
        <f>CM128</f>
        <v/>
      </c>
      <c r="CN129" s="823">
        <f>CN128</f>
        <v/>
      </c>
      <c r="CO129" s="823">
        <f>CO128</f>
        <v/>
      </c>
      <c r="CP129" s="823">
        <f>CP128</f>
        <v/>
      </c>
      <c r="CQ129" s="823">
        <f>CQ128</f>
        <v/>
      </c>
      <c r="CR129" s="823">
        <f>CR128</f>
        <v/>
      </c>
      <c r="CS129" s="823">
        <f>CS128</f>
        <v/>
      </c>
      <c r="CT129" s="823">
        <f>CT128</f>
        <v/>
      </c>
      <c r="CU129" s="836">
        <f>CU128</f>
        <v/>
      </c>
      <c r="CV129" s="823">
        <f>CV128</f>
        <v/>
      </c>
      <c r="CW129" s="823">
        <f>CW128</f>
        <v/>
      </c>
      <c r="CX129" s="823">
        <f>CX128</f>
        <v/>
      </c>
      <c r="CY129" s="823">
        <f>CY128</f>
        <v/>
      </c>
      <c r="CZ129" s="823">
        <f>CZ128</f>
        <v/>
      </c>
      <c r="DA129" s="823">
        <f>DA128</f>
        <v/>
      </c>
      <c r="DB129" s="823">
        <f>DB128</f>
        <v/>
      </c>
      <c r="DC129" s="823">
        <f>DC128</f>
        <v/>
      </c>
      <c r="DD129" s="823">
        <f>DD128</f>
        <v/>
      </c>
      <c r="DE129" s="823">
        <f>DE128</f>
        <v/>
      </c>
      <c r="DF129" s="823">
        <f>DF128</f>
        <v/>
      </c>
      <c r="DG129" s="823">
        <f>DG128</f>
        <v/>
      </c>
    </row>
    <row r="130">
      <c r="B130" s="1" t="inlineStr">
        <is>
          <t>LIABILITIES AND EQUITY</t>
        </is>
      </c>
      <c r="C130" s="1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574" t="n"/>
      <c r="AX130" s="2" t="n"/>
      <c r="AY130" s="243" t="n"/>
      <c r="BK130" s="243" t="n"/>
      <c r="BW130" s="243" t="n"/>
      <c r="CI130" s="243" t="n"/>
      <c r="CU130" s="243" t="n"/>
    </row>
    <row r="131">
      <c r="B131" s="1" t="inlineStr">
        <is>
          <t xml:space="preserve">   Liabilities</t>
        </is>
      </c>
      <c r="C131" s="1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574" t="n"/>
      <c r="AX131" s="2" t="n"/>
      <c r="AY131" s="243" t="n"/>
      <c r="BK131" s="243" t="n"/>
      <c r="BW131" s="243" t="n"/>
      <c r="CI131" s="243" t="n"/>
      <c r="CU131" s="243" t="n"/>
    </row>
    <row r="132" customFormat="1" s="28">
      <c r="B132" s="1" t="inlineStr">
        <is>
          <t xml:space="preserve">      70100 Accounts Payable</t>
        </is>
      </c>
      <c r="C132" s="1" t="n"/>
      <c r="D132" s="2" t="n"/>
      <c r="E132" s="2" t="n"/>
      <c r="F132" s="2" t="n"/>
      <c r="G132" s="2" t="n"/>
      <c r="H132" s="2" t="n"/>
      <c r="I132" s="2" t="n"/>
      <c r="J132" s="111" t="n"/>
      <c r="K132" s="111" t="n"/>
      <c r="L132" s="111" t="n"/>
      <c r="M132" s="111" t="n"/>
      <c r="N132" s="111" t="n"/>
      <c r="O132" s="111" t="n"/>
      <c r="P132" s="111" t="n"/>
      <c r="Q132" s="111" t="n"/>
      <c r="R132" s="111" t="n"/>
      <c r="S132" s="111" t="n"/>
      <c r="T132" s="111" t="n"/>
      <c r="U132" s="111" t="n"/>
      <c r="V132" s="111" t="n"/>
      <c r="W132" s="111" t="n">
        <v>0</v>
      </c>
      <c r="X132" s="111" t="n">
        <v>0</v>
      </c>
      <c r="Y132" s="111" t="n">
        <v>0</v>
      </c>
      <c r="Z132" s="111" t="n">
        <v>0</v>
      </c>
      <c r="AA132" s="111" t="n">
        <v>0</v>
      </c>
      <c r="AB132" s="111" t="n"/>
      <c r="AC132" s="111" t="n">
        <v>0</v>
      </c>
      <c r="AD132" s="111" t="n">
        <v>0</v>
      </c>
      <c r="AE132" s="111" t="n">
        <v>0</v>
      </c>
      <c r="AF132" s="111" t="n">
        <v>285</v>
      </c>
      <c r="AG132" s="111" t="n">
        <v>185</v>
      </c>
      <c r="AH132" s="111" t="n">
        <v>-115</v>
      </c>
      <c r="AI132" s="111" t="n">
        <v>0</v>
      </c>
      <c r="AJ132" s="111" t="n">
        <v>-40</v>
      </c>
      <c r="AK132" s="111" t="n">
        <v>0</v>
      </c>
      <c r="AL132" s="111" t="n">
        <v>330.08</v>
      </c>
      <c r="AM132" s="111" t="n">
        <v>147.2</v>
      </c>
      <c r="AN132" s="111" t="n">
        <v>147.2</v>
      </c>
      <c r="AO132" s="111" t="n">
        <v>147.2</v>
      </c>
      <c r="AP132" s="111" t="n">
        <v>147.2</v>
      </c>
      <c r="AQ132" s="111" t="n">
        <v>147.2</v>
      </c>
      <c r="AR132" s="111" t="n">
        <v>147.2</v>
      </c>
      <c r="AS132" s="111" t="n">
        <v>147.2</v>
      </c>
      <c r="AT132" s="111" t="n">
        <v>229.7</v>
      </c>
      <c r="AU132" s="111" t="n">
        <v>147.2</v>
      </c>
      <c r="AV132" s="111" t="n">
        <v>465.95</v>
      </c>
      <c r="AW132" s="244" t="n">
        <v>530.95</v>
      </c>
      <c r="AX132" s="943">
        <f>+AW132</f>
        <v/>
      </c>
      <c r="AY132" s="945">
        <f>AX132</f>
        <v/>
      </c>
      <c r="AZ132" s="702">
        <f>AY132</f>
        <v/>
      </c>
      <c r="BA132" s="702">
        <f>AZ132</f>
        <v/>
      </c>
      <c r="BB132" s="702">
        <f>BA132</f>
        <v/>
      </c>
      <c r="BC132" s="702">
        <f>BB132</f>
        <v/>
      </c>
      <c r="BD132" s="702">
        <f>BC132</f>
        <v/>
      </c>
      <c r="BE132" s="702">
        <f>BD132</f>
        <v/>
      </c>
      <c r="BF132" s="702">
        <f>BE132</f>
        <v/>
      </c>
      <c r="BG132" s="702">
        <f>BF132</f>
        <v/>
      </c>
      <c r="BH132" s="702">
        <f>BG132</f>
        <v/>
      </c>
      <c r="BI132" s="702">
        <f>BH132</f>
        <v/>
      </c>
      <c r="BJ132" s="702">
        <f>BI132</f>
        <v/>
      </c>
      <c r="BK132" s="945">
        <f>BJ132</f>
        <v/>
      </c>
      <c r="BL132" s="702">
        <f>BK132</f>
        <v/>
      </c>
      <c r="BM132" s="702">
        <f>BL132</f>
        <v/>
      </c>
      <c r="BN132" s="702">
        <f>BM132</f>
        <v/>
      </c>
      <c r="BO132" s="702">
        <f>BN132</f>
        <v/>
      </c>
      <c r="BP132" s="702">
        <f>BO132</f>
        <v/>
      </c>
      <c r="BQ132" s="702">
        <f>BP132</f>
        <v/>
      </c>
      <c r="BR132" s="702">
        <f>BQ132</f>
        <v/>
      </c>
      <c r="BS132" s="702">
        <f>BR132</f>
        <v/>
      </c>
      <c r="BT132" s="702">
        <f>BS132</f>
        <v/>
      </c>
      <c r="BU132" s="702">
        <f>BT132</f>
        <v/>
      </c>
      <c r="BV132" s="702">
        <f>BU132</f>
        <v/>
      </c>
      <c r="BW132" s="945">
        <f>BV132</f>
        <v/>
      </c>
      <c r="BX132" s="702">
        <f>BW132</f>
        <v/>
      </c>
      <c r="BY132" s="702">
        <f>BX132</f>
        <v/>
      </c>
      <c r="BZ132" s="702">
        <f>BY132</f>
        <v/>
      </c>
      <c r="CA132" s="702">
        <f>BZ132</f>
        <v/>
      </c>
      <c r="CB132" s="702">
        <f>CA132</f>
        <v/>
      </c>
      <c r="CC132" s="702">
        <f>CB132</f>
        <v/>
      </c>
      <c r="CD132" s="702">
        <f>CC132</f>
        <v/>
      </c>
      <c r="CE132" s="702">
        <f>CD132</f>
        <v/>
      </c>
      <c r="CF132" s="702">
        <f>CE132</f>
        <v/>
      </c>
      <c r="CG132" s="702">
        <f>CF132</f>
        <v/>
      </c>
      <c r="CH132" s="702">
        <f>CG132</f>
        <v/>
      </c>
      <c r="CI132" s="945">
        <f>CH132</f>
        <v/>
      </c>
      <c r="CJ132" s="702">
        <f>CI132</f>
        <v/>
      </c>
      <c r="CK132" s="702">
        <f>CJ132</f>
        <v/>
      </c>
      <c r="CL132" s="702">
        <f>CK132</f>
        <v/>
      </c>
      <c r="CM132" s="702">
        <f>CL132</f>
        <v/>
      </c>
      <c r="CN132" s="702">
        <f>CM132</f>
        <v/>
      </c>
      <c r="CO132" s="702">
        <f>CN132</f>
        <v/>
      </c>
      <c r="CP132" s="702">
        <f>CO132</f>
        <v/>
      </c>
      <c r="CQ132" s="702">
        <f>CP132</f>
        <v/>
      </c>
      <c r="CR132" s="702">
        <f>CQ132</f>
        <v/>
      </c>
      <c r="CS132" s="702">
        <f>CR132</f>
        <v/>
      </c>
      <c r="CT132" s="702">
        <f>CS132</f>
        <v/>
      </c>
      <c r="CU132" s="945">
        <f>CT132</f>
        <v/>
      </c>
      <c r="CV132" s="702">
        <f>CU132</f>
        <v/>
      </c>
      <c r="CW132" s="702">
        <f>CV132</f>
        <v/>
      </c>
      <c r="CX132" s="702">
        <f>CW132</f>
        <v/>
      </c>
      <c r="CY132" s="702">
        <f>CX132</f>
        <v/>
      </c>
      <c r="CZ132" s="702">
        <f>CY132</f>
        <v/>
      </c>
      <c r="DA132" s="702">
        <f>CZ132</f>
        <v/>
      </c>
      <c r="DB132" s="702">
        <f>DA132</f>
        <v/>
      </c>
      <c r="DC132" s="702">
        <f>DB132</f>
        <v/>
      </c>
      <c r="DD132" s="702">
        <f>DC132</f>
        <v/>
      </c>
      <c r="DE132" s="702">
        <f>DD132</f>
        <v/>
      </c>
      <c r="DF132" s="702">
        <f>DE132</f>
        <v/>
      </c>
      <c r="DG132" s="702">
        <f>DF132</f>
        <v/>
      </c>
    </row>
    <row r="133" customFormat="1" s="28">
      <c r="B133" s="1" t="inlineStr">
        <is>
          <t xml:space="preserve">            71000 Square Sales Tax Payable</t>
        </is>
      </c>
      <c r="C133" s="1" t="n"/>
      <c r="D133" s="2" t="n"/>
      <c r="E133" s="2" t="n"/>
      <c r="F133" s="2" t="n"/>
      <c r="G133" s="2" t="n"/>
      <c r="H133" s="2" t="n"/>
      <c r="I133" s="2" t="n"/>
      <c r="J133" s="111" t="n"/>
      <c r="K133" s="111" t="n"/>
      <c r="L133" s="111" t="n"/>
      <c r="M133" s="111" t="n"/>
      <c r="N133" s="111" t="n"/>
      <c r="O133" s="111" t="n"/>
      <c r="P133" s="111" t="n"/>
      <c r="Q133" s="111" t="n"/>
      <c r="R133" s="111" t="n"/>
      <c r="S133" s="111" t="n"/>
      <c r="T133" s="111" t="n"/>
      <c r="U133" s="111" t="n"/>
      <c r="V133" s="111" t="n"/>
      <c r="W133" s="111" t="n"/>
      <c r="X133" s="111" t="n"/>
      <c r="Y133" s="111" t="n"/>
      <c r="Z133" s="111" t="n"/>
      <c r="AA133" s="111" t="n"/>
      <c r="AB133" s="111" t="n"/>
      <c r="AC133" s="111" t="n"/>
      <c r="AD133" s="111" t="n"/>
      <c r="AE133" s="111" t="n"/>
      <c r="AF133" s="111" t="n"/>
      <c r="AG133" s="111" t="n"/>
      <c r="AH133" s="111" t="n"/>
      <c r="AI133" s="111" t="n"/>
      <c r="AJ133" s="111" t="n"/>
      <c r="AK133" s="111" t="n"/>
      <c r="AL133" s="111" t="n"/>
      <c r="AM133" s="111" t="n"/>
      <c r="AN133" s="111" t="n"/>
      <c r="AO133" s="111" t="n"/>
      <c r="AP133" s="111" t="n"/>
      <c r="AQ133" s="111" t="n"/>
      <c r="AR133" s="111" t="n"/>
      <c r="AS133" s="111" t="n"/>
      <c r="AT133" s="111" t="n"/>
      <c r="AU133" s="111" t="n"/>
      <c r="AV133" s="111" t="n"/>
      <c r="AW133" s="244" t="n"/>
      <c r="AX133" s="943" t="n"/>
      <c r="AY133" s="945" t="n"/>
      <c r="AZ133" s="702" t="n"/>
      <c r="BA133" s="702" t="n"/>
      <c r="BB133" s="702" t="n"/>
      <c r="BC133" s="702" t="n"/>
      <c r="BD133" s="702" t="n"/>
      <c r="BE133" s="702" t="n"/>
      <c r="BF133" s="702" t="n"/>
      <c r="BG133" s="702" t="n"/>
      <c r="BH133" s="702" t="n"/>
      <c r="BI133" s="702" t="n"/>
      <c r="BJ133" s="702" t="n"/>
      <c r="BK133" s="945" t="n"/>
      <c r="BL133" s="702" t="n"/>
      <c r="BM133" s="702" t="n"/>
      <c r="BN133" s="702" t="n"/>
      <c r="BO133" s="702" t="n"/>
      <c r="BP133" s="702" t="n"/>
      <c r="BQ133" s="702" t="n"/>
      <c r="BR133" s="702" t="n"/>
      <c r="BS133" s="702" t="n"/>
      <c r="BT133" s="702" t="n"/>
      <c r="BU133" s="702" t="n"/>
      <c r="BV133" s="702" t="n"/>
      <c r="BW133" s="945" t="n"/>
      <c r="BX133" s="702" t="n"/>
      <c r="BY133" s="702" t="n"/>
      <c r="BZ133" s="702" t="n"/>
      <c r="CA133" s="702" t="n"/>
      <c r="CB133" s="702" t="n"/>
      <c r="CC133" s="702" t="n"/>
      <c r="CD133" s="702" t="n"/>
      <c r="CE133" s="702" t="n"/>
      <c r="CF133" s="702" t="n"/>
      <c r="CG133" s="702" t="n"/>
      <c r="CH133" s="702" t="n"/>
      <c r="CI133" s="945" t="n"/>
      <c r="CJ133" s="702" t="n"/>
      <c r="CK133" s="702" t="n"/>
      <c r="CL133" s="702" t="n"/>
      <c r="CM133" s="702" t="n"/>
      <c r="CN133" s="702" t="n"/>
      <c r="CO133" s="702" t="n"/>
      <c r="CP133" s="702" t="n"/>
      <c r="CQ133" s="702" t="n"/>
      <c r="CR133" s="702" t="n"/>
      <c r="CS133" s="702" t="n"/>
      <c r="CT133" s="702" t="n"/>
      <c r="CU133" s="945" t="n"/>
      <c r="CV133" s="702" t="n"/>
      <c r="CW133" s="702" t="n"/>
      <c r="CX133" s="702" t="n"/>
      <c r="CY133" s="702" t="n"/>
      <c r="CZ133" s="702" t="n"/>
      <c r="DA133" s="702" t="n"/>
      <c r="DB133" s="702" t="n"/>
      <c r="DC133" s="702" t="n"/>
      <c r="DD133" s="702" t="n"/>
      <c r="DE133" s="702" t="n"/>
      <c r="DF133" s="702" t="n"/>
      <c r="DG133" s="702" t="n"/>
    </row>
    <row r="134" customFormat="1" s="28">
      <c r="B134" s="1" t="inlineStr">
        <is>
          <t xml:space="preserve">            72000 Refunds Payable</t>
        </is>
      </c>
      <c r="C134" s="1" t="n"/>
      <c r="D134" s="2" t="n"/>
      <c r="E134" s="2" t="n"/>
      <c r="F134" s="2" t="n"/>
      <c r="G134" s="2" t="n"/>
      <c r="H134" s="2" t="n"/>
      <c r="I134" s="2" t="n"/>
      <c r="J134" s="111" t="n"/>
      <c r="K134" s="111" t="n"/>
      <c r="L134" s="111" t="n"/>
      <c r="M134" s="111" t="n"/>
      <c r="N134" s="111" t="n"/>
      <c r="O134" s="111" t="n"/>
      <c r="P134" s="111" t="n"/>
      <c r="Q134" s="111" t="n"/>
      <c r="R134" s="111" t="n"/>
      <c r="S134" s="111" t="n"/>
      <c r="T134" s="111" t="n"/>
      <c r="U134" s="111" t="n"/>
      <c r="V134" s="111" t="n"/>
      <c r="W134" s="111" t="n"/>
      <c r="X134" s="111" t="n"/>
      <c r="Y134" s="111" t="n"/>
      <c r="Z134" s="111" t="n"/>
      <c r="AA134" s="111" t="n"/>
      <c r="AB134" s="111" t="n"/>
      <c r="AC134" s="111" t="n"/>
      <c r="AD134" s="111" t="n"/>
      <c r="AE134" s="111" t="n"/>
      <c r="AF134" s="111" t="n"/>
      <c r="AG134" s="111" t="n"/>
      <c r="AH134" s="111" t="n"/>
      <c r="AI134" s="111" t="n"/>
      <c r="AJ134" s="111" t="n"/>
      <c r="AK134" s="111" t="n"/>
      <c r="AL134" s="111" t="n"/>
      <c r="AM134" s="111" t="n"/>
      <c r="AN134" s="111" t="n"/>
      <c r="AO134" s="111" t="n"/>
      <c r="AP134" s="111" t="n"/>
      <c r="AQ134" s="111" t="n"/>
      <c r="AR134" s="111" t="n"/>
      <c r="AS134" s="111" t="n"/>
      <c r="AT134" s="111" t="n"/>
      <c r="AU134" s="111" t="n"/>
      <c r="AV134" s="111" t="n"/>
      <c r="AW134" s="244" t="n"/>
      <c r="AX134" s="943" t="n"/>
      <c r="AY134" s="945" t="n"/>
      <c r="AZ134" s="702" t="n"/>
      <c r="BA134" s="702" t="n"/>
      <c r="BB134" s="702" t="n"/>
      <c r="BC134" s="702" t="n"/>
      <c r="BD134" s="702" t="n"/>
      <c r="BE134" s="702" t="n"/>
      <c r="BF134" s="702" t="n"/>
      <c r="BG134" s="702" t="n"/>
      <c r="BH134" s="702" t="n"/>
      <c r="BI134" s="702" t="n"/>
      <c r="BJ134" s="702" t="n"/>
      <c r="BK134" s="945" t="n"/>
      <c r="BL134" s="702" t="n"/>
      <c r="BM134" s="702" t="n"/>
      <c r="BN134" s="702" t="n"/>
      <c r="BO134" s="702" t="n"/>
      <c r="BP134" s="702" t="n"/>
      <c r="BQ134" s="702" t="n"/>
      <c r="BR134" s="702" t="n"/>
      <c r="BS134" s="702" t="n"/>
      <c r="BT134" s="702" t="n"/>
      <c r="BU134" s="702" t="n"/>
      <c r="BV134" s="702" t="n"/>
      <c r="BW134" s="945" t="n"/>
      <c r="BX134" s="702" t="n"/>
      <c r="BY134" s="702" t="n"/>
      <c r="BZ134" s="702" t="n"/>
      <c r="CA134" s="702" t="n"/>
      <c r="CB134" s="702" t="n"/>
      <c r="CC134" s="702" t="n"/>
      <c r="CD134" s="702" t="n"/>
      <c r="CE134" s="702" t="n"/>
      <c r="CF134" s="702" t="n"/>
      <c r="CG134" s="702" t="n"/>
      <c r="CH134" s="702" t="n"/>
      <c r="CI134" s="945" t="n"/>
      <c r="CJ134" s="702" t="n"/>
      <c r="CK134" s="702" t="n"/>
      <c r="CL134" s="702" t="n"/>
      <c r="CM134" s="702" t="n"/>
      <c r="CN134" s="702" t="n"/>
      <c r="CO134" s="702" t="n"/>
      <c r="CP134" s="702" t="n"/>
      <c r="CQ134" s="702" t="n"/>
      <c r="CR134" s="702" t="n"/>
      <c r="CS134" s="702" t="n"/>
      <c r="CT134" s="702" t="n"/>
      <c r="CU134" s="945" t="n"/>
      <c r="CV134" s="702" t="n"/>
      <c r="CW134" s="702" t="n"/>
      <c r="CX134" s="702" t="n"/>
      <c r="CY134" s="702" t="n"/>
      <c r="CZ134" s="702" t="n"/>
      <c r="DA134" s="702" t="n"/>
      <c r="DB134" s="702" t="n"/>
      <c r="DC134" s="702" t="n"/>
      <c r="DD134" s="702" t="n"/>
      <c r="DE134" s="702" t="n"/>
      <c r="DF134" s="702" t="n"/>
      <c r="DG134" s="702" t="n"/>
    </row>
    <row r="135" customFormat="1" s="28">
      <c r="B135" s="1" t="inlineStr">
        <is>
          <t xml:space="preserve">            80100 Square Loan</t>
        </is>
      </c>
      <c r="C135" s="1" t="n"/>
      <c r="D135" s="2" t="n"/>
      <c r="E135" s="2" t="n"/>
      <c r="F135" s="2" t="n"/>
      <c r="G135" s="2" t="n"/>
      <c r="H135" s="2" t="n"/>
      <c r="I135" s="2" t="n"/>
      <c r="J135" s="111" t="n"/>
      <c r="K135" s="111" t="n"/>
      <c r="L135" s="111" t="n"/>
      <c r="M135" s="111" t="n"/>
      <c r="N135" s="111" t="n"/>
      <c r="O135" s="111" t="n"/>
      <c r="P135" s="111" t="n"/>
      <c r="Q135" s="111" t="n"/>
      <c r="R135" s="111" t="n"/>
      <c r="S135" s="111" t="n"/>
      <c r="T135" s="111" t="n"/>
      <c r="U135" s="111" t="n"/>
      <c r="V135" s="111" t="n"/>
      <c r="W135" s="111" t="n"/>
      <c r="X135" s="111" t="n"/>
      <c r="Y135" s="111" t="n"/>
      <c r="Z135" s="111" t="n"/>
      <c r="AA135" s="111" t="n"/>
      <c r="AB135" s="111" t="n"/>
      <c r="AC135" s="111" t="n"/>
      <c r="AD135" s="111" t="n"/>
      <c r="AE135" s="111" t="n"/>
      <c r="AF135" s="111" t="n"/>
      <c r="AG135" s="111" t="n"/>
      <c r="AH135" s="111" t="n"/>
      <c r="AI135" s="111" t="n"/>
      <c r="AJ135" s="111" t="n"/>
      <c r="AK135" s="111" t="n"/>
      <c r="AL135" s="111" t="n"/>
      <c r="AM135" s="111" t="n">
        <v>1100.09</v>
      </c>
      <c r="AN135" s="111" t="n">
        <v>878.5</v>
      </c>
      <c r="AO135" s="111" t="n">
        <v>0</v>
      </c>
      <c r="AP135" s="111" t="n">
        <v>0</v>
      </c>
      <c r="AQ135" s="111" t="n">
        <v>0</v>
      </c>
      <c r="AR135" s="111" t="n">
        <v>0</v>
      </c>
      <c r="AS135" s="111" t="n">
        <v>0</v>
      </c>
      <c r="AT135" s="111" t="n">
        <v>0</v>
      </c>
      <c r="AU135" s="111" t="n">
        <v>0</v>
      </c>
      <c r="AV135" s="111" t="n">
        <v>750</v>
      </c>
      <c r="AW135" s="244" t="n">
        <v>0</v>
      </c>
      <c r="AX135" s="943" t="n">
        <v>0</v>
      </c>
      <c r="AY135" s="945">
        <f>+IF(AX135-(AW135-AX135)&lt;0, 0, AX135-(AW135-AX135))</f>
        <v/>
      </c>
      <c r="AZ135" s="702">
        <f>+IF(AY135-(AX135-AY135)&lt;0, 0, AY135-(AX135-AY135))</f>
        <v/>
      </c>
      <c r="BA135" s="702">
        <f>+IF(AZ135-(AY135-AZ135)&lt;0, 0, AZ135-(AY135-AZ135))</f>
        <v/>
      </c>
      <c r="BB135" s="702">
        <f>+IF(BA135-(AZ135-BA135)&lt;0, 0, BA135-(AZ135-BA135))</f>
        <v/>
      </c>
      <c r="BC135" s="702">
        <f>+IF(BB135-(BA135-BB135)&lt;0, 0, BB135-(BA135-BB135))</f>
        <v/>
      </c>
      <c r="BD135" s="702">
        <f>+IF(BC135-(BB135-BC135)&lt;0, 0, BC135-(BB135-BC135))</f>
        <v/>
      </c>
      <c r="BE135" s="702">
        <f>+IF(BD135-(BC135-BD135)&lt;0, 0, BD135-(BC135-BD135))</f>
        <v/>
      </c>
      <c r="BF135" s="702">
        <f>+IF(BE135-(BD135-BE135)&lt;0, 0, BE135-(BD135-BE135))</f>
        <v/>
      </c>
      <c r="BG135" s="702">
        <f>+IF(BF135-(BE135-BF135)&lt;0, 0, BF135-(BE135-BF135))</f>
        <v/>
      </c>
      <c r="BH135" s="702">
        <f>+IF(BG135-(BF135-BG135)&lt;0, 0, BG135-(BF135-BG135))</f>
        <v/>
      </c>
      <c r="BI135" s="702">
        <f>+IF(BH135-(BG135-BH135)&lt;0, 0, BH135-(BG135-BH135))</f>
        <v/>
      </c>
      <c r="BJ135" s="702">
        <f>+IF(BI135-(BH135-BI135)&lt;0, 0, BI135-(BH135-BI135))</f>
        <v/>
      </c>
      <c r="BK135" s="945">
        <f>+IF(BJ135-(BI135-BJ135)&lt;0, 0, BJ135-(BI135-BJ135))</f>
        <v/>
      </c>
      <c r="BL135" s="702">
        <f>+IF(BK135-(BJ135-BK135)&lt;0, 0, BK135-(BJ135-BK135))</f>
        <v/>
      </c>
      <c r="BM135" s="702">
        <f>+IF(BL135-(BK135-BL135)&lt;0, 0, BL135-(BK135-BL135))</f>
        <v/>
      </c>
      <c r="BN135" s="702">
        <f>+IF(BM135-(BL135-BM135)&lt;0, 0, BM135-(BL135-BM135))</f>
        <v/>
      </c>
      <c r="BO135" s="702">
        <f>+IF(BN135-(BM135-BN135)&lt;0, 0, BN135-(BM135-BN135))</f>
        <v/>
      </c>
      <c r="BP135" s="702">
        <f>+IF(BO135-(BN135-BO135)&lt;0, 0, BO135-(BN135-BO135))</f>
        <v/>
      </c>
      <c r="BQ135" s="702">
        <f>+IF(BP135-(BO135-BP135)&lt;0, 0, BP135-(BO135-BP135))</f>
        <v/>
      </c>
      <c r="BR135" s="702">
        <f>+IF(BQ135-(BP135-BQ135)&lt;0, 0, BQ135-(BP135-BQ135))</f>
        <v/>
      </c>
      <c r="BS135" s="702">
        <f>+IF(BR135-(BQ135-BR135)&lt;0, 0, BR135-(BQ135-BR135))</f>
        <v/>
      </c>
      <c r="BT135" s="702">
        <f>+IF(BS135-(BR135-BS135)&lt;0, 0, BS135-(BR135-BS135))</f>
        <v/>
      </c>
      <c r="BU135" s="702">
        <f>+IF(BT135-(BS135-BT135)&lt;0, 0, BT135-(BS135-BT135))</f>
        <v/>
      </c>
      <c r="BV135" s="702">
        <f>+IF(BU135-(BT135-BU135)&lt;0, 0, BU135-(BT135-BU135))</f>
        <v/>
      </c>
      <c r="BW135" s="945">
        <f>+IF(BV135-(BU135-BV135)&lt;0, 0, BV135-(BU135-BV135))</f>
        <v/>
      </c>
      <c r="BX135" s="702">
        <f>+IF(BW135-(BV135-BW135)&lt;0, 0, BW135-(BV135-BW135))</f>
        <v/>
      </c>
      <c r="BY135" s="702">
        <f>+IF(BX135-(BW135-BX135)&lt;0, 0, BX135-(BW135-BX135))</f>
        <v/>
      </c>
      <c r="BZ135" s="702">
        <f>+IF(BY135-(BX135-BY135)&lt;0, 0, BY135-(BX135-BY135))</f>
        <v/>
      </c>
      <c r="CA135" s="702">
        <f>+IF(BZ135-(BY135-BZ135)&lt;0, 0, BZ135-(BY135-BZ135))</f>
        <v/>
      </c>
      <c r="CB135" s="702">
        <f>+IF(CA135-(BZ135-CA135)&lt;0, 0, CA135-(BZ135-CA135))</f>
        <v/>
      </c>
      <c r="CC135" s="702">
        <f>+IF(CB135-(CA135-CB135)&lt;0, 0, CB135-(CA135-CB135))</f>
        <v/>
      </c>
      <c r="CD135" s="702">
        <f>+IF(CC135-(CB135-CC135)&lt;0, 0, CC135-(CB135-CC135))</f>
        <v/>
      </c>
      <c r="CE135" s="702">
        <f>+IF(CD135-(CC135-CD135)&lt;0, 0, CD135-(CC135-CD135))</f>
        <v/>
      </c>
      <c r="CF135" s="702">
        <f>+IF(CE135-(CD135-CE135)&lt;0, 0, CE135-(CD135-CE135))</f>
        <v/>
      </c>
      <c r="CG135" s="702">
        <f>+IF(CF135-(CE135-CF135)&lt;0, 0, CF135-(CE135-CF135))</f>
        <v/>
      </c>
      <c r="CH135" s="702">
        <f>+IF(CG135-(CF135-CG135)&lt;0, 0, CG135-(CF135-CG135))</f>
        <v/>
      </c>
      <c r="CI135" s="945">
        <f>+IF(CH135-(CG135-CH135)&lt;0, 0, CH135-(CG135-CH135))</f>
        <v/>
      </c>
      <c r="CJ135" s="702">
        <f>+IF(CI135-(CH135-CI135)&lt;0, 0, CI135-(CH135-CI135))</f>
        <v/>
      </c>
      <c r="CK135" s="702">
        <f>+IF(CJ135-(CI135-CJ135)&lt;0, 0, CJ135-(CI135-CJ135))</f>
        <v/>
      </c>
      <c r="CL135" s="702">
        <f>+IF(CK135-(CJ135-CK135)&lt;0, 0, CK135-(CJ135-CK135))</f>
        <v/>
      </c>
      <c r="CM135" s="702">
        <f>+IF(CL135-(CK135-CL135)&lt;0, 0, CL135-(CK135-CL135))</f>
        <v/>
      </c>
      <c r="CN135" s="702">
        <f>+IF(CM135-(CL135-CM135)&lt;0, 0, CM135-(CL135-CM135))</f>
        <v/>
      </c>
      <c r="CO135" s="702">
        <f>+IF(CN135-(CM135-CN135)&lt;0, 0, CN135-(CM135-CN135))</f>
        <v/>
      </c>
      <c r="CP135" s="702">
        <f>+IF(CO135-(CN135-CO135)&lt;0, 0, CO135-(CN135-CO135))</f>
        <v/>
      </c>
      <c r="CQ135" s="702">
        <f>+IF(CP135-(CO135-CP135)&lt;0, 0, CP135-(CO135-CP135))</f>
        <v/>
      </c>
      <c r="CR135" s="702">
        <f>+IF(CQ135-(CP135-CQ135)&lt;0, 0, CQ135-(CP135-CQ135))</f>
        <v/>
      </c>
      <c r="CS135" s="702">
        <f>+IF(CR135-(CQ135-CR135)&lt;0, 0, CR135-(CQ135-CR135))</f>
        <v/>
      </c>
      <c r="CT135" s="702">
        <f>+IF(CS135-(CR135-CS135)&lt;0, 0, CS135-(CR135-CS135))</f>
        <v/>
      </c>
      <c r="CU135" s="945">
        <f>+IF(CT135-(CS135-CT135)&lt;0, 0, CT135-(CS135-CT135))</f>
        <v/>
      </c>
      <c r="CV135" s="702">
        <f>+IF(CU135-(CT135-CU135)&lt;0, 0, CU135-(CT135-CU135))</f>
        <v/>
      </c>
      <c r="CW135" s="702">
        <f>+IF(CV135-(CU135-CV135)&lt;0, 0, CV135-(CU135-CV135))</f>
        <v/>
      </c>
      <c r="CX135" s="702">
        <f>+IF(CW135-(CV135-CW135)&lt;0, 0, CW135-(CV135-CW135))</f>
        <v/>
      </c>
      <c r="CY135" s="702">
        <f>+IF(CX135-(CW135-CX135)&lt;0, 0, CX135-(CW135-CX135))</f>
        <v/>
      </c>
      <c r="CZ135" s="702">
        <f>+IF(CY135-(CX135-CY135)&lt;0, 0, CY135-(CX135-CY135))</f>
        <v/>
      </c>
      <c r="DA135" s="702">
        <f>+IF(CZ135-(CY135-CZ135)&lt;0, 0, CZ135-(CY135-CZ135))</f>
        <v/>
      </c>
      <c r="DB135" s="702">
        <f>+IF(DA135-(CZ135-DA135)&lt;0, 0, DA135-(CZ135-DA135))</f>
        <v/>
      </c>
      <c r="DC135" s="702">
        <f>+IF(DB135-(DA135-DB135)&lt;0, 0, DB135-(DA135-DB135))</f>
        <v/>
      </c>
      <c r="DD135" s="702">
        <f>+IF(DC135-(DB135-DC135)&lt;0, 0, DC135-(DB135-DC135))</f>
        <v/>
      </c>
      <c r="DE135" s="702">
        <f>+IF(DD135-(DC135-DD135)&lt;0, 0, DD135-(DC135-DD135))</f>
        <v/>
      </c>
      <c r="DF135" s="702">
        <f>+IF(DE135-(DD135-DE135)&lt;0, 0, DE135-(DD135-DE135))</f>
        <v/>
      </c>
      <c r="DG135" s="702">
        <f>+IF(DF135-(DE135-DF135)&lt;0, 0, DF135-(DE135-DF135))</f>
        <v/>
      </c>
    </row>
    <row r="136" customFormat="1" s="28">
      <c r="B136" s="1" t="inlineStr">
        <is>
          <t xml:space="preserve">            90000 Payroll Liabilities</t>
        </is>
      </c>
      <c r="C136" s="1" t="n"/>
      <c r="D136" s="2" t="n"/>
      <c r="E136" s="2" t="n"/>
      <c r="F136" s="2" t="n"/>
      <c r="G136" s="2" t="n"/>
      <c r="H136" s="2" t="n"/>
      <c r="I136" s="2" t="n"/>
      <c r="J136" s="111" t="n"/>
      <c r="K136" s="111" t="n"/>
      <c r="L136" s="111" t="n"/>
      <c r="M136" s="111" t="n"/>
      <c r="N136" s="111" t="n"/>
      <c r="O136" s="111" t="n"/>
      <c r="P136" s="111" t="n"/>
      <c r="Q136" s="111" t="n"/>
      <c r="R136" s="111" t="n"/>
      <c r="S136" s="111" t="n"/>
      <c r="T136" s="111" t="n"/>
      <c r="U136" s="111" t="n"/>
      <c r="V136" s="111" t="n"/>
      <c r="W136" s="111" t="n"/>
      <c r="X136" s="111" t="n"/>
      <c r="Y136" s="111" t="n"/>
      <c r="Z136" s="111" t="n"/>
      <c r="AA136" s="111" t="n"/>
      <c r="AB136" s="111" t="n"/>
      <c r="AC136" s="111" t="n"/>
      <c r="AD136" s="111" t="n"/>
      <c r="AE136" s="111" t="n"/>
      <c r="AF136" s="111" t="n"/>
      <c r="AG136" s="111" t="n"/>
      <c r="AH136" s="111" t="n"/>
      <c r="AI136" s="111" t="n"/>
      <c r="AJ136" s="111" t="n"/>
      <c r="AK136" s="111" t="n"/>
      <c r="AL136" s="111" t="n"/>
      <c r="AM136" s="111" t="n"/>
      <c r="AN136" s="111" t="n"/>
      <c r="AO136" s="111" t="n">
        <v>0</v>
      </c>
      <c r="AP136" s="111" t="n">
        <v>0</v>
      </c>
      <c r="AQ136" s="111" t="n">
        <v>0</v>
      </c>
      <c r="AR136" s="111" t="n">
        <v>0</v>
      </c>
      <c r="AS136" s="111" t="n">
        <v>0</v>
      </c>
      <c r="AT136" s="111" t="n">
        <v>0</v>
      </c>
      <c r="AU136" s="111" t="n">
        <v>0</v>
      </c>
      <c r="AV136" s="111" t="n">
        <v>0</v>
      </c>
      <c r="AW136" s="244" t="n">
        <v>0</v>
      </c>
      <c r="AX136" s="943">
        <f>+AW136</f>
        <v/>
      </c>
      <c r="AY136" s="945">
        <f>+AX136</f>
        <v/>
      </c>
      <c r="AZ136" s="702">
        <f>+AY136</f>
        <v/>
      </c>
      <c r="BA136" s="702">
        <f>+AZ136</f>
        <v/>
      </c>
      <c r="BB136" s="702">
        <f>+BA136</f>
        <v/>
      </c>
      <c r="BC136" s="702">
        <f>+BB136</f>
        <v/>
      </c>
      <c r="BD136" s="702">
        <f>+BC136</f>
        <v/>
      </c>
      <c r="BE136" s="702">
        <f>+BD136</f>
        <v/>
      </c>
      <c r="BF136" s="702">
        <f>+BE136</f>
        <v/>
      </c>
      <c r="BG136" s="702">
        <f>+BF136</f>
        <v/>
      </c>
      <c r="BH136" s="702">
        <f>+BG136</f>
        <v/>
      </c>
      <c r="BI136" s="702">
        <f>+BH136</f>
        <v/>
      </c>
      <c r="BJ136" s="702">
        <f>+BI136</f>
        <v/>
      </c>
      <c r="BK136" s="945">
        <f>+BJ136</f>
        <v/>
      </c>
      <c r="BL136" s="702">
        <f>+BK136</f>
        <v/>
      </c>
      <c r="BM136" s="702">
        <f>+BL136</f>
        <v/>
      </c>
      <c r="BN136" s="702">
        <f>+BM136</f>
        <v/>
      </c>
      <c r="BO136" s="702">
        <f>+BN136</f>
        <v/>
      </c>
      <c r="BP136" s="702">
        <f>+BO136</f>
        <v/>
      </c>
      <c r="BQ136" s="702">
        <f>+BP136</f>
        <v/>
      </c>
      <c r="BR136" s="702">
        <f>+BQ136</f>
        <v/>
      </c>
      <c r="BS136" s="702">
        <f>+BR136</f>
        <v/>
      </c>
      <c r="BT136" s="702">
        <f>+BS136</f>
        <v/>
      </c>
      <c r="BU136" s="702">
        <f>+BT136</f>
        <v/>
      </c>
      <c r="BV136" s="702">
        <f>+BU136</f>
        <v/>
      </c>
      <c r="BW136" s="945">
        <f>+BV136</f>
        <v/>
      </c>
      <c r="BX136" s="702">
        <f>+BW136</f>
        <v/>
      </c>
      <c r="BY136" s="702">
        <f>+BX136</f>
        <v/>
      </c>
      <c r="BZ136" s="702">
        <f>+BY136</f>
        <v/>
      </c>
      <c r="CA136" s="702">
        <f>+BZ136</f>
        <v/>
      </c>
      <c r="CB136" s="702">
        <f>+CA136</f>
        <v/>
      </c>
      <c r="CC136" s="702">
        <f>+CB136</f>
        <v/>
      </c>
      <c r="CD136" s="702">
        <f>+CC136</f>
        <v/>
      </c>
      <c r="CE136" s="702">
        <f>+CD136</f>
        <v/>
      </c>
      <c r="CF136" s="702">
        <f>+CE136</f>
        <v/>
      </c>
      <c r="CG136" s="702">
        <f>+CF136</f>
        <v/>
      </c>
      <c r="CH136" s="702">
        <f>+CG136</f>
        <v/>
      </c>
      <c r="CI136" s="945">
        <f>+CH136</f>
        <v/>
      </c>
      <c r="CJ136" s="702">
        <f>+CI136</f>
        <v/>
      </c>
      <c r="CK136" s="702">
        <f>+CJ136</f>
        <v/>
      </c>
      <c r="CL136" s="702">
        <f>+CK136</f>
        <v/>
      </c>
      <c r="CM136" s="702">
        <f>+CL136</f>
        <v/>
      </c>
      <c r="CN136" s="702">
        <f>+CM136</f>
        <v/>
      </c>
      <c r="CO136" s="702">
        <f>+CN136</f>
        <v/>
      </c>
      <c r="CP136" s="702">
        <f>+CO136</f>
        <v/>
      </c>
      <c r="CQ136" s="702">
        <f>+CP136</f>
        <v/>
      </c>
      <c r="CR136" s="702">
        <f>+CQ136</f>
        <v/>
      </c>
      <c r="CS136" s="702">
        <f>+CR136</f>
        <v/>
      </c>
      <c r="CT136" s="702">
        <f>+CS136</f>
        <v/>
      </c>
      <c r="CU136" s="945">
        <f>+CT136</f>
        <v/>
      </c>
      <c r="CV136" s="702">
        <f>+CU136</f>
        <v/>
      </c>
      <c r="CW136" s="702">
        <f>+CV136</f>
        <v/>
      </c>
      <c r="CX136" s="702">
        <f>+CW136</f>
        <v/>
      </c>
      <c r="CY136" s="702">
        <f>+CX136</f>
        <v/>
      </c>
      <c r="CZ136" s="702">
        <f>+CY136</f>
        <v/>
      </c>
      <c r="DA136" s="702">
        <f>+CZ136</f>
        <v/>
      </c>
      <c r="DB136" s="702">
        <f>+DA136</f>
        <v/>
      </c>
      <c r="DC136" s="702">
        <f>+DB136</f>
        <v/>
      </c>
      <c r="DD136" s="702">
        <f>+DC136</f>
        <v/>
      </c>
      <c r="DE136" s="702">
        <f>+DD136</f>
        <v/>
      </c>
      <c r="DF136" s="702">
        <f>+DE136</f>
        <v/>
      </c>
      <c r="DG136" s="702">
        <f>+DF136</f>
        <v/>
      </c>
    </row>
    <row r="137" customFormat="1" s="28">
      <c r="B137" s="1" t="inlineStr">
        <is>
          <t xml:space="preserve">               90100 Payroll Wages Payable</t>
        </is>
      </c>
      <c r="C137" s="1" t="n"/>
      <c r="D137" s="2" t="n"/>
      <c r="E137" s="2" t="n"/>
      <c r="F137" s="2" t="n"/>
      <c r="G137" s="2" t="n"/>
      <c r="H137" s="2" t="n"/>
      <c r="I137" s="2" t="n"/>
      <c r="J137" s="111" t="n"/>
      <c r="K137" s="111" t="n"/>
      <c r="L137" s="111" t="n"/>
      <c r="M137" s="111" t="n"/>
      <c r="N137" s="111" t="n"/>
      <c r="O137" s="111" t="n"/>
      <c r="P137" s="111" t="n"/>
      <c r="Q137" s="111" t="n"/>
      <c r="R137" s="111" t="n"/>
      <c r="S137" s="111" t="n"/>
      <c r="T137" s="111" t="n"/>
      <c r="U137" s="111" t="n"/>
      <c r="V137" s="111" t="n"/>
      <c r="W137" s="111" t="n"/>
      <c r="X137" s="111" t="n"/>
      <c r="Y137" s="111" t="n"/>
      <c r="Z137" s="111" t="n"/>
      <c r="AA137" s="111" t="n"/>
      <c r="AB137" s="111" t="n"/>
      <c r="AC137" s="111" t="n"/>
      <c r="AD137" s="111" t="n"/>
      <c r="AE137" s="111" t="n"/>
      <c r="AF137" s="111" t="n"/>
      <c r="AG137" s="111" t="n"/>
      <c r="AH137" s="111" t="n"/>
      <c r="AI137" s="111" t="n"/>
      <c r="AJ137" s="111" t="n"/>
      <c r="AK137" s="111" t="n"/>
      <c r="AL137" s="111" t="n"/>
      <c r="AM137" s="111" t="n"/>
      <c r="AN137" s="111" t="n"/>
      <c r="AO137" s="111" t="n">
        <v>741.05</v>
      </c>
      <c r="AP137" s="111" t="n">
        <v>719.88</v>
      </c>
      <c r="AQ137" s="111" t="n">
        <v>988.86</v>
      </c>
      <c r="AR137" s="111" t="n">
        <v>1190.2</v>
      </c>
      <c r="AS137" s="111" t="n">
        <v>600.27</v>
      </c>
      <c r="AT137" s="111" t="n">
        <v>900.42</v>
      </c>
      <c r="AU137" s="111" t="n">
        <v>644.0700000000001</v>
      </c>
      <c r="AV137" s="111" t="n">
        <v>300.14</v>
      </c>
      <c r="AW137" s="244" t="n">
        <v>325</v>
      </c>
      <c r="AX137" s="943">
        <f>+AW137/2</f>
        <v/>
      </c>
      <c r="AY137" s="945">
        <f>+AX137</f>
        <v/>
      </c>
      <c r="AZ137" s="702">
        <f>+AY137</f>
        <v/>
      </c>
      <c r="BA137" s="702">
        <f>+AZ137</f>
        <v/>
      </c>
      <c r="BB137" s="702">
        <f>+BA137</f>
        <v/>
      </c>
      <c r="BC137" s="702">
        <f>+BB137</f>
        <v/>
      </c>
      <c r="BD137" s="702">
        <f>+BC137</f>
        <v/>
      </c>
      <c r="BE137" s="702">
        <f>+BD137</f>
        <v/>
      </c>
      <c r="BF137" s="702">
        <f>+BE137</f>
        <v/>
      </c>
      <c r="BG137" s="702">
        <f>+BF137</f>
        <v/>
      </c>
      <c r="BH137" s="702">
        <f>+BG137</f>
        <v/>
      </c>
      <c r="BI137" s="702">
        <f>+BH137</f>
        <v/>
      </c>
      <c r="BJ137" s="702">
        <f>+BI137</f>
        <v/>
      </c>
      <c r="BK137" s="945">
        <f>+BJ137</f>
        <v/>
      </c>
      <c r="BL137" s="702">
        <f>+BK137</f>
        <v/>
      </c>
      <c r="BM137" s="702">
        <f>+BL137</f>
        <v/>
      </c>
      <c r="BN137" s="702">
        <f>+BM137</f>
        <v/>
      </c>
      <c r="BO137" s="702">
        <f>+BN137</f>
        <v/>
      </c>
      <c r="BP137" s="702">
        <f>+BO137</f>
        <v/>
      </c>
      <c r="BQ137" s="702">
        <f>+BP137</f>
        <v/>
      </c>
      <c r="BR137" s="702">
        <f>+BQ137</f>
        <v/>
      </c>
      <c r="BS137" s="702">
        <f>+BR137</f>
        <v/>
      </c>
      <c r="BT137" s="702">
        <f>+BS137</f>
        <v/>
      </c>
      <c r="BU137" s="702">
        <f>+BT137</f>
        <v/>
      </c>
      <c r="BV137" s="702">
        <f>+BU137</f>
        <v/>
      </c>
      <c r="BW137" s="945">
        <f>+BV137</f>
        <v/>
      </c>
      <c r="BX137" s="702">
        <f>+BW137</f>
        <v/>
      </c>
      <c r="BY137" s="702">
        <f>+BX137</f>
        <v/>
      </c>
      <c r="BZ137" s="702">
        <f>+BY137</f>
        <v/>
      </c>
      <c r="CA137" s="702">
        <f>+BZ137</f>
        <v/>
      </c>
      <c r="CB137" s="702">
        <f>+CA137</f>
        <v/>
      </c>
      <c r="CC137" s="702">
        <f>+CB137</f>
        <v/>
      </c>
      <c r="CD137" s="702">
        <f>+CC137</f>
        <v/>
      </c>
      <c r="CE137" s="702">
        <f>+CD137</f>
        <v/>
      </c>
      <c r="CF137" s="702">
        <f>+CE137</f>
        <v/>
      </c>
      <c r="CG137" s="702">
        <f>+CF137</f>
        <v/>
      </c>
      <c r="CH137" s="702">
        <f>+CG137</f>
        <v/>
      </c>
      <c r="CI137" s="945">
        <f>+CH137</f>
        <v/>
      </c>
      <c r="CJ137" s="702">
        <f>+CI137</f>
        <v/>
      </c>
      <c r="CK137" s="702">
        <f>+CJ137</f>
        <v/>
      </c>
      <c r="CL137" s="702">
        <f>+CK137</f>
        <v/>
      </c>
      <c r="CM137" s="702">
        <f>+CL137</f>
        <v/>
      </c>
      <c r="CN137" s="702">
        <f>+CM137</f>
        <v/>
      </c>
      <c r="CO137" s="702">
        <f>+CN137</f>
        <v/>
      </c>
      <c r="CP137" s="702">
        <f>+CO137</f>
        <v/>
      </c>
      <c r="CQ137" s="702">
        <f>+CP137</f>
        <v/>
      </c>
      <c r="CR137" s="702">
        <f>+CQ137</f>
        <v/>
      </c>
      <c r="CS137" s="702">
        <f>+CR137</f>
        <v/>
      </c>
      <c r="CT137" s="702">
        <f>+CS137</f>
        <v/>
      </c>
      <c r="CU137" s="945">
        <f>+CT137</f>
        <v/>
      </c>
      <c r="CV137" s="702">
        <f>+CU137</f>
        <v/>
      </c>
      <c r="CW137" s="702">
        <f>+CV137</f>
        <v/>
      </c>
      <c r="CX137" s="702">
        <f>+CW137</f>
        <v/>
      </c>
      <c r="CY137" s="702">
        <f>+CX137</f>
        <v/>
      </c>
      <c r="CZ137" s="702">
        <f>+CY137</f>
        <v/>
      </c>
      <c r="DA137" s="702">
        <f>+CZ137</f>
        <v/>
      </c>
      <c r="DB137" s="702">
        <f>+DA137</f>
        <v/>
      </c>
      <c r="DC137" s="702">
        <f>+DB137</f>
        <v/>
      </c>
      <c r="DD137" s="702">
        <f>+DC137</f>
        <v/>
      </c>
      <c r="DE137" s="702">
        <f>+DD137</f>
        <v/>
      </c>
      <c r="DF137" s="702">
        <f>+DE137</f>
        <v/>
      </c>
      <c r="DG137" s="702">
        <f>+DF137</f>
        <v/>
      </c>
    </row>
    <row r="138" customFormat="1" s="28">
      <c r="B138" s="1" t="inlineStr">
        <is>
          <t xml:space="preserve">               90200 Payroll Taxes Payable</t>
        </is>
      </c>
      <c r="C138" s="1" t="n"/>
      <c r="D138" s="2" t="n"/>
      <c r="E138" s="2" t="n"/>
      <c r="F138" s="2" t="n"/>
      <c r="G138" s="2" t="n"/>
      <c r="H138" s="2" t="n"/>
      <c r="I138" s="2" t="n"/>
      <c r="J138" s="111" t="n"/>
      <c r="K138" s="111" t="n"/>
      <c r="L138" s="111" t="n"/>
      <c r="M138" s="111" t="n"/>
      <c r="N138" s="111" t="n"/>
      <c r="O138" s="111" t="n"/>
      <c r="P138" s="111" t="n"/>
      <c r="Q138" s="111" t="n"/>
      <c r="R138" s="111" t="n"/>
      <c r="S138" s="111" t="n"/>
      <c r="T138" s="111" t="n"/>
      <c r="U138" s="111" t="n"/>
      <c r="V138" s="111" t="n"/>
      <c r="W138" s="111" t="n"/>
      <c r="X138" s="111" t="n"/>
      <c r="Y138" s="111" t="n"/>
      <c r="Z138" s="111" t="n"/>
      <c r="AA138" s="111" t="n"/>
      <c r="AB138" s="111" t="n"/>
      <c r="AC138" s="111" t="n"/>
      <c r="AD138" s="111" t="n"/>
      <c r="AE138" s="111" t="n"/>
      <c r="AF138" s="111" t="n"/>
      <c r="AG138" s="111" t="n"/>
      <c r="AH138" s="111" t="n"/>
      <c r="AI138" s="111" t="n"/>
      <c r="AJ138" s="111" t="n"/>
      <c r="AK138" s="111" t="n"/>
      <c r="AL138" s="111" t="n"/>
      <c r="AM138" s="111" t="n"/>
      <c r="AN138" s="111" t="n"/>
      <c r="AO138" s="111" t="n">
        <v>-63.15</v>
      </c>
      <c r="AP138" s="111" t="n">
        <v>-126.3</v>
      </c>
      <c r="AQ138" s="111" t="n">
        <v>117.46</v>
      </c>
      <c r="AR138" s="111" t="n">
        <v>70.62</v>
      </c>
      <c r="AS138" s="111" t="n">
        <v>-70.27</v>
      </c>
      <c r="AT138" s="111" t="n">
        <v>-14.39</v>
      </c>
      <c r="AU138" s="111" t="n">
        <v>132.54</v>
      </c>
      <c r="AV138" s="111" t="n">
        <v>49.72</v>
      </c>
      <c r="AW138" s="244" t="n">
        <v>24.87</v>
      </c>
      <c r="AX138" s="943">
        <f>+AW138</f>
        <v/>
      </c>
      <c r="AY138" s="945">
        <f>+AX138</f>
        <v/>
      </c>
      <c r="AZ138" s="702">
        <f>+AY138</f>
        <v/>
      </c>
      <c r="BA138" s="702">
        <f>+AZ138</f>
        <v/>
      </c>
      <c r="BB138" s="702">
        <f>+BA138</f>
        <v/>
      </c>
      <c r="BC138" s="702">
        <f>+BB138</f>
        <v/>
      </c>
      <c r="BD138" s="702">
        <f>+BC138</f>
        <v/>
      </c>
      <c r="BE138" s="702">
        <f>+BD138</f>
        <v/>
      </c>
      <c r="BF138" s="702">
        <f>+BE138</f>
        <v/>
      </c>
      <c r="BG138" s="702">
        <f>+BF138</f>
        <v/>
      </c>
      <c r="BH138" s="702">
        <f>+BG138</f>
        <v/>
      </c>
      <c r="BI138" s="702">
        <f>+BH138</f>
        <v/>
      </c>
      <c r="BJ138" s="702">
        <f>+BI138</f>
        <v/>
      </c>
      <c r="BK138" s="945">
        <f>+BJ138</f>
        <v/>
      </c>
      <c r="BL138" s="702">
        <f>+BK138</f>
        <v/>
      </c>
      <c r="BM138" s="702">
        <f>+BL138</f>
        <v/>
      </c>
      <c r="BN138" s="702">
        <f>+BM138</f>
        <v/>
      </c>
      <c r="BO138" s="702">
        <f>+BN138</f>
        <v/>
      </c>
      <c r="BP138" s="702">
        <f>+BO138</f>
        <v/>
      </c>
      <c r="BQ138" s="702">
        <f>+BP138</f>
        <v/>
      </c>
      <c r="BR138" s="702">
        <f>+BQ138</f>
        <v/>
      </c>
      <c r="BS138" s="702">
        <f>+BR138</f>
        <v/>
      </c>
      <c r="BT138" s="702">
        <f>+BS138</f>
        <v/>
      </c>
      <c r="BU138" s="702">
        <f>+BT138</f>
        <v/>
      </c>
      <c r="BV138" s="702">
        <f>+BU138</f>
        <v/>
      </c>
      <c r="BW138" s="945">
        <f>+BV138</f>
        <v/>
      </c>
      <c r="BX138" s="702">
        <f>+BW138</f>
        <v/>
      </c>
      <c r="BY138" s="702">
        <f>+BX138</f>
        <v/>
      </c>
      <c r="BZ138" s="702">
        <f>+BY138</f>
        <v/>
      </c>
      <c r="CA138" s="702">
        <f>+BZ138</f>
        <v/>
      </c>
      <c r="CB138" s="702">
        <f>+CA138</f>
        <v/>
      </c>
      <c r="CC138" s="702">
        <f>+CB138</f>
        <v/>
      </c>
      <c r="CD138" s="702">
        <f>+CC138</f>
        <v/>
      </c>
      <c r="CE138" s="702">
        <f>+CD138</f>
        <v/>
      </c>
      <c r="CF138" s="702">
        <f>+CE138</f>
        <v/>
      </c>
      <c r="CG138" s="702">
        <f>+CF138</f>
        <v/>
      </c>
      <c r="CH138" s="702">
        <f>+CG138</f>
        <v/>
      </c>
      <c r="CI138" s="945">
        <f>+CH138</f>
        <v/>
      </c>
      <c r="CJ138" s="702">
        <f>+CI138</f>
        <v/>
      </c>
      <c r="CK138" s="702">
        <f>+CJ138</f>
        <v/>
      </c>
      <c r="CL138" s="702">
        <f>+CK138</f>
        <v/>
      </c>
      <c r="CM138" s="702">
        <f>+CL138</f>
        <v/>
      </c>
      <c r="CN138" s="702">
        <f>+CM138</f>
        <v/>
      </c>
      <c r="CO138" s="702">
        <f>+CN138</f>
        <v/>
      </c>
      <c r="CP138" s="702">
        <f>+CO138</f>
        <v/>
      </c>
      <c r="CQ138" s="702">
        <f>+CP138</f>
        <v/>
      </c>
      <c r="CR138" s="702">
        <f>+CQ138</f>
        <v/>
      </c>
      <c r="CS138" s="702">
        <f>+CR138</f>
        <v/>
      </c>
      <c r="CT138" s="702">
        <f>+CS138</f>
        <v/>
      </c>
      <c r="CU138" s="945">
        <f>+CT138</f>
        <v/>
      </c>
      <c r="CV138" s="702">
        <f>+CU138</f>
        <v/>
      </c>
      <c r="CW138" s="702">
        <f>+CV138</f>
        <v/>
      </c>
      <c r="CX138" s="702">
        <f>+CW138</f>
        <v/>
      </c>
      <c r="CY138" s="702">
        <f>+CX138</f>
        <v/>
      </c>
      <c r="CZ138" s="702">
        <f>+CY138</f>
        <v/>
      </c>
      <c r="DA138" s="702">
        <f>+CZ138</f>
        <v/>
      </c>
      <c r="DB138" s="702">
        <f>+DA138</f>
        <v/>
      </c>
      <c r="DC138" s="702">
        <f>+DB138</f>
        <v/>
      </c>
      <c r="DD138" s="702">
        <f>+DC138</f>
        <v/>
      </c>
      <c r="DE138" s="702">
        <f>+DD138</f>
        <v/>
      </c>
      <c r="DF138" s="702">
        <f>+DE138</f>
        <v/>
      </c>
      <c r="DG138" s="702">
        <f>+DF138</f>
        <v/>
      </c>
    </row>
    <row r="139" customFormat="1" s="28">
      <c r="B139" s="1" t="inlineStr">
        <is>
          <t xml:space="preserve">               90300 Reimbursements Payable</t>
        </is>
      </c>
      <c r="C139" s="1" t="n"/>
      <c r="D139" s="2" t="n"/>
      <c r="E139" s="2" t="n"/>
      <c r="F139" s="2" t="n"/>
      <c r="G139" s="2" t="n"/>
      <c r="H139" s="2" t="n"/>
      <c r="I139" s="2" t="n"/>
      <c r="J139" s="111" t="n"/>
      <c r="K139" s="111" t="n"/>
      <c r="L139" s="111" t="n"/>
      <c r="M139" s="111" t="n"/>
      <c r="N139" s="111" t="n"/>
      <c r="O139" s="111" t="n"/>
      <c r="P139" s="111" t="n"/>
      <c r="Q139" s="111" t="n"/>
      <c r="R139" s="111" t="n"/>
      <c r="S139" s="111" t="n"/>
      <c r="T139" s="111" t="n"/>
      <c r="U139" s="111" t="n"/>
      <c r="V139" s="111" t="n"/>
      <c r="W139" s="111" t="n"/>
      <c r="X139" s="111" t="n"/>
      <c r="Y139" s="111" t="n"/>
      <c r="Z139" s="111" t="n"/>
      <c r="AA139" s="111" t="n"/>
      <c r="AB139" s="111" t="n"/>
      <c r="AC139" s="111" t="n"/>
      <c r="AD139" s="111" t="n"/>
      <c r="AE139" s="111" t="n"/>
      <c r="AF139" s="111" t="n"/>
      <c r="AG139" s="111" t="n"/>
      <c r="AH139" s="111" t="n"/>
      <c r="AI139" s="111" t="n"/>
      <c r="AJ139" s="111" t="n"/>
      <c r="AK139" s="111" t="n"/>
      <c r="AL139" s="111" t="n"/>
      <c r="AM139" s="111" t="n"/>
      <c r="AN139" s="111" t="n"/>
      <c r="AO139" s="111" t="n">
        <v>0</v>
      </c>
      <c r="AP139" s="111" t="n">
        <v>0</v>
      </c>
      <c r="AQ139" s="111" t="n">
        <v>-12.57</v>
      </c>
      <c r="AR139" s="111" t="n">
        <v>-25.14</v>
      </c>
      <c r="AS139" s="111" t="n">
        <v>-363.97</v>
      </c>
      <c r="AT139" s="111" t="n">
        <v>-731.8</v>
      </c>
      <c r="AU139" s="111" t="n">
        <v>-957.63</v>
      </c>
      <c r="AV139" s="111" t="n">
        <v>-1002.89</v>
      </c>
      <c r="AW139" s="244" t="n">
        <v>-1048.15</v>
      </c>
      <c r="AX139" s="943" t="n">
        <v>0</v>
      </c>
      <c r="AY139" s="945">
        <f>+AX139</f>
        <v/>
      </c>
      <c r="AZ139" s="702">
        <f>+AY139</f>
        <v/>
      </c>
      <c r="BA139" s="702">
        <f>+AZ139</f>
        <v/>
      </c>
      <c r="BB139" s="702">
        <f>+BA139</f>
        <v/>
      </c>
      <c r="BC139" s="702">
        <f>+BB139</f>
        <v/>
      </c>
      <c r="BD139" s="702">
        <f>+BC139</f>
        <v/>
      </c>
      <c r="BE139" s="702">
        <f>+BD139</f>
        <v/>
      </c>
      <c r="BF139" s="702">
        <f>+BE139</f>
        <v/>
      </c>
      <c r="BG139" s="702">
        <f>+BF139</f>
        <v/>
      </c>
      <c r="BH139" s="702">
        <f>+BG139</f>
        <v/>
      </c>
      <c r="BI139" s="702">
        <f>+BH139</f>
        <v/>
      </c>
      <c r="BJ139" s="702">
        <f>+BI139</f>
        <v/>
      </c>
      <c r="BK139" s="945">
        <f>+BJ139</f>
        <v/>
      </c>
      <c r="BL139" s="702">
        <f>+BK139</f>
        <v/>
      </c>
      <c r="BM139" s="702">
        <f>+BL139</f>
        <v/>
      </c>
      <c r="BN139" s="702">
        <f>+BM139</f>
        <v/>
      </c>
      <c r="BO139" s="702">
        <f>+BN139</f>
        <v/>
      </c>
      <c r="BP139" s="702">
        <f>+BO139</f>
        <v/>
      </c>
      <c r="BQ139" s="702">
        <f>+BP139</f>
        <v/>
      </c>
      <c r="BR139" s="702">
        <f>+BQ139</f>
        <v/>
      </c>
      <c r="BS139" s="702">
        <f>+BR139</f>
        <v/>
      </c>
      <c r="BT139" s="702">
        <f>+BS139</f>
        <v/>
      </c>
      <c r="BU139" s="702">
        <f>+BT139</f>
        <v/>
      </c>
      <c r="BV139" s="702">
        <f>+BU139</f>
        <v/>
      </c>
      <c r="BW139" s="945">
        <f>+BV139</f>
        <v/>
      </c>
      <c r="BX139" s="702">
        <f>+BW139</f>
        <v/>
      </c>
      <c r="BY139" s="702">
        <f>+BX139</f>
        <v/>
      </c>
      <c r="BZ139" s="702">
        <f>+BY139</f>
        <v/>
      </c>
      <c r="CA139" s="702">
        <f>+BZ139</f>
        <v/>
      </c>
      <c r="CB139" s="702">
        <f>+CA139</f>
        <v/>
      </c>
      <c r="CC139" s="702">
        <f>+CB139</f>
        <v/>
      </c>
      <c r="CD139" s="702">
        <f>+CC139</f>
        <v/>
      </c>
      <c r="CE139" s="702">
        <f>+CD139</f>
        <v/>
      </c>
      <c r="CF139" s="702">
        <f>+CE139</f>
        <v/>
      </c>
      <c r="CG139" s="702">
        <f>+CF139</f>
        <v/>
      </c>
      <c r="CH139" s="702">
        <f>+CG139</f>
        <v/>
      </c>
      <c r="CI139" s="945">
        <f>+CH139</f>
        <v/>
      </c>
      <c r="CJ139" s="702">
        <f>+CI139</f>
        <v/>
      </c>
      <c r="CK139" s="702">
        <f>+CJ139</f>
        <v/>
      </c>
      <c r="CL139" s="702">
        <f>+CK139</f>
        <v/>
      </c>
      <c r="CM139" s="702">
        <f>+CL139</f>
        <v/>
      </c>
      <c r="CN139" s="702">
        <f>+CM139</f>
        <v/>
      </c>
      <c r="CO139" s="702">
        <f>+CN139</f>
        <v/>
      </c>
      <c r="CP139" s="702">
        <f>+CO139</f>
        <v/>
      </c>
      <c r="CQ139" s="702">
        <f>+CP139</f>
        <v/>
      </c>
      <c r="CR139" s="702">
        <f>+CQ139</f>
        <v/>
      </c>
      <c r="CS139" s="702">
        <f>+CR139</f>
        <v/>
      </c>
      <c r="CT139" s="702">
        <f>+CS139</f>
        <v/>
      </c>
      <c r="CU139" s="945">
        <f>+CT139</f>
        <v/>
      </c>
      <c r="CV139" s="702">
        <f>+CU139</f>
        <v/>
      </c>
      <c r="CW139" s="702">
        <f>+CV139</f>
        <v/>
      </c>
      <c r="CX139" s="702">
        <f>+CW139</f>
        <v/>
      </c>
      <c r="CY139" s="702">
        <f>+CX139</f>
        <v/>
      </c>
      <c r="CZ139" s="702">
        <f>+CY139</f>
        <v/>
      </c>
      <c r="DA139" s="702">
        <f>+CZ139</f>
        <v/>
      </c>
      <c r="DB139" s="702">
        <f>+DA139</f>
        <v/>
      </c>
      <c r="DC139" s="702">
        <f>+DB139</f>
        <v/>
      </c>
      <c r="DD139" s="702">
        <f>+DC139</f>
        <v/>
      </c>
      <c r="DE139" s="702">
        <f>+DD139</f>
        <v/>
      </c>
      <c r="DF139" s="702">
        <f>+DE139</f>
        <v/>
      </c>
      <c r="DG139" s="702">
        <f>+DF139</f>
        <v/>
      </c>
    </row>
    <row r="140" customFormat="1" s="28">
      <c r="B140" s="1" t="inlineStr">
        <is>
          <t xml:space="preserve">               90400 Retirement Benefits Payable</t>
        </is>
      </c>
      <c r="C140" s="1" t="n"/>
      <c r="D140" s="2" t="n"/>
      <c r="E140" s="2" t="n"/>
      <c r="F140" s="2" t="n"/>
      <c r="G140" s="2" t="n"/>
      <c r="H140" s="2" t="n"/>
      <c r="I140" s="2" t="n"/>
      <c r="J140" s="111" t="n"/>
      <c r="K140" s="111" t="n"/>
      <c r="L140" s="111" t="n"/>
      <c r="M140" s="111" t="n"/>
      <c r="N140" s="111" t="n"/>
      <c r="O140" s="111" t="n"/>
      <c r="P140" s="111" t="n"/>
      <c r="Q140" s="111" t="n"/>
      <c r="R140" s="111" t="n"/>
      <c r="S140" s="111" t="n"/>
      <c r="T140" s="111" t="n"/>
      <c r="U140" s="111" t="n"/>
      <c r="V140" s="111" t="n"/>
      <c r="W140" s="111" t="n"/>
      <c r="X140" s="111" t="n"/>
      <c r="Y140" s="111" t="n"/>
      <c r="Z140" s="111" t="n"/>
      <c r="AA140" s="111" t="n"/>
      <c r="AB140" s="111" t="n"/>
      <c r="AC140" s="111" t="n"/>
      <c r="AD140" s="111" t="n"/>
      <c r="AE140" s="111" t="n"/>
      <c r="AF140" s="111" t="n"/>
      <c r="AG140" s="111" t="n"/>
      <c r="AH140" s="111" t="n"/>
      <c r="AI140" s="111" t="n"/>
      <c r="AJ140" s="111" t="n"/>
      <c r="AK140" s="111" t="n"/>
      <c r="AL140" s="111" t="n"/>
      <c r="AM140" s="111" t="n"/>
      <c r="AN140" s="111" t="n"/>
      <c r="AO140" s="111" t="n">
        <v>0</v>
      </c>
      <c r="AP140" s="111" t="n">
        <v>0</v>
      </c>
      <c r="AQ140" s="111" t="n">
        <v>500</v>
      </c>
      <c r="AR140" s="111" t="n">
        <v>1000</v>
      </c>
      <c r="AS140" s="111" t="n">
        <v>1500</v>
      </c>
      <c r="AT140" s="111" t="n">
        <v>2000</v>
      </c>
      <c r="AU140" s="111" t="n">
        <v>2500</v>
      </c>
      <c r="AV140" s="111" t="n">
        <v>3000</v>
      </c>
      <c r="AW140" s="244" t="n">
        <v>3500</v>
      </c>
      <c r="AX140" s="943">
        <f>+AW140+AX70</f>
        <v/>
      </c>
      <c r="AY140" s="945">
        <f>+AX140</f>
        <v/>
      </c>
      <c r="AZ140" s="702">
        <f>+AY140</f>
        <v/>
      </c>
      <c r="BA140" s="702">
        <f>+AZ140</f>
        <v/>
      </c>
      <c r="BB140" s="702">
        <f>+BA140</f>
        <v/>
      </c>
      <c r="BC140" s="702">
        <f>+BB140</f>
        <v/>
      </c>
      <c r="BD140" s="702">
        <f>+BC140</f>
        <v/>
      </c>
      <c r="BE140" s="702">
        <f>+BD140</f>
        <v/>
      </c>
      <c r="BF140" s="702">
        <f>+BE140</f>
        <v/>
      </c>
      <c r="BG140" s="702">
        <f>+BF140</f>
        <v/>
      </c>
      <c r="BH140" s="702">
        <f>+BG140</f>
        <v/>
      </c>
      <c r="BI140" s="702">
        <f>+BH140</f>
        <v/>
      </c>
      <c r="BJ140" s="702">
        <f>+BI140</f>
        <v/>
      </c>
      <c r="BK140" s="945">
        <f>+BJ140</f>
        <v/>
      </c>
      <c r="BL140" s="702">
        <f>+BK140</f>
        <v/>
      </c>
      <c r="BM140" s="702">
        <f>+BL140</f>
        <v/>
      </c>
      <c r="BN140" s="702">
        <f>+BM140</f>
        <v/>
      </c>
      <c r="BO140" s="702">
        <f>+BN140</f>
        <v/>
      </c>
      <c r="BP140" s="702">
        <f>+BO140</f>
        <v/>
      </c>
      <c r="BQ140" s="702">
        <f>+BP140</f>
        <v/>
      </c>
      <c r="BR140" s="702">
        <f>+BQ140</f>
        <v/>
      </c>
      <c r="BS140" s="702">
        <f>+BR140</f>
        <v/>
      </c>
      <c r="BT140" s="702">
        <f>+BS140</f>
        <v/>
      </c>
      <c r="BU140" s="702">
        <f>+BT140</f>
        <v/>
      </c>
      <c r="BV140" s="702">
        <f>+BU140</f>
        <v/>
      </c>
      <c r="BW140" s="945">
        <f>+BV140</f>
        <v/>
      </c>
      <c r="BX140" s="702">
        <f>+BW140</f>
        <v/>
      </c>
      <c r="BY140" s="702">
        <f>+BX140</f>
        <v/>
      </c>
      <c r="BZ140" s="702">
        <f>+BY140</f>
        <v/>
      </c>
      <c r="CA140" s="702">
        <f>+BZ140</f>
        <v/>
      </c>
      <c r="CB140" s="702">
        <f>+CA140</f>
        <v/>
      </c>
      <c r="CC140" s="702">
        <f>+CB140</f>
        <v/>
      </c>
      <c r="CD140" s="702">
        <f>+CC140</f>
        <v/>
      </c>
      <c r="CE140" s="702">
        <f>+CD140</f>
        <v/>
      </c>
      <c r="CF140" s="702">
        <f>+CE140</f>
        <v/>
      </c>
      <c r="CG140" s="702">
        <f>+CF140</f>
        <v/>
      </c>
      <c r="CH140" s="702">
        <f>+CG140</f>
        <v/>
      </c>
      <c r="CI140" s="945">
        <f>+CH140</f>
        <v/>
      </c>
      <c r="CJ140" s="702">
        <f>+CI140</f>
        <v/>
      </c>
      <c r="CK140" s="702">
        <f>+CJ140</f>
        <v/>
      </c>
      <c r="CL140" s="702">
        <f>+CK140</f>
        <v/>
      </c>
      <c r="CM140" s="702">
        <f>+CL140</f>
        <v/>
      </c>
      <c r="CN140" s="702">
        <f>+CM140</f>
        <v/>
      </c>
      <c r="CO140" s="702">
        <f>+CN140</f>
        <v/>
      </c>
      <c r="CP140" s="702">
        <f>+CO140</f>
        <v/>
      </c>
      <c r="CQ140" s="702">
        <f>+CP140</f>
        <v/>
      </c>
      <c r="CR140" s="702">
        <f>+CQ140</f>
        <v/>
      </c>
      <c r="CS140" s="702">
        <f>+CR140</f>
        <v/>
      </c>
      <c r="CT140" s="702">
        <f>+CS140</f>
        <v/>
      </c>
      <c r="CU140" s="945">
        <f>+CT140</f>
        <v/>
      </c>
      <c r="CV140" s="702">
        <f>+CU140</f>
        <v/>
      </c>
      <c r="CW140" s="702">
        <f>+CV140</f>
        <v/>
      </c>
      <c r="CX140" s="702">
        <f>+CW140</f>
        <v/>
      </c>
      <c r="CY140" s="702">
        <f>+CX140</f>
        <v/>
      </c>
      <c r="CZ140" s="702">
        <f>+CY140</f>
        <v/>
      </c>
      <c r="DA140" s="702">
        <f>+CZ140</f>
        <v/>
      </c>
      <c r="DB140" s="702">
        <f>+DA140</f>
        <v/>
      </c>
      <c r="DC140" s="702">
        <f>+DB140</f>
        <v/>
      </c>
      <c r="DD140" s="702">
        <f>+DC140</f>
        <v/>
      </c>
      <c r="DE140" s="702">
        <f>+DD140</f>
        <v/>
      </c>
      <c r="DF140" s="702">
        <f>+DE140</f>
        <v/>
      </c>
      <c r="DG140" s="702">
        <f>+DF140</f>
        <v/>
      </c>
    </row>
    <row r="141">
      <c r="B141" s="1" t="inlineStr">
        <is>
          <t xml:space="preserve">            Total 90000 Payroll Liabilities</t>
        </is>
      </c>
      <c r="C141" s="1" t="n"/>
      <c r="D141" s="2" t="n"/>
      <c r="E141" s="2" t="n"/>
      <c r="F141" s="2" t="n"/>
      <c r="G141" s="2" t="n"/>
      <c r="H141" s="2" t="n"/>
      <c r="I141" s="2" t="n"/>
      <c r="J141" s="824" t="n"/>
      <c r="K141" s="824" t="n"/>
      <c r="L141" s="824" t="n"/>
      <c r="M141" s="824" t="n"/>
      <c r="N141" s="824" t="n"/>
      <c r="O141" s="824" t="n"/>
      <c r="P141" s="824" t="n"/>
      <c r="Q141" s="824" t="n"/>
      <c r="R141" s="824" t="n"/>
      <c r="S141" s="824" t="n"/>
      <c r="T141" s="824" t="n"/>
      <c r="U141" s="824" t="n"/>
      <c r="V141" s="824" t="n"/>
      <c r="W141" s="824" t="n"/>
      <c r="X141" s="824" t="n"/>
      <c r="Y141" s="824" t="n"/>
      <c r="Z141" s="824" t="n"/>
      <c r="AA141" s="824" t="n"/>
      <c r="AB141" s="824" t="n"/>
      <c r="AC141" s="824" t="n"/>
      <c r="AD141" s="824" t="n"/>
      <c r="AE141" s="824" t="n"/>
      <c r="AF141" s="824" t="n"/>
      <c r="AG141" s="824" t="n"/>
      <c r="AH141" s="824" t="n"/>
      <c r="AI141" s="824" t="n"/>
      <c r="AJ141" s="824" t="n"/>
      <c r="AK141" s="824" t="n"/>
      <c r="AL141" s="824" t="n"/>
      <c r="AM141" s="824" t="n"/>
      <c r="AN141" s="824" t="n"/>
      <c r="AO141" s="824">
        <f>SUM(AO136:AO140)</f>
        <v/>
      </c>
      <c r="AP141" s="824">
        <f>SUM(AP136:AP140)</f>
        <v/>
      </c>
      <c r="AQ141" s="824">
        <f>SUM(AQ136:AQ140)</f>
        <v/>
      </c>
      <c r="AR141" s="824">
        <f>SUM(AR136:AR140)</f>
        <v/>
      </c>
      <c r="AS141" s="824">
        <f>SUM(AS136:AS140)</f>
        <v/>
      </c>
      <c r="AT141" s="824">
        <f>SUM(AT136:AT140)</f>
        <v/>
      </c>
      <c r="AU141" s="824">
        <f>SUM(AU136:AU140)</f>
        <v/>
      </c>
      <c r="AV141" s="824">
        <f>SUM(AV136:AV140)</f>
        <v/>
      </c>
      <c r="AW141" s="825">
        <f>SUM(AW136:AW140)</f>
        <v/>
      </c>
      <c r="AX141" s="824">
        <f>SUM(AX136:AX140)</f>
        <v/>
      </c>
      <c r="AY141" s="825">
        <f>SUM(AY136:AY140)</f>
        <v/>
      </c>
      <c r="AZ141" s="824">
        <f>SUM(AZ136:AZ140)</f>
        <v/>
      </c>
      <c r="BA141" s="824">
        <f>SUM(BA136:BA140)</f>
        <v/>
      </c>
      <c r="BB141" s="824">
        <f>SUM(BB136:BB140)</f>
        <v/>
      </c>
      <c r="BC141" s="824">
        <f>SUM(BC136:BC140)</f>
        <v/>
      </c>
      <c r="BD141" s="824">
        <f>SUM(BD136:BD140)</f>
        <v/>
      </c>
      <c r="BE141" s="824">
        <f>SUM(BE136:BE140)</f>
        <v/>
      </c>
      <c r="BF141" s="824">
        <f>SUM(BF136:BF140)</f>
        <v/>
      </c>
      <c r="BG141" s="824">
        <f>SUM(BG136:BG140)</f>
        <v/>
      </c>
      <c r="BH141" s="824">
        <f>SUM(BH136:BH140)</f>
        <v/>
      </c>
      <c r="BI141" s="824">
        <f>SUM(BI136:BI140)</f>
        <v/>
      </c>
      <c r="BJ141" s="824">
        <f>SUM(BJ136:BJ140)</f>
        <v/>
      </c>
      <c r="BK141" s="825">
        <f>SUM(BK136:BK140)</f>
        <v/>
      </c>
      <c r="BL141" s="824">
        <f>SUM(BL136:BL140)</f>
        <v/>
      </c>
      <c r="BM141" s="824">
        <f>SUM(BM136:BM140)</f>
        <v/>
      </c>
      <c r="BN141" s="824">
        <f>SUM(BN136:BN140)</f>
        <v/>
      </c>
      <c r="BO141" s="824">
        <f>SUM(BO136:BO140)</f>
        <v/>
      </c>
      <c r="BP141" s="824">
        <f>SUM(BP136:BP140)</f>
        <v/>
      </c>
      <c r="BQ141" s="824">
        <f>SUM(BQ136:BQ140)</f>
        <v/>
      </c>
      <c r="BR141" s="824">
        <f>SUM(BR136:BR140)</f>
        <v/>
      </c>
      <c r="BS141" s="824">
        <f>SUM(BS136:BS140)</f>
        <v/>
      </c>
      <c r="BT141" s="824">
        <f>SUM(BT136:BT140)</f>
        <v/>
      </c>
      <c r="BU141" s="824">
        <f>SUM(BU136:BU140)</f>
        <v/>
      </c>
      <c r="BV141" s="824">
        <f>SUM(BV136:BV140)</f>
        <v/>
      </c>
      <c r="BW141" s="825">
        <f>SUM(BW136:BW140)</f>
        <v/>
      </c>
      <c r="BX141" s="824">
        <f>SUM(BX136:BX140)</f>
        <v/>
      </c>
      <c r="BY141" s="824">
        <f>SUM(BY136:BY140)</f>
        <v/>
      </c>
      <c r="BZ141" s="824">
        <f>SUM(BZ136:BZ140)</f>
        <v/>
      </c>
      <c r="CA141" s="824">
        <f>SUM(CA136:CA140)</f>
        <v/>
      </c>
      <c r="CB141" s="824">
        <f>SUM(CB136:CB140)</f>
        <v/>
      </c>
      <c r="CC141" s="824">
        <f>SUM(CC136:CC140)</f>
        <v/>
      </c>
      <c r="CD141" s="824">
        <f>SUM(CD136:CD140)</f>
        <v/>
      </c>
      <c r="CE141" s="824">
        <f>SUM(CE136:CE140)</f>
        <v/>
      </c>
      <c r="CF141" s="824">
        <f>SUM(CF136:CF140)</f>
        <v/>
      </c>
      <c r="CG141" s="824">
        <f>SUM(CG136:CG140)</f>
        <v/>
      </c>
      <c r="CH141" s="824">
        <f>SUM(CH136:CH140)</f>
        <v/>
      </c>
      <c r="CI141" s="825">
        <f>SUM(CI136:CI140)</f>
        <v/>
      </c>
      <c r="CJ141" s="824">
        <f>SUM(CJ136:CJ140)</f>
        <v/>
      </c>
      <c r="CK141" s="824">
        <f>SUM(CK136:CK140)</f>
        <v/>
      </c>
      <c r="CL141" s="824">
        <f>SUM(CL136:CL140)</f>
        <v/>
      </c>
      <c r="CM141" s="824">
        <f>SUM(CM136:CM140)</f>
        <v/>
      </c>
      <c r="CN141" s="824">
        <f>SUM(CN136:CN140)</f>
        <v/>
      </c>
      <c r="CO141" s="824">
        <f>SUM(CO136:CO140)</f>
        <v/>
      </c>
      <c r="CP141" s="824">
        <f>SUM(CP136:CP140)</f>
        <v/>
      </c>
      <c r="CQ141" s="824">
        <f>SUM(CQ136:CQ140)</f>
        <v/>
      </c>
      <c r="CR141" s="824">
        <f>SUM(CR136:CR140)</f>
        <v/>
      </c>
      <c r="CS141" s="824">
        <f>SUM(CS136:CS140)</f>
        <v/>
      </c>
      <c r="CT141" s="824">
        <f>SUM(CT136:CT140)</f>
        <v/>
      </c>
      <c r="CU141" s="825">
        <f>SUM(CU136:CU140)</f>
        <v/>
      </c>
      <c r="CV141" s="824">
        <f>SUM(CV136:CV140)</f>
        <v/>
      </c>
      <c r="CW141" s="824">
        <f>SUM(CW136:CW140)</f>
        <v/>
      </c>
      <c r="CX141" s="824">
        <f>SUM(CX136:CX140)</f>
        <v/>
      </c>
      <c r="CY141" s="824">
        <f>SUM(CY136:CY140)</f>
        <v/>
      </c>
      <c r="CZ141" s="824">
        <f>SUM(CZ136:CZ140)</f>
        <v/>
      </c>
      <c r="DA141" s="824">
        <f>SUM(DA136:DA140)</f>
        <v/>
      </c>
      <c r="DB141" s="824">
        <f>SUM(DB136:DB140)</f>
        <v/>
      </c>
      <c r="DC141" s="824">
        <f>SUM(DC136:DC140)</f>
        <v/>
      </c>
      <c r="DD141" s="824">
        <f>SUM(DD136:DD140)</f>
        <v/>
      </c>
      <c r="DE141" s="824">
        <f>SUM(DE136:DE140)</f>
        <v/>
      </c>
      <c r="DF141" s="824">
        <f>SUM(DF136:DF140)</f>
        <v/>
      </c>
      <c r="DG141" s="824">
        <f>SUM(DG136:DG140)</f>
        <v/>
      </c>
    </row>
    <row r="142" customFormat="1" s="28">
      <c r="B142" s="1" t="n"/>
      <c r="C142" s="1" t="n"/>
      <c r="D142" s="2" t="n"/>
      <c r="E142" s="2" t="n"/>
      <c r="F142" s="2" t="n"/>
      <c r="G142" s="2" t="n"/>
      <c r="H142" s="2" t="n"/>
      <c r="I142" s="2" t="n"/>
      <c r="J142" s="111" t="n"/>
      <c r="K142" s="111" t="n"/>
      <c r="L142" s="111" t="n"/>
      <c r="M142" s="111" t="n"/>
      <c r="N142" s="111" t="n"/>
      <c r="O142" s="111" t="n"/>
      <c r="P142" s="111" t="n"/>
      <c r="Q142" s="111" t="n"/>
      <c r="R142" s="111" t="n"/>
      <c r="S142" s="111" t="n"/>
      <c r="T142" s="111" t="n"/>
      <c r="U142" s="111" t="n"/>
      <c r="V142" s="111" t="n"/>
      <c r="W142" s="111" t="n"/>
      <c r="X142" s="111" t="n"/>
      <c r="Y142" s="111" t="n"/>
      <c r="Z142" s="111" t="n"/>
      <c r="AA142" s="111" t="n"/>
      <c r="AB142" s="111" t="n"/>
      <c r="AC142" s="111" t="n"/>
      <c r="AD142" s="111" t="n"/>
      <c r="AE142" s="111" t="n"/>
      <c r="AF142" s="111" t="n"/>
      <c r="AG142" s="111" t="n"/>
      <c r="AH142" s="111" t="n"/>
      <c r="AI142" s="111" t="n"/>
      <c r="AJ142" s="111" t="n"/>
      <c r="AK142" s="111" t="n"/>
      <c r="AL142" s="111" t="n"/>
      <c r="AM142" s="111" t="n"/>
      <c r="AN142" s="111" t="n"/>
      <c r="AO142" s="111" t="n"/>
      <c r="AP142" s="111" t="n"/>
      <c r="AQ142" s="111" t="n"/>
      <c r="AR142" s="111" t="n"/>
      <c r="AS142" s="111" t="n"/>
      <c r="AT142" s="111" t="n"/>
      <c r="AU142" s="111" t="n"/>
      <c r="AV142" s="111" t="n"/>
      <c r="AW142" s="244" t="n"/>
      <c r="AX142" s="943" t="n"/>
      <c r="AY142" s="945" t="n"/>
      <c r="AZ142" s="702" t="n"/>
      <c r="BA142" s="702" t="n"/>
      <c r="BB142" s="702" t="n"/>
      <c r="BC142" s="702" t="n"/>
      <c r="BD142" s="702" t="n"/>
      <c r="BE142" s="702" t="n"/>
      <c r="BF142" s="702" t="n"/>
      <c r="BG142" s="702" t="n"/>
      <c r="BH142" s="702" t="n"/>
      <c r="BI142" s="702" t="n"/>
      <c r="BJ142" s="702" t="n"/>
      <c r="BK142" s="945" t="n"/>
      <c r="BL142" s="702" t="n"/>
      <c r="BM142" s="702" t="n"/>
      <c r="BN142" s="702" t="n"/>
      <c r="BO142" s="702" t="n"/>
      <c r="BP142" s="702" t="n"/>
      <c r="BQ142" s="702" t="n"/>
      <c r="BR142" s="702" t="n"/>
      <c r="BS142" s="702" t="n"/>
      <c r="BT142" s="702" t="n"/>
      <c r="BU142" s="702" t="n"/>
      <c r="BV142" s="702" t="n"/>
      <c r="BW142" s="945" t="n"/>
      <c r="BX142" s="702" t="n"/>
      <c r="BY142" s="702" t="n"/>
      <c r="BZ142" s="702" t="n"/>
      <c r="CA142" s="702" t="n"/>
      <c r="CB142" s="702" t="n"/>
      <c r="CC142" s="702" t="n"/>
      <c r="CD142" s="702" t="n"/>
      <c r="CE142" s="702" t="n"/>
      <c r="CF142" s="702" t="n"/>
      <c r="CG142" s="702" t="n"/>
      <c r="CH142" s="702" t="n"/>
      <c r="CI142" s="945" t="n"/>
      <c r="CJ142" s="702" t="n"/>
      <c r="CK142" s="702" t="n"/>
      <c r="CL142" s="702" t="n"/>
      <c r="CM142" s="702" t="n"/>
      <c r="CN142" s="702" t="n"/>
      <c r="CO142" s="702" t="n"/>
      <c r="CP142" s="702" t="n"/>
      <c r="CQ142" s="702" t="n"/>
      <c r="CR142" s="702" t="n"/>
      <c r="CS142" s="702" t="n"/>
      <c r="CT142" s="702" t="n"/>
      <c r="CU142" s="945" t="n"/>
      <c r="CV142" s="702" t="n"/>
      <c r="CW142" s="702" t="n"/>
      <c r="CX142" s="702" t="n"/>
      <c r="CY142" s="702" t="n"/>
      <c r="CZ142" s="702" t="n"/>
      <c r="DA142" s="702" t="n"/>
      <c r="DB142" s="702" t="n"/>
      <c r="DC142" s="702" t="n"/>
      <c r="DD142" s="702" t="n"/>
      <c r="DE142" s="702" t="n"/>
      <c r="DF142" s="702" t="n"/>
      <c r="DG142" s="702" t="n"/>
    </row>
    <row r="143">
      <c r="B143" s="1" t="inlineStr">
        <is>
          <t xml:space="preserve">   Total Liabilities</t>
        </is>
      </c>
      <c r="C143" s="1" t="n"/>
      <c r="D143" s="2" t="n"/>
      <c r="E143" s="2" t="n"/>
      <c r="F143" s="2" t="n"/>
      <c r="G143" s="2" t="n"/>
      <c r="H143" s="2" t="n"/>
      <c r="I143" s="2" t="n"/>
      <c r="J143" s="824">
        <f>SUM(J132)</f>
        <v/>
      </c>
      <c r="K143" s="824">
        <f>SUM(K132)</f>
        <v/>
      </c>
      <c r="L143" s="824">
        <f>SUM(L132)</f>
        <v/>
      </c>
      <c r="M143" s="824">
        <f>SUM(M132)</f>
        <v/>
      </c>
      <c r="N143" s="824">
        <f>SUM(N132)</f>
        <v/>
      </c>
      <c r="O143" s="824">
        <f>SUM(O132)</f>
        <v/>
      </c>
      <c r="P143" s="824">
        <f>SUM(P132)</f>
        <v/>
      </c>
      <c r="Q143" s="824">
        <f>SUM(Q132)</f>
        <v/>
      </c>
      <c r="R143" s="824">
        <f>SUM(R132)</f>
        <v/>
      </c>
      <c r="S143" s="824">
        <f>SUM(S132)</f>
        <v/>
      </c>
      <c r="T143" s="824">
        <f>SUM(T132)</f>
        <v/>
      </c>
      <c r="U143" s="824">
        <f>SUM(U132)</f>
        <v/>
      </c>
      <c r="V143" s="824">
        <f>SUM(V132)</f>
        <v/>
      </c>
      <c r="W143" s="824">
        <f>SUM(W132)</f>
        <v/>
      </c>
      <c r="X143" s="824">
        <f>SUM(X132)</f>
        <v/>
      </c>
      <c r="Y143" s="824">
        <f>SUM(Y132)</f>
        <v/>
      </c>
      <c r="Z143" s="824">
        <f>SUM(Z132)</f>
        <v/>
      </c>
      <c r="AA143" s="824">
        <f>SUM(AA132)</f>
        <v/>
      </c>
      <c r="AB143" s="824">
        <f>SUM(AB132)</f>
        <v/>
      </c>
      <c r="AC143" s="824">
        <f>SUM(AC132)</f>
        <v/>
      </c>
      <c r="AD143" s="824">
        <f>SUM(AD132)</f>
        <v/>
      </c>
      <c r="AE143" s="824">
        <f>SUM(AE132)</f>
        <v/>
      </c>
      <c r="AF143" s="824">
        <f>SUM(AF132)</f>
        <v/>
      </c>
      <c r="AG143" s="824">
        <f>SUM(AG132)</f>
        <v/>
      </c>
      <c r="AH143" s="824">
        <f>SUM(AH132)</f>
        <v/>
      </c>
      <c r="AI143" s="824">
        <f>SUM(AI132)</f>
        <v/>
      </c>
      <c r="AJ143" s="824">
        <f>SUM(AJ132)</f>
        <v/>
      </c>
      <c r="AK143" s="824">
        <f>SUM(AK132)</f>
        <v/>
      </c>
      <c r="AL143" s="824">
        <f>SUM(AL132:AL135)</f>
        <v/>
      </c>
      <c r="AM143" s="824">
        <f>SUM(AM132:AM135)</f>
        <v/>
      </c>
      <c r="AN143" s="824">
        <f>SUM(AN132:AN135)</f>
        <v/>
      </c>
      <c r="AO143" s="824">
        <f>SUM(AO132:AO135)+AO141</f>
        <v/>
      </c>
      <c r="AP143" s="824">
        <f>SUM(AP132:AP135)+AP141</f>
        <v/>
      </c>
      <c r="AQ143" s="824">
        <f>SUM(AQ132:AQ135)+AQ141</f>
        <v/>
      </c>
      <c r="AR143" s="824">
        <f>SUM(AR132:AR135)+AR141</f>
        <v/>
      </c>
      <c r="AS143" s="824">
        <f>SUM(AS132:AS135)+AS141</f>
        <v/>
      </c>
      <c r="AT143" s="824">
        <f>SUM(AT132:AT135)+AT141</f>
        <v/>
      </c>
      <c r="AU143" s="824">
        <f>SUM(AU132:AU135)+AU141</f>
        <v/>
      </c>
      <c r="AV143" s="824">
        <f>SUM(AV132:AV135)+AV141</f>
        <v/>
      </c>
      <c r="AW143" s="825">
        <f>SUM(AW132:AW135)+AW141</f>
        <v/>
      </c>
      <c r="AX143" s="824">
        <f>SUM(AX132:AX135)+AX141</f>
        <v/>
      </c>
      <c r="AY143" s="825">
        <f>SUM(AY132:AY135)+AY141</f>
        <v/>
      </c>
      <c r="AZ143" s="824">
        <f>SUM(AZ132:AZ135)+AZ141</f>
        <v/>
      </c>
      <c r="BA143" s="824">
        <f>SUM(BA132:BA135)+BA141</f>
        <v/>
      </c>
      <c r="BB143" s="824">
        <f>SUM(BB132:BB135)+BB141</f>
        <v/>
      </c>
      <c r="BC143" s="824">
        <f>SUM(BC132:BC135)+BC141</f>
        <v/>
      </c>
      <c r="BD143" s="824">
        <f>SUM(BD132:BD135)+BD141</f>
        <v/>
      </c>
      <c r="BE143" s="824">
        <f>SUM(BE132:BE135)+BE141</f>
        <v/>
      </c>
      <c r="BF143" s="824">
        <f>SUM(BF132:BF135)+BF141</f>
        <v/>
      </c>
      <c r="BG143" s="824">
        <f>SUM(BG132:BG135)+BG141</f>
        <v/>
      </c>
      <c r="BH143" s="824">
        <f>SUM(BH132:BH135)+BH141</f>
        <v/>
      </c>
      <c r="BI143" s="824">
        <f>SUM(BI132:BI135)+BI141</f>
        <v/>
      </c>
      <c r="BJ143" s="824">
        <f>SUM(BJ132:BJ135)+BJ141</f>
        <v/>
      </c>
      <c r="BK143" s="825">
        <f>SUM(BK132:BK135)+BK141</f>
        <v/>
      </c>
      <c r="BL143" s="824">
        <f>SUM(BL132:BL135)+BL141</f>
        <v/>
      </c>
      <c r="BM143" s="824">
        <f>SUM(BM132:BM135)+BM141</f>
        <v/>
      </c>
      <c r="BN143" s="824">
        <f>SUM(BN132:BN135)+BN141</f>
        <v/>
      </c>
      <c r="BO143" s="824">
        <f>SUM(BO132:BO135)+BO141</f>
        <v/>
      </c>
      <c r="BP143" s="824">
        <f>SUM(BP132:BP135)+BP141</f>
        <v/>
      </c>
      <c r="BQ143" s="824">
        <f>SUM(BQ132:BQ135)+BQ141</f>
        <v/>
      </c>
      <c r="BR143" s="824">
        <f>SUM(BR132:BR135)+BR141</f>
        <v/>
      </c>
      <c r="BS143" s="824">
        <f>SUM(BS132:BS135)+BS141</f>
        <v/>
      </c>
      <c r="BT143" s="824">
        <f>SUM(BT132:BT135)+BT141</f>
        <v/>
      </c>
      <c r="BU143" s="824">
        <f>SUM(BU132:BU135)+BU141</f>
        <v/>
      </c>
      <c r="BV143" s="824">
        <f>SUM(BV132:BV135)+BV141</f>
        <v/>
      </c>
      <c r="BW143" s="825">
        <f>SUM(BW132:BW135)+BW141</f>
        <v/>
      </c>
      <c r="BX143" s="824">
        <f>SUM(BX132:BX135)+BX141</f>
        <v/>
      </c>
      <c r="BY143" s="824">
        <f>SUM(BY132:BY135)+BY141</f>
        <v/>
      </c>
      <c r="BZ143" s="824">
        <f>SUM(BZ132:BZ135)+BZ141</f>
        <v/>
      </c>
      <c r="CA143" s="824">
        <f>SUM(CA132:CA135)+CA141</f>
        <v/>
      </c>
      <c r="CB143" s="824">
        <f>SUM(CB132:CB135)+CB141</f>
        <v/>
      </c>
      <c r="CC143" s="824">
        <f>SUM(CC132:CC135)+CC141</f>
        <v/>
      </c>
      <c r="CD143" s="824">
        <f>SUM(CD132:CD135)+CD141</f>
        <v/>
      </c>
      <c r="CE143" s="824">
        <f>SUM(CE132:CE135)+CE141</f>
        <v/>
      </c>
      <c r="CF143" s="824">
        <f>SUM(CF132:CF135)+CF141</f>
        <v/>
      </c>
      <c r="CG143" s="824">
        <f>SUM(CG132:CG135)+CG141</f>
        <v/>
      </c>
      <c r="CH143" s="824">
        <f>SUM(CH132:CH135)+CH141</f>
        <v/>
      </c>
      <c r="CI143" s="825">
        <f>SUM(CI132:CI135)+CI141</f>
        <v/>
      </c>
      <c r="CJ143" s="824">
        <f>SUM(CJ132:CJ135)+CJ141</f>
        <v/>
      </c>
      <c r="CK143" s="824">
        <f>SUM(CK132:CK135)+CK141</f>
        <v/>
      </c>
      <c r="CL143" s="824">
        <f>SUM(CL132:CL135)+CL141</f>
        <v/>
      </c>
      <c r="CM143" s="824">
        <f>SUM(CM132:CM135)+CM141</f>
        <v/>
      </c>
      <c r="CN143" s="824">
        <f>SUM(CN132:CN135)+CN141</f>
        <v/>
      </c>
      <c r="CO143" s="824">
        <f>SUM(CO132:CO135)+CO141</f>
        <v/>
      </c>
      <c r="CP143" s="824">
        <f>SUM(CP132:CP135)+CP141</f>
        <v/>
      </c>
      <c r="CQ143" s="824">
        <f>SUM(CQ132:CQ135)+CQ141</f>
        <v/>
      </c>
      <c r="CR143" s="824">
        <f>SUM(CR132:CR135)+CR141</f>
        <v/>
      </c>
      <c r="CS143" s="824">
        <f>SUM(CS132:CS135)+CS141</f>
        <v/>
      </c>
      <c r="CT143" s="824">
        <f>SUM(CT132:CT135)+CT141</f>
        <v/>
      </c>
      <c r="CU143" s="825">
        <f>SUM(CU132:CU135)+CU141</f>
        <v/>
      </c>
      <c r="CV143" s="824">
        <f>SUM(CV132:CV135)+CV141</f>
        <v/>
      </c>
      <c r="CW143" s="824">
        <f>SUM(CW132:CW135)+CW141</f>
        <v/>
      </c>
      <c r="CX143" s="824">
        <f>SUM(CX132:CX135)+CX141</f>
        <v/>
      </c>
      <c r="CY143" s="824">
        <f>SUM(CY132:CY135)+CY141</f>
        <v/>
      </c>
      <c r="CZ143" s="824">
        <f>SUM(CZ132:CZ135)+CZ141</f>
        <v/>
      </c>
      <c r="DA143" s="824">
        <f>SUM(DA132:DA135)+DA141</f>
        <v/>
      </c>
      <c r="DB143" s="824">
        <f>SUM(DB132:DB135)+DB141</f>
        <v/>
      </c>
      <c r="DC143" s="824">
        <f>SUM(DC132:DC135)+DC141</f>
        <v/>
      </c>
      <c r="DD143" s="824">
        <f>SUM(DD132:DD135)+DD141</f>
        <v/>
      </c>
      <c r="DE143" s="824">
        <f>SUM(DE132:DE135)+DE141</f>
        <v/>
      </c>
      <c r="DF143" s="824">
        <f>SUM(DF132:DF135)+DF141</f>
        <v/>
      </c>
      <c r="DG143" s="824">
        <f>SUM(DG132:DG135)+DG141</f>
        <v/>
      </c>
    </row>
    <row r="144">
      <c r="B144" s="1" t="n"/>
      <c r="C144" s="1" t="n"/>
      <c r="D144" s="2" t="n"/>
      <c r="E144" s="2" t="n"/>
      <c r="F144" s="2" t="n"/>
      <c r="G144" s="2" t="n"/>
      <c r="H144" s="2" t="n"/>
      <c r="I144" s="2" t="n"/>
      <c r="J144" s="838" t="n"/>
      <c r="K144" s="838" t="n"/>
      <c r="L144" s="838" t="n"/>
      <c r="M144" s="838" t="n"/>
      <c r="N144" s="838" t="n"/>
      <c r="O144" s="838" t="n"/>
      <c r="P144" s="838" t="n"/>
      <c r="Q144" s="838" t="n"/>
      <c r="R144" s="838" t="n"/>
      <c r="S144" s="838" t="n"/>
      <c r="T144" s="838" t="n"/>
      <c r="U144" s="838" t="n"/>
      <c r="V144" s="838" t="n"/>
      <c r="W144" s="838" t="n"/>
      <c r="X144" s="838" t="n"/>
      <c r="Y144" s="838" t="n"/>
      <c r="Z144" s="838" t="n"/>
      <c r="AA144" s="838" t="n"/>
      <c r="AB144" s="838" t="n"/>
      <c r="AC144" s="838" t="n"/>
      <c r="AD144" s="838" t="n"/>
      <c r="AE144" s="838" t="n"/>
      <c r="AF144" s="838" t="n"/>
      <c r="AG144" s="838" t="n"/>
      <c r="AH144" s="838" t="n"/>
      <c r="AI144" s="838" t="n"/>
      <c r="AJ144" s="838" t="n"/>
      <c r="AK144" s="838" t="n"/>
      <c r="AL144" s="838" t="n"/>
      <c r="AM144" s="838" t="n"/>
      <c r="AN144" s="838" t="n"/>
      <c r="AO144" s="838" t="n"/>
      <c r="AP144" s="838" t="n"/>
      <c r="AQ144" s="838" t="n"/>
      <c r="AR144" s="838" t="n"/>
      <c r="AS144" s="838" t="n"/>
      <c r="AT144" s="838" t="n"/>
      <c r="AU144" s="838" t="n"/>
      <c r="AV144" s="838" t="n"/>
      <c r="AW144" s="839" t="n"/>
      <c r="AX144" s="838" t="n"/>
      <c r="AY144" s="839" t="n"/>
      <c r="AZ144" s="838" t="n"/>
      <c r="BA144" s="838" t="n"/>
      <c r="BB144" s="838" t="n"/>
      <c r="BC144" s="838" t="n"/>
      <c r="BD144" s="838" t="n"/>
      <c r="BE144" s="838" t="n"/>
      <c r="BF144" s="838" t="n"/>
      <c r="BG144" s="838" t="n"/>
      <c r="BH144" s="838" t="n"/>
      <c r="BI144" s="838" t="n"/>
      <c r="BJ144" s="838" t="n"/>
      <c r="BK144" s="839" t="n"/>
      <c r="BL144" s="838" t="n"/>
      <c r="BM144" s="838" t="n"/>
      <c r="BN144" s="838" t="n"/>
      <c r="BO144" s="838" t="n"/>
      <c r="BP144" s="838" t="n"/>
      <c r="BQ144" s="838" t="n"/>
      <c r="BR144" s="838" t="n"/>
      <c r="BS144" s="838" t="n"/>
      <c r="BT144" s="838" t="n"/>
      <c r="BU144" s="838" t="n"/>
      <c r="BV144" s="838" t="n"/>
      <c r="BW144" s="839" t="n"/>
      <c r="BX144" s="838" t="n"/>
      <c r="BY144" s="838" t="n"/>
      <c r="BZ144" s="838" t="n"/>
      <c r="CA144" s="838" t="n"/>
      <c r="CB144" s="838" t="n"/>
      <c r="CC144" s="838" t="n"/>
      <c r="CD144" s="838" t="n"/>
      <c r="CE144" s="838" t="n"/>
      <c r="CF144" s="838" t="n"/>
      <c r="CG144" s="838" t="n"/>
      <c r="CH144" s="838" t="n"/>
      <c r="CI144" s="839" t="n"/>
      <c r="CJ144" s="838" t="n"/>
      <c r="CK144" s="838" t="n"/>
      <c r="CL144" s="838" t="n"/>
      <c r="CM144" s="838" t="n"/>
      <c r="CN144" s="838" t="n"/>
      <c r="CO144" s="838" t="n"/>
      <c r="CP144" s="838" t="n"/>
      <c r="CQ144" s="838" t="n"/>
      <c r="CR144" s="838" t="n"/>
      <c r="CS144" s="838" t="n"/>
      <c r="CT144" s="838" t="n"/>
      <c r="CU144" s="839" t="n"/>
      <c r="CV144" s="838" t="n"/>
      <c r="CW144" s="838" t="n"/>
      <c r="CX144" s="838" t="n"/>
      <c r="CY144" s="838" t="n"/>
      <c r="CZ144" s="838" t="n"/>
      <c r="DA144" s="838" t="n"/>
      <c r="DB144" s="838" t="n"/>
      <c r="DC144" s="838" t="n"/>
      <c r="DD144" s="838" t="n"/>
      <c r="DE144" s="838" t="n"/>
      <c r="DF144" s="838" t="n"/>
      <c r="DG144" s="838" t="n"/>
    </row>
    <row r="145">
      <c r="B145" s="1" t="inlineStr">
        <is>
          <t xml:space="preserve">   Equity</t>
        </is>
      </c>
      <c r="C145" s="1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161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574" t="n"/>
      <c r="AX145" s="2" t="n"/>
      <c r="AY145" s="243" t="n"/>
      <c r="BK145" s="243" t="n"/>
      <c r="BW145" s="243" t="n"/>
      <c r="CI145" s="243" t="n"/>
      <c r="CU145" s="243" t="n"/>
    </row>
    <row r="146">
      <c r="B146" s="1" t="inlineStr">
        <is>
          <t xml:space="preserve">      Owner Contributions</t>
        </is>
      </c>
      <c r="C146" s="1" t="n"/>
      <c r="D146" s="111" t="n"/>
      <c r="E146" s="111" t="n"/>
      <c r="F146" s="111" t="n"/>
      <c r="G146" s="111" t="n"/>
      <c r="H146" s="111" t="n"/>
      <c r="I146" s="111" t="n"/>
      <c r="J146" s="111" t="n"/>
      <c r="K146" s="111" t="n"/>
      <c r="L146" s="111" t="n"/>
      <c r="M146" s="111" t="n"/>
      <c r="N146" s="111" t="n"/>
      <c r="O146" s="111" t="n"/>
      <c r="P146" s="111" t="n"/>
      <c r="Q146" s="111" t="n"/>
      <c r="R146" s="111" t="n"/>
      <c r="S146" s="111" t="n"/>
      <c r="T146" s="111" t="n"/>
      <c r="U146" s="111" t="n"/>
      <c r="V146" s="111" t="n"/>
      <c r="W146" s="111" t="n"/>
      <c r="X146" s="111" t="n"/>
      <c r="Y146" s="111" t="n"/>
      <c r="Z146" s="111" t="n"/>
      <c r="AA146" s="111" t="n"/>
      <c r="AB146" s="111" t="n">
        <v>1036.13</v>
      </c>
      <c r="AC146" s="111" t="n">
        <v>1036.13</v>
      </c>
      <c r="AD146" s="111" t="n">
        <v>1036.13</v>
      </c>
      <c r="AE146" s="111" t="n">
        <v>1036.13</v>
      </c>
      <c r="AF146" s="111" t="n">
        <v>1036.13</v>
      </c>
      <c r="AG146" s="111" t="n">
        <v>1036.13</v>
      </c>
      <c r="AH146" s="111" t="n">
        <v>1036.13</v>
      </c>
      <c r="AI146" s="111" t="n">
        <v>1036.13</v>
      </c>
      <c r="AJ146" s="111" t="n">
        <v>1036.13</v>
      </c>
      <c r="AK146" s="111" t="n">
        <v>1036.13</v>
      </c>
      <c r="AL146" s="111" t="n">
        <v>1036.13</v>
      </c>
      <c r="AM146" s="111" t="n">
        <v>1036.13</v>
      </c>
      <c r="AN146" s="111" t="n">
        <v>1036.13</v>
      </c>
      <c r="AO146" s="111" t="n">
        <v>1036.13</v>
      </c>
      <c r="AP146" s="111" t="n">
        <v>1036.13</v>
      </c>
      <c r="AQ146" s="111" t="n">
        <v>1036.13</v>
      </c>
      <c r="AR146" s="111" t="n">
        <v>1036.13</v>
      </c>
      <c r="AS146" s="111" t="n">
        <v>1036.13</v>
      </c>
      <c r="AT146" s="111" t="n">
        <v>1036.13</v>
      </c>
      <c r="AU146" s="111" t="n">
        <v>1036.13</v>
      </c>
      <c r="AV146" s="111" t="n">
        <v>1036.13</v>
      </c>
      <c r="AW146" s="244" t="n">
        <v>1036.13</v>
      </c>
      <c r="AX146" s="943">
        <f>AW146+AX155</f>
        <v/>
      </c>
      <c r="AY146" s="244">
        <f>AX146+AY155</f>
        <v/>
      </c>
      <c r="AZ146" s="111">
        <f>AY146+AZ155</f>
        <v/>
      </c>
      <c r="BA146" s="111">
        <f>AZ146+BA155</f>
        <v/>
      </c>
      <c r="BB146" s="111">
        <f>BA146+BB155</f>
        <v/>
      </c>
      <c r="BC146" s="111">
        <f>BB146+BC155</f>
        <v/>
      </c>
      <c r="BD146" s="111">
        <f>BC146+BD155</f>
        <v/>
      </c>
      <c r="BE146" s="111">
        <f>BD146+BE155</f>
        <v/>
      </c>
      <c r="BF146" s="111">
        <f>BE146+BF155</f>
        <v/>
      </c>
      <c r="BG146" s="111">
        <f>BF146+BG155</f>
        <v/>
      </c>
      <c r="BH146" s="111">
        <f>BG146+BH155</f>
        <v/>
      </c>
      <c r="BI146" s="111">
        <f>BH146+BI155</f>
        <v/>
      </c>
      <c r="BJ146" s="111">
        <f>BI146+BJ155</f>
        <v/>
      </c>
      <c r="BK146" s="244">
        <f>BJ146+BK155</f>
        <v/>
      </c>
      <c r="BL146" s="111">
        <f>BK146+BL155</f>
        <v/>
      </c>
      <c r="BM146" s="111">
        <f>BL146+BM155</f>
        <v/>
      </c>
      <c r="BN146" s="111">
        <f>BM146+BN155</f>
        <v/>
      </c>
      <c r="BO146" s="111">
        <f>BN146+BO155</f>
        <v/>
      </c>
      <c r="BP146" s="111">
        <f>BO146+BP155</f>
        <v/>
      </c>
      <c r="BQ146" s="111">
        <f>BP146+BQ155</f>
        <v/>
      </c>
      <c r="BR146" s="111">
        <f>BQ146+BR155</f>
        <v/>
      </c>
      <c r="BS146" s="111">
        <f>BR146+BS155</f>
        <v/>
      </c>
      <c r="BT146" s="111">
        <f>BS146+BT155</f>
        <v/>
      </c>
      <c r="BU146" s="111">
        <f>BT146+BU155</f>
        <v/>
      </c>
      <c r="BV146" s="111">
        <f>BU146+BV155</f>
        <v/>
      </c>
      <c r="BW146" s="244">
        <f>BV146+BW155</f>
        <v/>
      </c>
      <c r="BX146" s="111">
        <f>BW146+BX155</f>
        <v/>
      </c>
      <c r="BY146" s="111">
        <f>BX146+BY155</f>
        <v/>
      </c>
      <c r="BZ146" s="111">
        <f>BY146+BZ155</f>
        <v/>
      </c>
      <c r="CA146" s="111">
        <f>BZ146+CA155</f>
        <v/>
      </c>
      <c r="CB146" s="111">
        <f>CA146+CB155</f>
        <v/>
      </c>
      <c r="CC146" s="111">
        <f>CB146+CC155</f>
        <v/>
      </c>
      <c r="CD146" s="111">
        <f>CC146+CD155</f>
        <v/>
      </c>
      <c r="CE146" s="111">
        <f>CD146+CE155</f>
        <v/>
      </c>
      <c r="CF146" s="111">
        <f>CE146+CF155</f>
        <v/>
      </c>
      <c r="CG146" s="111">
        <f>CF146+CG155</f>
        <v/>
      </c>
      <c r="CH146" s="111">
        <f>CG146+CH155</f>
        <v/>
      </c>
      <c r="CI146" s="244">
        <f>CH146+CI155</f>
        <v/>
      </c>
      <c r="CJ146" s="111">
        <f>CI146+CJ155</f>
        <v/>
      </c>
      <c r="CK146" s="111">
        <f>CJ146+CK155</f>
        <v/>
      </c>
      <c r="CL146" s="111">
        <f>CK146+CL155</f>
        <v/>
      </c>
      <c r="CM146" s="111">
        <f>CL146+CM155</f>
        <v/>
      </c>
      <c r="CN146" s="111">
        <f>CM146+CN155</f>
        <v/>
      </c>
      <c r="CO146" s="111">
        <f>CN146+CO155</f>
        <v/>
      </c>
      <c r="CP146" s="111">
        <f>CO146+CP155</f>
        <v/>
      </c>
      <c r="CQ146" s="111">
        <f>CP146+CQ155</f>
        <v/>
      </c>
      <c r="CR146" s="111">
        <f>CQ146+CR155</f>
        <v/>
      </c>
      <c r="CS146" s="111">
        <f>CR146+CS155</f>
        <v/>
      </c>
      <c r="CT146" s="111">
        <f>CS146+CT155</f>
        <v/>
      </c>
      <c r="CU146" s="244">
        <f>CT146+CU155</f>
        <v/>
      </c>
      <c r="CV146" s="111">
        <f>CU146+CV155</f>
        <v/>
      </c>
      <c r="CW146" s="111">
        <f>CV146+CW155</f>
        <v/>
      </c>
      <c r="CX146" s="111">
        <f>CW146+CX155</f>
        <v/>
      </c>
      <c r="CY146" s="111">
        <f>CX146+CY155</f>
        <v/>
      </c>
      <c r="CZ146" s="111">
        <f>CY146+CZ155</f>
        <v/>
      </c>
      <c r="DA146" s="111">
        <f>CZ146+DA155</f>
        <v/>
      </c>
      <c r="DB146" s="111">
        <f>DA146+DB155</f>
        <v/>
      </c>
      <c r="DC146" s="111">
        <f>DB146+DC155</f>
        <v/>
      </c>
      <c r="DD146" s="111">
        <f>DC146+DD155</f>
        <v/>
      </c>
      <c r="DE146" s="111">
        <f>DD146+DE155</f>
        <v/>
      </c>
      <c r="DF146" s="111">
        <f>DE146+DF155</f>
        <v/>
      </c>
      <c r="DG146" s="111">
        <f>DF146+DG155</f>
        <v/>
      </c>
    </row>
    <row r="147">
      <c r="B147" s="1" t="inlineStr">
        <is>
          <t xml:space="preserve">         Owner IRA Plan</t>
        </is>
      </c>
      <c r="C147" s="1" t="n"/>
      <c r="D147" s="111" t="n"/>
      <c r="E147" s="111" t="n"/>
      <c r="F147" s="111" t="n"/>
      <c r="G147" s="111" t="n"/>
      <c r="H147" s="111" t="n"/>
      <c r="I147" s="111" t="n"/>
      <c r="J147" s="111" t="n"/>
      <c r="K147" s="111" t="n"/>
      <c r="L147" s="111" t="n"/>
      <c r="M147" s="111" t="n"/>
      <c r="N147" s="111" t="n"/>
      <c r="O147" s="111" t="n"/>
      <c r="P147" s="111" t="n"/>
      <c r="Q147" s="111" t="n"/>
      <c r="R147" s="111" t="n"/>
      <c r="S147" s="111" t="n"/>
      <c r="T147" s="111" t="n"/>
      <c r="U147" s="111" t="n"/>
      <c r="V147" s="111" t="n"/>
      <c r="W147" s="111" t="n"/>
      <c r="X147" s="111" t="n"/>
      <c r="Y147" s="111" t="n"/>
      <c r="Z147" s="111" t="n"/>
      <c r="AA147" s="111" t="n"/>
      <c r="AB147" s="111" t="n"/>
      <c r="AC147" s="111" t="n"/>
      <c r="AD147" s="111" t="n"/>
      <c r="AE147" s="111" t="n"/>
      <c r="AF147" s="111" t="n"/>
      <c r="AG147" s="111" t="n"/>
      <c r="AH147" s="111" t="n"/>
      <c r="AI147" s="111" t="n"/>
      <c r="AJ147" s="111" t="n"/>
      <c r="AK147" s="111" t="n"/>
      <c r="AL147" s="111" t="n"/>
      <c r="AM147" s="111" t="n"/>
      <c r="AN147" s="111" t="n"/>
      <c r="AO147" s="111" t="n"/>
      <c r="AP147" s="111" t="n"/>
      <c r="AQ147" s="111" t="n"/>
      <c r="AR147" s="111" t="n"/>
      <c r="AS147" s="111" t="n"/>
      <c r="AT147" s="111" t="n"/>
      <c r="AU147" s="111" t="n"/>
      <c r="AV147" s="111" t="n"/>
      <c r="AW147" s="244" t="n"/>
      <c r="AX147" s="943" t="n"/>
      <c r="AY147" s="244" t="n"/>
      <c r="AZ147" s="111" t="n"/>
      <c r="BA147" s="111" t="n"/>
      <c r="BB147" s="111" t="n"/>
      <c r="BC147" s="111" t="n"/>
      <c r="BD147" s="111" t="n"/>
      <c r="BE147" s="111" t="n"/>
      <c r="BF147" s="111" t="n"/>
      <c r="BG147" s="111" t="n"/>
      <c r="BH147" s="111" t="n"/>
      <c r="BI147" s="111" t="n"/>
      <c r="BJ147" s="111" t="n"/>
      <c r="BK147" s="244" t="n"/>
      <c r="BL147" s="111" t="n"/>
      <c r="BM147" s="111" t="n"/>
      <c r="BN147" s="111" t="n"/>
      <c r="BO147" s="111" t="n"/>
      <c r="BP147" s="111" t="n"/>
      <c r="BQ147" s="111" t="n"/>
      <c r="BR147" s="111" t="n"/>
      <c r="BS147" s="111" t="n"/>
      <c r="BT147" s="111" t="n"/>
      <c r="BU147" s="111" t="n"/>
      <c r="BV147" s="111" t="n"/>
      <c r="BW147" s="244" t="n"/>
      <c r="BX147" s="111" t="n"/>
      <c r="BY147" s="111" t="n"/>
      <c r="BZ147" s="111" t="n"/>
      <c r="CA147" s="111" t="n"/>
      <c r="CB147" s="111" t="n"/>
      <c r="CC147" s="111" t="n"/>
      <c r="CD147" s="111" t="n"/>
      <c r="CE147" s="111" t="n"/>
      <c r="CF147" s="111" t="n"/>
      <c r="CG147" s="111" t="n"/>
      <c r="CH147" s="111" t="n"/>
      <c r="CI147" s="244" t="n"/>
      <c r="CJ147" s="111" t="n"/>
      <c r="CK147" s="111" t="n"/>
      <c r="CL147" s="111" t="n"/>
      <c r="CM147" s="111" t="n"/>
      <c r="CN147" s="111" t="n"/>
      <c r="CO147" s="111" t="n"/>
      <c r="CP147" s="111" t="n"/>
      <c r="CQ147" s="111" t="n"/>
      <c r="CR147" s="111" t="n"/>
      <c r="CS147" s="111" t="n"/>
      <c r="CT147" s="111" t="n"/>
      <c r="CU147" s="244" t="n"/>
      <c r="CV147" s="111" t="n"/>
      <c r="CW147" s="111" t="n"/>
      <c r="CX147" s="111" t="n"/>
      <c r="CY147" s="111" t="n"/>
      <c r="CZ147" s="111" t="n"/>
      <c r="DA147" s="111" t="n"/>
      <c r="DB147" s="111" t="n"/>
      <c r="DC147" s="111" t="n"/>
      <c r="DD147" s="111" t="n"/>
      <c r="DE147" s="111" t="n"/>
      <c r="DF147" s="111" t="n"/>
      <c r="DG147" s="111" t="n"/>
    </row>
    <row r="148">
      <c r="B148" s="1" t="inlineStr">
        <is>
          <t xml:space="preserve">      Personal healthcare</t>
        </is>
      </c>
      <c r="C148" s="1" t="n"/>
      <c r="D148" s="111" t="n"/>
      <c r="E148" s="111" t="n"/>
      <c r="F148" s="111" t="n"/>
      <c r="G148" s="111" t="n"/>
      <c r="H148" s="111" t="n"/>
      <c r="I148" s="111" t="n"/>
      <c r="J148" s="111" t="n"/>
      <c r="K148" s="111" t="n"/>
      <c r="L148" s="111" t="n"/>
      <c r="M148" s="111" t="n"/>
      <c r="N148" s="111" t="n"/>
      <c r="O148" s="111" t="n"/>
      <c r="P148" s="111" t="n"/>
      <c r="Q148" s="111" t="n"/>
      <c r="R148" s="111" t="n"/>
      <c r="S148" s="111" t="n"/>
      <c r="T148" s="111" t="n"/>
      <c r="U148" s="111" t="n"/>
      <c r="V148" s="111" t="n"/>
      <c r="W148" s="111" t="n"/>
      <c r="X148" s="111" t="n"/>
      <c r="Y148" s="111" t="n"/>
      <c r="Z148" s="111" t="n"/>
      <c r="AA148" s="111" t="n"/>
      <c r="AB148" s="111" t="n"/>
      <c r="AC148" s="111" t="n"/>
      <c r="AD148" s="111" t="n"/>
      <c r="AE148" s="111" t="n"/>
      <c r="AF148" s="111" t="n"/>
      <c r="AG148" s="111" t="n"/>
      <c r="AH148" s="111" t="n"/>
      <c r="AI148" s="111" t="n"/>
      <c r="AJ148" s="111" t="n"/>
      <c r="AK148" s="111" t="n"/>
      <c r="AL148" s="111" t="n"/>
      <c r="AM148" s="111" t="n"/>
      <c r="AN148" s="111" t="n"/>
      <c r="AO148" s="111" t="n"/>
      <c r="AP148" s="111" t="n"/>
      <c r="AQ148" s="111" t="n"/>
      <c r="AR148" s="111" t="n"/>
      <c r="AS148" s="111" t="n"/>
      <c r="AT148" s="111" t="n"/>
      <c r="AU148" s="111" t="n"/>
      <c r="AV148" s="111" t="n"/>
      <c r="AW148" s="244" t="n"/>
      <c r="AX148" s="943" t="n"/>
      <c r="AY148" s="244" t="n"/>
      <c r="AZ148" s="111" t="n"/>
      <c r="BA148" s="111" t="n"/>
      <c r="BB148" s="111" t="n"/>
      <c r="BC148" s="111" t="n"/>
      <c r="BD148" s="111" t="n"/>
      <c r="BE148" s="111" t="n"/>
      <c r="BF148" s="111" t="n"/>
      <c r="BG148" s="111" t="n"/>
      <c r="BH148" s="111" t="n"/>
      <c r="BI148" s="111" t="n"/>
      <c r="BJ148" s="111" t="n"/>
      <c r="BK148" s="244" t="n"/>
      <c r="BL148" s="111" t="n"/>
      <c r="BM148" s="111" t="n"/>
      <c r="BN148" s="111" t="n"/>
      <c r="BO148" s="111" t="n"/>
      <c r="BP148" s="111" t="n"/>
      <c r="BQ148" s="111" t="n"/>
      <c r="BR148" s="111" t="n"/>
      <c r="BS148" s="111" t="n"/>
      <c r="BT148" s="111" t="n"/>
      <c r="BU148" s="111" t="n"/>
      <c r="BV148" s="111" t="n"/>
      <c r="BW148" s="244" t="n"/>
      <c r="BX148" s="111" t="n"/>
      <c r="BY148" s="111" t="n"/>
      <c r="BZ148" s="111" t="n"/>
      <c r="CA148" s="111" t="n"/>
      <c r="CB148" s="111" t="n"/>
      <c r="CC148" s="111" t="n"/>
      <c r="CD148" s="111" t="n"/>
      <c r="CE148" s="111" t="n"/>
      <c r="CF148" s="111" t="n"/>
      <c r="CG148" s="111" t="n"/>
      <c r="CH148" s="111" t="n"/>
      <c r="CI148" s="244" t="n"/>
      <c r="CJ148" s="111" t="n"/>
      <c r="CK148" s="111" t="n"/>
      <c r="CL148" s="111" t="n"/>
      <c r="CM148" s="111" t="n"/>
      <c r="CN148" s="111" t="n"/>
      <c r="CO148" s="111" t="n"/>
      <c r="CP148" s="111" t="n"/>
      <c r="CQ148" s="111" t="n"/>
      <c r="CR148" s="111" t="n"/>
      <c r="CS148" s="111" t="n"/>
      <c r="CT148" s="111" t="n"/>
      <c r="CU148" s="244" t="n"/>
      <c r="CV148" s="111" t="n"/>
      <c r="CW148" s="111" t="n"/>
      <c r="CX148" s="111" t="n"/>
      <c r="CY148" s="111" t="n"/>
      <c r="CZ148" s="111" t="n"/>
      <c r="DA148" s="111" t="n"/>
      <c r="DB148" s="111" t="n"/>
      <c r="DC148" s="111" t="n"/>
      <c r="DD148" s="111" t="n"/>
      <c r="DE148" s="111" t="n"/>
      <c r="DF148" s="111" t="n"/>
      <c r="DG148" s="111" t="n"/>
    </row>
    <row r="149">
      <c r="B149" s="1" t="inlineStr">
        <is>
          <t xml:space="preserve">      Personal Expenses</t>
        </is>
      </c>
      <c r="C149" s="1" t="n"/>
      <c r="D149" s="111" t="n"/>
      <c r="E149" s="111" t="n"/>
      <c r="F149" s="111" t="n"/>
      <c r="G149" s="111" t="n"/>
      <c r="H149" s="111" t="n"/>
      <c r="I149" s="111" t="n"/>
      <c r="J149" s="111" t="n"/>
      <c r="K149" s="111" t="n"/>
      <c r="L149" s="111" t="n"/>
      <c r="M149" s="111" t="n"/>
      <c r="N149" s="111" t="n"/>
      <c r="O149" s="111" t="n"/>
      <c r="P149" s="111" t="n"/>
      <c r="Q149" s="111" t="n"/>
      <c r="R149" s="111" t="n"/>
      <c r="S149" s="111" t="n"/>
      <c r="T149" s="111" t="n"/>
      <c r="U149" s="111" t="n"/>
      <c r="V149" s="111" t="n"/>
      <c r="W149" s="111" t="n"/>
      <c r="X149" s="111" t="n"/>
      <c r="Y149" s="111" t="n"/>
      <c r="Z149" s="111" t="n"/>
      <c r="AA149" s="111" t="n"/>
      <c r="AB149" s="111" t="n">
        <v>-4414.2</v>
      </c>
      <c r="AC149" s="111" t="n">
        <v>-9545.690000000001</v>
      </c>
      <c r="AD149" s="111" t="n">
        <v>-13976.12</v>
      </c>
      <c r="AE149" s="111" t="n">
        <v>-21062.53</v>
      </c>
      <c r="AF149" s="111" t="n">
        <v>-24494.76</v>
      </c>
      <c r="AG149" s="111" t="n">
        <v>-27957.83</v>
      </c>
      <c r="AH149" s="111" t="n">
        <v>-30816.78</v>
      </c>
      <c r="AI149" s="111" t="n">
        <v>-36496.31</v>
      </c>
      <c r="AJ149" s="111" t="n">
        <v>-38984.08</v>
      </c>
      <c r="AK149" s="111" t="n">
        <v>-41378.47</v>
      </c>
      <c r="AL149" s="111" t="n">
        <v>-43686.03</v>
      </c>
      <c r="AM149" s="111" t="n">
        <v>-47334.29</v>
      </c>
      <c r="AN149" s="111" t="n">
        <v>-50450.87</v>
      </c>
      <c r="AO149" s="111" t="n">
        <v>-52075.35</v>
      </c>
      <c r="AP149" s="111" t="n">
        <v>-53509.07</v>
      </c>
      <c r="AQ149" s="111" t="n">
        <v>-55299.18</v>
      </c>
      <c r="AR149" s="111" t="n">
        <v>-56073.83</v>
      </c>
      <c r="AS149" s="111" t="n">
        <v>-58487.14</v>
      </c>
      <c r="AT149" s="111" t="n">
        <v>-62075.15</v>
      </c>
      <c r="AU149" s="111" t="n">
        <v>-64410.37</v>
      </c>
      <c r="AV149" s="111" t="n">
        <v>-68438.28</v>
      </c>
      <c r="AW149" s="244" t="n">
        <v>-71031.84</v>
      </c>
      <c r="AX149" s="943">
        <f>AW149+AX154</f>
        <v/>
      </c>
      <c r="AY149" s="244">
        <f>AX149+AY154</f>
        <v/>
      </c>
      <c r="AZ149" s="111">
        <f>AY149+AZ154</f>
        <v/>
      </c>
      <c r="BA149" s="111">
        <f>AZ149+BA154</f>
        <v/>
      </c>
      <c r="BB149" s="111">
        <f>BA149+BB154</f>
        <v/>
      </c>
      <c r="BC149" s="111">
        <f>BB149+BC154</f>
        <v/>
      </c>
      <c r="BD149" s="111">
        <f>BC149+BD154</f>
        <v/>
      </c>
      <c r="BE149" s="111">
        <f>BD149+BE154</f>
        <v/>
      </c>
      <c r="BF149" s="111">
        <f>BE149+BF154</f>
        <v/>
      </c>
      <c r="BG149" s="111">
        <f>BF149+BG154</f>
        <v/>
      </c>
      <c r="BH149" s="111">
        <f>BG149+BH154</f>
        <v/>
      </c>
      <c r="BI149" s="111">
        <f>BH149+BI154</f>
        <v/>
      </c>
      <c r="BJ149" s="111">
        <f>BI149+BJ154</f>
        <v/>
      </c>
      <c r="BK149" s="244">
        <f>BJ149+BK154</f>
        <v/>
      </c>
      <c r="BL149" s="111">
        <f>BK149+BL154</f>
        <v/>
      </c>
      <c r="BM149" s="111">
        <f>BL149+BM154</f>
        <v/>
      </c>
      <c r="BN149" s="111">
        <f>BM149+BN154</f>
        <v/>
      </c>
      <c r="BO149" s="111">
        <f>BN149+BO154</f>
        <v/>
      </c>
      <c r="BP149" s="111">
        <f>BO149+BP154</f>
        <v/>
      </c>
      <c r="BQ149" s="111">
        <f>BP149+BQ154</f>
        <v/>
      </c>
      <c r="BR149" s="111">
        <f>BQ149+BR154</f>
        <v/>
      </c>
      <c r="BS149" s="111">
        <f>BR149+BS154</f>
        <v/>
      </c>
      <c r="BT149" s="111">
        <f>BS149+BT154</f>
        <v/>
      </c>
      <c r="BU149" s="111">
        <f>BT149+BU154</f>
        <v/>
      </c>
      <c r="BV149" s="111">
        <f>BU149+BV154</f>
        <v/>
      </c>
      <c r="BW149" s="244">
        <f>BV149+BW154</f>
        <v/>
      </c>
      <c r="BX149" s="111">
        <f>BW149+BX154</f>
        <v/>
      </c>
      <c r="BY149" s="111">
        <f>BX149+BY154</f>
        <v/>
      </c>
      <c r="BZ149" s="111">
        <f>BY149+BZ154</f>
        <v/>
      </c>
      <c r="CA149" s="111">
        <f>BZ149+CA154</f>
        <v/>
      </c>
      <c r="CB149" s="111">
        <f>CA149+CB154</f>
        <v/>
      </c>
      <c r="CC149" s="111">
        <f>CB149+CC154</f>
        <v/>
      </c>
      <c r="CD149" s="111">
        <f>CC149+CD154</f>
        <v/>
      </c>
      <c r="CE149" s="111">
        <f>CD149+CE154</f>
        <v/>
      </c>
      <c r="CF149" s="111">
        <f>CE149+CF154</f>
        <v/>
      </c>
      <c r="CG149" s="111">
        <f>CF149+CG154</f>
        <v/>
      </c>
      <c r="CH149" s="111">
        <f>CG149+CH154</f>
        <v/>
      </c>
      <c r="CI149" s="244">
        <f>CH149+CI154</f>
        <v/>
      </c>
      <c r="CJ149" s="111">
        <f>CI149+CJ154</f>
        <v/>
      </c>
      <c r="CK149" s="111">
        <f>CJ149+CK154</f>
        <v/>
      </c>
      <c r="CL149" s="111">
        <f>CK149+CL154</f>
        <v/>
      </c>
      <c r="CM149" s="111">
        <f>CL149+CM154</f>
        <v/>
      </c>
      <c r="CN149" s="111">
        <f>CM149+CN154</f>
        <v/>
      </c>
      <c r="CO149" s="111">
        <f>CN149+CO154</f>
        <v/>
      </c>
      <c r="CP149" s="111">
        <f>CO149+CP154</f>
        <v/>
      </c>
      <c r="CQ149" s="111">
        <f>CP149+CQ154</f>
        <v/>
      </c>
      <c r="CR149" s="111">
        <f>CQ149+CR154</f>
        <v/>
      </c>
      <c r="CS149" s="111">
        <f>CR149+CS154</f>
        <v/>
      </c>
      <c r="CT149" s="111">
        <f>CS149+CT154</f>
        <v/>
      </c>
      <c r="CU149" s="244">
        <f>CT149+CU154</f>
        <v/>
      </c>
      <c r="CV149" s="111">
        <f>CU149+CV154</f>
        <v/>
      </c>
      <c r="CW149" s="111">
        <f>CV149+CW154</f>
        <v/>
      </c>
      <c r="CX149" s="111">
        <f>CW149+CX154</f>
        <v/>
      </c>
      <c r="CY149" s="111">
        <f>CX149+CY154</f>
        <v/>
      </c>
      <c r="CZ149" s="111">
        <f>CY149+CZ154</f>
        <v/>
      </c>
      <c r="DA149" s="111">
        <f>CZ149+DA154</f>
        <v/>
      </c>
      <c r="DB149" s="111">
        <f>DA149+DB154</f>
        <v/>
      </c>
      <c r="DC149" s="111">
        <f>DB149+DC154</f>
        <v/>
      </c>
      <c r="DD149" s="111">
        <f>DC149+DD154</f>
        <v/>
      </c>
      <c r="DE149" s="111">
        <f>DD149+DE154</f>
        <v/>
      </c>
      <c r="DF149" s="111">
        <f>DE149+DF154</f>
        <v/>
      </c>
      <c r="DG149" s="111">
        <f>DF149+DG154</f>
        <v/>
      </c>
    </row>
    <row r="150" customFormat="1" s="3">
      <c r="B150" s="1" t="inlineStr">
        <is>
          <t xml:space="preserve">      Retained Earnings</t>
        </is>
      </c>
      <c r="C150" s="1" t="n"/>
      <c r="D150" s="111" t="n"/>
      <c r="E150" s="111" t="n"/>
      <c r="F150" s="111" t="n"/>
      <c r="G150" s="111" t="n"/>
      <c r="H150" s="111" t="n"/>
      <c r="I150" s="111" t="n"/>
      <c r="J150" s="111" t="n"/>
      <c r="K150" s="111" t="n"/>
      <c r="L150" s="111" t="n"/>
      <c r="M150" s="111" t="n"/>
      <c r="N150" s="111" t="n"/>
      <c r="O150" s="111" t="n"/>
      <c r="P150" s="111" t="n"/>
      <c r="Q150" s="111" t="n"/>
      <c r="R150" s="111" t="n"/>
      <c r="S150" s="111" t="n"/>
      <c r="T150" s="111" t="n"/>
      <c r="U150" s="111" t="n"/>
      <c r="V150" s="111" t="n">
        <v>0</v>
      </c>
      <c r="W150" s="111" t="n">
        <v>0</v>
      </c>
      <c r="X150" s="111" t="n">
        <v>0</v>
      </c>
      <c r="Y150" s="111" t="n">
        <v>0</v>
      </c>
      <c r="Z150" s="111" t="n">
        <v>0</v>
      </c>
      <c r="AA150" s="111" t="n">
        <v>0</v>
      </c>
      <c r="AB150" s="111" t="n">
        <v>0</v>
      </c>
      <c r="AC150" s="111" t="n">
        <v>0</v>
      </c>
      <c r="AD150" s="111" t="n">
        <v>0</v>
      </c>
      <c r="AE150" s="111" t="n">
        <v>0</v>
      </c>
      <c r="AF150" s="111" t="n">
        <v>0</v>
      </c>
      <c r="AG150" s="111" t="n">
        <v>0</v>
      </c>
      <c r="AH150" s="111" t="n">
        <v>0</v>
      </c>
      <c r="AI150" s="111" t="n">
        <v>0</v>
      </c>
      <c r="AJ150" s="111" t="n">
        <v>0</v>
      </c>
      <c r="AK150" s="111" t="n">
        <v>0</v>
      </c>
      <c r="AL150" s="111" t="n">
        <v>0</v>
      </c>
      <c r="AM150" s="111" t="n">
        <v>0</v>
      </c>
      <c r="AN150" s="111">
        <f>+AM151</f>
        <v/>
      </c>
      <c r="AO150" s="111">
        <f>+AN150</f>
        <v/>
      </c>
      <c r="AP150" s="111">
        <f>+AO150</f>
        <v/>
      </c>
      <c r="AQ150" s="111">
        <f>+AP150</f>
        <v/>
      </c>
      <c r="AR150" s="111">
        <f>+AQ150</f>
        <v/>
      </c>
      <c r="AS150" s="111">
        <f>+AR150</f>
        <v/>
      </c>
      <c r="AT150" s="111">
        <f>+AS150</f>
        <v/>
      </c>
      <c r="AU150" s="111">
        <f>+AT150</f>
        <v/>
      </c>
      <c r="AV150" s="111">
        <f>+AU150</f>
        <v/>
      </c>
      <c r="AW150" s="244">
        <f>+AV150</f>
        <v/>
      </c>
      <c r="AX150" s="111">
        <f>+AW150</f>
        <v/>
      </c>
      <c r="AY150" s="244">
        <f>AX150</f>
        <v/>
      </c>
      <c r="AZ150" s="111">
        <f>AY150</f>
        <v/>
      </c>
      <c r="BA150" s="111">
        <f>AZ150</f>
        <v/>
      </c>
      <c r="BB150" s="111">
        <f>BA150</f>
        <v/>
      </c>
      <c r="BC150" s="111">
        <f>BB150</f>
        <v/>
      </c>
      <c r="BD150" s="111">
        <f>BC150</f>
        <v/>
      </c>
      <c r="BE150" s="111">
        <f>BD150</f>
        <v/>
      </c>
      <c r="BF150" s="111">
        <f>BE150</f>
        <v/>
      </c>
      <c r="BG150" s="111">
        <f>BF150</f>
        <v/>
      </c>
      <c r="BH150" s="111">
        <f>BG150</f>
        <v/>
      </c>
      <c r="BI150" s="111">
        <f>BH150</f>
        <v/>
      </c>
      <c r="BJ150" s="111">
        <f>BI150</f>
        <v/>
      </c>
      <c r="BK150" s="244">
        <f>BJ150</f>
        <v/>
      </c>
      <c r="BL150" s="111">
        <f>BK150</f>
        <v/>
      </c>
      <c r="BM150" s="111">
        <f>BL150</f>
        <v/>
      </c>
      <c r="BN150" s="111">
        <f>BM150</f>
        <v/>
      </c>
      <c r="BO150" s="111">
        <f>BN150</f>
        <v/>
      </c>
      <c r="BP150" s="111">
        <f>BO150</f>
        <v/>
      </c>
      <c r="BQ150" s="111">
        <f>BP150</f>
        <v/>
      </c>
      <c r="BR150" s="111">
        <f>BQ150</f>
        <v/>
      </c>
      <c r="BS150" s="111">
        <f>BR150</f>
        <v/>
      </c>
      <c r="BT150" s="111">
        <f>BS150</f>
        <v/>
      </c>
      <c r="BU150" s="111">
        <f>BT150</f>
        <v/>
      </c>
      <c r="BV150" s="111">
        <f>BU150</f>
        <v/>
      </c>
      <c r="BW150" s="244">
        <f>BV150</f>
        <v/>
      </c>
      <c r="BX150" s="111">
        <f>BW150</f>
        <v/>
      </c>
      <c r="BY150" s="111">
        <f>BX150</f>
        <v/>
      </c>
      <c r="BZ150" s="111">
        <f>BY150</f>
        <v/>
      </c>
      <c r="CA150" s="111">
        <f>BZ150</f>
        <v/>
      </c>
      <c r="CB150" s="111">
        <f>CA150</f>
        <v/>
      </c>
      <c r="CC150" s="111">
        <f>CB150</f>
        <v/>
      </c>
      <c r="CD150" s="111">
        <f>CC150</f>
        <v/>
      </c>
      <c r="CE150" s="111">
        <f>CD150</f>
        <v/>
      </c>
      <c r="CF150" s="111">
        <f>CE150</f>
        <v/>
      </c>
      <c r="CG150" s="111">
        <f>CF150</f>
        <v/>
      </c>
      <c r="CH150" s="111">
        <f>CG150</f>
        <v/>
      </c>
      <c r="CI150" s="244">
        <f>CH150</f>
        <v/>
      </c>
      <c r="CJ150" s="111">
        <f>CI150</f>
        <v/>
      </c>
      <c r="CK150" s="111">
        <f>CJ150</f>
        <v/>
      </c>
      <c r="CL150" s="111">
        <f>CK150</f>
        <v/>
      </c>
      <c r="CM150" s="111">
        <f>CL150</f>
        <v/>
      </c>
      <c r="CN150" s="111">
        <f>CM150</f>
        <v/>
      </c>
      <c r="CO150" s="111">
        <f>CN150</f>
        <v/>
      </c>
      <c r="CP150" s="111">
        <f>CO150</f>
        <v/>
      </c>
      <c r="CQ150" s="111">
        <f>CP150</f>
        <v/>
      </c>
      <c r="CR150" s="111">
        <f>CQ150</f>
        <v/>
      </c>
      <c r="CS150" s="111">
        <f>CR150</f>
        <v/>
      </c>
      <c r="CT150" s="111">
        <f>CS150</f>
        <v/>
      </c>
      <c r="CU150" s="244">
        <f>CT150</f>
        <v/>
      </c>
      <c r="CV150" s="111">
        <f>CU150</f>
        <v/>
      </c>
      <c r="CW150" s="111">
        <f>CV150</f>
        <v/>
      </c>
      <c r="CX150" s="111">
        <f>CW150</f>
        <v/>
      </c>
      <c r="CY150" s="111">
        <f>CX150</f>
        <v/>
      </c>
      <c r="CZ150" s="111">
        <f>CY150</f>
        <v/>
      </c>
      <c r="DA150" s="111">
        <f>CZ150</f>
        <v/>
      </c>
      <c r="DB150" s="111">
        <f>DA150</f>
        <v/>
      </c>
      <c r="DC150" s="111">
        <f>DB150</f>
        <v/>
      </c>
      <c r="DD150" s="111">
        <f>DC150</f>
        <v/>
      </c>
      <c r="DE150" s="111">
        <f>DD150</f>
        <v/>
      </c>
      <c r="DF150" s="111">
        <f>DE150</f>
        <v/>
      </c>
      <c r="DG150" s="111">
        <f>DF150</f>
        <v/>
      </c>
    </row>
    <row r="151">
      <c r="B151" s="1" t="inlineStr">
        <is>
          <t xml:space="preserve">      Net Income</t>
        </is>
      </c>
      <c r="C151" s="1" t="n"/>
      <c r="D151" s="111" t="n"/>
      <c r="E151" s="111" t="n"/>
      <c r="F151" s="111" t="n"/>
      <c r="G151" s="111" t="n"/>
      <c r="H151" s="111" t="n"/>
      <c r="I151" s="111" t="n"/>
      <c r="J151" s="111" t="n"/>
      <c r="K151" s="111" t="n"/>
      <c r="L151" s="111" t="n"/>
      <c r="M151" s="111" t="n"/>
      <c r="N151" s="111" t="n"/>
      <c r="O151" s="111" t="n"/>
      <c r="P151" s="111" t="n"/>
      <c r="Q151" s="111" t="n"/>
      <c r="R151" s="111" t="n"/>
      <c r="S151" s="111" t="n"/>
      <c r="T151" s="111" t="n"/>
      <c r="U151" s="111" t="n"/>
      <c r="V151" s="111">
        <f>+V98+U151</f>
        <v/>
      </c>
      <c r="W151" s="111">
        <f>+W98+V151</f>
        <v/>
      </c>
      <c r="X151" s="111">
        <f>+X98+W151</f>
        <v/>
      </c>
      <c r="Y151" s="111">
        <f>+Y98+X151</f>
        <v/>
      </c>
      <c r="Z151" s="111">
        <f>+Z98+Y151</f>
        <v/>
      </c>
      <c r="AA151" s="111">
        <f>+AA98+Z151</f>
        <v/>
      </c>
      <c r="AB151" s="111">
        <f>+AB98</f>
        <v/>
      </c>
      <c r="AC151" s="111">
        <f>+AC98+AB151</f>
        <v/>
      </c>
      <c r="AD151" s="111">
        <f>+AD98+AC151</f>
        <v/>
      </c>
      <c r="AE151" s="111">
        <f>+AE98+AD151</f>
        <v/>
      </c>
      <c r="AF151" s="111">
        <f>+AF98+AE151</f>
        <v/>
      </c>
      <c r="AG151" s="111">
        <f>+AG98+AF151</f>
        <v/>
      </c>
      <c r="AH151" s="111">
        <f>+AH98+AG151</f>
        <v/>
      </c>
      <c r="AI151" s="111">
        <f>+AI98+AH151</f>
        <v/>
      </c>
      <c r="AJ151" s="111">
        <f>+AJ98+AI151</f>
        <v/>
      </c>
      <c r="AK151" s="111">
        <f>+AK98+AJ151</f>
        <v/>
      </c>
      <c r="AL151" s="111">
        <f>+AL98+AK151</f>
        <v/>
      </c>
      <c r="AM151" s="111">
        <f>+AM98+AL151</f>
        <v/>
      </c>
      <c r="AN151" s="111">
        <f>+AN98</f>
        <v/>
      </c>
      <c r="AO151" s="111">
        <f>+AO98+AN151</f>
        <v/>
      </c>
      <c r="AP151" s="111">
        <f>+AP98+AO151</f>
        <v/>
      </c>
      <c r="AQ151" s="111">
        <f>+AQ98+AP151</f>
        <v/>
      </c>
      <c r="AR151" s="111">
        <f>+AR98+AQ151</f>
        <v/>
      </c>
      <c r="AS151" s="111">
        <f>+AS98+AR151</f>
        <v/>
      </c>
      <c r="AT151" s="111">
        <f>+AT98+AS151</f>
        <v/>
      </c>
      <c r="AU151" s="111">
        <f>+AU98+AT151</f>
        <v/>
      </c>
      <c r="AV151" s="111">
        <f>+AV98+AU151</f>
        <v/>
      </c>
      <c r="AW151" s="244">
        <f>+AW98+AV151</f>
        <v/>
      </c>
      <c r="AX151" s="111">
        <f>+AX98+AW151</f>
        <v/>
      </c>
      <c r="AY151" s="244">
        <f>+AY98+AX151</f>
        <v/>
      </c>
      <c r="AZ151" s="111">
        <f>+AZ98+AY151</f>
        <v/>
      </c>
      <c r="BA151" s="111">
        <f>+BA98+AZ151</f>
        <v/>
      </c>
      <c r="BB151" s="111">
        <f>+BB98+BA151</f>
        <v/>
      </c>
      <c r="BC151" s="111">
        <f>+BC98+BB151</f>
        <v/>
      </c>
      <c r="BD151" s="111">
        <f>+BD98+BC151</f>
        <v/>
      </c>
      <c r="BE151" s="111">
        <f>+BE98+BD151</f>
        <v/>
      </c>
      <c r="BF151" s="111">
        <f>+BF98+BE151</f>
        <v/>
      </c>
      <c r="BG151" s="111">
        <f>+BG98+BF151</f>
        <v/>
      </c>
      <c r="BH151" s="111">
        <f>+BH98+BG151</f>
        <v/>
      </c>
      <c r="BI151" s="111">
        <f>+BI98+BH151</f>
        <v/>
      </c>
      <c r="BJ151" s="111">
        <f>+BJ98+BI151</f>
        <v/>
      </c>
      <c r="BK151" s="244">
        <f>+BK98+BJ151</f>
        <v/>
      </c>
      <c r="BL151" s="111">
        <f>+BL98+BK151</f>
        <v/>
      </c>
      <c r="BM151" s="111">
        <f>+BM98+BL151</f>
        <v/>
      </c>
      <c r="BN151" s="111">
        <f>+BN98+BM151</f>
        <v/>
      </c>
      <c r="BO151" s="111">
        <f>+BO98+BN151</f>
        <v/>
      </c>
      <c r="BP151" s="111">
        <f>+BP98+BO151</f>
        <v/>
      </c>
      <c r="BQ151" s="111">
        <f>+BQ98+BP151</f>
        <v/>
      </c>
      <c r="BR151" s="111">
        <f>+BR98+BQ151</f>
        <v/>
      </c>
      <c r="BS151" s="111">
        <f>+BS98+BR151</f>
        <v/>
      </c>
      <c r="BT151" s="111">
        <f>+BT98+BS151</f>
        <v/>
      </c>
      <c r="BU151" s="111">
        <f>+BU98+BT151</f>
        <v/>
      </c>
      <c r="BV151" s="111">
        <f>+BV98+BU151</f>
        <v/>
      </c>
      <c r="BW151" s="244">
        <f>+BW98+BV151</f>
        <v/>
      </c>
      <c r="BX151" s="111">
        <f>+BX98+BW151</f>
        <v/>
      </c>
      <c r="BY151" s="111">
        <f>+BY98+BX151</f>
        <v/>
      </c>
      <c r="BZ151" s="111">
        <f>+BZ98+BY151</f>
        <v/>
      </c>
      <c r="CA151" s="111">
        <f>+CA98+BZ151</f>
        <v/>
      </c>
      <c r="CB151" s="111">
        <f>+CB98+CA151</f>
        <v/>
      </c>
      <c r="CC151" s="111">
        <f>+CC98+CB151</f>
        <v/>
      </c>
      <c r="CD151" s="111">
        <f>+CD98+CC151</f>
        <v/>
      </c>
      <c r="CE151" s="111">
        <f>+CE98+CD151</f>
        <v/>
      </c>
      <c r="CF151" s="111">
        <f>+CF98+CE151</f>
        <v/>
      </c>
      <c r="CG151" s="111">
        <f>+CG98+CF151</f>
        <v/>
      </c>
      <c r="CH151" s="111">
        <f>+CH98+CG151</f>
        <v/>
      </c>
      <c r="CI151" s="244">
        <f>+CI98+CH151</f>
        <v/>
      </c>
      <c r="CJ151" s="111">
        <f>+CJ98+CI151</f>
        <v/>
      </c>
      <c r="CK151" s="111">
        <f>+CK98+CJ151</f>
        <v/>
      </c>
      <c r="CL151" s="111">
        <f>+CL98+CK151</f>
        <v/>
      </c>
      <c r="CM151" s="111">
        <f>+CM98+CL151</f>
        <v/>
      </c>
      <c r="CN151" s="111">
        <f>+CN98+CM151</f>
        <v/>
      </c>
      <c r="CO151" s="111">
        <f>+CO98+CN151</f>
        <v/>
      </c>
      <c r="CP151" s="111">
        <f>+CP98+CO151</f>
        <v/>
      </c>
      <c r="CQ151" s="111">
        <f>+CQ98+CP151</f>
        <v/>
      </c>
      <c r="CR151" s="111">
        <f>+CR98+CQ151</f>
        <v/>
      </c>
      <c r="CS151" s="111">
        <f>+CS98+CR151</f>
        <v/>
      </c>
      <c r="CT151" s="111">
        <f>+CT98+CS151</f>
        <v/>
      </c>
      <c r="CU151" s="244">
        <f>+CU98+CT151</f>
        <v/>
      </c>
      <c r="CV151" s="111">
        <f>+CV98+CU151</f>
        <v/>
      </c>
      <c r="CW151" s="111">
        <f>+CW98+CV151</f>
        <v/>
      </c>
      <c r="CX151" s="111">
        <f>+CX98+CW151</f>
        <v/>
      </c>
      <c r="CY151" s="111">
        <f>+CY98+CX151</f>
        <v/>
      </c>
      <c r="CZ151" s="111">
        <f>+CZ98+CY151</f>
        <v/>
      </c>
      <c r="DA151" s="111">
        <f>+DA98+CZ151</f>
        <v/>
      </c>
      <c r="DB151" s="111">
        <f>+DB98+DA151</f>
        <v/>
      </c>
      <c r="DC151" s="111">
        <f>+DC98+DB151</f>
        <v/>
      </c>
      <c r="DD151" s="111">
        <f>+DD98+DC151</f>
        <v/>
      </c>
      <c r="DE151" s="111">
        <f>+DE98+DD151</f>
        <v/>
      </c>
      <c r="DF151" s="111">
        <f>+DF98+DE151</f>
        <v/>
      </c>
      <c r="DG151" s="111">
        <f>+DG98+DF151</f>
        <v/>
      </c>
    </row>
    <row r="152">
      <c r="A152" s="5" t="n"/>
      <c r="B152" s="6" t="inlineStr">
        <is>
          <t xml:space="preserve">   Total Equity</t>
        </is>
      </c>
      <c r="C152" s="6" t="n"/>
      <c r="D152" s="824">
        <f>SUM(D146:D151)</f>
        <v/>
      </c>
      <c r="E152" s="824">
        <f>SUM(E146:E151)</f>
        <v/>
      </c>
      <c r="F152" s="824">
        <f>SUM(F146:F151)</f>
        <v/>
      </c>
      <c r="G152" s="824">
        <f>SUM(G146:G151)</f>
        <v/>
      </c>
      <c r="H152" s="824">
        <f>SUM(H146:H151)</f>
        <v/>
      </c>
      <c r="I152" s="824">
        <f>SUM(I146:I151)</f>
        <v/>
      </c>
      <c r="J152" s="824">
        <f>SUM(J146:J151)</f>
        <v/>
      </c>
      <c r="K152" s="824">
        <f>SUM(K146:K151)</f>
        <v/>
      </c>
      <c r="L152" s="824">
        <f>SUM(L146:L151)</f>
        <v/>
      </c>
      <c r="M152" s="824">
        <f>SUM(M146:M151)</f>
        <v/>
      </c>
      <c r="N152" s="824">
        <f>SUM(N146:N151)</f>
        <v/>
      </c>
      <c r="O152" s="824">
        <f>SUM(O146:O151)</f>
        <v/>
      </c>
      <c r="P152" s="824">
        <f>SUM(P146:P151)</f>
        <v/>
      </c>
      <c r="Q152" s="824">
        <f>SUM(Q146:Q151)</f>
        <v/>
      </c>
      <c r="R152" s="824">
        <f>SUM(R146:R151)</f>
        <v/>
      </c>
      <c r="S152" s="824">
        <f>SUM(S146:S151)</f>
        <v/>
      </c>
      <c r="T152" s="824">
        <f>SUM(T146:T151)</f>
        <v/>
      </c>
      <c r="U152" s="824">
        <f>SUM(U146:U151)</f>
        <v/>
      </c>
      <c r="V152" s="824">
        <f>SUM(V146:V151)</f>
        <v/>
      </c>
      <c r="W152" s="824">
        <f>SUM(W146:W151)</f>
        <v/>
      </c>
      <c r="X152" s="824">
        <f>SUM(X146:X151)</f>
        <v/>
      </c>
      <c r="Y152" s="824">
        <f>SUM(Y146:Y151)</f>
        <v/>
      </c>
      <c r="Z152" s="824">
        <f>SUM(Z146:Z151)</f>
        <v/>
      </c>
      <c r="AA152" s="824">
        <f>SUM(AA146:AA151)</f>
        <v/>
      </c>
      <c r="AB152" s="824">
        <f>SUM(AB146:AB151)</f>
        <v/>
      </c>
      <c r="AC152" s="824">
        <f>SUM(AC146:AC151)</f>
        <v/>
      </c>
      <c r="AD152" s="824">
        <f>SUM(AD146:AD151)</f>
        <v/>
      </c>
      <c r="AE152" s="824">
        <f>SUM(AE146:AE151)</f>
        <v/>
      </c>
      <c r="AF152" s="824">
        <f>SUM(AF146:AF151)</f>
        <v/>
      </c>
      <c r="AG152" s="824">
        <f>SUM(AG146:AG151)</f>
        <v/>
      </c>
      <c r="AH152" s="824">
        <f>SUM(AH146:AH151)</f>
        <v/>
      </c>
      <c r="AI152" s="824">
        <f>SUM(AI146:AI151)</f>
        <v/>
      </c>
      <c r="AJ152" s="824">
        <f>SUM(AJ146:AJ151)</f>
        <v/>
      </c>
      <c r="AK152" s="824">
        <f>SUM(AK146:AK151)</f>
        <v/>
      </c>
      <c r="AL152" s="824">
        <f>SUM(AL146:AL151)</f>
        <v/>
      </c>
      <c r="AM152" s="824">
        <f>SUM(AM146:AM151)</f>
        <v/>
      </c>
      <c r="AN152" s="824">
        <f>SUM(AN146:AN151)</f>
        <v/>
      </c>
      <c r="AO152" s="824">
        <f>SUM(AO146:AO151)</f>
        <v/>
      </c>
      <c r="AP152" s="824">
        <f>SUM(AP146:AP151)</f>
        <v/>
      </c>
      <c r="AQ152" s="824">
        <f>SUM(AQ146:AQ151)</f>
        <v/>
      </c>
      <c r="AR152" s="824">
        <f>SUM(AR146:AR151)</f>
        <v/>
      </c>
      <c r="AS152" s="824">
        <f>SUM(AS146:AS151)</f>
        <v/>
      </c>
      <c r="AT152" s="824">
        <f>SUM(AT146:AT151)</f>
        <v/>
      </c>
      <c r="AU152" s="824">
        <f>SUM(AU146:AU151)</f>
        <v/>
      </c>
      <c r="AV152" s="824">
        <f>SUM(AV146:AV151)</f>
        <v/>
      </c>
      <c r="AW152" s="825">
        <f>SUM(AW146:AW151)</f>
        <v/>
      </c>
      <c r="AX152" s="824">
        <f>SUM(AX146:AX151)</f>
        <v/>
      </c>
      <c r="AY152" s="825">
        <f>SUM(AY146:AY151)</f>
        <v/>
      </c>
      <c r="AZ152" s="824">
        <f>SUM(AZ146:AZ151)</f>
        <v/>
      </c>
      <c r="BA152" s="824">
        <f>SUM(BA146:BA151)</f>
        <v/>
      </c>
      <c r="BB152" s="824">
        <f>SUM(BB146:BB151)</f>
        <v/>
      </c>
      <c r="BC152" s="824">
        <f>SUM(BC146:BC151)</f>
        <v/>
      </c>
      <c r="BD152" s="824">
        <f>SUM(BD146:BD151)</f>
        <v/>
      </c>
      <c r="BE152" s="824">
        <f>SUM(BE146:BE151)</f>
        <v/>
      </c>
      <c r="BF152" s="824">
        <f>SUM(BF146:BF151)</f>
        <v/>
      </c>
      <c r="BG152" s="824">
        <f>SUM(BG146:BG151)</f>
        <v/>
      </c>
      <c r="BH152" s="824">
        <f>SUM(BH146:BH151)</f>
        <v/>
      </c>
      <c r="BI152" s="824">
        <f>SUM(BI146:BI151)</f>
        <v/>
      </c>
      <c r="BJ152" s="824">
        <f>SUM(BJ146:BJ151)</f>
        <v/>
      </c>
      <c r="BK152" s="825">
        <f>SUM(BK146:BK151)</f>
        <v/>
      </c>
      <c r="BL152" s="824">
        <f>SUM(BL146:BL151)</f>
        <v/>
      </c>
      <c r="BM152" s="824">
        <f>SUM(BM146:BM151)</f>
        <v/>
      </c>
      <c r="BN152" s="824">
        <f>SUM(BN146:BN151)</f>
        <v/>
      </c>
      <c r="BO152" s="824">
        <f>SUM(BO146:BO151)</f>
        <v/>
      </c>
      <c r="BP152" s="824">
        <f>SUM(BP146:BP151)</f>
        <v/>
      </c>
      <c r="BQ152" s="824">
        <f>SUM(BQ146:BQ151)</f>
        <v/>
      </c>
      <c r="BR152" s="824">
        <f>SUM(BR146:BR151)</f>
        <v/>
      </c>
      <c r="BS152" s="824">
        <f>SUM(BS146:BS151)</f>
        <v/>
      </c>
      <c r="BT152" s="824">
        <f>SUM(BT146:BT151)</f>
        <v/>
      </c>
      <c r="BU152" s="824">
        <f>SUM(BU146:BU151)</f>
        <v/>
      </c>
      <c r="BV152" s="824">
        <f>SUM(BV146:BV151)</f>
        <v/>
      </c>
      <c r="BW152" s="825">
        <f>SUM(BW146:BW151)</f>
        <v/>
      </c>
      <c r="BX152" s="824">
        <f>SUM(BX146:BX151)</f>
        <v/>
      </c>
      <c r="BY152" s="824">
        <f>SUM(BY146:BY151)</f>
        <v/>
      </c>
      <c r="BZ152" s="824">
        <f>SUM(BZ146:BZ151)</f>
        <v/>
      </c>
      <c r="CA152" s="824">
        <f>SUM(CA146:CA151)</f>
        <v/>
      </c>
      <c r="CB152" s="824">
        <f>SUM(CB146:CB151)</f>
        <v/>
      </c>
      <c r="CC152" s="824">
        <f>SUM(CC146:CC151)</f>
        <v/>
      </c>
      <c r="CD152" s="824">
        <f>SUM(CD146:CD151)</f>
        <v/>
      </c>
      <c r="CE152" s="824">
        <f>SUM(CE146:CE151)</f>
        <v/>
      </c>
      <c r="CF152" s="824">
        <f>SUM(CF146:CF151)</f>
        <v/>
      </c>
      <c r="CG152" s="824">
        <f>SUM(CG146:CG151)</f>
        <v/>
      </c>
      <c r="CH152" s="824">
        <f>SUM(CH146:CH151)</f>
        <v/>
      </c>
      <c r="CI152" s="825">
        <f>SUM(CI146:CI151)</f>
        <v/>
      </c>
      <c r="CJ152" s="824">
        <f>SUM(CJ146:CJ151)</f>
        <v/>
      </c>
      <c r="CK152" s="824">
        <f>SUM(CK146:CK151)</f>
        <v/>
      </c>
      <c r="CL152" s="824">
        <f>SUM(CL146:CL151)</f>
        <v/>
      </c>
      <c r="CM152" s="824">
        <f>SUM(CM146:CM151)</f>
        <v/>
      </c>
      <c r="CN152" s="824">
        <f>SUM(CN146:CN151)</f>
        <v/>
      </c>
      <c r="CO152" s="824">
        <f>SUM(CO146:CO151)</f>
        <v/>
      </c>
      <c r="CP152" s="824">
        <f>SUM(CP146:CP151)</f>
        <v/>
      </c>
      <c r="CQ152" s="824">
        <f>SUM(CQ146:CQ151)</f>
        <v/>
      </c>
      <c r="CR152" s="824">
        <f>SUM(CR146:CR151)</f>
        <v/>
      </c>
      <c r="CS152" s="824">
        <f>SUM(CS146:CS151)</f>
        <v/>
      </c>
      <c r="CT152" s="824">
        <f>SUM(CT146:CT151)</f>
        <v/>
      </c>
      <c r="CU152" s="825">
        <f>SUM(CU146:CU151)</f>
        <v/>
      </c>
      <c r="CV152" s="824">
        <f>SUM(CV146:CV151)</f>
        <v/>
      </c>
      <c r="CW152" s="824">
        <f>SUM(CW146:CW151)</f>
        <v/>
      </c>
      <c r="CX152" s="824">
        <f>SUM(CX146:CX151)</f>
        <v/>
      </c>
      <c r="CY152" s="824">
        <f>SUM(CY146:CY151)</f>
        <v/>
      </c>
      <c r="CZ152" s="824">
        <f>SUM(CZ146:CZ151)</f>
        <v/>
      </c>
      <c r="DA152" s="824">
        <f>SUM(DA146:DA151)</f>
        <v/>
      </c>
      <c r="DB152" s="824">
        <f>SUM(DB146:DB151)</f>
        <v/>
      </c>
      <c r="DC152" s="824">
        <f>SUM(DC146:DC151)</f>
        <v/>
      </c>
      <c r="DD152" s="824">
        <f>SUM(DD146:DD151)</f>
        <v/>
      </c>
      <c r="DE152" s="824">
        <f>SUM(DE146:DE151)</f>
        <v/>
      </c>
      <c r="DF152" s="824">
        <f>SUM(DF146:DF151)</f>
        <v/>
      </c>
      <c r="DG152" s="824">
        <f>SUM(DG146:DG151)</f>
        <v/>
      </c>
    </row>
    <row r="153">
      <c r="A153" s="3" t="n"/>
      <c r="B153" s="4" t="inlineStr">
        <is>
          <t>TOTAL LIABILITIES AND EQUITY</t>
        </is>
      </c>
      <c r="C153" s="4" t="n"/>
      <c r="D153" s="823">
        <f>D152</f>
        <v/>
      </c>
      <c r="E153" s="823">
        <f>E152</f>
        <v/>
      </c>
      <c r="F153" s="823">
        <f>F152</f>
        <v/>
      </c>
      <c r="G153" s="823">
        <f>G152</f>
        <v/>
      </c>
      <c r="H153" s="823">
        <f>H152</f>
        <v/>
      </c>
      <c r="I153" s="823">
        <f>I152</f>
        <v/>
      </c>
      <c r="J153" s="823">
        <f>J152+J143</f>
        <v/>
      </c>
      <c r="K153" s="823">
        <f>K152+K143</f>
        <v/>
      </c>
      <c r="L153" s="823">
        <f>L152+L143</f>
        <v/>
      </c>
      <c r="M153" s="823">
        <f>M152+M143</f>
        <v/>
      </c>
      <c r="N153" s="823">
        <f>N152+N143</f>
        <v/>
      </c>
      <c r="O153" s="823">
        <f>O152+O143</f>
        <v/>
      </c>
      <c r="P153" s="823">
        <f>P152+P143</f>
        <v/>
      </c>
      <c r="Q153" s="823">
        <f>Q152+Q143</f>
        <v/>
      </c>
      <c r="R153" s="823">
        <f>R152+R143</f>
        <v/>
      </c>
      <c r="S153" s="823">
        <f>S152+S143</f>
        <v/>
      </c>
      <c r="T153" s="823">
        <f>T152+T143</f>
        <v/>
      </c>
      <c r="U153" s="823">
        <f>U152+U143</f>
        <v/>
      </c>
      <c r="V153" s="823">
        <f>V152+V143</f>
        <v/>
      </c>
      <c r="W153" s="823">
        <f>W152+W143</f>
        <v/>
      </c>
      <c r="X153" s="823">
        <f>X152+X143</f>
        <v/>
      </c>
      <c r="Y153" s="823">
        <f>Y152+Y143</f>
        <v/>
      </c>
      <c r="Z153" s="823">
        <f>Z152+Z143</f>
        <v/>
      </c>
      <c r="AA153" s="823">
        <f>AA152+AA143</f>
        <v/>
      </c>
      <c r="AB153" s="823">
        <f>AB152+AB143</f>
        <v/>
      </c>
      <c r="AC153" s="823">
        <f>AC152+AC143</f>
        <v/>
      </c>
      <c r="AD153" s="823">
        <f>AD152+AD143</f>
        <v/>
      </c>
      <c r="AE153" s="823">
        <f>AE152+AE143</f>
        <v/>
      </c>
      <c r="AF153" s="823">
        <f>AF152+AF143</f>
        <v/>
      </c>
      <c r="AG153" s="823">
        <f>AG152+AG143</f>
        <v/>
      </c>
      <c r="AH153" s="823">
        <f>AH152+AH143</f>
        <v/>
      </c>
      <c r="AI153" s="823">
        <f>AI152+AI143</f>
        <v/>
      </c>
      <c r="AJ153" s="823">
        <f>AJ152+AJ143</f>
        <v/>
      </c>
      <c r="AK153" s="823">
        <f>AK152+AK143</f>
        <v/>
      </c>
      <c r="AL153" s="823">
        <f>AL152+AL143</f>
        <v/>
      </c>
      <c r="AM153" s="823">
        <f>AM152+AM143</f>
        <v/>
      </c>
      <c r="AN153" s="823">
        <f>AN152+AN143</f>
        <v/>
      </c>
      <c r="AO153" s="823">
        <f>AO152+AO143</f>
        <v/>
      </c>
      <c r="AP153" s="823">
        <f>AP152+AP143</f>
        <v/>
      </c>
      <c r="AQ153" s="823">
        <f>AQ152+AQ143</f>
        <v/>
      </c>
      <c r="AR153" s="823">
        <f>AR152+AR143</f>
        <v/>
      </c>
      <c r="AS153" s="823">
        <f>AS152+AS143</f>
        <v/>
      </c>
      <c r="AT153" s="823">
        <f>AT152+AT143</f>
        <v/>
      </c>
      <c r="AU153" s="823">
        <f>AU152+AU143</f>
        <v/>
      </c>
      <c r="AV153" s="823">
        <f>AV152+AV143</f>
        <v/>
      </c>
      <c r="AW153" s="836">
        <f>AW152+AW143</f>
        <v/>
      </c>
      <c r="AX153" s="823">
        <f>AX152+AX143</f>
        <v/>
      </c>
      <c r="AY153" s="836">
        <f>AY152+AY143</f>
        <v/>
      </c>
      <c r="AZ153" s="823">
        <f>AZ152+AZ143</f>
        <v/>
      </c>
      <c r="BA153" s="823">
        <f>BA152+BA143</f>
        <v/>
      </c>
      <c r="BB153" s="823">
        <f>BB152+BB143</f>
        <v/>
      </c>
      <c r="BC153" s="823">
        <f>BC152+BC143</f>
        <v/>
      </c>
      <c r="BD153" s="823">
        <f>BD152+BD143</f>
        <v/>
      </c>
      <c r="BE153" s="823">
        <f>BE152+BE143</f>
        <v/>
      </c>
      <c r="BF153" s="823">
        <f>BF152+BF143</f>
        <v/>
      </c>
      <c r="BG153" s="823">
        <f>BG152+BG143</f>
        <v/>
      </c>
      <c r="BH153" s="823">
        <f>BH152+BH143</f>
        <v/>
      </c>
      <c r="BI153" s="823">
        <f>BI152+BI143</f>
        <v/>
      </c>
      <c r="BJ153" s="823">
        <f>BJ152+BJ143</f>
        <v/>
      </c>
      <c r="BK153" s="836">
        <f>BK152+BK143</f>
        <v/>
      </c>
      <c r="BL153" s="823">
        <f>BL152+BL143</f>
        <v/>
      </c>
      <c r="BM153" s="823">
        <f>BM152+BM143</f>
        <v/>
      </c>
      <c r="BN153" s="823">
        <f>BN152+BN143</f>
        <v/>
      </c>
      <c r="BO153" s="823">
        <f>BO152+BO143</f>
        <v/>
      </c>
      <c r="BP153" s="823">
        <f>BP152+BP143</f>
        <v/>
      </c>
      <c r="BQ153" s="823">
        <f>BQ152+BQ143</f>
        <v/>
      </c>
      <c r="BR153" s="823">
        <f>BR152+BR143</f>
        <v/>
      </c>
      <c r="BS153" s="823">
        <f>BS152+BS143</f>
        <v/>
      </c>
      <c r="BT153" s="823">
        <f>BT152+BT143</f>
        <v/>
      </c>
      <c r="BU153" s="823">
        <f>BU152+BU143</f>
        <v/>
      </c>
      <c r="BV153" s="823">
        <f>BV152+BV143</f>
        <v/>
      </c>
      <c r="BW153" s="836">
        <f>BW152+BW143</f>
        <v/>
      </c>
      <c r="BX153" s="823">
        <f>BX152+BX143</f>
        <v/>
      </c>
      <c r="BY153" s="823">
        <f>BY152+BY143</f>
        <v/>
      </c>
      <c r="BZ153" s="823">
        <f>BZ152+BZ143</f>
        <v/>
      </c>
      <c r="CA153" s="823">
        <f>CA152+CA143</f>
        <v/>
      </c>
      <c r="CB153" s="823">
        <f>CB152+CB143</f>
        <v/>
      </c>
      <c r="CC153" s="823">
        <f>CC152+CC143</f>
        <v/>
      </c>
      <c r="CD153" s="823">
        <f>CD152+CD143</f>
        <v/>
      </c>
      <c r="CE153" s="823">
        <f>CE152+CE143</f>
        <v/>
      </c>
      <c r="CF153" s="823">
        <f>CF152+CF143</f>
        <v/>
      </c>
      <c r="CG153" s="823">
        <f>CG152+CG143</f>
        <v/>
      </c>
      <c r="CH153" s="823">
        <f>CH152+CH143</f>
        <v/>
      </c>
      <c r="CI153" s="836">
        <f>CI152+CI143</f>
        <v/>
      </c>
      <c r="CJ153" s="823">
        <f>CJ152+CJ143</f>
        <v/>
      </c>
      <c r="CK153" s="823">
        <f>CK152+CK143</f>
        <v/>
      </c>
      <c r="CL153" s="823">
        <f>CL152+CL143</f>
        <v/>
      </c>
      <c r="CM153" s="823">
        <f>CM152+CM143</f>
        <v/>
      </c>
      <c r="CN153" s="823">
        <f>CN152+CN143</f>
        <v/>
      </c>
      <c r="CO153" s="823">
        <f>CO152+CO143</f>
        <v/>
      </c>
      <c r="CP153" s="823">
        <f>CP152+CP143</f>
        <v/>
      </c>
      <c r="CQ153" s="823">
        <f>CQ152+CQ143</f>
        <v/>
      </c>
      <c r="CR153" s="823">
        <f>CR152+CR143</f>
        <v/>
      </c>
      <c r="CS153" s="823">
        <f>CS152+CS143</f>
        <v/>
      </c>
      <c r="CT153" s="823">
        <f>CT152+CT143</f>
        <v/>
      </c>
      <c r="CU153" s="836">
        <f>CU152+CU143</f>
        <v/>
      </c>
      <c r="CV153" s="823">
        <f>CV152+CV143</f>
        <v/>
      </c>
      <c r="CW153" s="823">
        <f>CW152+CW143</f>
        <v/>
      </c>
      <c r="CX153" s="823">
        <f>CX152+CX143</f>
        <v/>
      </c>
      <c r="CY153" s="823">
        <f>CY152+CY143</f>
        <v/>
      </c>
      <c r="CZ153" s="823">
        <f>CZ152+CZ143</f>
        <v/>
      </c>
      <c r="DA153" s="823">
        <f>DA152+DA143</f>
        <v/>
      </c>
      <c r="DB153" s="823">
        <f>DB152+DB143</f>
        <v/>
      </c>
      <c r="DC153" s="823">
        <f>DC152+DC143</f>
        <v/>
      </c>
      <c r="DD153" s="823">
        <f>DD152+DD143</f>
        <v/>
      </c>
      <c r="DE153" s="823">
        <f>DE152+DE143</f>
        <v/>
      </c>
      <c r="DF153" s="823">
        <f>DF152+DF143</f>
        <v/>
      </c>
      <c r="DG153" s="823">
        <f>DG152+DG143</f>
        <v/>
      </c>
    </row>
    <row r="154" customFormat="1" s="164">
      <c r="B154" s="275" t="n"/>
      <c r="C154" s="275" t="inlineStr">
        <is>
          <t>Owners' Personal Burden</t>
        </is>
      </c>
      <c r="D154" s="930" t="n"/>
      <c r="E154" s="930" t="n"/>
      <c r="F154" s="930" t="n"/>
      <c r="G154" s="930" t="n"/>
      <c r="H154" s="930" t="n"/>
      <c r="I154" s="930" t="n"/>
      <c r="J154" s="930" t="n"/>
      <c r="K154" s="930" t="n"/>
      <c r="L154" s="930" t="n"/>
      <c r="M154" s="930" t="n"/>
      <c r="N154" s="930" t="n"/>
      <c r="O154" s="930" t="n"/>
      <c r="P154" s="930" t="n"/>
      <c r="Q154" s="930" t="n"/>
      <c r="R154" s="930" t="n"/>
      <c r="S154" s="930" t="n"/>
      <c r="T154" s="930" t="n"/>
      <c r="U154" s="930" t="n"/>
      <c r="V154" s="930" t="n"/>
      <c r="W154" s="930">
        <f>+W149-V149</f>
        <v/>
      </c>
      <c r="X154" s="930">
        <f>+X149-W149</f>
        <v/>
      </c>
      <c r="Y154" s="930">
        <f>+Y149-X149</f>
        <v/>
      </c>
      <c r="Z154" s="930">
        <f>+Z149-Y149</f>
        <v/>
      </c>
      <c r="AA154" s="930">
        <f>+AA149-Z149</f>
        <v/>
      </c>
      <c r="AB154" s="930">
        <f>+AB149-AA149</f>
        <v/>
      </c>
      <c r="AC154" s="930">
        <f>+AC149-AB149</f>
        <v/>
      </c>
      <c r="AD154" s="930">
        <f>+AD149-AC149</f>
        <v/>
      </c>
      <c r="AE154" s="930">
        <f>+AE149-AD149</f>
        <v/>
      </c>
      <c r="AF154" s="930">
        <f>+AF149-AE149</f>
        <v/>
      </c>
      <c r="AG154" s="930">
        <f>+AG149-AF149</f>
        <v/>
      </c>
      <c r="AH154" s="930">
        <f>+AH149-AG149</f>
        <v/>
      </c>
      <c r="AI154" s="930">
        <f>+AI149-AH149</f>
        <v/>
      </c>
      <c r="AJ154" s="930">
        <f>+AJ149-AI149</f>
        <v/>
      </c>
      <c r="AK154" s="930">
        <f>+AK149-AJ149</f>
        <v/>
      </c>
      <c r="AL154" s="930">
        <f>+AL149-AK149</f>
        <v/>
      </c>
      <c r="AM154" s="930">
        <f>+AM149-AL149</f>
        <v/>
      </c>
      <c r="AN154" s="930">
        <f>+AN149-AM149</f>
        <v/>
      </c>
      <c r="AO154" s="930">
        <f>+AO149-AN149</f>
        <v/>
      </c>
      <c r="AP154" s="930">
        <f>+AP149-AO149</f>
        <v/>
      </c>
      <c r="AQ154" s="930">
        <f>+AQ149-AP149</f>
        <v/>
      </c>
      <c r="AR154" s="930">
        <f>+AR149-AQ149</f>
        <v/>
      </c>
      <c r="AS154" s="930">
        <f>+AS149-AR149</f>
        <v/>
      </c>
      <c r="AT154" s="930">
        <f>+AT149-AS149</f>
        <v/>
      </c>
      <c r="AU154" s="930">
        <f>+AU149-AT149</f>
        <v/>
      </c>
      <c r="AV154" s="930">
        <f>+AV149-AU149</f>
        <v/>
      </c>
      <c r="AW154" s="938">
        <f>+AW149-AV149</f>
        <v/>
      </c>
      <c r="AX154" s="930" t="n">
        <v>-150</v>
      </c>
      <c r="AY154" s="938">
        <f>+AX154</f>
        <v/>
      </c>
      <c r="AZ154" s="930">
        <f>+AY154</f>
        <v/>
      </c>
      <c r="BA154" s="930">
        <f>+AZ154</f>
        <v/>
      </c>
      <c r="BB154" s="930">
        <f>+BA154</f>
        <v/>
      </c>
      <c r="BC154" s="930">
        <f>+BB154</f>
        <v/>
      </c>
      <c r="BD154" s="930">
        <f>+BC154</f>
        <v/>
      </c>
      <c r="BE154" s="930">
        <f>+BD154</f>
        <v/>
      </c>
      <c r="BF154" s="930">
        <f>+BE154</f>
        <v/>
      </c>
      <c r="BG154" s="930">
        <f>+BF154</f>
        <v/>
      </c>
      <c r="BH154" s="930">
        <f>+BG154</f>
        <v/>
      </c>
      <c r="BI154" s="930">
        <f>+BH154</f>
        <v/>
      </c>
      <c r="BJ154" s="930">
        <f>+BI154</f>
        <v/>
      </c>
      <c r="BK154" s="938">
        <f>+BJ154</f>
        <v/>
      </c>
      <c r="BL154" s="930">
        <f>+BK154</f>
        <v/>
      </c>
      <c r="BM154" s="930">
        <f>+BL154</f>
        <v/>
      </c>
      <c r="BN154" s="930">
        <f>+BM154</f>
        <v/>
      </c>
      <c r="BO154" s="930">
        <f>+BN154</f>
        <v/>
      </c>
      <c r="BP154" s="930">
        <f>+BO154</f>
        <v/>
      </c>
      <c r="BQ154" s="930">
        <f>+BP154</f>
        <v/>
      </c>
      <c r="BR154" s="930">
        <f>+BQ154</f>
        <v/>
      </c>
      <c r="BS154" s="930">
        <f>+BR154</f>
        <v/>
      </c>
      <c r="BT154" s="930">
        <f>+BS154</f>
        <v/>
      </c>
      <c r="BU154" s="930">
        <f>+BT154</f>
        <v/>
      </c>
      <c r="BV154" s="930">
        <f>+BU154</f>
        <v/>
      </c>
      <c r="BW154" s="938">
        <f>+BV154</f>
        <v/>
      </c>
      <c r="BX154" s="930">
        <f>+BW154</f>
        <v/>
      </c>
      <c r="BY154" s="930">
        <f>+BX154</f>
        <v/>
      </c>
      <c r="BZ154" s="930">
        <f>+BY154</f>
        <v/>
      </c>
      <c r="CA154" s="930">
        <f>+BZ154</f>
        <v/>
      </c>
      <c r="CB154" s="930">
        <f>+CA154</f>
        <v/>
      </c>
      <c r="CC154" s="930">
        <f>+CB154</f>
        <v/>
      </c>
      <c r="CD154" s="930">
        <f>+CC154</f>
        <v/>
      </c>
      <c r="CE154" s="930">
        <f>+CD154</f>
        <v/>
      </c>
      <c r="CF154" s="930">
        <f>+CE154</f>
        <v/>
      </c>
      <c r="CG154" s="930">
        <f>+CF154</f>
        <v/>
      </c>
      <c r="CH154" s="930">
        <f>+CG154</f>
        <v/>
      </c>
      <c r="CI154" s="938">
        <f>+CH154</f>
        <v/>
      </c>
      <c r="CJ154" s="930">
        <f>+CI154</f>
        <v/>
      </c>
      <c r="CK154" s="930">
        <f>+CJ154</f>
        <v/>
      </c>
      <c r="CL154" s="930">
        <f>+CK154</f>
        <v/>
      </c>
      <c r="CM154" s="930">
        <f>+CL154</f>
        <v/>
      </c>
      <c r="CN154" s="930">
        <f>+CM154</f>
        <v/>
      </c>
      <c r="CO154" s="930">
        <f>+CN154</f>
        <v/>
      </c>
      <c r="CP154" s="930">
        <f>+CO154</f>
        <v/>
      </c>
      <c r="CQ154" s="930">
        <f>+CP154</f>
        <v/>
      </c>
      <c r="CR154" s="930">
        <f>+CQ154</f>
        <v/>
      </c>
      <c r="CS154" s="930">
        <f>+CR154</f>
        <v/>
      </c>
      <c r="CT154" s="930">
        <f>+CS154</f>
        <v/>
      </c>
      <c r="CU154" s="938">
        <f>+CT154</f>
        <v/>
      </c>
      <c r="CV154" s="930">
        <f>+CU154</f>
        <v/>
      </c>
      <c r="CW154" s="930">
        <f>+CV154</f>
        <v/>
      </c>
      <c r="CX154" s="930">
        <f>+CW154</f>
        <v/>
      </c>
      <c r="CY154" s="930">
        <f>+CX154</f>
        <v/>
      </c>
      <c r="CZ154" s="930">
        <f>+CY154</f>
        <v/>
      </c>
      <c r="DA154" s="930">
        <f>+CZ154</f>
        <v/>
      </c>
      <c r="DB154" s="930">
        <f>+DA154</f>
        <v/>
      </c>
      <c r="DC154" s="930">
        <f>+DB154</f>
        <v/>
      </c>
      <c r="DD154" s="930">
        <f>+DC154</f>
        <v/>
      </c>
      <c r="DE154" s="930">
        <f>+DD154</f>
        <v/>
      </c>
      <c r="DF154" s="930">
        <f>+DE154</f>
        <v/>
      </c>
      <c r="DG154" s="930">
        <f>+DF154</f>
        <v/>
      </c>
    </row>
    <row r="155" customFormat="1" s="164">
      <c r="B155" s="275" t="n"/>
      <c r="C155" s="275" t="inlineStr">
        <is>
          <t>Owner Reinvestment</t>
        </is>
      </c>
      <c r="D155" s="930" t="n"/>
      <c r="E155" s="930" t="n"/>
      <c r="F155" s="930" t="n"/>
      <c r="G155" s="930" t="n"/>
      <c r="H155" s="930" t="n"/>
      <c r="I155" s="930" t="n"/>
      <c r="J155" s="930" t="n"/>
      <c r="K155" s="930" t="n"/>
      <c r="L155" s="930" t="n"/>
      <c r="M155" s="930" t="n"/>
      <c r="N155" s="930" t="n"/>
      <c r="O155" s="930" t="n"/>
      <c r="P155" s="930" t="n"/>
      <c r="Q155" s="930" t="n"/>
      <c r="R155" s="930" t="n"/>
      <c r="S155" s="930" t="n"/>
      <c r="T155" s="930" t="n"/>
      <c r="U155" s="930" t="n"/>
      <c r="V155" s="930" t="n"/>
      <c r="W155" s="930" t="n"/>
      <c r="X155" s="930" t="n"/>
      <c r="Y155" s="930" t="n"/>
      <c r="Z155" s="930" t="n"/>
      <c r="AA155" s="930" t="n"/>
      <c r="AB155" s="930" t="n"/>
      <c r="AC155" s="930" t="n"/>
      <c r="AD155" s="930" t="n"/>
      <c r="AE155" s="930" t="n"/>
      <c r="AF155" s="930" t="n"/>
      <c r="AG155" s="930" t="n"/>
      <c r="AH155" s="930" t="n"/>
      <c r="AI155" s="930" t="n"/>
      <c r="AJ155" s="930" t="n"/>
      <c r="AK155" s="930" t="n"/>
      <c r="AL155" s="930" t="n"/>
      <c r="AM155" s="930" t="n"/>
      <c r="AN155" s="930" t="n"/>
      <c r="AO155" s="930" t="n"/>
      <c r="AP155" s="930" t="n"/>
      <c r="AQ155" s="930" t="n"/>
      <c r="AR155" s="930" t="n"/>
      <c r="AS155" s="930" t="n"/>
      <c r="AT155" s="930" t="n"/>
      <c r="AU155" s="930" t="n"/>
      <c r="AV155" s="930" t="n"/>
      <c r="AW155" s="938" t="n"/>
      <c r="AX155" s="930" t="n">
        <v>0</v>
      </c>
      <c r="AY155" s="938">
        <f>+AX155</f>
        <v/>
      </c>
      <c r="AZ155" s="930">
        <f>+AY155</f>
        <v/>
      </c>
      <c r="BA155" s="930">
        <f>+AZ155</f>
        <v/>
      </c>
      <c r="BB155" s="930">
        <f>+BA155</f>
        <v/>
      </c>
      <c r="BC155" s="930">
        <f>+BB155</f>
        <v/>
      </c>
      <c r="BD155" s="930">
        <f>+BC155</f>
        <v/>
      </c>
      <c r="BE155" s="930">
        <f>+BD155</f>
        <v/>
      </c>
      <c r="BF155" s="930">
        <f>+BE155</f>
        <v/>
      </c>
      <c r="BG155" s="930">
        <f>+BF155</f>
        <v/>
      </c>
      <c r="BH155" s="930">
        <f>+BG155</f>
        <v/>
      </c>
      <c r="BI155" s="930">
        <f>+BH155</f>
        <v/>
      </c>
      <c r="BJ155" s="930">
        <f>+BI155</f>
        <v/>
      </c>
      <c r="BK155" s="938">
        <f>+BJ155</f>
        <v/>
      </c>
      <c r="BL155" s="930">
        <f>+BK155</f>
        <v/>
      </c>
      <c r="BM155" s="930">
        <f>+BL155</f>
        <v/>
      </c>
      <c r="BN155" s="930">
        <f>+BM155</f>
        <v/>
      </c>
      <c r="BO155" s="930">
        <f>+BN155</f>
        <v/>
      </c>
      <c r="BP155" s="930">
        <f>+BO155</f>
        <v/>
      </c>
      <c r="BQ155" s="930">
        <f>+BP155</f>
        <v/>
      </c>
      <c r="BR155" s="930">
        <f>+BQ155</f>
        <v/>
      </c>
      <c r="BS155" s="930">
        <f>+BR155</f>
        <v/>
      </c>
      <c r="BT155" s="930">
        <f>+BS155</f>
        <v/>
      </c>
      <c r="BU155" s="930">
        <f>+BT155</f>
        <v/>
      </c>
      <c r="BV155" s="930">
        <f>+BU155</f>
        <v/>
      </c>
      <c r="BW155" s="938">
        <f>+BV155</f>
        <v/>
      </c>
      <c r="BX155" s="930">
        <f>+BW155</f>
        <v/>
      </c>
      <c r="BY155" s="930">
        <f>+BX155</f>
        <v/>
      </c>
      <c r="BZ155" s="930">
        <f>+BY155</f>
        <v/>
      </c>
      <c r="CA155" s="930">
        <f>+BZ155</f>
        <v/>
      </c>
      <c r="CB155" s="930">
        <f>+CA155</f>
        <v/>
      </c>
      <c r="CC155" s="930">
        <f>+CB155</f>
        <v/>
      </c>
      <c r="CD155" s="930">
        <f>+CC155</f>
        <v/>
      </c>
      <c r="CE155" s="930">
        <f>+CD155</f>
        <v/>
      </c>
      <c r="CF155" s="930">
        <f>+CE155</f>
        <v/>
      </c>
      <c r="CG155" s="930">
        <f>+CF155</f>
        <v/>
      </c>
      <c r="CH155" s="930">
        <f>+CG155</f>
        <v/>
      </c>
      <c r="CI155" s="938">
        <f>+CH155</f>
        <v/>
      </c>
      <c r="CJ155" s="930">
        <f>+CI155</f>
        <v/>
      </c>
      <c r="CK155" s="930">
        <f>+CJ155</f>
        <v/>
      </c>
      <c r="CL155" s="930">
        <f>+CK155</f>
        <v/>
      </c>
      <c r="CM155" s="930">
        <f>+CL155</f>
        <v/>
      </c>
      <c r="CN155" s="930">
        <f>+CM155</f>
        <v/>
      </c>
      <c r="CO155" s="930">
        <f>+CN155</f>
        <v/>
      </c>
      <c r="CP155" s="930">
        <f>+CO155</f>
        <v/>
      </c>
      <c r="CQ155" s="930">
        <f>+CP155</f>
        <v/>
      </c>
      <c r="CR155" s="930">
        <f>+CQ155</f>
        <v/>
      </c>
      <c r="CS155" s="930">
        <f>+CR155</f>
        <v/>
      </c>
      <c r="CT155" s="930">
        <f>+CS155</f>
        <v/>
      </c>
      <c r="CU155" s="938">
        <f>+CT155</f>
        <v/>
      </c>
      <c r="CV155" s="930">
        <f>+CU155</f>
        <v/>
      </c>
      <c r="CW155" s="930">
        <f>+CV155</f>
        <v/>
      </c>
      <c r="CX155" s="930">
        <f>+CW155</f>
        <v/>
      </c>
      <c r="CY155" s="930">
        <f>+CX155</f>
        <v/>
      </c>
      <c r="CZ155" s="930" t="n"/>
      <c r="DA155" s="930" t="n"/>
      <c r="DB155" s="930" t="n"/>
      <c r="DC155" s="930" t="n"/>
      <c r="DD155" s="930" t="n"/>
      <c r="DE155" s="930" t="n"/>
      <c r="DF155" s="930" t="n"/>
      <c r="DG155" s="930" t="n"/>
    </row>
    <row r="156" customFormat="1" s="3">
      <c r="B156" s="1" t="n"/>
      <c r="C156" s="57" t="inlineStr">
        <is>
          <t>Check</t>
        </is>
      </c>
      <c r="D156" s="838">
        <f>D153-D129</f>
        <v/>
      </c>
      <c r="E156" s="838">
        <f>E153-E129</f>
        <v/>
      </c>
      <c r="F156" s="838">
        <f>F153-F129</f>
        <v/>
      </c>
      <c r="G156" s="838">
        <f>G153-G129</f>
        <v/>
      </c>
      <c r="H156" s="838">
        <f>H153-H129</f>
        <v/>
      </c>
      <c r="I156" s="838">
        <f>I153-I129</f>
        <v/>
      </c>
      <c r="J156" s="838">
        <f>J153-J129</f>
        <v/>
      </c>
      <c r="K156" s="838">
        <f>K153-K129</f>
        <v/>
      </c>
      <c r="L156" s="838">
        <f>L153-L129</f>
        <v/>
      </c>
      <c r="M156" s="838">
        <f>M153-M129</f>
        <v/>
      </c>
      <c r="N156" s="838">
        <f>N153-N129</f>
        <v/>
      </c>
      <c r="O156" s="838">
        <f>O153-O129</f>
        <v/>
      </c>
      <c r="P156" s="838">
        <f>P153-P129</f>
        <v/>
      </c>
      <c r="Q156" s="838">
        <f>Q153-Q129</f>
        <v/>
      </c>
      <c r="R156" s="838">
        <f>R153-R129</f>
        <v/>
      </c>
      <c r="S156" s="838">
        <f>S153-S129</f>
        <v/>
      </c>
      <c r="T156" s="838">
        <f>T153-T129</f>
        <v/>
      </c>
      <c r="U156" s="838">
        <f>U153-U129</f>
        <v/>
      </c>
      <c r="V156" s="838">
        <f>V153-V129</f>
        <v/>
      </c>
      <c r="W156" s="838">
        <f>W153-W129</f>
        <v/>
      </c>
      <c r="X156" s="838">
        <f>X153-X129</f>
        <v/>
      </c>
      <c r="Y156" s="838">
        <f>Y153-Y129</f>
        <v/>
      </c>
      <c r="Z156" s="838">
        <f>Z153-Z129</f>
        <v/>
      </c>
      <c r="AA156" s="838">
        <f>AA153-AA129</f>
        <v/>
      </c>
      <c r="AB156" s="838">
        <f>AB153-AB129</f>
        <v/>
      </c>
      <c r="AC156" s="838">
        <f>AC153-AC129</f>
        <v/>
      </c>
      <c r="AD156" s="838">
        <f>AD153-AD129</f>
        <v/>
      </c>
      <c r="AE156" s="838">
        <f>AE153-AE129</f>
        <v/>
      </c>
      <c r="AF156" s="838">
        <f>AF153-AF129</f>
        <v/>
      </c>
      <c r="AG156" s="838">
        <f>AG153-AG129</f>
        <v/>
      </c>
      <c r="AH156" s="838">
        <f>AH153-AH129</f>
        <v/>
      </c>
      <c r="AI156" s="838">
        <f>AI153-AI129</f>
        <v/>
      </c>
      <c r="AJ156" s="838">
        <f>AJ153-AJ129</f>
        <v/>
      </c>
      <c r="AK156" s="838">
        <f>AK153-AK129</f>
        <v/>
      </c>
      <c r="AL156" s="838">
        <f>AL153-AL129</f>
        <v/>
      </c>
      <c r="AM156" s="838">
        <f>AM153-AM129</f>
        <v/>
      </c>
      <c r="AN156" s="838">
        <f>AN153-AN129</f>
        <v/>
      </c>
      <c r="AO156" s="838">
        <f>AO153-AO129</f>
        <v/>
      </c>
      <c r="AP156" s="838">
        <f>AP153-AP129</f>
        <v/>
      </c>
      <c r="AQ156" s="838">
        <f>AQ153-AQ129</f>
        <v/>
      </c>
      <c r="AR156" s="838">
        <f>AR153-AR129</f>
        <v/>
      </c>
      <c r="AS156" s="838">
        <f>AS153-AS129</f>
        <v/>
      </c>
      <c r="AT156" s="838">
        <f>AT153-AT129</f>
        <v/>
      </c>
      <c r="AU156" s="838">
        <f>AU153-AU129</f>
        <v/>
      </c>
      <c r="AV156" s="838">
        <f>AV153-AV129</f>
        <v/>
      </c>
      <c r="AW156" s="839">
        <f>AW153-AW129</f>
        <v/>
      </c>
      <c r="AX156" s="838">
        <f>AX153-AX129</f>
        <v/>
      </c>
      <c r="AY156" s="839">
        <f>AY153-AY129</f>
        <v/>
      </c>
      <c r="AZ156" s="838">
        <f>AZ153-AZ129</f>
        <v/>
      </c>
      <c r="BA156" s="838">
        <f>BA153-BA129</f>
        <v/>
      </c>
      <c r="BB156" s="838">
        <f>BB153-BB129</f>
        <v/>
      </c>
      <c r="BC156" s="838">
        <f>BC153-BC129</f>
        <v/>
      </c>
      <c r="BD156" s="838">
        <f>BD153-BD129</f>
        <v/>
      </c>
      <c r="BE156" s="838">
        <f>BE153-BE129</f>
        <v/>
      </c>
      <c r="BF156" s="838">
        <f>BF153-BF129</f>
        <v/>
      </c>
      <c r="BG156" s="838">
        <f>BG153-BG129</f>
        <v/>
      </c>
      <c r="BH156" s="838">
        <f>BH153-BH129</f>
        <v/>
      </c>
      <c r="BI156" s="838">
        <f>BI153-BI129</f>
        <v/>
      </c>
      <c r="BJ156" s="838">
        <f>BJ153-BJ129</f>
        <v/>
      </c>
      <c r="BK156" s="839">
        <f>BK153-BK129</f>
        <v/>
      </c>
      <c r="BL156" s="838">
        <f>BL153-BL129</f>
        <v/>
      </c>
      <c r="BM156" s="838">
        <f>BM153-BM129</f>
        <v/>
      </c>
      <c r="BN156" s="838">
        <f>BN153-BN129</f>
        <v/>
      </c>
      <c r="BO156" s="838">
        <f>BO153-BO129</f>
        <v/>
      </c>
      <c r="BP156" s="838">
        <f>BP153-BP129</f>
        <v/>
      </c>
      <c r="BQ156" s="838">
        <f>BQ153-BQ129</f>
        <v/>
      </c>
      <c r="BR156" s="838">
        <f>BR153-BR129</f>
        <v/>
      </c>
      <c r="BS156" s="838">
        <f>BS153-BS129</f>
        <v/>
      </c>
      <c r="BT156" s="838">
        <f>BT153-BT129</f>
        <v/>
      </c>
      <c r="BU156" s="838">
        <f>BU153-BU129</f>
        <v/>
      </c>
      <c r="BV156" s="838">
        <f>BV153-BV129</f>
        <v/>
      </c>
      <c r="BW156" s="839">
        <f>BW153-BW129</f>
        <v/>
      </c>
      <c r="BX156" s="838">
        <f>BX153-BX129</f>
        <v/>
      </c>
      <c r="BY156" s="838">
        <f>BY153-BY129</f>
        <v/>
      </c>
      <c r="BZ156" s="838">
        <f>BZ153-BZ129</f>
        <v/>
      </c>
      <c r="CA156" s="838">
        <f>CA153-CA129</f>
        <v/>
      </c>
      <c r="CB156" s="838">
        <f>CB153-CB129</f>
        <v/>
      </c>
      <c r="CC156" s="838">
        <f>CC153-CC129</f>
        <v/>
      </c>
      <c r="CD156" s="838">
        <f>CD153-CD129</f>
        <v/>
      </c>
      <c r="CE156" s="838">
        <f>CE153-CE129</f>
        <v/>
      </c>
      <c r="CF156" s="838">
        <f>CF153-CF129</f>
        <v/>
      </c>
      <c r="CG156" s="838">
        <f>CG153-CG129</f>
        <v/>
      </c>
      <c r="CH156" s="838">
        <f>CH153-CH129</f>
        <v/>
      </c>
      <c r="CI156" s="839">
        <f>CI153-CI129</f>
        <v/>
      </c>
      <c r="CJ156" s="838">
        <f>CJ153-CJ129</f>
        <v/>
      </c>
      <c r="CK156" s="838">
        <f>CK153-CK129</f>
        <v/>
      </c>
      <c r="CL156" s="838">
        <f>CL153-CL129</f>
        <v/>
      </c>
      <c r="CM156" s="838">
        <f>CM153-CM129</f>
        <v/>
      </c>
      <c r="CN156" s="838">
        <f>CN153-CN129</f>
        <v/>
      </c>
      <c r="CO156" s="838">
        <f>CO153-CO129</f>
        <v/>
      </c>
      <c r="CP156" s="838">
        <f>CP153-CP129</f>
        <v/>
      </c>
      <c r="CQ156" s="838">
        <f>CQ153-CQ129</f>
        <v/>
      </c>
      <c r="CR156" s="838">
        <f>CR153-CR129</f>
        <v/>
      </c>
      <c r="CS156" s="838">
        <f>CS153-CS129</f>
        <v/>
      </c>
      <c r="CT156" s="838">
        <f>CT153-CT129</f>
        <v/>
      </c>
      <c r="CU156" s="839">
        <f>CU153-CU129</f>
        <v/>
      </c>
      <c r="CV156" s="838">
        <f>CV153-CV129</f>
        <v/>
      </c>
      <c r="CW156" s="838">
        <f>CW153-CW129</f>
        <v/>
      </c>
      <c r="CX156" s="838">
        <f>CX153-CX129</f>
        <v/>
      </c>
      <c r="CY156" s="838">
        <f>CY153-CY129</f>
        <v/>
      </c>
      <c r="CZ156" s="838">
        <f>CZ153-CZ129</f>
        <v/>
      </c>
      <c r="DA156" s="838">
        <f>DA153-DA129</f>
        <v/>
      </c>
      <c r="DB156" s="838">
        <f>DB153-DB129</f>
        <v/>
      </c>
      <c r="DC156" s="838">
        <f>DC153-DC129</f>
        <v/>
      </c>
      <c r="DD156" s="838">
        <f>DD153-DD129</f>
        <v/>
      </c>
      <c r="DE156" s="838">
        <f>DE153-DE129</f>
        <v/>
      </c>
      <c r="DF156" s="838">
        <f>DF153-DF129</f>
        <v/>
      </c>
      <c r="DG156" s="838">
        <f>DG153-DG129</f>
        <v/>
      </c>
    </row>
    <row r="157">
      <c r="P157" s="161" t="n"/>
      <c r="Q157" s="161" t="n"/>
      <c r="R157" s="161" t="n"/>
      <c r="AW157" s="243" t="n"/>
      <c r="AY157" s="243" t="n"/>
      <c r="BK157" s="243" t="n"/>
      <c r="BW157" s="243" t="n"/>
      <c r="CI157" s="243" t="n"/>
      <c r="CU157" s="243" t="n"/>
    </row>
    <row r="158">
      <c r="A158" s="28" t="n"/>
      <c r="B158" s="28" t="n"/>
      <c r="C158" s="28" t="n"/>
      <c r="D158" s="28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8" t="n"/>
      <c r="AP158" s="28" t="n"/>
      <c r="AQ158" s="28" t="n"/>
      <c r="AR158" s="28" t="n"/>
      <c r="AS158" s="28" t="n"/>
      <c r="AT158" s="28" t="n"/>
      <c r="AU158" s="28" t="n"/>
      <c r="AV158" s="28" t="n"/>
      <c r="AW158" s="252" t="n"/>
      <c r="AX158" s="28" t="n"/>
      <c r="AY158" s="252" t="n"/>
      <c r="AZ158" s="28" t="n"/>
      <c r="BA158" s="28" t="n"/>
      <c r="BB158" s="28" t="n"/>
      <c r="BC158" s="28" t="n"/>
      <c r="BD158" s="28" t="n"/>
      <c r="BE158" s="28" t="n"/>
      <c r="BF158" s="28" t="n"/>
      <c r="BG158" s="28" t="n"/>
      <c r="BH158" s="28" t="n"/>
      <c r="BI158" s="28" t="n"/>
      <c r="BJ158" s="28" t="n"/>
      <c r="BK158" s="252" t="n"/>
      <c r="BL158" s="28" t="n"/>
      <c r="BM158" s="28" t="n"/>
      <c r="BN158" s="28" t="n"/>
      <c r="BO158" s="28" t="n"/>
      <c r="BP158" s="28" t="n"/>
      <c r="BQ158" s="28" t="n"/>
      <c r="BR158" s="28" t="n"/>
      <c r="BS158" s="28" t="n"/>
      <c r="BT158" s="28" t="n"/>
      <c r="BU158" s="28" t="n"/>
      <c r="BV158" s="28" t="n"/>
      <c r="BW158" s="252" t="n"/>
      <c r="BX158" s="28" t="n"/>
      <c r="BY158" s="28" t="n"/>
      <c r="BZ158" s="28" t="n"/>
      <c r="CA158" s="28" t="n"/>
      <c r="CB158" s="28" t="n"/>
      <c r="CC158" s="28" t="n"/>
      <c r="CD158" s="28" t="n"/>
      <c r="CE158" s="28" t="n"/>
      <c r="CF158" s="28" t="n"/>
      <c r="CG158" s="28" t="n"/>
      <c r="CH158" s="28" t="n"/>
      <c r="CI158" s="252" t="n"/>
      <c r="CJ158" s="28" t="n"/>
      <c r="CK158" s="28" t="n"/>
      <c r="CL158" s="28" t="n"/>
      <c r="CM158" s="28" t="n"/>
      <c r="CN158" s="28" t="n"/>
      <c r="CO158" s="28" t="n"/>
      <c r="CP158" s="28" t="n"/>
      <c r="CQ158" s="28" t="n"/>
      <c r="CR158" s="28" t="n"/>
      <c r="CS158" s="28" t="n"/>
      <c r="CT158" s="28" t="n"/>
      <c r="CU158" s="252" t="n"/>
      <c r="CV158" s="28" t="n"/>
      <c r="CW158" s="28" t="n"/>
      <c r="CX158" s="28" t="n"/>
      <c r="CY158" s="28" t="n"/>
      <c r="CZ158" s="28" t="n"/>
      <c r="DA158" s="28" t="n"/>
      <c r="DB158" s="28" t="n"/>
      <c r="DC158" s="28" t="n"/>
      <c r="DD158" s="28" t="n"/>
      <c r="DE158" s="28" t="n"/>
      <c r="DF158" s="28" t="n"/>
      <c r="DG158" s="28" t="n"/>
    </row>
    <row r="159">
      <c r="AW159" s="243" t="n"/>
      <c r="AY159" s="243" t="n"/>
      <c r="BK159" s="243" t="n"/>
      <c r="BW159" s="243" t="n"/>
      <c r="CI159" s="243" t="n"/>
      <c r="CU159" s="243" t="n"/>
    </row>
    <row r="160">
      <c r="B160" s="1" t="inlineStr">
        <is>
          <t>Net Income</t>
        </is>
      </c>
      <c r="D160" s="111">
        <f>D98</f>
        <v/>
      </c>
      <c r="E160" s="111">
        <f>E98</f>
        <v/>
      </c>
      <c r="F160" s="111">
        <f>F98</f>
        <v/>
      </c>
      <c r="G160" s="111">
        <f>G98</f>
        <v/>
      </c>
      <c r="H160" s="111">
        <f>H98</f>
        <v/>
      </c>
      <c r="I160" s="111">
        <f>I98</f>
        <v/>
      </c>
      <c r="J160" s="111">
        <f>J98</f>
        <v/>
      </c>
      <c r="K160" s="111">
        <f>K98</f>
        <v/>
      </c>
      <c r="L160" s="111">
        <f>L98</f>
        <v/>
      </c>
      <c r="M160" s="111">
        <f>M98</f>
        <v/>
      </c>
      <c r="N160" s="111">
        <f>N98</f>
        <v/>
      </c>
      <c r="O160" s="111">
        <f>O98</f>
        <v/>
      </c>
      <c r="P160" s="111">
        <f>P98</f>
        <v/>
      </c>
      <c r="Q160" s="111">
        <f>Q98</f>
        <v/>
      </c>
      <c r="R160" s="111">
        <f>R98</f>
        <v/>
      </c>
      <c r="S160" s="111">
        <f>S98</f>
        <v/>
      </c>
      <c r="T160" s="111">
        <f>T98</f>
        <v/>
      </c>
      <c r="U160" s="111">
        <f>U98</f>
        <v/>
      </c>
      <c r="V160" s="111">
        <f>V98</f>
        <v/>
      </c>
      <c r="W160" s="111">
        <f>W98</f>
        <v/>
      </c>
      <c r="X160" s="111">
        <f>X98</f>
        <v/>
      </c>
      <c r="Y160" s="111">
        <f>Y98</f>
        <v/>
      </c>
      <c r="Z160" s="111">
        <f>Z98</f>
        <v/>
      </c>
      <c r="AA160" s="111">
        <f>AA98</f>
        <v/>
      </c>
      <c r="AB160" s="111">
        <f>AB98</f>
        <v/>
      </c>
      <c r="AC160" s="111">
        <f>AC98</f>
        <v/>
      </c>
      <c r="AD160" s="111">
        <f>AD98</f>
        <v/>
      </c>
      <c r="AE160" s="111">
        <f>AE98</f>
        <v/>
      </c>
      <c r="AF160" s="111">
        <f>AF98</f>
        <v/>
      </c>
      <c r="AG160" s="111">
        <f>AG98</f>
        <v/>
      </c>
      <c r="AH160" s="111">
        <f>AH98</f>
        <v/>
      </c>
      <c r="AI160" s="111">
        <f>AI98</f>
        <v/>
      </c>
      <c r="AJ160" s="111">
        <f>AJ98</f>
        <v/>
      </c>
      <c r="AK160" s="111">
        <f>AK98</f>
        <v/>
      </c>
      <c r="AL160" s="111">
        <f>AL98</f>
        <v/>
      </c>
      <c r="AM160" s="111">
        <f>AM98</f>
        <v/>
      </c>
      <c r="AN160" s="111">
        <f>AN98</f>
        <v/>
      </c>
      <c r="AO160" s="111">
        <f>AO98</f>
        <v/>
      </c>
      <c r="AP160" s="111">
        <f>AP98</f>
        <v/>
      </c>
      <c r="AQ160" s="111">
        <f>AQ98</f>
        <v/>
      </c>
      <c r="AR160" s="111">
        <f>AR98</f>
        <v/>
      </c>
      <c r="AS160" s="111">
        <f>AS98</f>
        <v/>
      </c>
      <c r="AT160" s="111">
        <f>AT98</f>
        <v/>
      </c>
      <c r="AU160" s="111">
        <f>AU98</f>
        <v/>
      </c>
      <c r="AV160" s="111">
        <f>AV98</f>
        <v/>
      </c>
      <c r="AW160" s="244">
        <f>AW98</f>
        <v/>
      </c>
      <c r="AX160" s="111">
        <f>AX98</f>
        <v/>
      </c>
      <c r="AY160" s="244">
        <f>AY98</f>
        <v/>
      </c>
      <c r="AZ160" s="111">
        <f>AZ98</f>
        <v/>
      </c>
      <c r="BA160" s="111">
        <f>BA98</f>
        <v/>
      </c>
      <c r="BB160" s="111">
        <f>BB98</f>
        <v/>
      </c>
      <c r="BC160" s="111">
        <f>BC98</f>
        <v/>
      </c>
      <c r="BD160" s="111">
        <f>BD98</f>
        <v/>
      </c>
      <c r="BE160" s="111">
        <f>BE98</f>
        <v/>
      </c>
      <c r="BF160" s="111">
        <f>BF98</f>
        <v/>
      </c>
      <c r="BG160" s="111">
        <f>BG98</f>
        <v/>
      </c>
      <c r="BH160" s="111">
        <f>BH98</f>
        <v/>
      </c>
      <c r="BI160" s="111">
        <f>BI98</f>
        <v/>
      </c>
      <c r="BJ160" s="111">
        <f>BJ98</f>
        <v/>
      </c>
      <c r="BK160" s="244">
        <f>BK98</f>
        <v/>
      </c>
      <c r="BL160" s="111">
        <f>BL98</f>
        <v/>
      </c>
      <c r="BM160" s="111">
        <f>BM98</f>
        <v/>
      </c>
      <c r="BN160" s="111">
        <f>BN98</f>
        <v/>
      </c>
      <c r="BO160" s="111">
        <f>BO98</f>
        <v/>
      </c>
      <c r="BP160" s="111">
        <f>BP98</f>
        <v/>
      </c>
      <c r="BQ160" s="111">
        <f>BQ98</f>
        <v/>
      </c>
      <c r="BR160" s="111">
        <f>BR98</f>
        <v/>
      </c>
      <c r="BS160" s="111">
        <f>BS98</f>
        <v/>
      </c>
      <c r="BT160" s="111">
        <f>BT98</f>
        <v/>
      </c>
      <c r="BU160" s="111">
        <f>BU98</f>
        <v/>
      </c>
      <c r="BV160" s="111">
        <f>BV98</f>
        <v/>
      </c>
      <c r="BW160" s="244">
        <f>BW98</f>
        <v/>
      </c>
      <c r="BX160" s="111">
        <f>BX98</f>
        <v/>
      </c>
      <c r="BY160" s="111">
        <f>BY98</f>
        <v/>
      </c>
      <c r="BZ160" s="111">
        <f>BZ98</f>
        <v/>
      </c>
      <c r="CA160" s="111">
        <f>CA98</f>
        <v/>
      </c>
      <c r="CB160" s="111">
        <f>CB98</f>
        <v/>
      </c>
      <c r="CC160" s="111">
        <f>CC98</f>
        <v/>
      </c>
      <c r="CD160" s="111">
        <f>CD98</f>
        <v/>
      </c>
      <c r="CE160" s="111">
        <f>CE98</f>
        <v/>
      </c>
      <c r="CF160" s="111">
        <f>CF98</f>
        <v/>
      </c>
      <c r="CG160" s="111">
        <f>CG98</f>
        <v/>
      </c>
      <c r="CH160" s="111">
        <f>CH98</f>
        <v/>
      </c>
      <c r="CI160" s="244">
        <f>CI98</f>
        <v/>
      </c>
      <c r="CJ160" s="111">
        <f>CJ98</f>
        <v/>
      </c>
      <c r="CK160" s="111">
        <f>CK98</f>
        <v/>
      </c>
      <c r="CL160" s="111">
        <f>CL98</f>
        <v/>
      </c>
      <c r="CM160" s="111">
        <f>CM98</f>
        <v/>
      </c>
      <c r="CN160" s="111">
        <f>CN98</f>
        <v/>
      </c>
      <c r="CO160" s="111">
        <f>CO98</f>
        <v/>
      </c>
      <c r="CP160" s="111">
        <f>CP98</f>
        <v/>
      </c>
      <c r="CQ160" s="111">
        <f>CQ98</f>
        <v/>
      </c>
      <c r="CR160" s="111">
        <f>CR98</f>
        <v/>
      </c>
      <c r="CS160" s="111">
        <f>CS98</f>
        <v/>
      </c>
      <c r="CT160" s="111">
        <f>CT98</f>
        <v/>
      </c>
      <c r="CU160" s="244">
        <f>CU98</f>
        <v/>
      </c>
      <c r="CV160" s="111">
        <f>CV98</f>
        <v/>
      </c>
      <c r="CW160" s="111">
        <f>CW98</f>
        <v/>
      </c>
      <c r="CX160" s="111">
        <f>CX98</f>
        <v/>
      </c>
      <c r="CY160" s="111">
        <f>CY98</f>
        <v/>
      </c>
      <c r="CZ160" s="111">
        <f>CZ98</f>
        <v/>
      </c>
      <c r="DA160" s="111">
        <f>DA98</f>
        <v/>
      </c>
      <c r="DB160" s="111">
        <f>DB98</f>
        <v/>
      </c>
      <c r="DC160" s="111">
        <f>DC98</f>
        <v/>
      </c>
      <c r="DD160" s="111">
        <f>DD98</f>
        <v/>
      </c>
      <c r="DE160" s="111">
        <f>DE98</f>
        <v/>
      </c>
      <c r="DF160" s="111">
        <f>DF98</f>
        <v/>
      </c>
      <c r="DG160" s="111">
        <f>DG98</f>
        <v/>
      </c>
    </row>
    <row r="161">
      <c r="B161" s="11" t="inlineStr">
        <is>
          <t>Change in AR</t>
        </is>
      </c>
      <c r="D161" s="111">
        <f>-(D115-C115)</f>
        <v/>
      </c>
      <c r="E161" s="111">
        <f>-(E115-D115)</f>
        <v/>
      </c>
      <c r="F161" s="111">
        <f>-(F115-E115)</f>
        <v/>
      </c>
      <c r="G161" s="111">
        <f>-(G115-F115)</f>
        <v/>
      </c>
      <c r="H161" s="111">
        <f>-(H115-G115)</f>
        <v/>
      </c>
      <c r="I161" s="111">
        <f>-(I115-H115)</f>
        <v/>
      </c>
      <c r="J161" s="111">
        <f>-(J115-I115)</f>
        <v/>
      </c>
      <c r="K161" s="111">
        <f>-(K115-J115)</f>
        <v/>
      </c>
      <c r="L161" s="111">
        <f>-(L115-K115)</f>
        <v/>
      </c>
      <c r="M161" s="111">
        <f>-(M115-L115)</f>
        <v/>
      </c>
      <c r="N161" s="111">
        <f>-(N115-M115)</f>
        <v/>
      </c>
      <c r="O161" s="111">
        <f>-(O115-N115)</f>
        <v/>
      </c>
      <c r="P161" s="111">
        <f>-(P115-O115)</f>
        <v/>
      </c>
      <c r="Q161" s="111">
        <f>-(Q115-P115)</f>
        <v/>
      </c>
      <c r="R161" s="111">
        <f>-(R115-Q115)</f>
        <v/>
      </c>
      <c r="S161" s="111">
        <f>-(S115-R115)</f>
        <v/>
      </c>
      <c r="T161" s="111">
        <f>-(T115-S115)</f>
        <v/>
      </c>
      <c r="U161" s="111">
        <f>-(U115-T115)</f>
        <v/>
      </c>
      <c r="V161" s="111">
        <f>-(V115-U115)</f>
        <v/>
      </c>
      <c r="W161" s="111">
        <f>-(W115-V115)</f>
        <v/>
      </c>
      <c r="X161" s="111">
        <f>-(X115-W115)</f>
        <v/>
      </c>
      <c r="Y161" s="111">
        <f>-(Y115-X115)</f>
        <v/>
      </c>
      <c r="Z161" s="111">
        <f>-(Z115-Y115)</f>
        <v/>
      </c>
      <c r="AA161" s="111">
        <f>-(AA115-Z115)</f>
        <v/>
      </c>
      <c r="AB161" s="111">
        <f>-(AB115-AA115)</f>
        <v/>
      </c>
      <c r="AC161" s="111">
        <f>-(AC115-AB115)</f>
        <v/>
      </c>
      <c r="AD161" s="111">
        <f>-(AD115-AC115)</f>
        <v/>
      </c>
      <c r="AE161" s="111">
        <f>-(AE115-AD115)</f>
        <v/>
      </c>
      <c r="AF161" s="111">
        <f>-(AF115-AE115)</f>
        <v/>
      </c>
      <c r="AG161" s="111">
        <f>-(AG115-AF115)</f>
        <v/>
      </c>
      <c r="AH161" s="111">
        <f>-(AH115-AG115)</f>
        <v/>
      </c>
      <c r="AI161" s="111">
        <f>-(AI115-AH115)</f>
        <v/>
      </c>
      <c r="AJ161" s="111">
        <f>-(AJ115-AI115)</f>
        <v/>
      </c>
      <c r="AK161" s="111">
        <f>-(AK115-AJ115)</f>
        <v/>
      </c>
      <c r="AL161" s="111">
        <f>-(AL115-AK115)</f>
        <v/>
      </c>
      <c r="AM161" s="111">
        <f>-(AM115-AL115)</f>
        <v/>
      </c>
      <c r="AN161" s="111">
        <f>-(AN115-AM115)</f>
        <v/>
      </c>
      <c r="AO161" s="111">
        <f>-(AO115-AN115)</f>
        <v/>
      </c>
      <c r="AP161" s="111">
        <f>-(AP115-AO115)</f>
        <v/>
      </c>
      <c r="AQ161" s="111">
        <f>-(AQ115-AP115)</f>
        <v/>
      </c>
      <c r="AR161" s="111">
        <f>-(AR115-AQ115)</f>
        <v/>
      </c>
      <c r="AS161" s="111">
        <f>-(AS115-AR115)</f>
        <v/>
      </c>
      <c r="AT161" s="111">
        <f>-(AT115-AS115)</f>
        <v/>
      </c>
      <c r="AU161" s="111">
        <f>-(AU115-AT115)</f>
        <v/>
      </c>
      <c r="AV161" s="111">
        <f>-(AV115-AU115)</f>
        <v/>
      </c>
      <c r="AW161" s="244">
        <f>-(AW115-AV115)</f>
        <v/>
      </c>
      <c r="AX161" s="111">
        <f>-(AX115-AW115)</f>
        <v/>
      </c>
      <c r="AY161" s="244">
        <f>-(AY115-AX115)</f>
        <v/>
      </c>
      <c r="AZ161" s="111">
        <f>-(AZ115-AY115)</f>
        <v/>
      </c>
      <c r="BA161" s="111">
        <f>-(BA115-AZ115)</f>
        <v/>
      </c>
      <c r="BB161" s="111">
        <f>-(BB115-BA115)</f>
        <v/>
      </c>
      <c r="BC161" s="111">
        <f>-(BC115-BB115)</f>
        <v/>
      </c>
      <c r="BD161" s="111">
        <f>-(BD115-BC115)</f>
        <v/>
      </c>
      <c r="BE161" s="111">
        <f>-(BE115-BD115)</f>
        <v/>
      </c>
      <c r="BF161" s="111">
        <f>-(BF115-BE115)</f>
        <v/>
      </c>
      <c r="BG161" s="111">
        <f>-(BG115-BF115)</f>
        <v/>
      </c>
      <c r="BH161" s="111">
        <f>-(BH115-BG115)</f>
        <v/>
      </c>
      <c r="BI161" s="111">
        <f>-(BI115-BH115)</f>
        <v/>
      </c>
      <c r="BJ161" s="111">
        <f>-(BJ115-BI115)</f>
        <v/>
      </c>
      <c r="BK161" s="244">
        <f>-(BK115-BJ115)</f>
        <v/>
      </c>
      <c r="BL161" s="111">
        <f>-(BL115-BK115)</f>
        <v/>
      </c>
      <c r="BM161" s="111">
        <f>-(BM115-BL115)</f>
        <v/>
      </c>
      <c r="BN161" s="111">
        <f>-(BN115-BM115)</f>
        <v/>
      </c>
      <c r="BO161" s="111">
        <f>-(BO115-BN115)</f>
        <v/>
      </c>
      <c r="BP161" s="111">
        <f>-(BP115-BO115)</f>
        <v/>
      </c>
      <c r="BQ161" s="111">
        <f>-(BQ115-BP115)</f>
        <v/>
      </c>
      <c r="BR161" s="111">
        <f>-(BR115-BQ115)</f>
        <v/>
      </c>
      <c r="BS161" s="111">
        <f>-(BS115-BR115)</f>
        <v/>
      </c>
      <c r="BT161" s="111">
        <f>-(BT115-BS115)</f>
        <v/>
      </c>
      <c r="BU161" s="111">
        <f>-(BU115-BT115)</f>
        <v/>
      </c>
      <c r="BV161" s="111">
        <f>-(BV115-BU115)</f>
        <v/>
      </c>
      <c r="BW161" s="244">
        <f>-(BW115-BV115)</f>
        <v/>
      </c>
      <c r="BX161" s="111">
        <f>-(BX115-BW115)</f>
        <v/>
      </c>
      <c r="BY161" s="111">
        <f>-(BY115-BX115)</f>
        <v/>
      </c>
      <c r="BZ161" s="111">
        <f>-(BZ115-BY115)</f>
        <v/>
      </c>
      <c r="CA161" s="111">
        <f>-(CA115-BZ115)</f>
        <v/>
      </c>
      <c r="CB161" s="111">
        <f>-(CB115-CA115)</f>
        <v/>
      </c>
      <c r="CC161" s="111">
        <f>-(CC115-CB115)</f>
        <v/>
      </c>
      <c r="CD161" s="111">
        <f>-(CD115-CC115)</f>
        <v/>
      </c>
      <c r="CE161" s="111">
        <f>-(CE115-CD115)</f>
        <v/>
      </c>
      <c r="CF161" s="111">
        <f>-(CF115-CE115)</f>
        <v/>
      </c>
      <c r="CG161" s="111">
        <f>-(CG115-CF115)</f>
        <v/>
      </c>
      <c r="CH161" s="111">
        <f>-(CH115-CG115)</f>
        <v/>
      </c>
      <c r="CI161" s="244">
        <f>-(CI115-CH115)</f>
        <v/>
      </c>
      <c r="CJ161" s="111">
        <f>-(CJ115-CI115)</f>
        <v/>
      </c>
      <c r="CK161" s="111">
        <f>-(CK115-CJ115)</f>
        <v/>
      </c>
      <c r="CL161" s="111">
        <f>-(CL115-CK115)</f>
        <v/>
      </c>
      <c r="CM161" s="111">
        <f>-(CM115-CL115)</f>
        <v/>
      </c>
      <c r="CN161" s="111">
        <f>-(CN115-CM115)</f>
        <v/>
      </c>
      <c r="CO161" s="111">
        <f>-(CO115-CN115)</f>
        <v/>
      </c>
      <c r="CP161" s="111">
        <f>-(CP115-CO115)</f>
        <v/>
      </c>
      <c r="CQ161" s="111">
        <f>-(CQ115-CP115)</f>
        <v/>
      </c>
      <c r="CR161" s="111">
        <f>-(CR115-CQ115)</f>
        <v/>
      </c>
      <c r="CS161" s="111">
        <f>-(CS115-CR115)</f>
        <v/>
      </c>
      <c r="CT161" s="111">
        <f>-(CT115-CS115)</f>
        <v/>
      </c>
      <c r="CU161" s="244">
        <f>-(CU115-CT115)</f>
        <v/>
      </c>
      <c r="CV161" s="111">
        <f>-(CV115-CU115)</f>
        <v/>
      </c>
      <c r="CW161" s="111">
        <f>-(CW115-CV115)</f>
        <v/>
      </c>
      <c r="CX161" s="111">
        <f>-(CX115-CW115)</f>
        <v/>
      </c>
      <c r="CY161" s="111">
        <f>-(CY115-CX115)</f>
        <v/>
      </c>
      <c r="CZ161" s="111">
        <f>-(CZ115-CY115)</f>
        <v/>
      </c>
      <c r="DA161" s="111">
        <f>-(DA115-CZ115)</f>
        <v/>
      </c>
      <c r="DB161" s="111">
        <f>-(DB115-DA115)</f>
        <v/>
      </c>
      <c r="DC161" s="111">
        <f>-(DC115-DB115)</f>
        <v/>
      </c>
      <c r="DD161" s="111">
        <f>-(DD115-DC115)</f>
        <v/>
      </c>
      <c r="DE161" s="111">
        <f>-(DE115-DD115)</f>
        <v/>
      </c>
      <c r="DF161" s="111">
        <f>-(DF115-DE115)</f>
        <v/>
      </c>
      <c r="DG161" s="111">
        <f>-(DG115-DF115)</f>
        <v/>
      </c>
    </row>
    <row r="162">
      <c r="B162" s="1" t="inlineStr">
        <is>
          <t>Change in Other Assets/Liabilities</t>
        </is>
      </c>
      <c r="D162" s="111" t="n">
        <v>0</v>
      </c>
      <c r="E162" s="111" t="n">
        <v>0</v>
      </c>
      <c r="F162" s="111" t="n">
        <v>0</v>
      </c>
      <c r="G162" s="111" t="n">
        <v>0</v>
      </c>
      <c r="H162" s="111" t="n">
        <v>0</v>
      </c>
      <c r="I162" s="111" t="n">
        <v>0</v>
      </c>
      <c r="J162" s="111">
        <f>J143-H143</f>
        <v/>
      </c>
      <c r="K162" s="111">
        <f>K143-I143</f>
        <v/>
      </c>
      <c r="L162" s="111">
        <f>L143-J143</f>
        <v/>
      </c>
      <c r="M162" s="111">
        <f>M143-K143</f>
        <v/>
      </c>
      <c r="N162" s="111">
        <f>N143-L143</f>
        <v/>
      </c>
      <c r="O162" s="111">
        <f>O143-M143</f>
        <v/>
      </c>
      <c r="P162" s="111">
        <f>P143-O143-(P127-O127)</f>
        <v/>
      </c>
      <c r="Q162" s="111">
        <f>Q143-P143-(Q127-P127)</f>
        <v/>
      </c>
      <c r="R162" s="111">
        <f>R143-Q143-(R127-Q127)</f>
        <v/>
      </c>
      <c r="S162" s="111">
        <f>S143-R143-(S127-R127)</f>
        <v/>
      </c>
      <c r="T162" s="111">
        <f>T143-S143-(T127-S127)</f>
        <v/>
      </c>
      <c r="U162" s="111">
        <f>U143-T143-(U127-T127)</f>
        <v/>
      </c>
      <c r="V162" s="111">
        <f>V143-U143-(V127-U127)</f>
        <v/>
      </c>
      <c r="W162" s="111">
        <f>W143-V143-(W127-V127)</f>
        <v/>
      </c>
      <c r="X162" s="111">
        <f>X143-W143-(X127-W127)</f>
        <v/>
      </c>
      <c r="Y162" s="111">
        <f>Y143-X143-(Y127-X127)</f>
        <v/>
      </c>
      <c r="Z162" s="111">
        <f>Z143-Y143-(Z127-Y127)</f>
        <v/>
      </c>
      <c r="AA162" s="111">
        <f>AA143-Z143-(AA127-Z127)</f>
        <v/>
      </c>
      <c r="AB162" s="111">
        <f>AB143-AA143-(AB127-AA127)</f>
        <v/>
      </c>
      <c r="AC162" s="111">
        <f>AC143-AB143-(AC127-AB127)</f>
        <v/>
      </c>
      <c r="AD162" s="111">
        <f>AD143-AC143-(AD127-AC127)</f>
        <v/>
      </c>
      <c r="AE162" s="111">
        <f>AE143-AD143-(AE127-AD127)</f>
        <v/>
      </c>
      <c r="AF162" s="111">
        <f>AF143-AE143-(AF127-AE127)</f>
        <v/>
      </c>
      <c r="AG162" s="111">
        <f>AG143-AF143-(AG127-AF127)</f>
        <v/>
      </c>
      <c r="AH162" s="111">
        <f>AH143-AG143-(AH127-AG127)</f>
        <v/>
      </c>
      <c r="AI162" s="111">
        <f>AI143-AH143-(AI127-AH127)</f>
        <v/>
      </c>
      <c r="AJ162" s="111">
        <f>AJ143-AI143-(AJ127-AI127)</f>
        <v/>
      </c>
      <c r="AK162" s="111">
        <f>AK143-AJ143-(AK127-AJ127)</f>
        <v/>
      </c>
      <c r="AL162" s="111">
        <f>AL143-AK143-(AL127-AK127)</f>
        <v/>
      </c>
      <c r="AM162" s="111">
        <f>AM143-AL143-(AM127-AL127)</f>
        <v/>
      </c>
      <c r="AN162" s="111">
        <f>AN143-AM143-(AN127-AM127)</f>
        <v/>
      </c>
      <c r="AO162" s="111">
        <f>AO143-AN143-(AO127-AN127)</f>
        <v/>
      </c>
      <c r="AP162" s="111">
        <f>AP143-AO143-(AP127-AO127)</f>
        <v/>
      </c>
      <c r="AQ162" s="111">
        <f>AQ143-AP143-(AQ127-AP127)</f>
        <v/>
      </c>
      <c r="AR162" s="111">
        <f>AR143-AQ143-(AR127-AQ127)</f>
        <v/>
      </c>
      <c r="AS162" s="111">
        <f>AS143-AR143-(AS127-AR127)</f>
        <v/>
      </c>
      <c r="AT162" s="111">
        <f>AT143-AS143-(AT127-AS127)</f>
        <v/>
      </c>
      <c r="AU162" s="111">
        <f>AU143-AT143-(AU127-AT127)</f>
        <v/>
      </c>
      <c r="AV162" s="111">
        <f>AV143-AU143-(AV127-AU127)</f>
        <v/>
      </c>
      <c r="AW162" s="244">
        <f>AW143-AV143-(AW127-AV127)</f>
        <v/>
      </c>
      <c r="AX162" s="111">
        <f>AX143-AW143-(AX127-AW127)</f>
        <v/>
      </c>
      <c r="AY162" s="244">
        <f>AY143-AX143-(AY127-AX127)</f>
        <v/>
      </c>
      <c r="AZ162" s="111">
        <f>AZ143-AY143-(AZ127-AY127)</f>
        <v/>
      </c>
      <c r="BA162" s="111">
        <f>BA143-AZ143-(BA127-AZ127)</f>
        <v/>
      </c>
      <c r="BB162" s="111">
        <f>BB143-BA143-(BB127-BA127)</f>
        <v/>
      </c>
      <c r="BC162" s="111">
        <f>BC143-BB143-(BC127-BB127)</f>
        <v/>
      </c>
      <c r="BD162" s="111">
        <f>BD143-BC143-(BD127-BC127)</f>
        <v/>
      </c>
      <c r="BE162" s="111">
        <f>BE143-BD143-(BE127-BD127)</f>
        <v/>
      </c>
      <c r="BF162" s="111">
        <f>BF143-BE143-(BF127-BE127)</f>
        <v/>
      </c>
      <c r="BG162" s="111">
        <f>BG143-BF143-(BG127-BF127)</f>
        <v/>
      </c>
      <c r="BH162" s="111">
        <f>BH143-BG143-(BH127-BG127)</f>
        <v/>
      </c>
      <c r="BI162" s="111">
        <f>BI143-BH143-(BI127-BH127)</f>
        <v/>
      </c>
      <c r="BJ162" s="111">
        <f>BJ143-BI143-(BJ127-BI127)</f>
        <v/>
      </c>
      <c r="BK162" s="244">
        <f>BK143-BJ143-(BK127-BJ127)</f>
        <v/>
      </c>
      <c r="BL162" s="111">
        <f>BL143-BK143-(BL127-BK127)</f>
        <v/>
      </c>
      <c r="BM162" s="111">
        <f>BM143-BL143-(BM127-BL127)</f>
        <v/>
      </c>
      <c r="BN162" s="111">
        <f>BN143-BM143-(BN127-BM127)</f>
        <v/>
      </c>
      <c r="BO162" s="111">
        <f>BO143-BN143-(BO127-BN127)</f>
        <v/>
      </c>
      <c r="BP162" s="111">
        <f>BP143-BO143-(BP127-BO127)</f>
        <v/>
      </c>
      <c r="BQ162" s="111">
        <f>BQ143-BP143-(BQ127-BP127)</f>
        <v/>
      </c>
      <c r="BR162" s="111">
        <f>BR143-BQ143-(BR127-BQ127)</f>
        <v/>
      </c>
      <c r="BS162" s="111">
        <f>BS143-BR143-(BS127-BR127)</f>
        <v/>
      </c>
      <c r="BT162" s="111">
        <f>BT143-BS143-(BT127-BS127)</f>
        <v/>
      </c>
      <c r="BU162" s="111">
        <f>BU143-BT143-(BU127-BT127)</f>
        <v/>
      </c>
      <c r="BV162" s="111">
        <f>BV143-BU143-(BV127-BU127)</f>
        <v/>
      </c>
      <c r="BW162" s="244">
        <f>BW143-BV143-(BW127-BV127)</f>
        <v/>
      </c>
      <c r="BX162" s="111">
        <f>BX143-BW143-(BX127-BW127)</f>
        <v/>
      </c>
      <c r="BY162" s="111">
        <f>BY143-BX143-(BY127-BX127)</f>
        <v/>
      </c>
      <c r="BZ162" s="111">
        <f>BZ143-BY143-(BZ127-BY127)</f>
        <v/>
      </c>
      <c r="CA162" s="111">
        <f>CA143-BZ143-(CA127-BZ127)</f>
        <v/>
      </c>
      <c r="CB162" s="111">
        <f>CB143-CA143-(CB127-CA127)</f>
        <v/>
      </c>
      <c r="CC162" s="111">
        <f>CC143-CB143-(CC127-CB127)</f>
        <v/>
      </c>
      <c r="CD162" s="111">
        <f>CD143-CC143-(CD127-CC127)</f>
        <v/>
      </c>
      <c r="CE162" s="111">
        <f>CE143-CD143-(CE127-CD127)</f>
        <v/>
      </c>
      <c r="CF162" s="111">
        <f>CF143-CE143-(CF127-CE127)</f>
        <v/>
      </c>
      <c r="CG162" s="111">
        <f>CG143-CF143-(CG127-CF127)</f>
        <v/>
      </c>
      <c r="CH162" s="111">
        <f>CH143-CG143-(CH127-CG127)</f>
        <v/>
      </c>
      <c r="CI162" s="244">
        <f>CI143-CH143-(CI127-CH127)</f>
        <v/>
      </c>
      <c r="CJ162" s="111">
        <f>CJ143-CI143-(CJ127-CI127)</f>
        <v/>
      </c>
      <c r="CK162" s="111">
        <f>CK143-CJ143-(CK127-CJ127)</f>
        <v/>
      </c>
      <c r="CL162" s="111">
        <f>CL143-CK143-(CL127-CK127)</f>
        <v/>
      </c>
      <c r="CM162" s="111">
        <f>CM143-CL143-(CM127-CL127)</f>
        <v/>
      </c>
      <c r="CN162" s="111">
        <f>CN143-CM143-(CN127-CM127)</f>
        <v/>
      </c>
      <c r="CO162" s="111">
        <f>CO143-CN143-(CO127-CN127)</f>
        <v/>
      </c>
      <c r="CP162" s="111">
        <f>CP143-CO143-(CP127-CO127)</f>
        <v/>
      </c>
      <c r="CQ162" s="111">
        <f>CQ143-CP143-(CQ127-CP127)</f>
        <v/>
      </c>
      <c r="CR162" s="111">
        <f>CR143-CQ143-(CR127-CQ127)</f>
        <v/>
      </c>
      <c r="CS162" s="111">
        <f>CS143-CR143-(CS127-CR127)</f>
        <v/>
      </c>
      <c r="CT162" s="111">
        <f>CT143-CS143-(CT127-CS127)</f>
        <v/>
      </c>
      <c r="CU162" s="244">
        <f>CU143-CT143-(CU127-CT127)</f>
        <v/>
      </c>
      <c r="CV162" s="111">
        <f>CV143-CU143-(CV127-CU127)</f>
        <v/>
      </c>
      <c r="CW162" s="111">
        <f>CW143-CV143-(CW127-CV127)</f>
        <v/>
      </c>
      <c r="CX162" s="111">
        <f>CX143-CW143-(CX127-CW127)</f>
        <v/>
      </c>
      <c r="CY162" s="111">
        <f>CY143-CX143-(CY127-CX127)</f>
        <v/>
      </c>
      <c r="CZ162" s="111">
        <f>CZ143-CY143-(CZ127-CY127)</f>
        <v/>
      </c>
      <c r="DA162" s="111">
        <f>DA143-CZ143-(DA127-CZ127)</f>
        <v/>
      </c>
      <c r="DB162" s="111">
        <f>DB143-DA143-(DB127-DA127)</f>
        <v/>
      </c>
      <c r="DC162" s="111">
        <f>DC143-DB143-(DC127-DB127)</f>
        <v/>
      </c>
      <c r="DD162" s="111">
        <f>DD143-DC143-(DD127-DC127)</f>
        <v/>
      </c>
      <c r="DE162" s="111">
        <f>DE143-DD143-(DE127-DD127)</f>
        <v/>
      </c>
      <c r="DF162" s="111">
        <f>DF143-DE143-(DF127-DE127)</f>
        <v/>
      </c>
      <c r="DG162" s="111">
        <f>DG143-DF143-(DG127-DF127)</f>
        <v/>
      </c>
    </row>
    <row r="163" customFormat="1" s="3">
      <c r="B163" s="4" t="inlineStr">
        <is>
          <t>Cash Flow From Operations</t>
        </is>
      </c>
      <c r="D163" s="830">
        <f>SUM(D160:D162)</f>
        <v/>
      </c>
      <c r="E163" s="830">
        <f>SUM(E160:E162)</f>
        <v/>
      </c>
      <c r="F163" s="830">
        <f>SUM(F160:F162)</f>
        <v/>
      </c>
      <c r="G163" s="830">
        <f>SUM(G160:G162)</f>
        <v/>
      </c>
      <c r="H163" s="830">
        <f>SUM(H160:H162)</f>
        <v/>
      </c>
      <c r="I163" s="830">
        <f>SUM(I160:I162)</f>
        <v/>
      </c>
      <c r="J163" s="830">
        <f>SUM(J160:J162)</f>
        <v/>
      </c>
      <c r="K163" s="830">
        <f>SUM(K160:K162)</f>
        <v/>
      </c>
      <c r="L163" s="830">
        <f>SUM(L160:L162)</f>
        <v/>
      </c>
      <c r="M163" s="830">
        <f>SUM(M160:M162)</f>
        <v/>
      </c>
      <c r="N163" s="830">
        <f>SUM(N160:N162)</f>
        <v/>
      </c>
      <c r="O163" s="830">
        <f>SUM(O160:O162)</f>
        <v/>
      </c>
      <c r="P163" s="830">
        <f>SUM(P160:P162)</f>
        <v/>
      </c>
      <c r="Q163" s="830">
        <f>SUM(Q160:Q162)</f>
        <v/>
      </c>
      <c r="R163" s="830">
        <f>SUM(R160:R162)</f>
        <v/>
      </c>
      <c r="S163" s="830">
        <f>SUM(S160:S162)</f>
        <v/>
      </c>
      <c r="T163" s="830">
        <f>SUM(T160:T162)</f>
        <v/>
      </c>
      <c r="U163" s="830">
        <f>SUM(U160:U162)</f>
        <v/>
      </c>
      <c r="V163" s="830">
        <f>SUM(V160:V162)</f>
        <v/>
      </c>
      <c r="W163" s="830">
        <f>SUM(W160:W162)</f>
        <v/>
      </c>
      <c r="X163" s="830">
        <f>SUM(X160:X162)</f>
        <v/>
      </c>
      <c r="Y163" s="830">
        <f>SUM(Y160:Y162)</f>
        <v/>
      </c>
      <c r="Z163" s="830">
        <f>SUM(Z160:Z162)</f>
        <v/>
      </c>
      <c r="AA163" s="830">
        <f>SUM(AA160:AA162)</f>
        <v/>
      </c>
      <c r="AB163" s="830">
        <f>SUM(AB160:AB162)</f>
        <v/>
      </c>
      <c r="AC163" s="830">
        <f>SUM(AC160:AC162)</f>
        <v/>
      </c>
      <c r="AD163" s="830">
        <f>SUM(AD160:AD162)</f>
        <v/>
      </c>
      <c r="AE163" s="830">
        <f>SUM(AE160:AE162)</f>
        <v/>
      </c>
      <c r="AF163" s="830">
        <f>SUM(AF160:AF162)</f>
        <v/>
      </c>
      <c r="AG163" s="830">
        <f>SUM(AG160:AG162)</f>
        <v/>
      </c>
      <c r="AH163" s="830">
        <f>SUM(AH160:AH162)</f>
        <v/>
      </c>
      <c r="AI163" s="830">
        <f>SUM(AI160:AI162)</f>
        <v/>
      </c>
      <c r="AJ163" s="830">
        <f>SUM(AJ160:AJ162)</f>
        <v/>
      </c>
      <c r="AK163" s="830">
        <f>SUM(AK160:AK162)</f>
        <v/>
      </c>
      <c r="AL163" s="830">
        <f>SUM(AL160:AL162)</f>
        <v/>
      </c>
      <c r="AM163" s="830">
        <f>SUM(AM160:AM162)</f>
        <v/>
      </c>
      <c r="AN163" s="830">
        <f>SUM(AN160:AN162)</f>
        <v/>
      </c>
      <c r="AO163" s="830">
        <f>SUM(AO160:AO162)</f>
        <v/>
      </c>
      <c r="AP163" s="830">
        <f>SUM(AP160:AP162)</f>
        <v/>
      </c>
      <c r="AQ163" s="830">
        <f>SUM(AQ160:AQ162)</f>
        <v/>
      </c>
      <c r="AR163" s="830">
        <f>SUM(AR160:AR162)</f>
        <v/>
      </c>
      <c r="AS163" s="830">
        <f>SUM(AS160:AS162)</f>
        <v/>
      </c>
      <c r="AT163" s="830">
        <f>SUM(AT160:AT162)</f>
        <v/>
      </c>
      <c r="AU163" s="830">
        <f>SUM(AU160:AU162)</f>
        <v/>
      </c>
      <c r="AV163" s="830">
        <f>SUM(AV160:AV162)</f>
        <v/>
      </c>
      <c r="AW163" s="937">
        <f>SUM(AW160:AW162)</f>
        <v/>
      </c>
      <c r="AX163" s="830">
        <f>SUM(AX160:AX162)</f>
        <v/>
      </c>
      <c r="AY163" s="937">
        <f>SUM(AY160:AY162)</f>
        <v/>
      </c>
      <c r="AZ163" s="830">
        <f>SUM(AZ160:AZ162)</f>
        <v/>
      </c>
      <c r="BA163" s="830">
        <f>SUM(BA160:BA162)</f>
        <v/>
      </c>
      <c r="BB163" s="830">
        <f>SUM(BB160:BB162)</f>
        <v/>
      </c>
      <c r="BC163" s="830">
        <f>SUM(BC160:BC162)</f>
        <v/>
      </c>
      <c r="BD163" s="830">
        <f>SUM(BD160:BD162)</f>
        <v/>
      </c>
      <c r="BE163" s="830">
        <f>SUM(BE160:BE162)</f>
        <v/>
      </c>
      <c r="BF163" s="830">
        <f>SUM(BF160:BF162)</f>
        <v/>
      </c>
      <c r="BG163" s="830">
        <f>SUM(BG160:BG162)</f>
        <v/>
      </c>
      <c r="BH163" s="830">
        <f>SUM(BH160:BH162)</f>
        <v/>
      </c>
      <c r="BI163" s="830">
        <f>SUM(BI160:BI162)</f>
        <v/>
      </c>
      <c r="BJ163" s="830">
        <f>SUM(BJ160:BJ162)</f>
        <v/>
      </c>
      <c r="BK163" s="937">
        <f>SUM(BK160:BK162)</f>
        <v/>
      </c>
      <c r="BL163" s="830">
        <f>SUM(BL160:BL162)</f>
        <v/>
      </c>
      <c r="BM163" s="830">
        <f>SUM(BM160:BM162)</f>
        <v/>
      </c>
      <c r="BN163" s="830">
        <f>SUM(BN160:BN162)</f>
        <v/>
      </c>
      <c r="BO163" s="830">
        <f>SUM(BO160:BO162)</f>
        <v/>
      </c>
      <c r="BP163" s="830">
        <f>SUM(BP160:BP162)</f>
        <v/>
      </c>
      <c r="BQ163" s="830">
        <f>SUM(BQ160:BQ162)</f>
        <v/>
      </c>
      <c r="BR163" s="830">
        <f>SUM(BR160:BR162)</f>
        <v/>
      </c>
      <c r="BS163" s="830">
        <f>SUM(BS160:BS162)</f>
        <v/>
      </c>
      <c r="BT163" s="830">
        <f>SUM(BT160:BT162)</f>
        <v/>
      </c>
      <c r="BU163" s="830">
        <f>SUM(BU160:BU162)</f>
        <v/>
      </c>
      <c r="BV163" s="830">
        <f>SUM(BV160:BV162)</f>
        <v/>
      </c>
      <c r="BW163" s="937">
        <f>SUM(BW160:BW162)</f>
        <v/>
      </c>
      <c r="BX163" s="830">
        <f>SUM(BX160:BX162)</f>
        <v/>
      </c>
      <c r="BY163" s="830">
        <f>SUM(BY160:BY162)</f>
        <v/>
      </c>
      <c r="BZ163" s="830">
        <f>SUM(BZ160:BZ162)</f>
        <v/>
      </c>
      <c r="CA163" s="830">
        <f>SUM(CA160:CA162)</f>
        <v/>
      </c>
      <c r="CB163" s="830">
        <f>SUM(CB160:CB162)</f>
        <v/>
      </c>
      <c r="CC163" s="830">
        <f>SUM(CC160:CC162)</f>
        <v/>
      </c>
      <c r="CD163" s="830">
        <f>SUM(CD160:CD162)</f>
        <v/>
      </c>
      <c r="CE163" s="830">
        <f>SUM(CE160:CE162)</f>
        <v/>
      </c>
      <c r="CF163" s="830">
        <f>SUM(CF160:CF162)</f>
        <v/>
      </c>
      <c r="CG163" s="830">
        <f>SUM(CG160:CG162)</f>
        <v/>
      </c>
      <c r="CH163" s="830">
        <f>SUM(CH160:CH162)</f>
        <v/>
      </c>
      <c r="CI163" s="937">
        <f>SUM(CI160:CI162)</f>
        <v/>
      </c>
      <c r="CJ163" s="830">
        <f>SUM(CJ160:CJ162)</f>
        <v/>
      </c>
      <c r="CK163" s="830">
        <f>SUM(CK160:CK162)</f>
        <v/>
      </c>
      <c r="CL163" s="830">
        <f>SUM(CL160:CL162)</f>
        <v/>
      </c>
      <c r="CM163" s="830">
        <f>SUM(CM160:CM162)</f>
        <v/>
      </c>
      <c r="CN163" s="830">
        <f>SUM(CN160:CN162)</f>
        <v/>
      </c>
      <c r="CO163" s="830">
        <f>SUM(CO160:CO162)</f>
        <v/>
      </c>
      <c r="CP163" s="830">
        <f>SUM(CP160:CP162)</f>
        <v/>
      </c>
      <c r="CQ163" s="830">
        <f>SUM(CQ160:CQ162)</f>
        <v/>
      </c>
      <c r="CR163" s="830">
        <f>SUM(CR160:CR162)</f>
        <v/>
      </c>
      <c r="CS163" s="830">
        <f>SUM(CS160:CS162)</f>
        <v/>
      </c>
      <c r="CT163" s="830">
        <f>SUM(CT160:CT162)</f>
        <v/>
      </c>
      <c r="CU163" s="937">
        <f>SUM(CU160:CU162)</f>
        <v/>
      </c>
      <c r="CV163" s="830">
        <f>SUM(CV160:CV162)</f>
        <v/>
      </c>
      <c r="CW163" s="830">
        <f>SUM(CW160:CW162)</f>
        <v/>
      </c>
      <c r="CX163" s="830">
        <f>SUM(CX160:CX162)</f>
        <v/>
      </c>
      <c r="CY163" s="830">
        <f>SUM(CY160:CY162)</f>
        <v/>
      </c>
      <c r="CZ163" s="830">
        <f>SUM(CZ160:CZ162)</f>
        <v/>
      </c>
      <c r="DA163" s="830">
        <f>SUM(DA160:DA162)</f>
        <v/>
      </c>
      <c r="DB163" s="830">
        <f>SUM(DB160:DB162)</f>
        <v/>
      </c>
      <c r="DC163" s="830">
        <f>SUM(DC160:DC162)</f>
        <v/>
      </c>
      <c r="DD163" s="830">
        <f>SUM(DD160:DD162)</f>
        <v/>
      </c>
      <c r="DE163" s="830">
        <f>SUM(DE160:DE162)</f>
        <v/>
      </c>
      <c r="DF163" s="830">
        <f>SUM(DF160:DF162)</f>
        <v/>
      </c>
      <c r="DG163" s="830">
        <f>SUM(DG160:DG162)</f>
        <v/>
      </c>
    </row>
    <row r="164">
      <c r="AW164" s="243" t="n"/>
      <c r="AY164" s="243" t="n"/>
      <c r="BK164" s="243" t="n"/>
      <c r="BW164" s="243" t="n"/>
      <c r="CI164" s="243" t="n"/>
      <c r="CU164" s="243" t="n"/>
    </row>
    <row r="165">
      <c r="AW165" s="243" t="n"/>
      <c r="AY165" s="243" t="n"/>
      <c r="BK165" s="243" t="n"/>
      <c r="BW165" s="243" t="n"/>
      <c r="CI165" s="243" t="n"/>
      <c r="CU165" s="243" t="n"/>
    </row>
    <row r="166">
      <c r="B166" s="1" t="inlineStr">
        <is>
          <t>Change in Equity</t>
        </is>
      </c>
      <c r="E166" s="111">
        <f>E146-D146</f>
        <v/>
      </c>
      <c r="F166" s="111">
        <f>F146-E146</f>
        <v/>
      </c>
      <c r="G166" s="111">
        <f>G146-F146</f>
        <v/>
      </c>
      <c r="H166" s="111">
        <f>H146-G146</f>
        <v/>
      </c>
      <c r="I166" s="111">
        <f>I146-H146</f>
        <v/>
      </c>
      <c r="J166" s="111">
        <f>J146-I146</f>
        <v/>
      </c>
      <c r="K166" s="111">
        <f>K146-J146</f>
        <v/>
      </c>
      <c r="L166" s="111">
        <f>L146-K146</f>
        <v/>
      </c>
      <c r="M166" s="111">
        <f>M146-L146</f>
        <v/>
      </c>
      <c r="N166" s="111">
        <f>N146-M146</f>
        <v/>
      </c>
      <c r="O166" s="111">
        <f>O146-N146</f>
        <v/>
      </c>
      <c r="P166" s="111">
        <f>P146-O146</f>
        <v/>
      </c>
      <c r="Q166" s="111">
        <f>Q146-P146</f>
        <v/>
      </c>
      <c r="R166" s="111">
        <f>R146-Q146</f>
        <v/>
      </c>
      <c r="S166" s="111">
        <f>S146-R146</f>
        <v/>
      </c>
      <c r="T166" s="111">
        <f>T146-S146</f>
        <v/>
      </c>
      <c r="U166" s="111">
        <f>U146-T146</f>
        <v/>
      </c>
      <c r="V166" s="111">
        <f>V146-U146</f>
        <v/>
      </c>
      <c r="W166" s="111">
        <f>W146-V146</f>
        <v/>
      </c>
      <c r="X166" s="111">
        <f>X146-W146</f>
        <v/>
      </c>
      <c r="Y166" s="111">
        <f>Y146-X146</f>
        <v/>
      </c>
      <c r="Z166" s="111">
        <f>Z146-Y146</f>
        <v/>
      </c>
      <c r="AA166" s="111">
        <f>AA146-Z146</f>
        <v/>
      </c>
      <c r="AB166" s="111">
        <f>AB146-AA146</f>
        <v/>
      </c>
      <c r="AC166" s="111">
        <f>AC146-AB146</f>
        <v/>
      </c>
      <c r="AD166" s="111">
        <f>AD146-AC146</f>
        <v/>
      </c>
      <c r="AE166" s="111">
        <f>AE146-AD146</f>
        <v/>
      </c>
      <c r="AF166" s="111">
        <f>AF146-AE146</f>
        <v/>
      </c>
      <c r="AG166" s="111">
        <f>AG146-AF146</f>
        <v/>
      </c>
      <c r="AH166" s="111">
        <f>AH146-AG146</f>
        <v/>
      </c>
      <c r="AI166" s="111">
        <f>AI146-AH146</f>
        <v/>
      </c>
      <c r="AJ166" s="111">
        <f>AJ146-AI146</f>
        <v/>
      </c>
      <c r="AK166" s="111">
        <f>AK146-AJ146</f>
        <v/>
      </c>
      <c r="AL166" s="111">
        <f>AL146-AK146</f>
        <v/>
      </c>
      <c r="AM166" s="111">
        <f>AM146-AL146</f>
        <v/>
      </c>
      <c r="AN166" s="111">
        <f>AN146-AM146</f>
        <v/>
      </c>
      <c r="AO166" s="111">
        <f>AO146-AN146</f>
        <v/>
      </c>
      <c r="AP166" s="111">
        <f>AP146-AO146</f>
        <v/>
      </c>
      <c r="AQ166" s="111">
        <f>AQ146-AP146</f>
        <v/>
      </c>
      <c r="AR166" s="111">
        <f>AR146-AQ146</f>
        <v/>
      </c>
      <c r="AS166" s="111">
        <f>AS146-AR146</f>
        <v/>
      </c>
      <c r="AT166" s="111">
        <f>AT146-AS146</f>
        <v/>
      </c>
      <c r="AU166" s="111">
        <f>AU146-AT146</f>
        <v/>
      </c>
      <c r="AV166" s="111">
        <f>AV146-AU146</f>
        <v/>
      </c>
      <c r="AW166" s="244">
        <f>AW146-AV146</f>
        <v/>
      </c>
      <c r="AX166" s="111">
        <f>AX146-AW146</f>
        <v/>
      </c>
      <c r="AY166" s="244">
        <f>AY146-AX146</f>
        <v/>
      </c>
      <c r="AZ166" s="111">
        <f>AZ146-AY146</f>
        <v/>
      </c>
      <c r="BA166" s="111">
        <f>BA146-AZ146</f>
        <v/>
      </c>
      <c r="BB166" s="111">
        <f>BB146-BA146</f>
        <v/>
      </c>
      <c r="BC166" s="111">
        <f>BC146-BB146</f>
        <v/>
      </c>
      <c r="BD166" s="111">
        <f>BD146-BC146</f>
        <v/>
      </c>
      <c r="BE166" s="111">
        <f>BE146-BD146</f>
        <v/>
      </c>
      <c r="BF166" s="111">
        <f>BF146-BE146</f>
        <v/>
      </c>
      <c r="BG166" s="111">
        <f>BG146-BF146</f>
        <v/>
      </c>
      <c r="BH166" s="111">
        <f>BH146-BG146</f>
        <v/>
      </c>
      <c r="BI166" s="111">
        <f>BI146-BH146</f>
        <v/>
      </c>
      <c r="BJ166" s="111">
        <f>BJ146-BI146</f>
        <v/>
      </c>
      <c r="BK166" s="244">
        <f>BK146-BJ146</f>
        <v/>
      </c>
      <c r="BL166" s="111">
        <f>BL146-BK146</f>
        <v/>
      </c>
      <c r="BM166" s="111">
        <f>BM146-BL146</f>
        <v/>
      </c>
      <c r="BN166" s="111">
        <f>BN146-BM146</f>
        <v/>
      </c>
      <c r="BO166" s="111">
        <f>BO146-BN146</f>
        <v/>
      </c>
      <c r="BP166" s="111">
        <f>BP146-BO146</f>
        <v/>
      </c>
      <c r="BQ166" s="111">
        <f>BQ146-BP146</f>
        <v/>
      </c>
      <c r="BR166" s="111">
        <f>BR146-BQ146</f>
        <v/>
      </c>
      <c r="BS166" s="111">
        <f>BS146-BR146</f>
        <v/>
      </c>
      <c r="BT166" s="111">
        <f>BT146-BS146</f>
        <v/>
      </c>
      <c r="BU166" s="111">
        <f>BU146-BT146</f>
        <v/>
      </c>
      <c r="BV166" s="111">
        <f>BV146-BU146</f>
        <v/>
      </c>
      <c r="BW166" s="244">
        <f>BW146-BV146</f>
        <v/>
      </c>
      <c r="BX166" s="111">
        <f>BX146-BW146</f>
        <v/>
      </c>
      <c r="BY166" s="111">
        <f>BY146-BX146</f>
        <v/>
      </c>
      <c r="BZ166" s="111">
        <f>BZ146-BY146</f>
        <v/>
      </c>
      <c r="CA166" s="111">
        <f>CA146-BZ146</f>
        <v/>
      </c>
      <c r="CB166" s="111">
        <f>CB146-CA146</f>
        <v/>
      </c>
      <c r="CC166" s="111">
        <f>CC146-CB146</f>
        <v/>
      </c>
      <c r="CD166" s="111">
        <f>CD146-CC146</f>
        <v/>
      </c>
      <c r="CE166" s="111">
        <f>CE146-CD146</f>
        <v/>
      </c>
      <c r="CF166" s="111">
        <f>CF146-CE146</f>
        <v/>
      </c>
      <c r="CG166" s="111">
        <f>CG146-CF146</f>
        <v/>
      </c>
      <c r="CH166" s="111">
        <f>CH146-CG146</f>
        <v/>
      </c>
      <c r="CI166" s="244">
        <f>CI146-CH146</f>
        <v/>
      </c>
      <c r="CJ166" s="111">
        <f>CJ146-CI146</f>
        <v/>
      </c>
      <c r="CK166" s="111">
        <f>CK146-CJ146</f>
        <v/>
      </c>
      <c r="CL166" s="111">
        <f>CL146-CK146</f>
        <v/>
      </c>
      <c r="CM166" s="111">
        <f>CM146-CL146</f>
        <v/>
      </c>
      <c r="CN166" s="111">
        <f>CN146-CM146</f>
        <v/>
      </c>
      <c r="CO166" s="111">
        <f>CO146-CN146</f>
        <v/>
      </c>
      <c r="CP166" s="111">
        <f>CP146-CO146</f>
        <v/>
      </c>
      <c r="CQ166" s="111">
        <f>CQ146-CP146</f>
        <v/>
      </c>
      <c r="CR166" s="111">
        <f>CR146-CQ146</f>
        <v/>
      </c>
      <c r="CS166" s="111">
        <f>CS146-CR146</f>
        <v/>
      </c>
      <c r="CT166" s="111">
        <f>CT146-CS146</f>
        <v/>
      </c>
      <c r="CU166" s="244">
        <f>CU146-CT146</f>
        <v/>
      </c>
      <c r="CV166" s="111">
        <f>CV146-CU146</f>
        <v/>
      </c>
      <c r="CW166" s="111">
        <f>CW146-CV146</f>
        <v/>
      </c>
      <c r="CX166" s="111">
        <f>CX146-CW146</f>
        <v/>
      </c>
      <c r="CY166" s="111">
        <f>CY146-CX146</f>
        <v/>
      </c>
      <c r="CZ166" s="111">
        <f>CZ146-CY146</f>
        <v/>
      </c>
      <c r="DA166" s="111">
        <f>DA146-CZ146</f>
        <v/>
      </c>
      <c r="DB166" s="111">
        <f>DB146-DA146</f>
        <v/>
      </c>
      <c r="DC166" s="111">
        <f>DC146-DB146</f>
        <v/>
      </c>
      <c r="DD166" s="111">
        <f>DD146-DC146</f>
        <v/>
      </c>
      <c r="DE166" s="111">
        <f>DE146-DD146</f>
        <v/>
      </c>
      <c r="DF166" s="111">
        <f>DF146-DE146</f>
        <v/>
      </c>
      <c r="DG166" s="111">
        <f>DG146-DF146</f>
        <v/>
      </c>
    </row>
    <row r="167">
      <c r="B167" s="1" t="inlineStr">
        <is>
          <t>Change in Personal Burden</t>
        </is>
      </c>
      <c r="E167" s="111">
        <f>+E149-D149</f>
        <v/>
      </c>
      <c r="F167" s="111">
        <f>+F149-E149</f>
        <v/>
      </c>
      <c r="G167" s="111">
        <f>+G149-F149</f>
        <v/>
      </c>
      <c r="H167" s="111">
        <f>+H149-G149</f>
        <v/>
      </c>
      <c r="I167" s="111">
        <f>+I149-H149</f>
        <v/>
      </c>
      <c r="J167" s="111">
        <f>+J149-I149</f>
        <v/>
      </c>
      <c r="K167" s="111">
        <f>+K149-J149</f>
        <v/>
      </c>
      <c r="L167" s="111">
        <f>+L149-K149</f>
        <v/>
      </c>
      <c r="M167" s="111">
        <f>+M149-L149</f>
        <v/>
      </c>
      <c r="N167" s="111">
        <f>+N149-M149</f>
        <v/>
      </c>
      <c r="O167" s="111">
        <f>+O149-N149</f>
        <v/>
      </c>
      <c r="P167" s="111">
        <f>+P149-O149</f>
        <v/>
      </c>
      <c r="Q167" s="111">
        <f>+Q149-P149</f>
        <v/>
      </c>
      <c r="R167" s="111">
        <f>+R149-Q149</f>
        <v/>
      </c>
      <c r="S167" s="111">
        <f>+S149-R149</f>
        <v/>
      </c>
      <c r="T167" s="111">
        <f>+T149-S149</f>
        <v/>
      </c>
      <c r="U167" s="111">
        <f>+U149-T149</f>
        <v/>
      </c>
      <c r="V167" s="111">
        <f>+V149-U149</f>
        <v/>
      </c>
      <c r="W167" s="111">
        <f>+W149-V149</f>
        <v/>
      </c>
      <c r="X167" s="111">
        <f>+X149-W149</f>
        <v/>
      </c>
      <c r="Y167" s="111">
        <f>+Y149-X149</f>
        <v/>
      </c>
      <c r="Z167" s="111">
        <f>+Z149-Y149</f>
        <v/>
      </c>
      <c r="AA167" s="111">
        <f>+AA149-Z149</f>
        <v/>
      </c>
      <c r="AB167" s="111">
        <f>+AB149-AA149</f>
        <v/>
      </c>
      <c r="AC167" s="111">
        <f>+AC149-AB149</f>
        <v/>
      </c>
      <c r="AD167" s="111">
        <f>+AD149-AC149</f>
        <v/>
      </c>
      <c r="AE167" s="111">
        <f>+AE149-AD149</f>
        <v/>
      </c>
      <c r="AF167" s="111">
        <f>+AF149-AE149</f>
        <v/>
      </c>
      <c r="AG167" s="111">
        <f>+AG149-AF149</f>
        <v/>
      </c>
      <c r="AH167" s="111">
        <f>+AH149-AG149</f>
        <v/>
      </c>
      <c r="AI167" s="111">
        <f>+AI149-AH149</f>
        <v/>
      </c>
      <c r="AJ167" s="111">
        <f>+AJ149-AI149</f>
        <v/>
      </c>
      <c r="AK167" s="111">
        <f>+AK149-AJ149</f>
        <v/>
      </c>
      <c r="AL167" s="111">
        <f>+AL149-AK149</f>
        <v/>
      </c>
      <c r="AM167" s="111">
        <f>+AM149-AL149</f>
        <v/>
      </c>
      <c r="AN167" s="111">
        <f>+AN149-AM149</f>
        <v/>
      </c>
      <c r="AO167" s="111">
        <f>+AO149-AN149</f>
        <v/>
      </c>
      <c r="AP167" s="111">
        <f>+AP149-AO149</f>
        <v/>
      </c>
      <c r="AQ167" s="111">
        <f>+AQ149-AP149</f>
        <v/>
      </c>
      <c r="AR167" s="111">
        <f>+AR149-AQ149</f>
        <v/>
      </c>
      <c r="AS167" s="111">
        <f>+AS149-AR149</f>
        <v/>
      </c>
      <c r="AT167" s="111">
        <f>+AT149-AS149</f>
        <v/>
      </c>
      <c r="AU167" s="111">
        <f>+AU149-AT149</f>
        <v/>
      </c>
      <c r="AV167" s="111">
        <f>+AV149-AU149</f>
        <v/>
      </c>
      <c r="AW167" s="244">
        <f>+AW149-AV149</f>
        <v/>
      </c>
      <c r="AX167" s="111">
        <f>+AX149-AW149</f>
        <v/>
      </c>
      <c r="AY167" s="244">
        <f>+AY149-AX149</f>
        <v/>
      </c>
      <c r="AZ167" s="111">
        <f>+AZ149-AY149</f>
        <v/>
      </c>
      <c r="BA167" s="111">
        <f>+BA149-AZ149</f>
        <v/>
      </c>
      <c r="BB167" s="111">
        <f>+BB149-BA149</f>
        <v/>
      </c>
      <c r="BC167" s="111">
        <f>+BC149-BB149</f>
        <v/>
      </c>
      <c r="BD167" s="111">
        <f>+BD149-BC149</f>
        <v/>
      </c>
      <c r="BE167" s="111">
        <f>+BE149-BD149</f>
        <v/>
      </c>
      <c r="BF167" s="111">
        <f>+BF149-BE149</f>
        <v/>
      </c>
      <c r="BG167" s="111">
        <f>+BG149-BF149</f>
        <v/>
      </c>
      <c r="BH167" s="111">
        <f>+BH149-BG149</f>
        <v/>
      </c>
      <c r="BI167" s="111">
        <f>+BI149-BH149</f>
        <v/>
      </c>
      <c r="BJ167" s="111">
        <f>+BJ149-BI149</f>
        <v/>
      </c>
      <c r="BK167" s="244">
        <f>+BK149-BJ149</f>
        <v/>
      </c>
      <c r="BL167" s="111">
        <f>+BL149-BK149</f>
        <v/>
      </c>
      <c r="BM167" s="111">
        <f>+BM149-BL149</f>
        <v/>
      </c>
      <c r="BN167" s="111">
        <f>+BN149-BM149</f>
        <v/>
      </c>
      <c r="BO167" s="111">
        <f>+BO149-BN149</f>
        <v/>
      </c>
      <c r="BP167" s="111">
        <f>+BP149-BO149</f>
        <v/>
      </c>
      <c r="BQ167" s="111">
        <f>+BQ149-BP149</f>
        <v/>
      </c>
      <c r="BR167" s="111">
        <f>+BR149-BQ149</f>
        <v/>
      </c>
      <c r="BS167" s="111">
        <f>+BS149-BR149</f>
        <v/>
      </c>
      <c r="BT167" s="111">
        <f>+BT149-BS149</f>
        <v/>
      </c>
      <c r="BU167" s="111">
        <f>+BU149-BT149</f>
        <v/>
      </c>
      <c r="BV167" s="111">
        <f>+BV149-BU149</f>
        <v/>
      </c>
      <c r="BW167" s="244">
        <f>+BW149-BV149</f>
        <v/>
      </c>
      <c r="BX167" s="111">
        <f>+BX149-BW149</f>
        <v/>
      </c>
      <c r="BY167" s="111">
        <f>+BY149-BX149</f>
        <v/>
      </c>
      <c r="BZ167" s="111">
        <f>+BZ149-BY149</f>
        <v/>
      </c>
      <c r="CA167" s="111">
        <f>+CA149-BZ149</f>
        <v/>
      </c>
      <c r="CB167" s="111">
        <f>+CB149-CA149</f>
        <v/>
      </c>
      <c r="CC167" s="111">
        <f>+CC149-CB149</f>
        <v/>
      </c>
      <c r="CD167" s="111">
        <f>+CD149-CC149</f>
        <v/>
      </c>
      <c r="CE167" s="111">
        <f>+CE149-CD149</f>
        <v/>
      </c>
      <c r="CF167" s="111">
        <f>+CF149-CE149</f>
        <v/>
      </c>
      <c r="CG167" s="111">
        <f>+CG149-CF149</f>
        <v/>
      </c>
      <c r="CH167" s="111">
        <f>+CH149-CG149</f>
        <v/>
      </c>
      <c r="CI167" s="244">
        <f>+CI149-CH149</f>
        <v/>
      </c>
      <c r="CJ167" s="111">
        <f>+CJ149-CI149</f>
        <v/>
      </c>
      <c r="CK167" s="111">
        <f>+CK149-CJ149</f>
        <v/>
      </c>
      <c r="CL167" s="111">
        <f>+CL149-CK149</f>
        <v/>
      </c>
      <c r="CM167" s="111">
        <f>+CM149-CL149</f>
        <v/>
      </c>
      <c r="CN167" s="111">
        <f>+CN149-CM149</f>
        <v/>
      </c>
      <c r="CO167" s="111">
        <f>+CO149-CN149</f>
        <v/>
      </c>
      <c r="CP167" s="111">
        <f>+CP149-CO149</f>
        <v/>
      </c>
      <c r="CQ167" s="111">
        <f>+CQ149-CP149</f>
        <v/>
      </c>
      <c r="CR167" s="111">
        <f>+CR149-CQ149</f>
        <v/>
      </c>
      <c r="CS167" s="111">
        <f>+CS149-CR149</f>
        <v/>
      </c>
      <c r="CT167" s="111">
        <f>+CT149-CS149</f>
        <v/>
      </c>
      <c r="CU167" s="244">
        <f>+CU149-CT149</f>
        <v/>
      </c>
      <c r="CV167" s="111">
        <f>+CV149-CU149</f>
        <v/>
      </c>
      <c r="CW167" s="111">
        <f>+CW149-CV149</f>
        <v/>
      </c>
      <c r="CX167" s="111">
        <f>+CX149-CW149</f>
        <v/>
      </c>
      <c r="CY167" s="111">
        <f>+CY149-CX149</f>
        <v/>
      </c>
      <c r="CZ167" s="111">
        <f>+CZ149-CY149</f>
        <v/>
      </c>
      <c r="DA167" s="111">
        <f>+DA149-CZ149</f>
        <v/>
      </c>
      <c r="DB167" s="111">
        <f>+DB149-DA149</f>
        <v/>
      </c>
      <c r="DC167" s="111">
        <f>+DC149-DB149</f>
        <v/>
      </c>
      <c r="DD167" s="111">
        <f>+DD149-DC149</f>
        <v/>
      </c>
      <c r="DE167" s="111">
        <f>+DE149-DD149</f>
        <v/>
      </c>
      <c r="DF167" s="111">
        <f>+DF149-DE149</f>
        <v/>
      </c>
      <c r="DG167" s="111">
        <f>+DG149-DF149</f>
        <v/>
      </c>
    </row>
    <row r="168">
      <c r="A168" s="3" t="n"/>
      <c r="B168" s="4" t="inlineStr">
        <is>
          <t>Cash Flow From Financing</t>
        </is>
      </c>
      <c r="C168" s="3" t="n"/>
      <c r="D168" s="830" t="n">
        <v>0</v>
      </c>
      <c r="E168" s="830">
        <f>E166</f>
        <v/>
      </c>
      <c r="F168" s="830">
        <f>F166</f>
        <v/>
      </c>
      <c r="G168" s="830">
        <f>G166</f>
        <v/>
      </c>
      <c r="H168" s="830">
        <f>H166</f>
        <v/>
      </c>
      <c r="I168" s="830">
        <f>I166</f>
        <v/>
      </c>
      <c r="J168" s="830">
        <f>J166</f>
        <v/>
      </c>
      <c r="K168" s="830">
        <f>K166</f>
        <v/>
      </c>
      <c r="L168" s="830">
        <f>L166</f>
        <v/>
      </c>
      <c r="M168" s="830">
        <f>M166</f>
        <v/>
      </c>
      <c r="N168" s="830">
        <f>N166</f>
        <v/>
      </c>
      <c r="O168" s="830">
        <f>O166</f>
        <v/>
      </c>
      <c r="P168" s="830">
        <f>P166</f>
        <v/>
      </c>
      <c r="Q168" s="830">
        <f>Q166</f>
        <v/>
      </c>
      <c r="R168" s="830">
        <f>R166</f>
        <v/>
      </c>
      <c r="S168" s="830">
        <f>S166</f>
        <v/>
      </c>
      <c r="T168" s="830">
        <f>T166</f>
        <v/>
      </c>
      <c r="U168" s="830">
        <f>U166</f>
        <v/>
      </c>
      <c r="V168" s="830">
        <f>SUM(V166:V167)</f>
        <v/>
      </c>
      <c r="W168" s="830">
        <f>SUM(W166:W167)</f>
        <v/>
      </c>
      <c r="X168" s="830">
        <f>SUM(X166:X167)</f>
        <v/>
      </c>
      <c r="Y168" s="830">
        <f>SUM(Y166:Y167)</f>
        <v/>
      </c>
      <c r="Z168" s="830">
        <f>SUM(Z166:Z167)</f>
        <v/>
      </c>
      <c r="AA168" s="830">
        <f>SUM(AA166:AA167)</f>
        <v/>
      </c>
      <c r="AB168" s="830">
        <f>SUM(AB166:AB167)</f>
        <v/>
      </c>
      <c r="AC168" s="830">
        <f>SUM(AC166:AC167)</f>
        <v/>
      </c>
      <c r="AD168" s="830">
        <f>SUM(AD166:AD167)</f>
        <v/>
      </c>
      <c r="AE168" s="830">
        <f>SUM(AE166:AE167)</f>
        <v/>
      </c>
      <c r="AF168" s="830">
        <f>SUM(AF166:AF167)</f>
        <v/>
      </c>
      <c r="AG168" s="830">
        <f>SUM(AG166:AG167)</f>
        <v/>
      </c>
      <c r="AH168" s="830">
        <f>SUM(AH166:AH167)</f>
        <v/>
      </c>
      <c r="AI168" s="830">
        <f>SUM(AI166:AI167)</f>
        <v/>
      </c>
      <c r="AJ168" s="830">
        <f>SUM(AJ166:AJ167)</f>
        <v/>
      </c>
      <c r="AK168" s="830">
        <f>SUM(AK166:AK167)</f>
        <v/>
      </c>
      <c r="AL168" s="830">
        <f>SUM(AL166:AL167)</f>
        <v/>
      </c>
      <c r="AM168" s="830">
        <f>SUM(AM166:AM167)</f>
        <v/>
      </c>
      <c r="AN168" s="830">
        <f>SUM(AN166:AN167)</f>
        <v/>
      </c>
      <c r="AO168" s="830">
        <f>SUM(AO166:AO167)</f>
        <v/>
      </c>
      <c r="AP168" s="830">
        <f>SUM(AP166:AP167)</f>
        <v/>
      </c>
      <c r="AQ168" s="830">
        <f>SUM(AQ166:AQ167)</f>
        <v/>
      </c>
      <c r="AR168" s="830">
        <f>SUM(AR166:AR167)</f>
        <v/>
      </c>
      <c r="AS168" s="830">
        <f>SUM(AS166:AS167)</f>
        <v/>
      </c>
      <c r="AT168" s="830">
        <f>SUM(AT166:AT167)</f>
        <v/>
      </c>
      <c r="AU168" s="830">
        <f>SUM(AU166:AU167)</f>
        <v/>
      </c>
      <c r="AV168" s="830">
        <f>SUM(AV166:AV167)</f>
        <v/>
      </c>
      <c r="AW168" s="937">
        <f>SUM(AW166:AW167)</f>
        <v/>
      </c>
      <c r="AX168" s="830">
        <f>SUM(AX166:AX167)</f>
        <v/>
      </c>
      <c r="AY168" s="937">
        <f>SUM(AY166:AY167)</f>
        <v/>
      </c>
      <c r="AZ168" s="830">
        <f>SUM(AZ166:AZ167)</f>
        <v/>
      </c>
      <c r="BA168" s="830">
        <f>SUM(BA166:BA167)</f>
        <v/>
      </c>
      <c r="BB168" s="830">
        <f>SUM(BB166:BB167)</f>
        <v/>
      </c>
      <c r="BC168" s="830">
        <f>SUM(BC166:BC167)</f>
        <v/>
      </c>
      <c r="BD168" s="830">
        <f>SUM(BD166:BD167)</f>
        <v/>
      </c>
      <c r="BE168" s="830">
        <f>SUM(BE166:BE167)</f>
        <v/>
      </c>
      <c r="BF168" s="830">
        <f>SUM(BF166:BF167)</f>
        <v/>
      </c>
      <c r="BG168" s="830">
        <f>SUM(BG166:BG167)</f>
        <v/>
      </c>
      <c r="BH168" s="830">
        <f>SUM(BH166:BH167)</f>
        <v/>
      </c>
      <c r="BI168" s="830">
        <f>SUM(BI166:BI167)</f>
        <v/>
      </c>
      <c r="BJ168" s="830">
        <f>SUM(BJ166:BJ167)</f>
        <v/>
      </c>
      <c r="BK168" s="937">
        <f>SUM(BK166:BK167)</f>
        <v/>
      </c>
      <c r="BL168" s="830">
        <f>SUM(BL166:BL167)</f>
        <v/>
      </c>
      <c r="BM168" s="830">
        <f>SUM(BM166:BM167)</f>
        <v/>
      </c>
      <c r="BN168" s="830">
        <f>SUM(BN166:BN167)</f>
        <v/>
      </c>
      <c r="BO168" s="830">
        <f>SUM(BO166:BO167)</f>
        <v/>
      </c>
      <c r="BP168" s="830">
        <f>SUM(BP166:BP167)</f>
        <v/>
      </c>
      <c r="BQ168" s="830">
        <f>SUM(BQ166:BQ167)</f>
        <v/>
      </c>
      <c r="BR168" s="830">
        <f>SUM(BR166:BR167)</f>
        <v/>
      </c>
      <c r="BS168" s="830">
        <f>SUM(BS166:BS167)</f>
        <v/>
      </c>
      <c r="BT168" s="830">
        <f>SUM(BT166:BT167)</f>
        <v/>
      </c>
      <c r="BU168" s="830">
        <f>SUM(BU166:BU167)</f>
        <v/>
      </c>
      <c r="BV168" s="830">
        <f>SUM(BV166:BV167)</f>
        <v/>
      </c>
      <c r="BW168" s="937">
        <f>SUM(BW166:BW167)</f>
        <v/>
      </c>
      <c r="BX168" s="830">
        <f>SUM(BX166:BX167)</f>
        <v/>
      </c>
      <c r="BY168" s="830">
        <f>SUM(BY166:BY167)</f>
        <v/>
      </c>
      <c r="BZ168" s="830">
        <f>SUM(BZ166:BZ167)</f>
        <v/>
      </c>
      <c r="CA168" s="830">
        <f>SUM(CA166:CA167)</f>
        <v/>
      </c>
      <c r="CB168" s="830">
        <f>SUM(CB166:CB167)</f>
        <v/>
      </c>
      <c r="CC168" s="830">
        <f>SUM(CC166:CC167)</f>
        <v/>
      </c>
      <c r="CD168" s="830">
        <f>SUM(CD166:CD167)</f>
        <v/>
      </c>
      <c r="CE168" s="830">
        <f>SUM(CE166:CE167)</f>
        <v/>
      </c>
      <c r="CF168" s="830">
        <f>SUM(CF166:CF167)</f>
        <v/>
      </c>
      <c r="CG168" s="830">
        <f>SUM(CG166:CG167)</f>
        <v/>
      </c>
      <c r="CH168" s="830">
        <f>SUM(CH166:CH167)</f>
        <v/>
      </c>
      <c r="CI168" s="937">
        <f>SUM(CI166:CI167)</f>
        <v/>
      </c>
      <c r="CJ168" s="830">
        <f>SUM(CJ166:CJ167)</f>
        <v/>
      </c>
      <c r="CK168" s="830">
        <f>SUM(CK166:CK167)</f>
        <v/>
      </c>
      <c r="CL168" s="830">
        <f>SUM(CL166:CL167)</f>
        <v/>
      </c>
      <c r="CM168" s="830">
        <f>SUM(CM166:CM167)</f>
        <v/>
      </c>
      <c r="CN168" s="830">
        <f>SUM(CN166:CN167)</f>
        <v/>
      </c>
      <c r="CO168" s="830">
        <f>SUM(CO166:CO167)</f>
        <v/>
      </c>
      <c r="CP168" s="830">
        <f>SUM(CP166:CP167)</f>
        <v/>
      </c>
      <c r="CQ168" s="830">
        <f>SUM(CQ166:CQ167)</f>
        <v/>
      </c>
      <c r="CR168" s="830">
        <f>SUM(CR166:CR167)</f>
        <v/>
      </c>
      <c r="CS168" s="830">
        <f>SUM(CS166:CS167)</f>
        <v/>
      </c>
      <c r="CT168" s="830">
        <f>SUM(CT166:CT167)</f>
        <v/>
      </c>
      <c r="CU168" s="937">
        <f>SUM(CU166:CU167)</f>
        <v/>
      </c>
      <c r="CV168" s="830">
        <f>SUM(CV166:CV167)</f>
        <v/>
      </c>
      <c r="CW168" s="830">
        <f>SUM(CW166:CW167)</f>
        <v/>
      </c>
      <c r="CX168" s="830">
        <f>SUM(CX166:CX167)</f>
        <v/>
      </c>
      <c r="CY168" s="830">
        <f>SUM(CY166:CY167)</f>
        <v/>
      </c>
      <c r="CZ168" s="830">
        <f>SUM(CZ166:CZ167)</f>
        <v/>
      </c>
      <c r="DA168" s="830">
        <f>SUM(DA166:DA167)</f>
        <v/>
      </c>
      <c r="DB168" s="830">
        <f>SUM(DB166:DB167)</f>
        <v/>
      </c>
      <c r="DC168" s="830">
        <f>SUM(DC166:DC167)</f>
        <v/>
      </c>
      <c r="DD168" s="830">
        <f>SUM(DD166:DD167)</f>
        <v/>
      </c>
      <c r="DE168" s="830">
        <f>SUM(DE166:DE167)</f>
        <v/>
      </c>
      <c r="DF168" s="830">
        <f>SUM(DF166:DF167)</f>
        <v/>
      </c>
      <c r="DG168" s="830">
        <f>SUM(DG166:DG167)</f>
        <v/>
      </c>
    </row>
    <row r="169">
      <c r="AW169" s="243" t="n"/>
      <c r="AY169" s="243" t="n"/>
      <c r="BK169" s="243" t="n"/>
      <c r="BW169" s="243" t="n"/>
      <c r="CI169" s="243" t="n"/>
      <c r="CU169" s="243" t="n"/>
    </row>
    <row r="170">
      <c r="B170" s="1" t="inlineStr">
        <is>
          <t>Net change in Cash Flow for the Period</t>
        </is>
      </c>
      <c r="D170" s="702">
        <f>D168+D163</f>
        <v/>
      </c>
      <c r="E170" s="702">
        <f>E168+E163</f>
        <v/>
      </c>
      <c r="F170" s="702">
        <f>F168+F163</f>
        <v/>
      </c>
      <c r="G170" s="702">
        <f>G168+G163</f>
        <v/>
      </c>
      <c r="H170" s="702">
        <f>H168+H163</f>
        <v/>
      </c>
      <c r="I170" s="702">
        <f>I168+I163</f>
        <v/>
      </c>
      <c r="J170" s="702">
        <f>J168+J163</f>
        <v/>
      </c>
      <c r="K170" s="702">
        <f>K168+K163</f>
        <v/>
      </c>
      <c r="L170" s="702">
        <f>L168+L163</f>
        <v/>
      </c>
      <c r="M170" s="702">
        <f>M168+M163</f>
        <v/>
      </c>
      <c r="N170" s="702">
        <f>N168+N163</f>
        <v/>
      </c>
      <c r="O170" s="702">
        <f>O168+O163</f>
        <v/>
      </c>
      <c r="P170" s="702">
        <f>P168+P163</f>
        <v/>
      </c>
      <c r="Q170" s="702">
        <f>Q168+Q163</f>
        <v/>
      </c>
      <c r="R170" s="702">
        <f>R168+R163</f>
        <v/>
      </c>
      <c r="S170" s="702">
        <f>S168+S163</f>
        <v/>
      </c>
      <c r="T170" s="702">
        <f>T168+T163</f>
        <v/>
      </c>
      <c r="U170" s="702">
        <f>U168+U163</f>
        <v/>
      </c>
      <c r="V170" s="702">
        <f>V168+V163</f>
        <v/>
      </c>
      <c r="W170" s="702">
        <f>W168+W163</f>
        <v/>
      </c>
      <c r="X170" s="702">
        <f>X168+X163</f>
        <v/>
      </c>
      <c r="Y170" s="702">
        <f>Y168+Y163</f>
        <v/>
      </c>
      <c r="Z170" s="702">
        <f>Z168+Z163</f>
        <v/>
      </c>
      <c r="AA170" s="702">
        <f>AA168+AA163</f>
        <v/>
      </c>
      <c r="AB170" s="702">
        <f>AB168+AB163</f>
        <v/>
      </c>
      <c r="AC170" s="702">
        <f>AC168+AC163</f>
        <v/>
      </c>
      <c r="AD170" s="702">
        <f>AD168+AD163</f>
        <v/>
      </c>
      <c r="AE170" s="702">
        <f>AE168+AE163</f>
        <v/>
      </c>
      <c r="AF170" s="702">
        <f>AF168+AF163</f>
        <v/>
      </c>
      <c r="AG170" s="702">
        <f>AG168+AG163</f>
        <v/>
      </c>
      <c r="AH170" s="702">
        <f>AH168+AH163</f>
        <v/>
      </c>
      <c r="AI170" s="702">
        <f>AI168+AI163</f>
        <v/>
      </c>
      <c r="AJ170" s="702">
        <f>AJ168+AJ163</f>
        <v/>
      </c>
      <c r="AK170" s="702">
        <f>AK168+AK163</f>
        <v/>
      </c>
      <c r="AL170" s="702">
        <f>AL168+AL163</f>
        <v/>
      </c>
      <c r="AM170" s="702">
        <f>AM168+AM163</f>
        <v/>
      </c>
      <c r="AN170" s="702">
        <f>AN168+AN163</f>
        <v/>
      </c>
      <c r="AO170" s="702">
        <f>AO168+AO163</f>
        <v/>
      </c>
      <c r="AP170" s="702">
        <f>AP168+AP163</f>
        <v/>
      </c>
      <c r="AQ170" s="702">
        <f>AQ168+AQ163</f>
        <v/>
      </c>
      <c r="AR170" s="702">
        <f>AR168+AR163</f>
        <v/>
      </c>
      <c r="AS170" s="702">
        <f>AS168+AS163</f>
        <v/>
      </c>
      <c r="AT170" s="702">
        <f>AT168+AT163</f>
        <v/>
      </c>
      <c r="AU170" s="702">
        <f>AU168+AU163</f>
        <v/>
      </c>
      <c r="AV170" s="702">
        <f>AV168+AV163</f>
        <v/>
      </c>
      <c r="AW170" s="945">
        <f>AW168+AW163</f>
        <v/>
      </c>
      <c r="AX170" s="702">
        <f>AX168+AX163</f>
        <v/>
      </c>
      <c r="AY170" s="945">
        <f>AY168+AY163</f>
        <v/>
      </c>
      <c r="AZ170" s="702">
        <f>AZ168+AZ163</f>
        <v/>
      </c>
      <c r="BA170" s="702">
        <f>BA168+BA163</f>
        <v/>
      </c>
      <c r="BB170" s="702">
        <f>BB168+BB163</f>
        <v/>
      </c>
      <c r="BC170" s="702">
        <f>BC168+BC163</f>
        <v/>
      </c>
      <c r="BD170" s="702">
        <f>BD168+BD163</f>
        <v/>
      </c>
      <c r="BE170" s="702">
        <f>BE168+BE163</f>
        <v/>
      </c>
      <c r="BF170" s="702">
        <f>BF168+BF163</f>
        <v/>
      </c>
      <c r="BG170" s="702">
        <f>BG168+BG163</f>
        <v/>
      </c>
      <c r="BH170" s="702">
        <f>BH168+BH163</f>
        <v/>
      </c>
      <c r="BI170" s="702">
        <f>BI168+BI163</f>
        <v/>
      </c>
      <c r="BJ170" s="702">
        <f>BJ168+BJ163</f>
        <v/>
      </c>
      <c r="BK170" s="945">
        <f>BK168+BK163</f>
        <v/>
      </c>
      <c r="BL170" s="702">
        <f>BL168+BL163</f>
        <v/>
      </c>
      <c r="BM170" s="702">
        <f>BM168+BM163</f>
        <v/>
      </c>
      <c r="BN170" s="702">
        <f>BN168+BN163</f>
        <v/>
      </c>
      <c r="BO170" s="702">
        <f>BO168+BO163</f>
        <v/>
      </c>
      <c r="BP170" s="702">
        <f>BP168+BP163</f>
        <v/>
      </c>
      <c r="BQ170" s="702">
        <f>BQ168+BQ163</f>
        <v/>
      </c>
      <c r="BR170" s="702">
        <f>BR168+BR163</f>
        <v/>
      </c>
      <c r="BS170" s="702">
        <f>BS168+BS163</f>
        <v/>
      </c>
      <c r="BT170" s="702">
        <f>BT168+BT163</f>
        <v/>
      </c>
      <c r="BU170" s="702">
        <f>BU168+BU163</f>
        <v/>
      </c>
      <c r="BV170" s="702">
        <f>BV168+BV163</f>
        <v/>
      </c>
      <c r="BW170" s="945">
        <f>BW168+BW163</f>
        <v/>
      </c>
      <c r="BX170" s="702">
        <f>BX168+BX163</f>
        <v/>
      </c>
      <c r="BY170" s="702">
        <f>BY168+BY163</f>
        <v/>
      </c>
      <c r="BZ170" s="702">
        <f>BZ168+BZ163</f>
        <v/>
      </c>
      <c r="CA170" s="702">
        <f>CA168+CA163</f>
        <v/>
      </c>
      <c r="CB170" s="702">
        <f>CB168+CB163</f>
        <v/>
      </c>
      <c r="CC170" s="702">
        <f>CC168+CC163</f>
        <v/>
      </c>
      <c r="CD170" s="702">
        <f>CD168+CD163</f>
        <v/>
      </c>
      <c r="CE170" s="702">
        <f>CE168+CE163</f>
        <v/>
      </c>
      <c r="CF170" s="702">
        <f>CF168+CF163</f>
        <v/>
      </c>
      <c r="CG170" s="702">
        <f>CG168+CG163</f>
        <v/>
      </c>
      <c r="CH170" s="702">
        <f>CH168+CH163</f>
        <v/>
      </c>
      <c r="CI170" s="945">
        <f>CI168+CI163</f>
        <v/>
      </c>
      <c r="CJ170" s="702">
        <f>CJ168+CJ163</f>
        <v/>
      </c>
      <c r="CK170" s="702">
        <f>CK168+CK163</f>
        <v/>
      </c>
      <c r="CL170" s="702">
        <f>CL168+CL163</f>
        <v/>
      </c>
      <c r="CM170" s="702">
        <f>CM168+CM163</f>
        <v/>
      </c>
      <c r="CN170" s="702">
        <f>CN168+CN163</f>
        <v/>
      </c>
      <c r="CO170" s="702">
        <f>CO168+CO163</f>
        <v/>
      </c>
      <c r="CP170" s="702">
        <f>CP168+CP163</f>
        <v/>
      </c>
      <c r="CQ170" s="702">
        <f>CQ168+CQ163</f>
        <v/>
      </c>
      <c r="CR170" s="702">
        <f>CR168+CR163</f>
        <v/>
      </c>
      <c r="CS170" s="702">
        <f>CS168+CS163</f>
        <v/>
      </c>
      <c r="CT170" s="702">
        <f>CT168+CT163</f>
        <v/>
      </c>
      <c r="CU170" s="945">
        <f>CU168+CU163</f>
        <v/>
      </c>
      <c r="CV170" s="702">
        <f>CV168+CV163</f>
        <v/>
      </c>
      <c r="CW170" s="702">
        <f>CW168+CW163</f>
        <v/>
      </c>
      <c r="CX170" s="702">
        <f>CX168+CX163</f>
        <v/>
      </c>
      <c r="CY170" s="702">
        <f>CY168+CY163</f>
        <v/>
      </c>
      <c r="CZ170" s="702">
        <f>CZ168+CZ163</f>
        <v/>
      </c>
      <c r="DA170" s="702">
        <f>DA168+DA163</f>
        <v/>
      </c>
      <c r="DB170" s="702">
        <f>DB168+DB163</f>
        <v/>
      </c>
      <c r="DC170" s="702">
        <f>DC168+DC163</f>
        <v/>
      </c>
      <c r="DD170" s="702">
        <f>DD168+DD163</f>
        <v/>
      </c>
      <c r="DE170" s="702">
        <f>DE168+DE163</f>
        <v/>
      </c>
      <c r="DF170" s="702">
        <f>DF168+DF163</f>
        <v/>
      </c>
      <c r="DG170" s="702">
        <f>DG168+DG163</f>
        <v/>
      </c>
    </row>
    <row r="171">
      <c r="AW171" s="243" t="n"/>
      <c r="AY171" s="243" t="n"/>
      <c r="BK171" s="243" t="n"/>
      <c r="BW171" s="243" t="n"/>
      <c r="CI171" s="243" t="n"/>
      <c r="CU171" s="243" t="n"/>
    </row>
    <row r="172">
      <c r="B172" s="1" t="inlineStr">
        <is>
          <t>Beginning Balance</t>
        </is>
      </c>
      <c r="D172" s="702" t="n">
        <v>0</v>
      </c>
      <c r="E172" s="702">
        <f>D173</f>
        <v/>
      </c>
      <c r="F172" s="702">
        <f>E173</f>
        <v/>
      </c>
      <c r="G172" s="702">
        <f>F173</f>
        <v/>
      </c>
      <c r="H172" s="702">
        <f>G173</f>
        <v/>
      </c>
      <c r="I172" s="702">
        <f>H173</f>
        <v/>
      </c>
      <c r="J172" s="702">
        <f>I173</f>
        <v/>
      </c>
      <c r="K172" s="702">
        <f>J173</f>
        <v/>
      </c>
      <c r="L172" s="702">
        <f>K173</f>
        <v/>
      </c>
      <c r="M172" s="702">
        <f>L173</f>
        <v/>
      </c>
      <c r="N172" s="702">
        <f>M173</f>
        <v/>
      </c>
      <c r="O172" s="702">
        <f>N173</f>
        <v/>
      </c>
      <c r="P172" s="702">
        <f>O173</f>
        <v/>
      </c>
      <c r="Q172" s="702">
        <f>P173</f>
        <v/>
      </c>
      <c r="R172" s="702">
        <f>Q173</f>
        <v/>
      </c>
      <c r="S172" s="702">
        <f>R173</f>
        <v/>
      </c>
      <c r="T172" s="702">
        <f>S173</f>
        <v/>
      </c>
      <c r="U172" s="702">
        <f>T173</f>
        <v/>
      </c>
      <c r="V172" s="702">
        <f>U173</f>
        <v/>
      </c>
      <c r="W172" s="702">
        <f>V173</f>
        <v/>
      </c>
      <c r="X172" s="702">
        <f>W173</f>
        <v/>
      </c>
      <c r="Y172" s="702">
        <f>X173</f>
        <v/>
      </c>
      <c r="Z172" s="702">
        <f>Y173</f>
        <v/>
      </c>
      <c r="AA172" s="702">
        <f>Z173</f>
        <v/>
      </c>
      <c r="AB172" s="702">
        <f>AA173</f>
        <v/>
      </c>
      <c r="AC172" s="702">
        <f>AB173</f>
        <v/>
      </c>
      <c r="AD172" s="702">
        <f>AC173</f>
        <v/>
      </c>
      <c r="AE172" s="702">
        <f>AD173</f>
        <v/>
      </c>
      <c r="AF172" s="702">
        <f>AE173</f>
        <v/>
      </c>
      <c r="AG172" s="702">
        <f>AF173</f>
        <v/>
      </c>
      <c r="AH172" s="702">
        <f>AG173</f>
        <v/>
      </c>
      <c r="AI172" s="702">
        <f>AH173</f>
        <v/>
      </c>
      <c r="AJ172" s="702">
        <f>AI173</f>
        <v/>
      </c>
      <c r="AK172" s="702">
        <f>AJ173</f>
        <v/>
      </c>
      <c r="AL172" s="702">
        <f>AK173</f>
        <v/>
      </c>
      <c r="AM172" s="702">
        <f>AL173</f>
        <v/>
      </c>
      <c r="AN172" s="702">
        <f>AM173</f>
        <v/>
      </c>
      <c r="AO172" s="702">
        <f>AN173</f>
        <v/>
      </c>
      <c r="AP172" s="702">
        <f>AO173</f>
        <v/>
      </c>
      <c r="AQ172" s="702">
        <f>AP173</f>
        <v/>
      </c>
      <c r="AR172" s="702">
        <f>AQ173</f>
        <v/>
      </c>
      <c r="AS172" s="702">
        <f>AR173</f>
        <v/>
      </c>
      <c r="AT172" s="702">
        <f>AS173</f>
        <v/>
      </c>
      <c r="AU172" s="702">
        <f>AT173</f>
        <v/>
      </c>
      <c r="AV172" s="702">
        <f>AU173</f>
        <v/>
      </c>
      <c r="AW172" s="945">
        <f>AV173</f>
        <v/>
      </c>
      <c r="AX172" s="702">
        <f>AW173</f>
        <v/>
      </c>
      <c r="AY172" s="945">
        <f>AX173</f>
        <v/>
      </c>
      <c r="AZ172" s="702">
        <f>AY173</f>
        <v/>
      </c>
      <c r="BA172" s="702">
        <f>AZ173</f>
        <v/>
      </c>
      <c r="BB172" s="702">
        <f>BA173</f>
        <v/>
      </c>
      <c r="BC172" s="702">
        <f>BB173</f>
        <v/>
      </c>
      <c r="BD172" s="702">
        <f>BC173</f>
        <v/>
      </c>
      <c r="BE172" s="702">
        <f>BD173</f>
        <v/>
      </c>
      <c r="BF172" s="702">
        <f>BE173</f>
        <v/>
      </c>
      <c r="BG172" s="702">
        <f>BF173</f>
        <v/>
      </c>
      <c r="BH172" s="702">
        <f>BG173</f>
        <v/>
      </c>
      <c r="BI172" s="702">
        <f>BH173</f>
        <v/>
      </c>
      <c r="BJ172" s="702">
        <f>BI173</f>
        <v/>
      </c>
      <c r="BK172" s="945">
        <f>BJ173</f>
        <v/>
      </c>
      <c r="BL172" s="702">
        <f>BK173</f>
        <v/>
      </c>
      <c r="BM172" s="702">
        <f>BL173</f>
        <v/>
      </c>
      <c r="BN172" s="702">
        <f>BM173</f>
        <v/>
      </c>
      <c r="BO172" s="702">
        <f>BN173</f>
        <v/>
      </c>
      <c r="BP172" s="702">
        <f>BO173</f>
        <v/>
      </c>
      <c r="BQ172" s="702">
        <f>BP173</f>
        <v/>
      </c>
      <c r="BR172" s="702">
        <f>BQ173</f>
        <v/>
      </c>
      <c r="BS172" s="702">
        <f>BR173</f>
        <v/>
      </c>
      <c r="BT172" s="702">
        <f>BS173</f>
        <v/>
      </c>
      <c r="BU172" s="702">
        <f>BT173</f>
        <v/>
      </c>
      <c r="BV172" s="702">
        <f>BU173</f>
        <v/>
      </c>
      <c r="BW172" s="945">
        <f>BV173</f>
        <v/>
      </c>
      <c r="BX172" s="702">
        <f>BW173</f>
        <v/>
      </c>
      <c r="BY172" s="702">
        <f>BX173</f>
        <v/>
      </c>
      <c r="BZ172" s="702">
        <f>BY173</f>
        <v/>
      </c>
      <c r="CA172" s="702">
        <f>BZ173</f>
        <v/>
      </c>
      <c r="CB172" s="702">
        <f>CA173</f>
        <v/>
      </c>
      <c r="CC172" s="702">
        <f>CB173</f>
        <v/>
      </c>
      <c r="CD172" s="702">
        <f>CC173</f>
        <v/>
      </c>
      <c r="CE172" s="702">
        <f>CD173</f>
        <v/>
      </c>
      <c r="CF172" s="702">
        <f>CE173</f>
        <v/>
      </c>
      <c r="CG172" s="702">
        <f>CF173</f>
        <v/>
      </c>
      <c r="CH172" s="702">
        <f>CG173</f>
        <v/>
      </c>
      <c r="CI172" s="945">
        <f>CH173</f>
        <v/>
      </c>
      <c r="CJ172" s="702">
        <f>CI173</f>
        <v/>
      </c>
      <c r="CK172" s="702">
        <f>CJ173</f>
        <v/>
      </c>
      <c r="CL172" s="702">
        <f>CK173</f>
        <v/>
      </c>
      <c r="CM172" s="702">
        <f>CL173</f>
        <v/>
      </c>
      <c r="CN172" s="702">
        <f>CM173</f>
        <v/>
      </c>
      <c r="CO172" s="702">
        <f>CN173</f>
        <v/>
      </c>
      <c r="CP172" s="702">
        <f>CO173</f>
        <v/>
      </c>
      <c r="CQ172" s="702">
        <f>CP173</f>
        <v/>
      </c>
      <c r="CR172" s="702">
        <f>CQ173</f>
        <v/>
      </c>
      <c r="CS172" s="702">
        <f>CR173</f>
        <v/>
      </c>
      <c r="CT172" s="702">
        <f>CS173</f>
        <v/>
      </c>
      <c r="CU172" s="945">
        <f>CT173</f>
        <v/>
      </c>
      <c r="CV172" s="702">
        <f>CU173</f>
        <v/>
      </c>
      <c r="CW172" s="702">
        <f>CV173</f>
        <v/>
      </c>
      <c r="CX172" s="702">
        <f>CW173</f>
        <v/>
      </c>
      <c r="CY172" s="702">
        <f>CX173</f>
        <v/>
      </c>
      <c r="CZ172" s="702">
        <f>CY173</f>
        <v/>
      </c>
      <c r="DA172" s="702">
        <f>CZ173</f>
        <v/>
      </c>
      <c r="DB172" s="702">
        <f>DA173</f>
        <v/>
      </c>
      <c r="DC172" s="702">
        <f>DB173</f>
        <v/>
      </c>
      <c r="DD172" s="702">
        <f>DC173</f>
        <v/>
      </c>
      <c r="DE172" s="702">
        <f>DD173</f>
        <v/>
      </c>
      <c r="DF172" s="702">
        <f>DE173</f>
        <v/>
      </c>
      <c r="DG172" s="702">
        <f>DF173</f>
        <v/>
      </c>
    </row>
    <row r="173">
      <c r="B173" s="1" t="inlineStr">
        <is>
          <t>Ending Balance</t>
        </is>
      </c>
      <c r="D173" s="702" t="n">
        <v>0</v>
      </c>
      <c r="E173" s="702">
        <f>E172+E170</f>
        <v/>
      </c>
      <c r="F173" s="702">
        <f>F172+F170</f>
        <v/>
      </c>
      <c r="G173" s="702">
        <f>G172+G170</f>
        <v/>
      </c>
      <c r="H173" s="702">
        <f>H172+H170</f>
        <v/>
      </c>
      <c r="I173" s="702">
        <f>I172+I170</f>
        <v/>
      </c>
      <c r="J173" s="702">
        <f>J172+J170</f>
        <v/>
      </c>
      <c r="K173" s="702">
        <f>K172+K170</f>
        <v/>
      </c>
      <c r="L173" s="702">
        <f>L172+L170</f>
        <v/>
      </c>
      <c r="M173" s="702">
        <f>M172+M170</f>
        <v/>
      </c>
      <c r="N173" s="702">
        <f>N172+N170</f>
        <v/>
      </c>
      <c r="O173" s="702">
        <f>O172+O170</f>
        <v/>
      </c>
      <c r="P173" s="702">
        <f>P172+P170</f>
        <v/>
      </c>
      <c r="Q173" s="702">
        <f>Q172+Q170</f>
        <v/>
      </c>
      <c r="R173" s="702">
        <f>R172+R170</f>
        <v/>
      </c>
      <c r="S173" s="702">
        <f>S172+S170</f>
        <v/>
      </c>
      <c r="T173" s="702">
        <f>T172+T170</f>
        <v/>
      </c>
      <c r="U173" s="702">
        <f>U172+U170</f>
        <v/>
      </c>
      <c r="V173" s="702">
        <f>V172+V170</f>
        <v/>
      </c>
      <c r="W173" s="702">
        <f>W172+W170</f>
        <v/>
      </c>
      <c r="X173" s="702">
        <f>X172+X170</f>
        <v/>
      </c>
      <c r="Y173" s="702">
        <f>Y172+Y170</f>
        <v/>
      </c>
      <c r="Z173" s="702">
        <f>Z172+Z170</f>
        <v/>
      </c>
      <c r="AA173" s="702">
        <f>AA172+AA170</f>
        <v/>
      </c>
      <c r="AB173" s="702">
        <f>AB172+AB170</f>
        <v/>
      </c>
      <c r="AC173" s="702">
        <f>AC172+AC170</f>
        <v/>
      </c>
      <c r="AD173" s="702">
        <f>AD172+AD170</f>
        <v/>
      </c>
      <c r="AE173" s="702">
        <f>AE172+AE170</f>
        <v/>
      </c>
      <c r="AF173" s="702">
        <f>AF172+AF170</f>
        <v/>
      </c>
      <c r="AG173" s="702">
        <f>AG172+AG170</f>
        <v/>
      </c>
      <c r="AH173" s="702">
        <f>AH172+AH170</f>
        <v/>
      </c>
      <c r="AI173" s="702">
        <f>AI172+AI170</f>
        <v/>
      </c>
      <c r="AJ173" s="702">
        <f>AJ172+AJ170</f>
        <v/>
      </c>
      <c r="AK173" s="702">
        <f>AK172+AK170</f>
        <v/>
      </c>
      <c r="AL173" s="702">
        <f>AL172+AL170</f>
        <v/>
      </c>
      <c r="AM173" s="702">
        <f>AM172+AM170</f>
        <v/>
      </c>
      <c r="AN173" s="702">
        <f>AN172+AN170</f>
        <v/>
      </c>
      <c r="AO173" s="702">
        <f>AO172+AO170</f>
        <v/>
      </c>
      <c r="AP173" s="702">
        <f>AP172+AP170</f>
        <v/>
      </c>
      <c r="AQ173" s="702">
        <f>AQ172+AQ170</f>
        <v/>
      </c>
      <c r="AR173" s="702">
        <f>AR172+AR170</f>
        <v/>
      </c>
      <c r="AS173" s="702">
        <f>AS172+AS170</f>
        <v/>
      </c>
      <c r="AT173" s="702">
        <f>AT172+AT170</f>
        <v/>
      </c>
      <c r="AU173" s="702">
        <f>AU172+AU170</f>
        <v/>
      </c>
      <c r="AV173" s="702">
        <f>AV172+AV170</f>
        <v/>
      </c>
      <c r="AW173" s="945">
        <f>AW172+AW170</f>
        <v/>
      </c>
      <c r="AX173" s="702">
        <f>AX172+AX170</f>
        <v/>
      </c>
      <c r="AY173" s="945">
        <f>AY172+AY170</f>
        <v/>
      </c>
      <c r="AZ173" s="702">
        <f>AZ172+AZ170</f>
        <v/>
      </c>
      <c r="BA173" s="702">
        <f>BA172+BA170</f>
        <v/>
      </c>
      <c r="BB173" s="702">
        <f>BB172+BB170</f>
        <v/>
      </c>
      <c r="BC173" s="702">
        <f>BC172+BC170</f>
        <v/>
      </c>
      <c r="BD173" s="702">
        <f>BD172+BD170</f>
        <v/>
      </c>
      <c r="BE173" s="702">
        <f>BE172+BE170</f>
        <v/>
      </c>
      <c r="BF173" s="702">
        <f>BF172+BF170</f>
        <v/>
      </c>
      <c r="BG173" s="702">
        <f>BG172+BG170</f>
        <v/>
      </c>
      <c r="BH173" s="702">
        <f>BH172+BH170</f>
        <v/>
      </c>
      <c r="BI173" s="702">
        <f>BI172+BI170</f>
        <v/>
      </c>
      <c r="BJ173" s="702">
        <f>BJ172+BJ170</f>
        <v/>
      </c>
      <c r="BK173" s="945">
        <f>BK172+BK170</f>
        <v/>
      </c>
      <c r="BL173" s="702">
        <f>BL172+BL170</f>
        <v/>
      </c>
      <c r="BM173" s="702">
        <f>BM172+BM170</f>
        <v/>
      </c>
      <c r="BN173" s="702">
        <f>BN172+BN170</f>
        <v/>
      </c>
      <c r="BO173" s="702">
        <f>BO172+BO170</f>
        <v/>
      </c>
      <c r="BP173" s="702">
        <f>BP172+BP170</f>
        <v/>
      </c>
      <c r="BQ173" s="702">
        <f>BQ172+BQ170</f>
        <v/>
      </c>
      <c r="BR173" s="702">
        <f>BR172+BR170</f>
        <v/>
      </c>
      <c r="BS173" s="702">
        <f>BS172+BS170</f>
        <v/>
      </c>
      <c r="BT173" s="702">
        <f>BT172+BT170</f>
        <v/>
      </c>
      <c r="BU173" s="702">
        <f>BU172+BU170</f>
        <v/>
      </c>
      <c r="BV173" s="702">
        <f>BV172+BV170</f>
        <v/>
      </c>
      <c r="BW173" s="945">
        <f>BW172+BW170</f>
        <v/>
      </c>
      <c r="BX173" s="702">
        <f>BX172+BX170</f>
        <v/>
      </c>
      <c r="BY173" s="702">
        <f>BY172+BY170</f>
        <v/>
      </c>
      <c r="BZ173" s="702">
        <f>BZ172+BZ170</f>
        <v/>
      </c>
      <c r="CA173" s="702">
        <f>CA172+CA170</f>
        <v/>
      </c>
      <c r="CB173" s="702">
        <f>CB172+CB170</f>
        <v/>
      </c>
      <c r="CC173" s="702">
        <f>CC172+CC170</f>
        <v/>
      </c>
      <c r="CD173" s="702">
        <f>CD172+CD170</f>
        <v/>
      </c>
      <c r="CE173" s="702">
        <f>CE172+CE170</f>
        <v/>
      </c>
      <c r="CF173" s="702">
        <f>CF172+CF170</f>
        <v/>
      </c>
      <c r="CG173" s="702">
        <f>CG172+CG170</f>
        <v/>
      </c>
      <c r="CH173" s="702">
        <f>CH172+CH170</f>
        <v/>
      </c>
      <c r="CI173" s="945">
        <f>CI172+CI170</f>
        <v/>
      </c>
      <c r="CJ173" s="702">
        <f>CJ172+CJ170</f>
        <v/>
      </c>
      <c r="CK173" s="702">
        <f>CK172+CK170</f>
        <v/>
      </c>
      <c r="CL173" s="702">
        <f>CL172+CL170</f>
        <v/>
      </c>
      <c r="CM173" s="702">
        <f>CM172+CM170</f>
        <v/>
      </c>
      <c r="CN173" s="702">
        <f>CN172+CN170</f>
        <v/>
      </c>
      <c r="CO173" s="702">
        <f>CO172+CO170</f>
        <v/>
      </c>
      <c r="CP173" s="702">
        <f>CP172+CP170</f>
        <v/>
      </c>
      <c r="CQ173" s="702">
        <f>CQ172+CQ170</f>
        <v/>
      </c>
      <c r="CR173" s="702">
        <f>CR172+CR170</f>
        <v/>
      </c>
      <c r="CS173" s="702">
        <f>CS172+CS170</f>
        <v/>
      </c>
      <c r="CT173" s="702">
        <f>CT172+CT170</f>
        <v/>
      </c>
      <c r="CU173" s="945">
        <f>CU172+CU170</f>
        <v/>
      </c>
      <c r="CV173" s="702">
        <f>CV172+CV170</f>
        <v/>
      </c>
      <c r="CW173" s="702">
        <f>CW172+CW170</f>
        <v/>
      </c>
      <c r="CX173" s="702">
        <f>CX172+CX170</f>
        <v/>
      </c>
      <c r="CY173" s="702">
        <f>CY172+CY170</f>
        <v/>
      </c>
      <c r="CZ173" s="702">
        <f>CZ172+CZ170</f>
        <v/>
      </c>
      <c r="DA173" s="702">
        <f>DA172+DA170</f>
        <v/>
      </c>
      <c r="DB173" s="702">
        <f>DB172+DB170</f>
        <v/>
      </c>
      <c r="DC173" s="702">
        <f>DC172+DC170</f>
        <v/>
      </c>
      <c r="DD173" s="702">
        <f>DD172+DD170</f>
        <v/>
      </c>
      <c r="DE173" s="702">
        <f>DE172+DE170</f>
        <v/>
      </c>
      <c r="DF173" s="702">
        <f>DF172+DF170</f>
        <v/>
      </c>
      <c r="DG173" s="702">
        <f>DG172+DG170</f>
        <v/>
      </c>
    </row>
    <row r="174">
      <c r="C174" s="8" t="inlineStr">
        <is>
          <t>Check</t>
        </is>
      </c>
      <c r="D174" s="702">
        <f>D173-D111</f>
        <v/>
      </c>
      <c r="E174" s="702">
        <f>E173-E111</f>
        <v/>
      </c>
      <c r="F174" s="702">
        <f>F173-F111</f>
        <v/>
      </c>
      <c r="G174" s="702">
        <f>G173-G111</f>
        <v/>
      </c>
      <c r="H174" s="702">
        <f>H173-H111</f>
        <v/>
      </c>
      <c r="I174" s="702">
        <f>I173-I111</f>
        <v/>
      </c>
      <c r="J174" s="702">
        <f>J173-J111</f>
        <v/>
      </c>
      <c r="K174" s="702">
        <f>K173-K111</f>
        <v/>
      </c>
      <c r="L174" s="702">
        <f>L173-L111</f>
        <v/>
      </c>
      <c r="M174" s="702">
        <f>M173-M111</f>
        <v/>
      </c>
      <c r="N174" s="946">
        <f>N173-N111</f>
        <v/>
      </c>
      <c r="O174" s="946">
        <f>O173-O111</f>
        <v/>
      </c>
      <c r="P174" s="946">
        <f>P173-P111</f>
        <v/>
      </c>
      <c r="Q174" s="702">
        <f>Q173-Q111</f>
        <v/>
      </c>
      <c r="R174" s="946">
        <f>R173-R111</f>
        <v/>
      </c>
      <c r="S174" s="702">
        <f>S173-S111</f>
        <v/>
      </c>
      <c r="T174" s="702">
        <f>T173-T111</f>
        <v/>
      </c>
      <c r="U174" s="702">
        <f>U173-U111</f>
        <v/>
      </c>
      <c r="V174" s="946">
        <f>V173-V111</f>
        <v/>
      </c>
      <c r="W174" s="946">
        <f>W173-W111</f>
        <v/>
      </c>
      <c r="X174" s="946">
        <f>X173-X111</f>
        <v/>
      </c>
      <c r="Y174" s="946">
        <f>Y173-Y111</f>
        <v/>
      </c>
      <c r="Z174" s="946">
        <f>Z173-Z111</f>
        <v/>
      </c>
      <c r="AA174" s="946">
        <f>AA173-AA111</f>
        <v/>
      </c>
      <c r="AB174" s="946">
        <f>AB173-AB111</f>
        <v/>
      </c>
      <c r="AC174" s="946">
        <f>AC173-AC111</f>
        <v/>
      </c>
      <c r="AD174" s="946">
        <f>AD173-AD111</f>
        <v/>
      </c>
      <c r="AE174" s="946">
        <f>AE173-AE111</f>
        <v/>
      </c>
      <c r="AF174" s="946">
        <f>AF173-AF111</f>
        <v/>
      </c>
      <c r="AG174" s="946">
        <f>AG173-AG111</f>
        <v/>
      </c>
      <c r="AH174" s="946">
        <f>AH173-AH111</f>
        <v/>
      </c>
      <c r="AI174" s="946">
        <f>AI173-AI111</f>
        <v/>
      </c>
      <c r="AJ174" s="946">
        <f>AJ173-AJ111</f>
        <v/>
      </c>
      <c r="AK174" s="946">
        <f>AK173-AK111</f>
        <v/>
      </c>
      <c r="AL174" s="946">
        <f>AL173-AL111</f>
        <v/>
      </c>
      <c r="AM174" s="946">
        <f>AM173-AM111</f>
        <v/>
      </c>
      <c r="AN174" s="946">
        <f>AN173-AN111</f>
        <v/>
      </c>
      <c r="AO174" s="946">
        <f>AO173-AO111</f>
        <v/>
      </c>
      <c r="AP174" s="946">
        <f>AP173-AP111</f>
        <v/>
      </c>
      <c r="AQ174" s="946">
        <f>AQ173-AQ111</f>
        <v/>
      </c>
      <c r="AR174" s="946">
        <f>AR173-AR111</f>
        <v/>
      </c>
      <c r="AS174" s="946">
        <f>AS173-AS111</f>
        <v/>
      </c>
      <c r="AT174" s="946">
        <f>AT173-AT111</f>
        <v/>
      </c>
      <c r="AU174" s="946">
        <f>AU173-AU111</f>
        <v/>
      </c>
      <c r="AV174" s="946">
        <f>AV173-AV111</f>
        <v/>
      </c>
      <c r="AW174" s="947">
        <f>AW173-AW111</f>
        <v/>
      </c>
      <c r="AX174" s="702">
        <f>AX173-AX111</f>
        <v/>
      </c>
      <c r="AY174" s="945">
        <f>AY173-AY111</f>
        <v/>
      </c>
      <c r="AZ174" s="702">
        <f>AZ173-AZ111</f>
        <v/>
      </c>
      <c r="BA174" s="702">
        <f>BA173-BA111</f>
        <v/>
      </c>
      <c r="BB174" s="702">
        <f>BB173-BB111</f>
        <v/>
      </c>
      <c r="BC174" s="702">
        <f>BC173-BC111</f>
        <v/>
      </c>
      <c r="BD174" s="702">
        <f>BD173-BD111</f>
        <v/>
      </c>
      <c r="BE174" s="702">
        <f>BE173-BE111</f>
        <v/>
      </c>
      <c r="BF174" s="702">
        <f>BF173-BF111</f>
        <v/>
      </c>
      <c r="BG174" s="702">
        <f>BG173-BG111</f>
        <v/>
      </c>
      <c r="BH174" s="702">
        <f>BH173-BH111</f>
        <v/>
      </c>
      <c r="BI174" s="702">
        <f>BI173-BI111</f>
        <v/>
      </c>
      <c r="BJ174" s="702">
        <f>BJ173-BJ111</f>
        <v/>
      </c>
      <c r="BK174" s="945">
        <f>BK173-BK111</f>
        <v/>
      </c>
      <c r="BL174" s="702">
        <f>BL173-BL111</f>
        <v/>
      </c>
      <c r="BM174" s="702">
        <f>BM173-BM111</f>
        <v/>
      </c>
      <c r="BN174" s="702">
        <f>BN173-BN111</f>
        <v/>
      </c>
      <c r="BO174" s="702">
        <f>BO173-BO111</f>
        <v/>
      </c>
      <c r="BP174" s="702">
        <f>BP173-BP111</f>
        <v/>
      </c>
      <c r="BQ174" s="702">
        <f>BQ173-BQ111</f>
        <v/>
      </c>
      <c r="BR174" s="702">
        <f>BR173-BR111</f>
        <v/>
      </c>
      <c r="BS174" s="702">
        <f>BS173-BS111</f>
        <v/>
      </c>
      <c r="BT174" s="702">
        <f>BT173-BT111</f>
        <v/>
      </c>
      <c r="BU174" s="702">
        <f>BU173-BU111</f>
        <v/>
      </c>
      <c r="BV174" s="702">
        <f>BV173-BV111</f>
        <v/>
      </c>
      <c r="BW174" s="945">
        <f>BW173-BW111</f>
        <v/>
      </c>
      <c r="BX174" s="702">
        <f>BX173-BX111</f>
        <v/>
      </c>
      <c r="BY174" s="702">
        <f>BY173-BY111</f>
        <v/>
      </c>
      <c r="BZ174" s="702">
        <f>BZ173-BZ111</f>
        <v/>
      </c>
      <c r="CA174" s="702">
        <f>CA173-CA111</f>
        <v/>
      </c>
      <c r="CB174" s="702">
        <f>CB173-CB111</f>
        <v/>
      </c>
      <c r="CC174" s="702">
        <f>CC173-CC111</f>
        <v/>
      </c>
      <c r="CD174" s="702">
        <f>CD173-CD111</f>
        <v/>
      </c>
      <c r="CE174" s="702">
        <f>CE173-CE111</f>
        <v/>
      </c>
      <c r="CF174" s="702">
        <f>CF173-CF111</f>
        <v/>
      </c>
      <c r="CG174" s="702">
        <f>CG173-CG111</f>
        <v/>
      </c>
      <c r="CH174" s="702">
        <f>CH173-CH111</f>
        <v/>
      </c>
      <c r="CI174" s="945">
        <f>CI173-CI111</f>
        <v/>
      </c>
      <c r="CJ174" s="702">
        <f>CJ173-CJ111</f>
        <v/>
      </c>
      <c r="CK174" s="702">
        <f>CK173-CK111</f>
        <v/>
      </c>
      <c r="CL174" s="702">
        <f>CL173-CL111</f>
        <v/>
      </c>
      <c r="CM174" s="702">
        <f>CM173-CM111</f>
        <v/>
      </c>
      <c r="CN174" s="702">
        <f>CN173-CN111</f>
        <v/>
      </c>
      <c r="CO174" s="702">
        <f>CO173-CO111</f>
        <v/>
      </c>
      <c r="CP174" s="702">
        <f>CP173-CP111</f>
        <v/>
      </c>
      <c r="CQ174" s="702">
        <f>CQ173-CQ111</f>
        <v/>
      </c>
      <c r="CR174" s="702">
        <f>CR173-CR111</f>
        <v/>
      </c>
      <c r="CS174" s="702">
        <f>CS173-CS111</f>
        <v/>
      </c>
      <c r="CT174" s="702">
        <f>CT173-CT111</f>
        <v/>
      </c>
      <c r="CU174" s="945">
        <f>CU173-CU111</f>
        <v/>
      </c>
      <c r="CV174" s="702">
        <f>CV173-CV111</f>
        <v/>
      </c>
      <c r="CW174" s="702">
        <f>CW173-CW111</f>
        <v/>
      </c>
      <c r="CX174" s="702">
        <f>CX173-CX111</f>
        <v/>
      </c>
      <c r="CY174" s="702">
        <f>CY173-CY111</f>
        <v/>
      </c>
      <c r="CZ174" s="702">
        <f>CZ173-CZ111</f>
        <v/>
      </c>
      <c r="DA174" s="702">
        <f>DA173-DA111</f>
        <v/>
      </c>
      <c r="DB174" s="702">
        <f>DB173-DB111</f>
        <v/>
      </c>
      <c r="DC174" s="702">
        <f>DC173-DC111</f>
        <v/>
      </c>
      <c r="DD174" s="702">
        <f>DD173-DD111</f>
        <v/>
      </c>
      <c r="DE174" s="702">
        <f>DE173-DE111</f>
        <v/>
      </c>
      <c r="DF174" s="702">
        <f>DF173-DF111</f>
        <v/>
      </c>
      <c r="DG174" s="702">
        <f>DG173-DG111</f>
        <v/>
      </c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58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  <c r="BZ175" s="3" t="n"/>
      <c r="CA175" s="3" t="n"/>
      <c r="CB175" s="3" t="n"/>
      <c r="CC175" s="3" t="n"/>
      <c r="CD175" s="3" t="n"/>
      <c r="CE175" s="3" t="n"/>
      <c r="CF175" s="3" t="n"/>
      <c r="CG175" s="3" t="n"/>
      <c r="CH175" s="3" t="n"/>
      <c r="CI175" s="3" t="n"/>
      <c r="CJ175" s="3" t="n"/>
      <c r="CK175" s="3" t="n"/>
      <c r="CL175" s="3" t="n"/>
      <c r="CM175" s="3" t="n"/>
      <c r="CN175" s="3" t="n"/>
      <c r="CO175" s="3" t="n"/>
      <c r="CP175" s="3" t="n"/>
      <c r="CQ175" s="3" t="n"/>
      <c r="CR175" s="3" t="n"/>
      <c r="CS175" s="3" t="n"/>
      <c r="CT175" s="3" t="n"/>
      <c r="CU175" s="3" t="n"/>
      <c r="CV175" s="3" t="n"/>
      <c r="CW175" s="3" t="n"/>
      <c r="CX175" s="3" t="n"/>
      <c r="CY175" s="3" t="n"/>
      <c r="CZ175" s="3" t="n"/>
      <c r="DA175" s="3" t="n"/>
      <c r="DB175" s="3" t="n"/>
      <c r="DC175" s="3" t="n"/>
      <c r="DD175" s="3" t="n"/>
      <c r="DE175" s="3" t="n"/>
      <c r="DF175" s="3" t="n"/>
      <c r="DG175" s="3" t="n"/>
    </row>
  </sheetData>
  <conditionalFormatting sqref="A173:XFD173">
    <cfRule type="cellIs" priority="1" operator="lessThan" dxfId="0">
      <formula>0</formula>
    </cfRule>
  </conditionalFormatting>
  <pageMargins left="0.7" right="0.7" top="0.75" bottom="0.75" header="0.3" footer="0.3"/>
  <pageSetup orientation="landscape" scale="1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zoomScaleNormal="100" workbookViewId="0">
      <selection activeCell="A2" sqref="A2"/>
    </sheetView>
  </sheetViews>
  <sheetFormatPr baseColWidth="8" defaultColWidth="8.7109375" defaultRowHeight="1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3"/>
  <sheetViews>
    <sheetView topLeftCell="N1" workbookViewId="0">
      <pane ySplit="1" topLeftCell="A15" activePane="bottomLeft" state="frozen"/>
      <selection activeCell="R3" sqref="R3:R13"/>
      <selection pane="bottomLeft" activeCell="R3" sqref="R3:R13"/>
    </sheetView>
  </sheetViews>
  <sheetFormatPr baseColWidth="8" defaultColWidth="9.140625" defaultRowHeight="15"/>
  <cols>
    <col width="17.28515625" bestFit="1" customWidth="1" style="36" min="1" max="1"/>
    <col width="7.42578125" bestFit="1" customWidth="1" style="36" min="2" max="2"/>
    <col width="8.42578125" bestFit="1" customWidth="1" style="36" min="3" max="3"/>
    <col width="12.7109375" bestFit="1" customWidth="1" style="36" min="4" max="4"/>
    <col width="7.28515625" bestFit="1" customWidth="1" style="36" min="5" max="5"/>
    <col width="31.42578125" bestFit="1" customWidth="1" style="36" min="6" max="6"/>
    <col width="21" bestFit="1" customWidth="1" style="36" min="7" max="7"/>
    <col width="43.28515625" bestFit="1" customWidth="1" style="36" min="8" max="8"/>
    <col width="7" bestFit="1" customWidth="1" style="36" min="9" max="9"/>
    <col width="106.140625" bestFit="1" customWidth="1" style="36" min="10" max="10"/>
    <col width="8.42578125" bestFit="1" customWidth="1" style="36" min="11" max="11"/>
    <col width="9.140625" customWidth="1" style="36" min="12" max="13"/>
    <col width="39.140625" bestFit="1" customWidth="1" style="36" min="14" max="14"/>
    <col width="17.28515625" bestFit="1" customWidth="1" style="36" min="15" max="15"/>
    <col width="12.7109375" bestFit="1" customWidth="1" style="36" min="16" max="16"/>
    <col width="11.42578125" bestFit="1" customWidth="1" style="36" min="17" max="17"/>
    <col width="9.140625" customWidth="1" style="36" min="18" max="18"/>
    <col width="9.140625" customWidth="1" style="36" min="19" max="16384"/>
  </cols>
  <sheetData>
    <row r="1">
      <c r="A1" s="36" t="inlineStr">
        <is>
          <t>Student</t>
        </is>
      </c>
      <c r="B1" s="36" t="inlineStr">
        <is>
          <t>Date</t>
        </is>
      </c>
      <c r="C1" s="36" t="inlineStr">
        <is>
          <t>Hours</t>
        </is>
      </c>
      <c r="D1" s="36" t="inlineStr">
        <is>
          <t>Rate ($/hr)</t>
        </is>
      </c>
      <c r="E1" s="36" t="inlineStr">
        <is>
          <t>Coin</t>
        </is>
      </c>
      <c r="F1" s="36" t="inlineStr">
        <is>
          <t>Billed?</t>
        </is>
      </c>
      <c r="G1" s="36" t="inlineStr">
        <is>
          <t>Received payment?</t>
        </is>
      </c>
      <c r="H1" s="36" t="inlineStr">
        <is>
          <t>Topic</t>
        </is>
      </c>
      <c r="I1" s="36" t="inlineStr">
        <is>
          <t>Tip?</t>
        </is>
      </c>
      <c r="J1" s="37" t="inlineStr">
        <is>
          <t>Paid via invoice?</t>
        </is>
      </c>
      <c r="K1" s="36" t="inlineStr">
        <is>
          <t>Totals</t>
        </is>
      </c>
    </row>
    <row r="2">
      <c r="A2" s="38" t="inlineStr">
        <is>
          <t>Abby Owen</t>
        </is>
      </c>
      <c r="B2" s="39" t="n">
        <v>44836</v>
      </c>
      <c r="C2" s="38" t="n">
        <v>1</v>
      </c>
      <c r="D2" s="38" t="n">
        <v>50</v>
      </c>
      <c r="E2" s="38" t="n">
        <v>50</v>
      </c>
      <c r="F2" s="38" t="inlineStr">
        <is>
          <t>Yes</t>
        </is>
      </c>
      <c r="G2" s="38" t="inlineStr">
        <is>
          <t>Yes</t>
        </is>
      </c>
      <c r="H2" s="38" t="inlineStr">
        <is>
          <t>Math (general homework)</t>
        </is>
      </c>
      <c r="I2" s="38" t="inlineStr">
        <is>
          <t>No</t>
        </is>
      </c>
      <c r="J2" s="40" t="inlineStr">
        <is>
          <t>No</t>
        </is>
      </c>
      <c r="K2" s="38" t="n">
        <v>50</v>
      </c>
      <c r="N2" s="36" t="inlineStr">
        <is>
          <t>BALANCED</t>
        </is>
      </c>
    </row>
    <row r="3">
      <c r="A3" s="38" t="inlineStr">
        <is>
          <t>Abby Owen</t>
        </is>
      </c>
      <c r="B3" s="39" t="n">
        <v>44846</v>
      </c>
      <c r="C3" s="38" t="n">
        <v>2</v>
      </c>
      <c r="D3" s="38" t="n">
        <v>50</v>
      </c>
      <c r="E3" s="38" t="n">
        <v>100</v>
      </c>
      <c r="F3" s="38" t="inlineStr">
        <is>
          <t>Yes</t>
        </is>
      </c>
      <c r="G3" s="38" t="inlineStr">
        <is>
          <t>Yes</t>
        </is>
      </c>
      <c r="H3" s="38" t="inlineStr">
        <is>
          <t>Algebra 2</t>
        </is>
      </c>
      <c r="I3" s="38" t="inlineStr">
        <is>
          <t>No</t>
        </is>
      </c>
      <c r="J3" s="38" t="inlineStr">
        <is>
          <t>YES</t>
        </is>
      </c>
      <c r="K3" s="38" t="n">
        <v>100</v>
      </c>
    </row>
    <row r="4">
      <c r="A4" s="38" t="inlineStr">
        <is>
          <t>Abby Owen</t>
        </is>
      </c>
      <c r="B4" s="39" t="n">
        <v>44858</v>
      </c>
      <c r="C4" s="38" t="n">
        <v>1</v>
      </c>
      <c r="D4" s="38" t="n">
        <v>50</v>
      </c>
      <c r="E4" s="38" t="n">
        <v>50</v>
      </c>
      <c r="F4" s="38" t="inlineStr">
        <is>
          <t>Yes</t>
        </is>
      </c>
      <c r="G4" s="38" t="inlineStr">
        <is>
          <t>Yes</t>
        </is>
      </c>
      <c r="H4" s="38" t="inlineStr">
        <is>
          <t>Emergency Math Lab</t>
        </is>
      </c>
      <c r="I4" s="38" t="inlineStr">
        <is>
          <t>No</t>
        </is>
      </c>
      <c r="J4" s="38" t="inlineStr">
        <is>
          <t>YES</t>
        </is>
      </c>
      <c r="K4" s="38" t="n">
        <v>50</v>
      </c>
    </row>
    <row r="5">
      <c r="A5" s="38" t="inlineStr">
        <is>
          <t>Abby Owen</t>
        </is>
      </c>
      <c r="B5" s="39" t="n">
        <v>44859</v>
      </c>
      <c r="C5" s="38" t="n">
        <v>0.75</v>
      </c>
      <c r="D5" s="38" t="n">
        <v>50</v>
      </c>
      <c r="E5" s="38" t="n">
        <v>37.5</v>
      </c>
      <c r="F5" s="38" t="inlineStr">
        <is>
          <t>Yes</t>
        </is>
      </c>
      <c r="G5" s="38" t="inlineStr">
        <is>
          <t>Yes</t>
        </is>
      </c>
      <c r="H5" s="38" t="inlineStr">
        <is>
          <t>Logarithmic Functions Review</t>
        </is>
      </c>
      <c r="I5" s="38" t="inlineStr">
        <is>
          <t>No</t>
        </is>
      </c>
      <c r="J5" s="38" t="inlineStr">
        <is>
          <t>YES</t>
        </is>
      </c>
      <c r="K5" s="38" t="n">
        <v>37.5</v>
      </c>
    </row>
    <row r="6">
      <c r="A6" s="38" t="inlineStr">
        <is>
          <t>Abby Owen</t>
        </is>
      </c>
      <c r="B6" s="39" t="n">
        <v>44861</v>
      </c>
      <c r="C6" s="38" t="n">
        <v>1</v>
      </c>
      <c r="D6" s="38" t="n">
        <v>50</v>
      </c>
      <c r="E6" s="38" t="n">
        <v>50</v>
      </c>
      <c r="F6" s="38" t="inlineStr">
        <is>
          <t>Yes</t>
        </is>
      </c>
      <c r="G6" s="38" t="inlineStr">
        <is>
          <t>Yes</t>
        </is>
      </c>
      <c r="H6" s="38" t="inlineStr">
        <is>
          <t>Precalc - Exponentials and Logs</t>
        </is>
      </c>
      <c r="I6" s="38" t="inlineStr">
        <is>
          <t>No</t>
        </is>
      </c>
      <c r="J6" s="38" t="inlineStr">
        <is>
          <t>YES</t>
        </is>
      </c>
      <c r="K6" s="38" t="n">
        <v>50</v>
      </c>
    </row>
    <row r="7">
      <c r="A7" s="38" t="inlineStr">
        <is>
          <t>Addison O'Connor</t>
        </is>
      </c>
      <c r="B7" s="39" t="n">
        <v>44849</v>
      </c>
      <c r="C7" s="38" t="n">
        <v>1</v>
      </c>
      <c r="D7" s="38" t="n">
        <v>60</v>
      </c>
      <c r="E7" s="38" t="n">
        <v>60</v>
      </c>
      <c r="F7" s="38" t="inlineStr">
        <is>
          <t>Yes</t>
        </is>
      </c>
      <c r="G7" s="38" t="inlineStr">
        <is>
          <t>Yes</t>
        </is>
      </c>
      <c r="H7" s="38" t="inlineStr">
        <is>
          <t>Choreography Review</t>
        </is>
      </c>
      <c r="I7" s="38" t="inlineStr">
        <is>
          <t>No</t>
        </is>
      </c>
      <c r="J7" s="38" t="inlineStr">
        <is>
          <t>YES</t>
        </is>
      </c>
      <c r="K7" s="38" t="n">
        <v>60</v>
      </c>
    </row>
    <row r="8">
      <c r="A8" s="38" t="inlineStr">
        <is>
          <t>Caroline Frey</t>
        </is>
      </c>
      <c r="B8" s="39" t="n">
        <v>44852</v>
      </c>
      <c r="C8" s="38" t="n">
        <v>3.5</v>
      </c>
      <c r="D8" s="38" t="n">
        <v>50</v>
      </c>
      <c r="E8" s="38" t="n">
        <v>175</v>
      </c>
      <c r="F8" s="38" t="inlineStr">
        <is>
          <t>Yes</t>
        </is>
      </c>
      <c r="G8" s="38" t="inlineStr">
        <is>
          <t>Yes</t>
        </is>
      </c>
      <c r="H8" s="38" t="inlineStr">
        <is>
          <t>TN and CoC Essay Supplement Finalization</t>
        </is>
      </c>
      <c r="I8" s="38" t="inlineStr">
        <is>
          <t>Yes</t>
        </is>
      </c>
      <c r="J8" s="38" t="inlineStr">
        <is>
          <t>No - Venmo b/c tip; sent to personal account but transferred accordingly (sent to Eric and Eric venmo'd business acc)</t>
        </is>
      </c>
      <c r="K8" s="38" t="n">
        <v>200</v>
      </c>
    </row>
    <row r="9">
      <c r="A9" s="38" t="inlineStr">
        <is>
          <t>Caroline Frey</t>
        </is>
      </c>
      <c r="B9" s="39" t="n">
        <v>44857</v>
      </c>
      <c r="C9" s="38" t="n">
        <v>1</v>
      </c>
      <c r="D9" s="38" t="n">
        <v>50</v>
      </c>
      <c r="E9" s="38" t="n">
        <v>50</v>
      </c>
      <c r="F9" s="38" t="inlineStr">
        <is>
          <t>Yes</t>
        </is>
      </c>
      <c r="G9" s="38" t="inlineStr">
        <is>
          <t>Yes</t>
        </is>
      </c>
      <c r="H9" s="38" t="inlineStr">
        <is>
          <t>Bama Honors Appliation</t>
        </is>
      </c>
      <c r="I9" s="38" t="inlineStr">
        <is>
          <t>No</t>
        </is>
      </c>
      <c r="J9" s="38" t="inlineStr">
        <is>
          <t>No - venmo b/c tip</t>
        </is>
      </c>
      <c r="K9" s="38" t="n">
        <v>50</v>
      </c>
    </row>
    <row r="10">
      <c r="A10" s="38" t="inlineStr">
        <is>
          <t>Claire Cecotti</t>
        </is>
      </c>
      <c r="B10" s="39" t="n">
        <v>44837</v>
      </c>
      <c r="C10" s="38" t="n">
        <v>1</v>
      </c>
      <c r="D10" s="38" t="n">
        <v>50</v>
      </c>
      <c r="E10" s="38" t="n">
        <v>50</v>
      </c>
      <c r="F10" s="38" t="inlineStr">
        <is>
          <t>Yes</t>
        </is>
      </c>
      <c r="G10" s="38" t="inlineStr">
        <is>
          <t>Yes</t>
        </is>
      </c>
      <c r="H10" s="38" t="inlineStr">
        <is>
          <t>SAT Math, Piecewise Functions Test</t>
        </is>
      </c>
      <c r="I10" s="38" t="inlineStr">
        <is>
          <t>No</t>
        </is>
      </c>
      <c r="J10" s="38" t="inlineStr">
        <is>
          <t>YES</t>
        </is>
      </c>
      <c r="K10" s="38" t="n">
        <v>50</v>
      </c>
    </row>
    <row r="11">
      <c r="A11" s="38" t="inlineStr">
        <is>
          <t>Elle Mishler</t>
        </is>
      </c>
      <c r="B11" s="39" t="n">
        <v>44842</v>
      </c>
      <c r="C11" s="38" t="n">
        <v>1</v>
      </c>
      <c r="D11" s="38" t="n">
        <v>60</v>
      </c>
      <c r="E11" s="38" t="n">
        <v>60</v>
      </c>
      <c r="F11" s="38" t="inlineStr">
        <is>
          <t>Yes</t>
        </is>
      </c>
      <c r="G11" s="38" t="inlineStr">
        <is>
          <t>Yes</t>
        </is>
      </c>
      <c r="H11" s="38" t="inlineStr">
        <is>
          <t>Algebra 1</t>
        </is>
      </c>
      <c r="I11" s="38" t="inlineStr">
        <is>
          <t>No</t>
        </is>
      </c>
      <c r="J11" s="38" t="inlineStr">
        <is>
          <t>YES</t>
        </is>
      </c>
      <c r="K11" s="38" t="n">
        <v>60</v>
      </c>
    </row>
    <row r="12">
      <c r="A12" s="38" t="inlineStr">
        <is>
          <t>Elle Mishler</t>
        </is>
      </c>
      <c r="B12" s="39" t="n">
        <v>44846</v>
      </c>
      <c r="C12" s="38" t="n">
        <v>1</v>
      </c>
      <c r="D12" s="38" t="n">
        <v>60</v>
      </c>
      <c r="E12" s="38" t="n">
        <v>60</v>
      </c>
      <c r="F12" s="38" t="inlineStr">
        <is>
          <t>Yes</t>
        </is>
      </c>
      <c r="G12" s="38" t="inlineStr">
        <is>
          <t>Yes</t>
        </is>
      </c>
      <c r="H12" s="38" t="inlineStr">
        <is>
          <t>Algebra 1</t>
        </is>
      </c>
      <c r="I12" s="38" t="inlineStr">
        <is>
          <t>No</t>
        </is>
      </c>
      <c r="J12" s="38" t="inlineStr">
        <is>
          <t>YES</t>
        </is>
      </c>
      <c r="K12" s="38" t="n">
        <v>60</v>
      </c>
    </row>
    <row r="13">
      <c r="A13" s="38" t="inlineStr">
        <is>
          <t>Elle Mishler</t>
        </is>
      </c>
      <c r="B13" s="39" t="n">
        <v>44853</v>
      </c>
      <c r="C13" s="38" t="n">
        <v>1.25</v>
      </c>
      <c r="D13" s="38" t="n">
        <v>60</v>
      </c>
      <c r="E13" s="38" t="n">
        <v>75</v>
      </c>
      <c r="F13" s="38" t="inlineStr">
        <is>
          <t>Yes</t>
        </is>
      </c>
      <c r="G13" s="38" t="inlineStr">
        <is>
          <t>Yes</t>
        </is>
      </c>
      <c r="H13" s="38" t="inlineStr">
        <is>
          <t>Algebra 1 Review</t>
        </is>
      </c>
      <c r="I13" s="38" t="inlineStr">
        <is>
          <t>No</t>
        </is>
      </c>
      <c r="J13" s="38" t="inlineStr">
        <is>
          <t>YES</t>
        </is>
      </c>
      <c r="K13" s="38" t="n">
        <v>75</v>
      </c>
    </row>
    <row r="14">
      <c r="A14" s="38" t="inlineStr">
        <is>
          <t>Gabby Bagot</t>
        </is>
      </c>
      <c r="B14" s="39" t="n">
        <v>44856</v>
      </c>
      <c r="C14" s="38" t="n">
        <v>1</v>
      </c>
      <c r="D14" s="38" t="n">
        <v>60</v>
      </c>
      <c r="E14" s="38" t="n">
        <v>60</v>
      </c>
      <c r="F14" s="38" t="inlineStr">
        <is>
          <t>Yes</t>
        </is>
      </c>
      <c r="G14" s="38" t="inlineStr">
        <is>
          <t>Yes</t>
        </is>
      </c>
      <c r="H14" s="38" t="inlineStr">
        <is>
          <t>Algebra 1</t>
        </is>
      </c>
      <c r="I14" s="38" t="inlineStr">
        <is>
          <t>No</t>
        </is>
      </c>
      <c r="J14" s="38" t="inlineStr">
        <is>
          <t>YES</t>
        </is>
      </c>
      <c r="K14" s="38" t="n">
        <v>60</v>
      </c>
      <c r="N14" s="36" t="inlineStr">
        <is>
          <t>*Sujay 21 Oct, 23 Oct, 29 Oct, and 30 Oct were all billed together.</t>
        </is>
      </c>
    </row>
    <row r="15">
      <c r="A15" s="38" t="inlineStr">
        <is>
          <t>Julia Cecotti</t>
        </is>
      </c>
      <c r="B15" s="39" t="n">
        <v>44845</v>
      </c>
      <c r="C15" s="38" t="n">
        <v>1</v>
      </c>
      <c r="D15" s="38" t="n">
        <v>50</v>
      </c>
      <c r="E15" s="38" t="n">
        <v>50</v>
      </c>
      <c r="F15" s="38" t="inlineStr">
        <is>
          <t>Yes</t>
        </is>
      </c>
      <c r="G15" s="38" t="inlineStr">
        <is>
          <t>Yes</t>
        </is>
      </c>
      <c r="H15" s="38" t="inlineStr">
        <is>
          <t>Precalc - piecewise functions</t>
        </is>
      </c>
      <c r="I15" s="38" t="inlineStr">
        <is>
          <t>No</t>
        </is>
      </c>
      <c r="J15" s="38" t="inlineStr">
        <is>
          <t>YES</t>
        </is>
      </c>
      <c r="K15" s="38" t="n">
        <v>50</v>
      </c>
    </row>
    <row r="16">
      <c r="A16" s="38" t="inlineStr">
        <is>
          <t>Julia Cecotti</t>
        </is>
      </c>
      <c r="B16" s="39" t="n">
        <v>44851</v>
      </c>
      <c r="C16" s="38" t="n">
        <v>1.5</v>
      </c>
      <c r="D16" s="38" t="n">
        <v>50</v>
      </c>
      <c r="E16" s="38" t="n">
        <v>75</v>
      </c>
      <c r="F16" s="38" t="inlineStr">
        <is>
          <t>Yes</t>
        </is>
      </c>
      <c r="G16" s="38" t="inlineStr">
        <is>
          <t>Yes</t>
        </is>
      </c>
      <c r="H16" s="38" t="inlineStr">
        <is>
          <t>Limits and Discontinuity</t>
        </is>
      </c>
      <c r="I16" s="38" t="inlineStr">
        <is>
          <t>No</t>
        </is>
      </c>
      <c r="J16" s="38" t="inlineStr">
        <is>
          <t>YES</t>
        </is>
      </c>
      <c r="K16" s="38" t="n">
        <v>75</v>
      </c>
    </row>
    <row r="17">
      <c r="A17" s="38" t="inlineStr">
        <is>
          <t>Kathryn Oakford</t>
        </is>
      </c>
      <c r="B17" s="39" t="n">
        <v>44851</v>
      </c>
      <c r="C17" s="38" t="n">
        <v>1.5</v>
      </c>
      <c r="D17" s="38" t="n">
        <v>50</v>
      </c>
      <c r="E17" s="38" t="n">
        <v>75</v>
      </c>
      <c r="F17" s="38" t="inlineStr">
        <is>
          <t>Yes</t>
        </is>
      </c>
      <c r="G17" s="38" t="inlineStr">
        <is>
          <t>Yes</t>
        </is>
      </c>
      <c r="H17" s="38" t="inlineStr">
        <is>
          <t>Business Calculus</t>
        </is>
      </c>
      <c r="I17" s="38" t="inlineStr">
        <is>
          <t>No</t>
        </is>
      </c>
      <c r="J17" s="38" t="inlineStr">
        <is>
          <t>YES</t>
        </is>
      </c>
      <c r="K17" s="38" t="n">
        <v>75</v>
      </c>
    </row>
    <row r="18">
      <c r="A18" s="38" t="inlineStr">
        <is>
          <t>Kathryn Oakford</t>
        </is>
      </c>
      <c r="B18" s="39" t="n">
        <v>44857</v>
      </c>
      <c r="C18" s="38" t="n">
        <v>1.5</v>
      </c>
      <c r="D18" s="38" t="n">
        <v>50</v>
      </c>
      <c r="E18" s="38" t="n">
        <v>75</v>
      </c>
      <c r="F18" s="38" t="inlineStr">
        <is>
          <t>Yes</t>
        </is>
      </c>
      <c r="G18" s="38" t="inlineStr">
        <is>
          <t>Yes</t>
        </is>
      </c>
      <c r="H18" s="38" t="inlineStr">
        <is>
          <t>Business Calculus</t>
        </is>
      </c>
      <c r="I18" s="38" t="inlineStr">
        <is>
          <t>No</t>
        </is>
      </c>
      <c r="J18" s="38" t="inlineStr">
        <is>
          <t>YES</t>
        </is>
      </c>
      <c r="K18" s="38" t="n">
        <v>75</v>
      </c>
      <c r="O18" s="46" t="inlineStr">
        <is>
          <t>Row Labels</t>
        </is>
      </c>
      <c r="P18" t="inlineStr">
        <is>
          <t>Sum of Hours</t>
        </is>
      </c>
      <c r="Q18" t="inlineStr">
        <is>
          <t>Sum of Coin</t>
        </is>
      </c>
    </row>
    <row r="19">
      <c r="A19" s="38" t="inlineStr">
        <is>
          <t>Kaylie Thompson</t>
        </is>
      </c>
      <c r="B19" s="39" t="n">
        <v>44836</v>
      </c>
      <c r="C19" s="38" t="n">
        <v>1.5</v>
      </c>
      <c r="D19" s="38" t="n">
        <v>50</v>
      </c>
      <c r="E19" s="38" t="n">
        <v>75</v>
      </c>
      <c r="F19" s="38" t="inlineStr">
        <is>
          <t>Yes</t>
        </is>
      </c>
      <c r="G19" s="38" t="inlineStr">
        <is>
          <t>Yes</t>
        </is>
      </c>
      <c r="H19" s="38" t="inlineStr">
        <is>
          <t>Common App Finalizaiton</t>
        </is>
      </c>
      <c r="I19" s="38" t="inlineStr">
        <is>
          <t>No</t>
        </is>
      </c>
      <c r="J19" s="40" t="inlineStr">
        <is>
          <t>No</t>
        </is>
      </c>
      <c r="K19" s="38" t="n">
        <v>75</v>
      </c>
      <c r="O19" s="47" t="inlineStr">
        <is>
          <t>Abby Owen</t>
        </is>
      </c>
      <c r="P19" t="n">
        <v>5.75</v>
      </c>
      <c r="Q19" t="n">
        <v>287.5</v>
      </c>
    </row>
    <row r="20">
      <c r="A20" s="38" t="inlineStr">
        <is>
          <t>Maddie Wilson</t>
        </is>
      </c>
      <c r="B20" s="39" t="n">
        <v>44836</v>
      </c>
      <c r="C20" s="38" t="n">
        <v>2</v>
      </c>
      <c r="D20" s="38" t="n">
        <v>50</v>
      </c>
      <c r="E20" s="38" t="n">
        <v>100</v>
      </c>
      <c r="F20" s="38" t="inlineStr">
        <is>
          <t>Yes</t>
        </is>
      </c>
      <c r="G20" s="38" t="inlineStr">
        <is>
          <t>Yes</t>
        </is>
      </c>
      <c r="H20" s="38" t="inlineStr">
        <is>
          <t>ACT Math</t>
        </is>
      </c>
      <c r="I20" s="38" t="inlineStr">
        <is>
          <t>No</t>
        </is>
      </c>
      <c r="J20" s="40" t="inlineStr">
        <is>
          <t>No</t>
        </is>
      </c>
      <c r="K20" s="38" t="n">
        <v>100</v>
      </c>
      <c r="O20" s="47" t="inlineStr">
        <is>
          <t>Addison O'Connor</t>
        </is>
      </c>
      <c r="P20" t="n">
        <v>1</v>
      </c>
      <c r="Q20" t="n">
        <v>60</v>
      </c>
    </row>
    <row r="21" ht="14.25" customHeight="1" s="627">
      <c r="A21" s="38" t="inlineStr">
        <is>
          <t>Maddie Wilson</t>
        </is>
      </c>
      <c r="B21" s="39" t="n">
        <v>44854</v>
      </c>
      <c r="C21" s="38" t="n">
        <v>1.5</v>
      </c>
      <c r="D21" s="38" t="n">
        <v>50</v>
      </c>
      <c r="E21" s="38" t="n">
        <v>75</v>
      </c>
      <c r="F21" s="38" t="inlineStr">
        <is>
          <t>Yes</t>
        </is>
      </c>
      <c r="G21" s="38" t="inlineStr">
        <is>
          <t>Yes</t>
        </is>
      </c>
      <c r="H21" s="38" t="inlineStr">
        <is>
          <t>ACT Math</t>
        </is>
      </c>
      <c r="I21" s="38" t="inlineStr">
        <is>
          <t>No</t>
        </is>
      </c>
      <c r="J21" s="38" t="inlineStr">
        <is>
          <t>No - received via PayPal and Transferred</t>
        </is>
      </c>
      <c r="K21" s="38" t="n">
        <v>75</v>
      </c>
      <c r="O21" s="47" t="inlineStr">
        <is>
          <t>Caroline Frey</t>
        </is>
      </c>
      <c r="P21" t="n">
        <v>4.5</v>
      </c>
      <c r="Q21" t="n">
        <v>225</v>
      </c>
    </row>
    <row r="22">
      <c r="A22" s="38" t="inlineStr">
        <is>
          <t>Maddox Rogers</t>
        </is>
      </c>
      <c r="B22" s="39" t="n">
        <v>44847</v>
      </c>
      <c r="C22" s="38" t="n">
        <v>2</v>
      </c>
      <c r="D22" s="38" t="n">
        <v>50</v>
      </c>
      <c r="E22" s="38" t="n">
        <v>100</v>
      </c>
      <c r="F22" s="38" t="inlineStr">
        <is>
          <t>Yes</t>
        </is>
      </c>
      <c r="G22" s="38" t="inlineStr">
        <is>
          <t>Yes</t>
        </is>
      </c>
      <c r="H22" s="38" t="inlineStr">
        <is>
          <t>College Essay</t>
        </is>
      </c>
      <c r="I22" s="38" t="inlineStr">
        <is>
          <t>No</t>
        </is>
      </c>
      <c r="J22" s="38" t="inlineStr">
        <is>
          <t>YES</t>
        </is>
      </c>
      <c r="K22" s="38" t="n">
        <v>100</v>
      </c>
      <c r="O22" s="47" t="inlineStr">
        <is>
          <t>Claire Cecotti</t>
        </is>
      </c>
      <c r="P22" t="n">
        <v>1</v>
      </c>
      <c r="Q22" t="n">
        <v>50</v>
      </c>
    </row>
    <row r="23">
      <c r="A23" s="38" t="inlineStr">
        <is>
          <t>Naura Peters</t>
        </is>
      </c>
      <c r="B23" s="39" t="n">
        <v>44856</v>
      </c>
      <c r="C23" s="38" t="n">
        <v>0.5</v>
      </c>
      <c r="D23" s="38" t="n">
        <v>60</v>
      </c>
      <c r="E23" s="38" t="n">
        <v>30</v>
      </c>
      <c r="F23" s="38" t="inlineStr">
        <is>
          <t>Yes</t>
        </is>
      </c>
      <c r="G23" s="38" t="inlineStr">
        <is>
          <t>Yes</t>
        </is>
      </c>
      <c r="H23" s="38" t="inlineStr">
        <is>
          <t>Private lesson</t>
        </is>
      </c>
      <c r="I23" s="38" t="inlineStr">
        <is>
          <t>No</t>
        </is>
      </c>
      <c r="J23" s="38" t="inlineStr">
        <is>
          <t>YES</t>
        </is>
      </c>
      <c r="K23" s="38" t="n">
        <v>30</v>
      </c>
      <c r="O23" s="47" t="inlineStr">
        <is>
          <t>Elle Mishler</t>
        </is>
      </c>
      <c r="P23" t="n">
        <v>3.25</v>
      </c>
      <c r="Q23" t="n">
        <v>195</v>
      </c>
    </row>
    <row r="24">
      <c r="A24" s="38" t="inlineStr">
        <is>
          <t>Nicolette Batori</t>
        </is>
      </c>
      <c r="B24" s="39" t="n">
        <v>44857</v>
      </c>
      <c r="C24" s="38" t="n">
        <v>2</v>
      </c>
      <c r="D24" s="38" t="n">
        <v>50</v>
      </c>
      <c r="E24" s="38" t="n">
        <v>100</v>
      </c>
      <c r="F24" s="38" t="inlineStr">
        <is>
          <t>Yes</t>
        </is>
      </c>
      <c r="G24" s="38" t="inlineStr">
        <is>
          <t>Yes</t>
        </is>
      </c>
      <c r="H24" s="38" t="inlineStr">
        <is>
          <t>AP Test Advice, Volunteering advice, SAT Math</t>
        </is>
      </c>
      <c r="I24" s="38" t="inlineStr">
        <is>
          <t>No</t>
        </is>
      </c>
      <c r="J24" s="38" t="inlineStr">
        <is>
          <t>YES</t>
        </is>
      </c>
      <c r="K24" s="38" t="n">
        <v>100</v>
      </c>
      <c r="O24" s="47" t="inlineStr">
        <is>
          <t>Gabby Bagot</t>
        </is>
      </c>
      <c r="P24" t="n">
        <v>1</v>
      </c>
      <c r="Q24" t="n">
        <v>60</v>
      </c>
    </row>
    <row r="25">
      <c r="A25" s="38" t="inlineStr">
        <is>
          <t>Nicolette Batori</t>
        </is>
      </c>
      <c r="B25" s="39" t="n">
        <v>44863</v>
      </c>
      <c r="C25" s="38" t="n">
        <v>1</v>
      </c>
      <c r="D25" s="38" t="n">
        <v>50</v>
      </c>
      <c r="E25" s="38" t="n">
        <v>50</v>
      </c>
      <c r="F25" s="38" t="inlineStr">
        <is>
          <t>Yes</t>
        </is>
      </c>
      <c r="G25" s="38" t="inlineStr">
        <is>
          <t>Yes</t>
        </is>
      </c>
      <c r="H25" s="38" t="inlineStr">
        <is>
          <t>SAT Math</t>
        </is>
      </c>
      <c r="I25" s="38" t="inlineStr">
        <is>
          <t>No</t>
        </is>
      </c>
      <c r="J25" s="38" t="inlineStr">
        <is>
          <t>YES</t>
        </is>
      </c>
      <c r="K25" s="38" t="n">
        <v>50</v>
      </c>
      <c r="O25" s="47" t="inlineStr">
        <is>
          <t>Julia Cecotti</t>
        </is>
      </c>
      <c r="P25" t="n">
        <v>2.5</v>
      </c>
      <c r="Q25" t="n">
        <v>125</v>
      </c>
    </row>
    <row r="26">
      <c r="A26" s="38" t="inlineStr">
        <is>
          <t>Nicolette Batori</t>
        </is>
      </c>
      <c r="B26" s="39" t="n">
        <v>44865</v>
      </c>
      <c r="C26" s="38" t="n">
        <v>1</v>
      </c>
      <c r="D26" s="38" t="n">
        <v>50</v>
      </c>
      <c r="E26" s="38" t="n">
        <v>50</v>
      </c>
      <c r="F26" s="38" t="inlineStr">
        <is>
          <t>Yes</t>
        </is>
      </c>
      <c r="G26" s="38" t="inlineStr">
        <is>
          <t>Yes</t>
        </is>
      </c>
      <c r="H26" s="38" t="inlineStr">
        <is>
          <t>SAT Math</t>
        </is>
      </c>
      <c r="I26" s="38" t="inlineStr">
        <is>
          <t>No</t>
        </is>
      </c>
      <c r="J26" s="38" t="inlineStr">
        <is>
          <t>YES</t>
        </is>
      </c>
      <c r="K26" s="38" t="n">
        <v>50</v>
      </c>
      <c r="O26" s="47" t="inlineStr">
        <is>
          <t>Kathryn Oakford</t>
        </is>
      </c>
      <c r="P26" t="n">
        <v>3</v>
      </c>
      <c r="Q26" t="n">
        <v>150</v>
      </c>
    </row>
    <row r="27">
      <c r="A27" s="38" t="inlineStr">
        <is>
          <t>Rohan Skanda</t>
        </is>
      </c>
      <c r="B27" s="39" t="n">
        <v>44838</v>
      </c>
      <c r="C27" s="38" t="n">
        <v>1</v>
      </c>
      <c r="D27" s="38" t="n">
        <v>50</v>
      </c>
      <c r="E27" s="38" t="n">
        <v>50</v>
      </c>
      <c r="F27" s="38" t="inlineStr">
        <is>
          <t>Yes</t>
        </is>
      </c>
      <c r="G27" s="38" t="inlineStr">
        <is>
          <t>Yes</t>
        </is>
      </c>
      <c r="H27" s="38" t="inlineStr">
        <is>
          <t>AOS Integrated Math + Science</t>
        </is>
      </c>
      <c r="I27" s="38" t="inlineStr">
        <is>
          <t>No</t>
        </is>
      </c>
      <c r="J27" s="38" t="inlineStr">
        <is>
          <t>YES</t>
        </is>
      </c>
      <c r="K27" s="38" t="n">
        <v>50</v>
      </c>
      <c r="O27" s="47" t="inlineStr">
        <is>
          <t>Kaylie Thompson</t>
        </is>
      </c>
      <c r="P27" t="n">
        <v>1.5</v>
      </c>
      <c r="Q27" t="n">
        <v>75</v>
      </c>
    </row>
    <row r="28">
      <c r="A28" s="38" t="inlineStr">
        <is>
          <t>Rohan Skanda</t>
        </is>
      </c>
      <c r="B28" s="39" t="n">
        <v>44840</v>
      </c>
      <c r="C28" s="38" t="n">
        <v>2</v>
      </c>
      <c r="D28" s="38" t="n">
        <v>50</v>
      </c>
      <c r="E28" s="38" t="n">
        <v>100</v>
      </c>
      <c r="F28" s="38" t="inlineStr">
        <is>
          <t>Yes</t>
        </is>
      </c>
      <c r="G28" s="38" t="inlineStr">
        <is>
          <t>Yes</t>
        </is>
      </c>
      <c r="H28" s="38" t="inlineStr">
        <is>
          <t>AOS Integrated Math + Science</t>
        </is>
      </c>
      <c r="I28" s="38" t="inlineStr">
        <is>
          <t>No</t>
        </is>
      </c>
      <c r="J28" s="38" t="inlineStr">
        <is>
          <t>YES</t>
        </is>
      </c>
      <c r="K28" s="38" t="n">
        <v>100</v>
      </c>
      <c r="O28" s="47" t="inlineStr">
        <is>
          <t>Maddie Wilson</t>
        </is>
      </c>
      <c r="P28" t="n">
        <v>3.5</v>
      </c>
      <c r="Q28" t="n">
        <v>175</v>
      </c>
    </row>
    <row r="29">
      <c r="A29" s="38" t="inlineStr">
        <is>
          <t>Rohan Skanda</t>
        </is>
      </c>
      <c r="B29" s="39" t="n">
        <v>44851</v>
      </c>
      <c r="C29" s="38" t="n">
        <v>1.5</v>
      </c>
      <c r="D29" s="38" t="n">
        <v>50</v>
      </c>
      <c r="E29" s="38" t="n">
        <v>75</v>
      </c>
      <c r="F29" s="38" t="inlineStr">
        <is>
          <t>Yes</t>
        </is>
      </c>
      <c r="G29" s="38" t="inlineStr">
        <is>
          <t>Yes</t>
        </is>
      </c>
      <c r="H29" s="38" t="inlineStr">
        <is>
          <t>Math and Physics Review</t>
        </is>
      </c>
      <c r="I29" s="38" t="inlineStr">
        <is>
          <t>No</t>
        </is>
      </c>
      <c r="J29" s="38" t="inlineStr">
        <is>
          <t>YES</t>
        </is>
      </c>
      <c r="K29" s="38" t="n">
        <v>75</v>
      </c>
      <c r="O29" s="47" t="inlineStr">
        <is>
          <t>Maddox Rogers</t>
        </is>
      </c>
      <c r="P29" t="n">
        <v>2</v>
      </c>
      <c r="Q29" t="n">
        <v>100</v>
      </c>
    </row>
    <row r="30">
      <c r="A30" s="38" t="inlineStr">
        <is>
          <t>Rohan Skanda</t>
        </is>
      </c>
      <c r="B30" s="39" t="n">
        <v>44857</v>
      </c>
      <c r="C30" s="38" t="n">
        <v>1</v>
      </c>
      <c r="D30" s="38" t="n">
        <v>50</v>
      </c>
      <c r="E30" s="38" t="n">
        <v>75</v>
      </c>
      <c r="F30" s="38" t="inlineStr">
        <is>
          <t>Yes</t>
        </is>
      </c>
      <c r="G30" s="38" t="inlineStr">
        <is>
          <t>Yes</t>
        </is>
      </c>
      <c r="H30" s="38" t="inlineStr">
        <is>
          <t>AOS Integrated Math + Science</t>
        </is>
      </c>
      <c r="I30" s="38" t="inlineStr">
        <is>
          <t>No</t>
        </is>
      </c>
      <c r="J30" s="38" t="inlineStr">
        <is>
          <t>YES</t>
        </is>
      </c>
      <c r="K30" s="38" t="n">
        <v>75</v>
      </c>
      <c r="O30" s="47" t="inlineStr">
        <is>
          <t>Naura Peters</t>
        </is>
      </c>
      <c r="P30" t="n">
        <v>0.5</v>
      </c>
      <c r="Q30" t="n">
        <v>30</v>
      </c>
    </row>
    <row r="31">
      <c r="A31" s="38" t="inlineStr">
        <is>
          <t>Rohan Skanda</t>
        </is>
      </c>
      <c r="B31" s="39" t="n">
        <v>44858</v>
      </c>
      <c r="C31" s="38" t="n">
        <v>1</v>
      </c>
      <c r="D31" s="38" t="n">
        <v>50</v>
      </c>
      <c r="E31" s="38" t="n">
        <v>50</v>
      </c>
      <c r="F31" s="38" t="inlineStr">
        <is>
          <t>Yes</t>
        </is>
      </c>
      <c r="G31" s="38" t="inlineStr">
        <is>
          <t>Yes</t>
        </is>
      </c>
      <c r="H31" s="38" t="inlineStr">
        <is>
          <t>AOS Integrated Math + Science</t>
        </is>
      </c>
      <c r="I31" s="38" t="inlineStr">
        <is>
          <t>No</t>
        </is>
      </c>
      <c r="J31" s="38" t="inlineStr">
        <is>
          <t>YES</t>
        </is>
      </c>
      <c r="K31" s="38" t="n">
        <v>50</v>
      </c>
      <c r="O31" s="47" t="inlineStr">
        <is>
          <t>Nicolette Batori</t>
        </is>
      </c>
      <c r="P31" t="n">
        <v>4</v>
      </c>
      <c r="Q31" t="n">
        <v>200</v>
      </c>
    </row>
    <row r="32">
      <c r="A32" s="38" t="inlineStr">
        <is>
          <t>Rohan Skanda</t>
        </is>
      </c>
      <c r="B32" s="39" t="n">
        <v>44859</v>
      </c>
      <c r="C32" s="38" t="n">
        <v>1</v>
      </c>
      <c r="D32" s="38" t="n">
        <v>50</v>
      </c>
      <c r="E32" s="38" t="n">
        <v>50</v>
      </c>
      <c r="F32" s="38" t="inlineStr">
        <is>
          <t>Yes</t>
        </is>
      </c>
      <c r="G32" s="38" t="inlineStr">
        <is>
          <t>Yes</t>
        </is>
      </c>
      <c r="H32" s="38" t="inlineStr">
        <is>
          <t>AOS Integrated Math + Science</t>
        </is>
      </c>
      <c r="I32" s="38" t="inlineStr">
        <is>
          <t>No</t>
        </is>
      </c>
      <c r="J32" s="38" t="inlineStr">
        <is>
          <t>YES</t>
        </is>
      </c>
      <c r="K32" s="38" t="n">
        <v>50</v>
      </c>
      <c r="O32" s="47" t="inlineStr">
        <is>
          <t>Rohan Skanda</t>
        </is>
      </c>
      <c r="P32" t="n">
        <v>8.75</v>
      </c>
      <c r="Q32" t="n">
        <v>462.5</v>
      </c>
    </row>
    <row r="33">
      <c r="A33" s="38" t="inlineStr">
        <is>
          <t>Rohan Skanda</t>
        </is>
      </c>
      <c r="B33" s="39" t="n">
        <v>44860</v>
      </c>
      <c r="C33" s="38" t="n">
        <v>1.25</v>
      </c>
      <c r="D33" s="38" t="n">
        <v>50</v>
      </c>
      <c r="E33" s="38" t="n">
        <v>62.5</v>
      </c>
      <c r="F33" s="38" t="inlineStr">
        <is>
          <t>Yes</t>
        </is>
      </c>
      <c r="G33" s="38" t="inlineStr">
        <is>
          <t>Yes</t>
        </is>
      </c>
      <c r="H33" s="38" t="inlineStr">
        <is>
          <t>AOS Integrated Math + Science</t>
        </is>
      </c>
      <c r="I33" s="38" t="inlineStr">
        <is>
          <t>No</t>
        </is>
      </c>
      <c r="J33" s="38" t="inlineStr">
        <is>
          <t>YES</t>
        </is>
      </c>
      <c r="K33" s="38" t="n">
        <v>62.5</v>
      </c>
      <c r="O33" s="47" t="inlineStr">
        <is>
          <t>Sienna Cormier</t>
        </is>
      </c>
      <c r="P33" t="n">
        <v>1.5</v>
      </c>
      <c r="Q33" t="n">
        <v>75</v>
      </c>
    </row>
    <row r="34">
      <c r="A34" s="38" t="inlineStr">
        <is>
          <t>Sienna Cormier</t>
        </is>
      </c>
      <c r="B34" s="39" t="n">
        <v>44846</v>
      </c>
      <c r="C34" s="38" t="n">
        <v>1.5</v>
      </c>
      <c r="D34" s="38" t="n">
        <v>50</v>
      </c>
      <c r="E34" s="38" t="n">
        <v>75</v>
      </c>
      <c r="F34" s="38" t="inlineStr">
        <is>
          <t>Yes</t>
        </is>
      </c>
      <c r="G34" s="38" t="inlineStr">
        <is>
          <t>Yes</t>
        </is>
      </c>
      <c r="H34" s="38" t="inlineStr">
        <is>
          <t>Geometry</t>
        </is>
      </c>
      <c r="I34" s="38" t="inlineStr">
        <is>
          <t>No</t>
        </is>
      </c>
      <c r="J34" s="38" t="inlineStr">
        <is>
          <t>YES</t>
        </is>
      </c>
      <c r="K34" s="38" t="n">
        <v>75</v>
      </c>
      <c r="O34" s="47" t="inlineStr">
        <is>
          <t>Sophia Gonzales</t>
        </is>
      </c>
      <c r="P34" t="n">
        <v>2</v>
      </c>
      <c r="Q34" t="n">
        <v>120</v>
      </c>
    </row>
    <row r="35">
      <c r="A35" s="38" t="inlineStr">
        <is>
          <t>Sophia Gonzales</t>
        </is>
      </c>
      <c r="B35" s="39" t="n">
        <v>44860</v>
      </c>
      <c r="C35" s="38" t="n">
        <v>1</v>
      </c>
      <c r="D35" s="38" t="n">
        <v>60</v>
      </c>
      <c r="E35" s="38" t="n">
        <v>60</v>
      </c>
      <c r="F35" s="38" t="inlineStr">
        <is>
          <t>Yes (folded into next-day invoice)</t>
        </is>
      </c>
      <c r="G35" s="38" t="inlineStr">
        <is>
          <t>Yes</t>
        </is>
      </c>
      <c r="H35" s="38" t="inlineStr">
        <is>
          <t>Physics</t>
        </is>
      </c>
      <c r="I35" s="38" t="inlineStr">
        <is>
          <t>No</t>
        </is>
      </c>
      <c r="J35" s="38" t="inlineStr">
        <is>
          <t>YES</t>
        </is>
      </c>
      <c r="K35" s="38" t="n">
        <v>60</v>
      </c>
      <c r="O35" s="47" t="inlineStr">
        <is>
          <t>Sujay Penugonda</t>
        </is>
      </c>
      <c r="P35" t="n">
        <v>11.5</v>
      </c>
      <c r="Q35" t="n">
        <v>450</v>
      </c>
    </row>
    <row r="36">
      <c r="A36" s="38" t="inlineStr">
        <is>
          <t>Sophia Gonzales</t>
        </is>
      </c>
      <c r="B36" s="39" t="n">
        <v>44861</v>
      </c>
      <c r="C36" s="38" t="n">
        <v>1</v>
      </c>
      <c r="D36" s="38" t="n">
        <v>60</v>
      </c>
      <c r="E36" s="38" t="n">
        <v>60</v>
      </c>
      <c r="F36" s="38" t="inlineStr">
        <is>
          <t>Yes</t>
        </is>
      </c>
      <c r="G36" s="38" t="inlineStr">
        <is>
          <t>Yes</t>
        </is>
      </c>
      <c r="H36" s="38" t="inlineStr">
        <is>
          <t>Physics</t>
        </is>
      </c>
      <c r="I36" s="38" t="inlineStr">
        <is>
          <t>No</t>
        </is>
      </c>
      <c r="J36" s="38" t="inlineStr">
        <is>
          <t>YES</t>
        </is>
      </c>
      <c r="K36" s="38" t="n">
        <v>60</v>
      </c>
      <c r="O36" s="47" t="inlineStr">
        <is>
          <t>Grand Total</t>
        </is>
      </c>
      <c r="P36" t="n">
        <v>57.25</v>
      </c>
      <c r="Q36" t="n">
        <v>2840</v>
      </c>
    </row>
    <row r="37">
      <c r="A37" s="38" t="inlineStr">
        <is>
          <t>Sujay Penugonda</t>
        </is>
      </c>
      <c r="B37" s="39" t="n">
        <v>44840</v>
      </c>
      <c r="C37" s="38" t="n">
        <v>1.5</v>
      </c>
      <c r="D37" s="38" t="n">
        <v>50</v>
      </c>
      <c r="E37" s="38" t="n">
        <v>75</v>
      </c>
      <c r="F37" s="38" t="inlineStr">
        <is>
          <t>Yes</t>
        </is>
      </c>
      <c r="G37" s="38" t="inlineStr">
        <is>
          <t>Yes</t>
        </is>
      </c>
      <c r="H37" s="38" t="inlineStr">
        <is>
          <t>Supplemental Essays</t>
        </is>
      </c>
      <c r="I37" s="38" t="inlineStr">
        <is>
          <t>No</t>
        </is>
      </c>
      <c r="J37" s="38" t="inlineStr">
        <is>
          <t>YES</t>
        </is>
      </c>
      <c r="K37" s="38" t="n">
        <v>75</v>
      </c>
    </row>
    <row r="38">
      <c r="A38" s="38" t="inlineStr">
        <is>
          <t>Sujay Penugonda</t>
        </is>
      </c>
      <c r="B38" s="39" t="n">
        <v>44855</v>
      </c>
      <c r="C38" s="38" t="n">
        <v>2</v>
      </c>
      <c r="D38" s="38" t="n">
        <v>50</v>
      </c>
      <c r="E38" s="38" t="n">
        <v>100</v>
      </c>
      <c r="F38" s="38" t="inlineStr">
        <is>
          <t>Yes</t>
        </is>
      </c>
      <c r="G38" s="38" t="inlineStr">
        <is>
          <t>Yes</t>
        </is>
      </c>
      <c r="H38" s="38" t="inlineStr">
        <is>
          <t>College Essay</t>
        </is>
      </c>
      <c r="I38" s="38" t="inlineStr">
        <is>
          <t>No</t>
        </is>
      </c>
      <c r="J38" s="38" t="inlineStr">
        <is>
          <t>YES</t>
        </is>
      </c>
      <c r="K38" s="38" t="n">
        <v>100</v>
      </c>
    </row>
    <row r="39">
      <c r="A39" s="38" t="inlineStr">
        <is>
          <t>Sujay Penugonda</t>
        </is>
      </c>
      <c r="B39" s="39" t="n">
        <v>44857</v>
      </c>
      <c r="C39" s="38" t="n">
        <v>0.5</v>
      </c>
      <c r="D39" s="38" t="n">
        <v>50</v>
      </c>
      <c r="E39" s="38" t="n">
        <v>25</v>
      </c>
      <c r="F39" s="38" t="inlineStr">
        <is>
          <t>No</t>
        </is>
      </c>
      <c r="G39" s="38" t="inlineStr">
        <is>
          <t>Yes</t>
        </is>
      </c>
      <c r="H39" s="38" t="inlineStr">
        <is>
          <t>College Essay</t>
        </is>
      </c>
      <c r="I39" s="38" t="inlineStr">
        <is>
          <t>No</t>
        </is>
      </c>
      <c r="J39" s="38" t="inlineStr">
        <is>
          <t>YES</t>
        </is>
      </c>
      <c r="K39" s="38" t="n">
        <v>25</v>
      </c>
    </row>
    <row r="40">
      <c r="A40" s="38" t="inlineStr">
        <is>
          <t>Sujay Penugonda</t>
        </is>
      </c>
      <c r="B40" s="39" t="n">
        <v>44863</v>
      </c>
      <c r="C40" s="38" t="n">
        <v>5</v>
      </c>
      <c r="D40" s="38" t="n">
        <v>50</v>
      </c>
      <c r="E40" s="38" t="n">
        <v>125</v>
      </c>
      <c r="F40" s="38" t="inlineStr">
        <is>
          <t>Yes</t>
        </is>
      </c>
      <c r="G40" s="38" t="inlineStr">
        <is>
          <t>Yes</t>
        </is>
      </c>
      <c r="H40" s="38" t="inlineStr">
        <is>
          <t>College Essay</t>
        </is>
      </c>
      <c r="I40" s="38" t="inlineStr">
        <is>
          <t>No</t>
        </is>
      </c>
      <c r="J40" s="38" t="inlineStr">
        <is>
          <t>YES</t>
        </is>
      </c>
      <c r="K40" s="38" t="n">
        <v>250</v>
      </c>
    </row>
    <row r="41">
      <c r="A41" s="38" t="inlineStr">
        <is>
          <t>Sujay Penugonda</t>
        </is>
      </c>
      <c r="B41" s="39" t="n">
        <v>44864</v>
      </c>
      <c r="C41" s="38" t="n">
        <v>2.5</v>
      </c>
      <c r="D41" s="38" t="n">
        <v>50</v>
      </c>
      <c r="E41" s="38" t="n">
        <v>125</v>
      </c>
      <c r="F41" s="38" t="inlineStr">
        <is>
          <t>Yes</t>
        </is>
      </c>
      <c r="G41" s="38" t="inlineStr">
        <is>
          <t>Yes</t>
        </is>
      </c>
      <c r="H41" s="38" t="inlineStr">
        <is>
          <t>College Essay</t>
        </is>
      </c>
      <c r="I41" s="38" t="inlineStr">
        <is>
          <t>No</t>
        </is>
      </c>
      <c r="J41" s="38" t="inlineStr">
        <is>
          <t>No - asked to send via Zelle. Transferred from personal to biz immediately.</t>
        </is>
      </c>
      <c r="K41" s="38" t="n">
        <v>125</v>
      </c>
    </row>
    <row r="42">
      <c r="B42" s="41" t="n"/>
    </row>
    <row r="43">
      <c r="B43" s="41" t="n"/>
      <c r="K43" s="36">
        <f>SUM(K2:K41)</f>
        <v/>
      </c>
    </row>
  </sheetData>
  <autoFilter ref="A1:K41">
    <sortState ref="A2:K41">
      <sortCondition ref="A1:A41"/>
    </sortState>
  </autoFilter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baseColWidth="8" defaultColWidth="9.140625" defaultRowHeight="15"/>
  <cols>
    <col width="16.28515625" bestFit="1" customWidth="1" style="36" min="1" max="1"/>
    <col width="7" bestFit="1" customWidth="1" style="36" min="2" max="2"/>
    <col width="6.140625" bestFit="1" customWidth="1" style="36" min="3" max="3"/>
    <col width="10.42578125" bestFit="1" customWidth="1" style="36" min="4" max="4"/>
    <col width="5" bestFit="1" customWidth="1" style="36" min="5" max="5"/>
    <col width="7.140625" bestFit="1" customWidth="1" style="36" min="6" max="6"/>
    <col width="38.42578125" bestFit="1" customWidth="1" style="36" min="7" max="7"/>
    <col width="27.140625" bestFit="1" customWidth="1" style="36" min="8" max="8"/>
    <col width="4.7109375" bestFit="1" customWidth="1" style="36" min="9" max="9"/>
    <col width="6.28515625" bestFit="1" customWidth="1" style="36" min="10" max="10"/>
    <col width="9.140625" customWidth="1" style="36" min="11" max="14"/>
    <col width="16.28515625" bestFit="1" customWidth="1" style="36" min="15" max="15"/>
    <col width="12.7109375" bestFit="1" customWidth="1" style="36" min="16" max="16"/>
    <col width="11.42578125" bestFit="1" customWidth="1" style="36" min="17" max="17"/>
    <col width="9.140625" customWidth="1" style="36" min="18" max="18"/>
    <col width="9.140625" customWidth="1" style="36" min="19" max="16384"/>
  </cols>
  <sheetData>
    <row r="1">
      <c r="A1" s="36" t="inlineStr">
        <is>
          <t>Student</t>
        </is>
      </c>
      <c r="B1" s="36" t="inlineStr">
        <is>
          <t>Date</t>
        </is>
      </c>
      <c r="C1" s="36" t="inlineStr">
        <is>
          <t>Hours</t>
        </is>
      </c>
      <c r="D1" s="36" t="inlineStr">
        <is>
          <t>Rate ($/hr)</t>
        </is>
      </c>
      <c r="E1" s="36" t="inlineStr">
        <is>
          <t>Coin</t>
        </is>
      </c>
      <c r="F1" s="36" t="inlineStr">
        <is>
          <t>Billed?</t>
        </is>
      </c>
      <c r="G1" s="36" t="inlineStr">
        <is>
          <t>Received payment?</t>
        </is>
      </c>
      <c r="H1" s="36" t="inlineStr">
        <is>
          <t>Topic</t>
        </is>
      </c>
      <c r="I1" s="36" t="inlineStr">
        <is>
          <t>Tip?</t>
        </is>
      </c>
      <c r="J1" s="36" t="inlineStr">
        <is>
          <t>Totals</t>
        </is>
      </c>
    </row>
    <row r="2">
      <c r="A2" s="42" t="inlineStr">
        <is>
          <t>Rohan Skanda</t>
        </is>
      </c>
      <c r="B2" s="43" t="n">
        <v>44822</v>
      </c>
      <c r="C2" s="42" t="n">
        <v>1</v>
      </c>
      <c r="D2" s="42" t="n">
        <v>50</v>
      </c>
      <c r="E2" s="42" t="n">
        <v>50</v>
      </c>
      <c r="F2" s="42" t="inlineStr">
        <is>
          <t>Yes</t>
        </is>
      </c>
      <c r="G2" s="42" t="inlineStr">
        <is>
          <t>Yes</t>
        </is>
      </c>
      <c r="H2" s="42" t="inlineStr">
        <is>
          <t>AOS Math/Science</t>
        </is>
      </c>
      <c r="I2" s="42" t="inlineStr">
        <is>
          <t>No</t>
        </is>
      </c>
      <c r="J2" s="42" t="n">
        <v>50</v>
      </c>
      <c r="M2" s="36" t="inlineStr">
        <is>
          <t>BALANCED</t>
        </is>
      </c>
    </row>
    <row r="3">
      <c r="A3" s="42" t="inlineStr">
        <is>
          <t>Maddie Wilson</t>
        </is>
      </c>
      <c r="B3" s="43" t="n">
        <v>44822</v>
      </c>
      <c r="C3" s="42" t="n">
        <v>2</v>
      </c>
      <c r="D3" s="42" t="n">
        <v>50</v>
      </c>
      <c r="E3" s="42" t="n">
        <v>100</v>
      </c>
      <c r="F3" s="42" t="inlineStr">
        <is>
          <t>Yes</t>
        </is>
      </c>
      <c r="G3" s="42" t="inlineStr">
        <is>
          <t>Yes</t>
        </is>
      </c>
      <c r="H3" s="42" t="inlineStr">
        <is>
          <t>College Essay</t>
        </is>
      </c>
      <c r="I3" s="42" t="inlineStr">
        <is>
          <t>No</t>
        </is>
      </c>
      <c r="J3" s="42" t="n">
        <v>100</v>
      </c>
    </row>
    <row r="4">
      <c r="A4" s="42" t="inlineStr">
        <is>
          <t>Caroline Frey</t>
        </is>
      </c>
      <c r="B4" s="43" t="n">
        <v>44822</v>
      </c>
      <c r="C4" s="42" t="n">
        <v>1.5</v>
      </c>
      <c r="D4" s="42" t="n">
        <v>50</v>
      </c>
      <c r="E4" s="42" t="n">
        <v>75</v>
      </c>
      <c r="F4" s="42" t="inlineStr">
        <is>
          <t>Yes</t>
        </is>
      </c>
      <c r="G4" s="42" t="inlineStr">
        <is>
          <t>Yes</t>
        </is>
      </c>
      <c r="H4" s="42" t="inlineStr">
        <is>
          <t>College Supplemental Essays</t>
        </is>
      </c>
      <c r="I4" s="42" t="n">
        <v>25</v>
      </c>
      <c r="J4" s="42" t="n">
        <v>100</v>
      </c>
    </row>
    <row r="5">
      <c r="A5" s="42" t="inlineStr">
        <is>
          <t>Kathryn Oakford</t>
        </is>
      </c>
      <c r="B5" s="43" t="n">
        <v>44822</v>
      </c>
      <c r="C5" s="42" t="n">
        <v>1.5</v>
      </c>
      <c r="D5" s="42" t="n">
        <v>50</v>
      </c>
      <c r="E5" s="42" t="n">
        <v>75</v>
      </c>
      <c r="F5" s="42" t="inlineStr">
        <is>
          <t>Yes</t>
        </is>
      </c>
      <c r="G5" s="42" t="inlineStr">
        <is>
          <t>Yes</t>
        </is>
      </c>
      <c r="H5" s="42" t="inlineStr">
        <is>
          <t>Business Calc</t>
        </is>
      </c>
      <c r="I5" s="42" t="inlineStr">
        <is>
          <t>No</t>
        </is>
      </c>
      <c r="J5" s="42" t="n">
        <v>75</v>
      </c>
    </row>
    <row r="6">
      <c r="A6" s="42" t="inlineStr">
        <is>
          <t>Kaylie Thompson</t>
        </is>
      </c>
      <c r="B6" s="43" t="n">
        <v>44822</v>
      </c>
      <c r="C6" s="42" t="n">
        <v>1.5</v>
      </c>
      <c r="D6" s="42" t="n">
        <v>50</v>
      </c>
      <c r="E6" s="42" t="n">
        <v>75</v>
      </c>
      <c r="F6" s="42" t="inlineStr">
        <is>
          <t>Yes</t>
        </is>
      </c>
      <c r="G6" s="42" t="inlineStr">
        <is>
          <t>Yes</t>
        </is>
      </c>
      <c r="H6" s="42" t="inlineStr">
        <is>
          <t>College Essay</t>
        </is>
      </c>
      <c r="I6" s="42" t="inlineStr">
        <is>
          <t>No</t>
        </is>
      </c>
      <c r="J6" s="42" t="n">
        <v>75</v>
      </c>
    </row>
    <row r="7">
      <c r="A7" s="42" t="inlineStr">
        <is>
          <t>Abby Owen</t>
        </is>
      </c>
      <c r="B7" s="43" t="n">
        <v>44823</v>
      </c>
      <c r="C7" s="42" t="n">
        <v>2</v>
      </c>
      <c r="D7" s="42" t="n">
        <v>50</v>
      </c>
      <c r="E7" s="42" t="n">
        <v>100</v>
      </c>
      <c r="F7" s="42" t="inlineStr">
        <is>
          <t>Yes</t>
        </is>
      </c>
      <c r="G7" s="42" t="inlineStr">
        <is>
          <t>Yes</t>
        </is>
      </c>
      <c r="H7" s="42" t="inlineStr">
        <is>
          <t>Math Practice for Quiz</t>
        </is>
      </c>
      <c r="I7" s="42" t="inlineStr">
        <is>
          <t>No</t>
        </is>
      </c>
      <c r="J7" s="42" t="n">
        <v>100</v>
      </c>
    </row>
    <row r="8">
      <c r="A8" s="42" t="inlineStr">
        <is>
          <t>Kathryn Oakford</t>
        </is>
      </c>
      <c r="B8" s="43" t="n">
        <v>44823</v>
      </c>
      <c r="C8" s="42" t="n">
        <v>1</v>
      </c>
      <c r="D8" s="42" t="n">
        <v>50</v>
      </c>
      <c r="E8" s="42" t="n">
        <v>50</v>
      </c>
      <c r="F8" s="42" t="inlineStr">
        <is>
          <t>Yes</t>
        </is>
      </c>
      <c r="G8" s="42" t="inlineStr">
        <is>
          <t>Yes</t>
        </is>
      </c>
      <c r="H8" s="42" t="inlineStr">
        <is>
          <t>Business Calc</t>
        </is>
      </c>
      <c r="I8" s="42" t="inlineStr">
        <is>
          <t>No</t>
        </is>
      </c>
      <c r="J8" s="42" t="n">
        <v>50</v>
      </c>
    </row>
    <row r="9">
      <c r="A9" s="42" t="inlineStr">
        <is>
          <t>Maddie Wilson</t>
        </is>
      </c>
      <c r="B9" s="43" t="n">
        <v>44826</v>
      </c>
      <c r="C9" s="42" t="n">
        <v>1</v>
      </c>
      <c r="D9" s="42" t="n">
        <v>50</v>
      </c>
      <c r="E9" s="42" t="n">
        <v>50</v>
      </c>
      <c r="F9" s="42" t="inlineStr">
        <is>
          <t>Yes</t>
        </is>
      </c>
      <c r="G9" s="42" t="inlineStr">
        <is>
          <t>Yes</t>
        </is>
      </c>
      <c r="H9" s="42" t="inlineStr">
        <is>
          <t>ACT Math, NHS Essay</t>
        </is>
      </c>
      <c r="I9" s="42" t="inlineStr">
        <is>
          <t>No</t>
        </is>
      </c>
      <c r="J9" s="42" t="n">
        <v>50</v>
      </c>
    </row>
    <row r="10">
      <c r="A10" s="42" t="inlineStr">
        <is>
          <t>Mckenzie Frey</t>
        </is>
      </c>
      <c r="B10" s="43" t="n">
        <v>44827</v>
      </c>
      <c r="C10" s="42" t="n">
        <v>0.5</v>
      </c>
      <c r="D10" s="42" t="n">
        <v>50</v>
      </c>
      <c r="E10" s="42" t="n">
        <v>25</v>
      </c>
      <c r="F10" s="42" t="inlineStr">
        <is>
          <t>No</t>
        </is>
      </c>
      <c r="G10" s="42" t="inlineStr">
        <is>
          <t>Yes (accounted for in October w Caroline)</t>
        </is>
      </c>
      <c r="H10" s="42" t="inlineStr">
        <is>
          <t>PR/Project Planning</t>
        </is>
      </c>
      <c r="I10" s="42" t="n"/>
      <c r="J10" s="42" t="n"/>
      <c r="O10" s="46" t="inlineStr">
        <is>
          <t>Row Labels</t>
        </is>
      </c>
      <c r="P10" t="inlineStr">
        <is>
          <t>Sum of Hours</t>
        </is>
      </c>
      <c r="Q10" t="inlineStr">
        <is>
          <t>Sum of Coin</t>
        </is>
      </c>
    </row>
    <row r="11">
      <c r="A11" s="42" t="inlineStr">
        <is>
          <t>Maddie Wilson</t>
        </is>
      </c>
      <c r="B11" s="43" t="n">
        <v>44827</v>
      </c>
      <c r="C11" s="42" t="n">
        <v>1</v>
      </c>
      <c r="D11" s="42" t="n">
        <v>50</v>
      </c>
      <c r="E11" s="42" t="n">
        <v>50</v>
      </c>
      <c r="F11" s="42" t="inlineStr">
        <is>
          <t>Yes</t>
        </is>
      </c>
      <c r="G11" s="42" t="inlineStr">
        <is>
          <t>Yes</t>
        </is>
      </c>
      <c r="H11" s="42" t="inlineStr">
        <is>
          <t>NHS Essay</t>
        </is>
      </c>
      <c r="I11" s="42" t="inlineStr">
        <is>
          <t>No</t>
        </is>
      </c>
      <c r="J11" s="42" t="n">
        <v>50</v>
      </c>
      <c r="O11" s="47" t="inlineStr">
        <is>
          <t>Abby Owen</t>
        </is>
      </c>
      <c r="P11" t="n">
        <v>2</v>
      </c>
      <c r="Q11" t="n">
        <v>100</v>
      </c>
    </row>
    <row r="12">
      <c r="A12" s="42" t="inlineStr">
        <is>
          <t>Claire Cecotti</t>
        </is>
      </c>
      <c r="B12" s="43" t="n">
        <v>44829</v>
      </c>
      <c r="C12" s="42" t="n">
        <v>1</v>
      </c>
      <c r="D12" s="42" t="n">
        <v>50</v>
      </c>
      <c r="E12" s="42" t="n">
        <v>50</v>
      </c>
      <c r="F12" s="42" t="inlineStr">
        <is>
          <t>Yes</t>
        </is>
      </c>
      <c r="G12" s="42" t="inlineStr">
        <is>
          <t>Yes</t>
        </is>
      </c>
      <c r="H12" s="42" t="inlineStr">
        <is>
          <t>Algebra Review/SAT Math</t>
        </is>
      </c>
      <c r="I12" s="42" t="inlineStr">
        <is>
          <t>No</t>
        </is>
      </c>
      <c r="J12" s="42" t="n">
        <v>50</v>
      </c>
      <c r="O12" s="47" t="inlineStr">
        <is>
          <t>Caroline Frey</t>
        </is>
      </c>
      <c r="P12" t="n">
        <v>1.5</v>
      </c>
      <c r="Q12" t="n">
        <v>75</v>
      </c>
    </row>
    <row r="13">
      <c r="A13" s="42" t="inlineStr">
        <is>
          <t>Maddie Wilson</t>
        </is>
      </c>
      <c r="B13" s="43" t="n">
        <v>44829</v>
      </c>
      <c r="C13" s="42" t="n">
        <v>2</v>
      </c>
      <c r="D13" s="42" t="n">
        <v>100</v>
      </c>
      <c r="E13" s="42" t="n">
        <v>100</v>
      </c>
      <c r="F13" s="42" t="inlineStr">
        <is>
          <t>Yes</t>
        </is>
      </c>
      <c r="G13" s="42" t="inlineStr">
        <is>
          <t>Yes</t>
        </is>
      </c>
      <c r="H13" s="42" t="inlineStr">
        <is>
          <t>Supplemental Essays</t>
        </is>
      </c>
      <c r="I13" s="42" t="inlineStr">
        <is>
          <t>No</t>
        </is>
      </c>
      <c r="J13" s="42" t="n">
        <v>100</v>
      </c>
      <c r="O13" s="47" t="inlineStr">
        <is>
          <t>Claire Cecotti</t>
        </is>
      </c>
      <c r="P13" t="n">
        <v>2</v>
      </c>
      <c r="Q13" t="n">
        <v>100</v>
      </c>
    </row>
    <row r="14">
      <c r="A14" s="42" t="inlineStr">
        <is>
          <t>Sam Cormier</t>
        </is>
      </c>
      <c r="B14" s="43" t="n">
        <v>44829</v>
      </c>
      <c r="C14" s="42" t="n">
        <v>2</v>
      </c>
      <c r="D14" s="42" t="n">
        <v>100</v>
      </c>
      <c r="E14" s="42" t="n">
        <v>100</v>
      </c>
      <c r="F14" s="42" t="inlineStr">
        <is>
          <t>Yes</t>
        </is>
      </c>
      <c r="G14" s="42" t="inlineStr">
        <is>
          <t>Yes</t>
        </is>
      </c>
      <c r="H14" s="42" t="inlineStr">
        <is>
          <t>Supplemental Essays</t>
        </is>
      </c>
      <c r="I14" s="42" t="inlineStr">
        <is>
          <t>No</t>
        </is>
      </c>
      <c r="J14" s="42" t="n">
        <v>100</v>
      </c>
      <c r="O14" s="47" t="inlineStr">
        <is>
          <t>Kathryn Oakford</t>
        </is>
      </c>
      <c r="P14" t="n">
        <v>2.5</v>
      </c>
      <c r="Q14" t="n">
        <v>125</v>
      </c>
    </row>
    <row r="15">
      <c r="A15" s="42" t="inlineStr">
        <is>
          <t>Claire Cecotti</t>
        </is>
      </c>
      <c r="B15" s="43" t="n">
        <v>44830</v>
      </c>
      <c r="C15" s="42" t="n">
        <v>1</v>
      </c>
      <c r="D15" s="42" t="n">
        <v>50</v>
      </c>
      <c r="E15" s="42" t="n">
        <v>50</v>
      </c>
      <c r="F15" s="42" t="inlineStr">
        <is>
          <t>Yes</t>
        </is>
      </c>
      <c r="G15" s="42" t="inlineStr">
        <is>
          <t>Yes</t>
        </is>
      </c>
      <c r="H15" s="42" t="inlineStr">
        <is>
          <t>Algebra Review/SAT Math</t>
        </is>
      </c>
      <c r="I15" s="42" t="inlineStr">
        <is>
          <t>No</t>
        </is>
      </c>
      <c r="J15" s="42" t="n">
        <v>50</v>
      </c>
      <c r="O15" s="47" t="inlineStr">
        <is>
          <t>Kaylie Thompson</t>
        </is>
      </c>
      <c r="P15" t="n">
        <v>1.5</v>
      </c>
      <c r="Q15" t="n">
        <v>75</v>
      </c>
    </row>
    <row r="16">
      <c r="A16" s="42" t="inlineStr">
        <is>
          <t>Maddie Wilson</t>
        </is>
      </c>
      <c r="B16" s="43" t="n">
        <v>44832</v>
      </c>
      <c r="C16" s="42" t="n">
        <v>1.5</v>
      </c>
      <c r="D16" s="42" t="n">
        <v>50</v>
      </c>
      <c r="E16" s="42" t="n">
        <v>75</v>
      </c>
      <c r="F16" s="42" t="inlineStr">
        <is>
          <t>Yes</t>
        </is>
      </c>
      <c r="G16" s="42" t="inlineStr">
        <is>
          <t>Yes</t>
        </is>
      </c>
      <c r="H16" s="42" t="inlineStr">
        <is>
          <t>Supplemental Essays</t>
        </is>
      </c>
      <c r="I16" s="42" t="inlineStr">
        <is>
          <t>No</t>
        </is>
      </c>
      <c r="J16" s="42" t="n">
        <v>75</v>
      </c>
      <c r="O16" s="47" t="inlineStr">
        <is>
          <t>Maddie Wilson</t>
        </is>
      </c>
      <c r="P16" t="n">
        <v>7.5</v>
      </c>
      <c r="Q16" t="n">
        <v>375</v>
      </c>
    </row>
    <row r="17">
      <c r="B17" s="41" t="n"/>
      <c r="O17" s="47" t="inlineStr">
        <is>
          <t>Mckenzie Frey</t>
        </is>
      </c>
      <c r="P17" t="n">
        <v>0.5</v>
      </c>
      <c r="Q17" t="n">
        <v>25</v>
      </c>
    </row>
    <row r="18">
      <c r="J18" s="36">
        <f>SUM(J2:J16)</f>
        <v/>
      </c>
      <c r="O18" s="47" t="inlineStr">
        <is>
          <t>Rohan Skanda</t>
        </is>
      </c>
      <c r="P18" t="n">
        <v>1</v>
      </c>
      <c r="Q18" t="n">
        <v>50</v>
      </c>
    </row>
    <row r="19">
      <c r="O19" s="47" t="inlineStr">
        <is>
          <t>Sam Cormier</t>
        </is>
      </c>
      <c r="P19" t="n">
        <v>2</v>
      </c>
      <c r="Q19" t="n">
        <v>100</v>
      </c>
    </row>
    <row r="20">
      <c r="O20" s="47" t="inlineStr">
        <is>
          <t>Grand Total</t>
        </is>
      </c>
      <c r="P20" t="n">
        <v>20.5</v>
      </c>
      <c r="Q20" t="n">
        <v>1025</v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activeCell="O19" sqref="O19:O35"/>
      <selection pane="bottomLeft" activeCell="O19" sqref="O19:O35"/>
    </sheetView>
  </sheetViews>
  <sheetFormatPr baseColWidth="8" defaultColWidth="9.140625" defaultRowHeight="15"/>
  <cols>
    <col width="15.140625" bestFit="1" customWidth="1" style="36" min="1" max="1"/>
    <col width="9.7109375" bestFit="1" customWidth="1" style="36" min="2" max="2"/>
    <col width="6.140625" bestFit="1" customWidth="1" style="36" min="3" max="3"/>
    <col width="9.140625" customWidth="1" style="36" min="4" max="6"/>
    <col width="18.7109375" bestFit="1" customWidth="1" style="36" min="7" max="7"/>
    <col width="9.140625" customWidth="1" style="36" min="8" max="14"/>
    <col width="16.28515625" bestFit="1" customWidth="1" style="36" min="15" max="15"/>
    <col width="12.7109375" bestFit="1" customWidth="1" style="36" min="16" max="16"/>
    <col width="11.42578125" bestFit="1" customWidth="1" style="36" min="17" max="17"/>
    <col width="9.140625" customWidth="1" style="36" min="18" max="18"/>
    <col width="9.140625" customWidth="1" style="36" min="19" max="16384"/>
  </cols>
  <sheetData>
    <row r="1">
      <c r="A1" s="36" t="inlineStr">
        <is>
          <t>Student</t>
        </is>
      </c>
      <c r="B1" s="36" t="inlineStr">
        <is>
          <t>Date</t>
        </is>
      </c>
      <c r="C1" s="36" t="inlineStr">
        <is>
          <t>Hours</t>
        </is>
      </c>
      <c r="D1" s="36" t="inlineStr">
        <is>
          <t>Rate ($/hr)</t>
        </is>
      </c>
      <c r="E1" s="36" t="inlineStr">
        <is>
          <t>Coin</t>
        </is>
      </c>
      <c r="F1" s="36" t="inlineStr">
        <is>
          <t>Billed?</t>
        </is>
      </c>
      <c r="G1" s="36" t="inlineStr">
        <is>
          <t>Received payment?</t>
        </is>
      </c>
      <c r="H1" s="36" t="inlineStr">
        <is>
          <t>Topic</t>
        </is>
      </c>
      <c r="I1" s="36" t="inlineStr">
        <is>
          <t>Tip?</t>
        </is>
      </c>
      <c r="J1" s="36" t="inlineStr">
        <is>
          <t>Totals</t>
        </is>
      </c>
    </row>
    <row r="2">
      <c r="A2" s="44" t="inlineStr">
        <is>
          <t>Caroline Frey</t>
        </is>
      </c>
      <c r="B2" s="45" t="n">
        <v>44793</v>
      </c>
      <c r="C2" s="44" t="n">
        <v>0.5</v>
      </c>
      <c r="D2" s="44" t="n">
        <v>50</v>
      </c>
      <c r="E2" s="44">
        <f>C2*D2</f>
        <v/>
      </c>
      <c r="F2" s="44" t="inlineStr">
        <is>
          <t>Yes</t>
        </is>
      </c>
      <c r="G2" s="44" t="inlineStr">
        <is>
          <t>Yes</t>
        </is>
      </c>
      <c r="H2" s="44" t="inlineStr">
        <is>
          <t>Adderal form</t>
        </is>
      </c>
      <c r="I2" s="44" t="n">
        <v>10</v>
      </c>
      <c r="J2" s="44">
        <f>E2+I2</f>
        <v/>
      </c>
    </row>
    <row r="3">
      <c r="A3" s="44" t="inlineStr">
        <is>
          <t>Nicolette Batori</t>
        </is>
      </c>
      <c r="B3" s="45" t="n">
        <v>44794</v>
      </c>
      <c r="C3" s="44" t="n">
        <v>1.5</v>
      </c>
      <c r="D3" s="44" t="n">
        <v>50</v>
      </c>
      <c r="E3" s="44">
        <f>C3*D3</f>
        <v/>
      </c>
      <c r="F3" s="44" t="inlineStr">
        <is>
          <t>No</t>
        </is>
      </c>
      <c r="G3" s="44" t="inlineStr">
        <is>
          <t>Yes</t>
        </is>
      </c>
      <c r="H3" s="44" t="inlineStr">
        <is>
          <t>SAT/ACT overview, college talk/prep</t>
        </is>
      </c>
      <c r="I3" s="44" t="n">
        <v>0</v>
      </c>
      <c r="J3" s="44">
        <f>E3+I3</f>
        <v/>
      </c>
    </row>
    <row r="4">
      <c r="A4" s="44" t="inlineStr">
        <is>
          <t>Maddie Wilson</t>
        </is>
      </c>
      <c r="B4" s="45" t="n">
        <v>44794</v>
      </c>
      <c r="C4" s="44" t="n">
        <v>1</v>
      </c>
      <c r="D4" s="44" t="n">
        <v>50</v>
      </c>
      <c r="E4" s="44">
        <f>C4*D4</f>
        <v/>
      </c>
      <c r="F4" s="44" t="inlineStr">
        <is>
          <t>No</t>
        </is>
      </c>
      <c r="G4" s="44" t="inlineStr">
        <is>
          <t>No</t>
        </is>
      </c>
      <c r="H4" s="44" t="inlineStr">
        <is>
          <t>ACT Science</t>
        </is>
      </c>
      <c r="I4" s="44" t="n"/>
      <c r="J4" s="44">
        <f>E4+I4</f>
        <v/>
      </c>
    </row>
    <row r="5">
      <c r="A5" s="44" t="inlineStr">
        <is>
          <t>Sujay Penugonda</t>
        </is>
      </c>
      <c r="B5" s="45" t="n">
        <v>44796</v>
      </c>
      <c r="C5" s="44" t="n">
        <v>2</v>
      </c>
      <c r="D5" s="44" t="n">
        <v>50</v>
      </c>
      <c r="E5" s="44">
        <f>C5*D5</f>
        <v/>
      </c>
      <c r="F5" s="44" t="inlineStr">
        <is>
          <t>Yes</t>
        </is>
      </c>
      <c r="G5" s="44" t="inlineStr">
        <is>
          <t>Yes</t>
        </is>
      </c>
      <c r="H5" s="44" t="inlineStr">
        <is>
          <t>Essay</t>
        </is>
      </c>
      <c r="I5" s="44" t="n"/>
      <c r="J5" s="44">
        <f>E5+I5</f>
        <v/>
      </c>
      <c r="O5" s="46" t="inlineStr">
        <is>
          <t>Row Labels</t>
        </is>
      </c>
      <c r="P5" t="inlineStr">
        <is>
          <t>Sum of Hours</t>
        </is>
      </c>
      <c r="Q5" t="inlineStr">
        <is>
          <t>Sum of Coin</t>
        </is>
      </c>
    </row>
    <row r="6">
      <c r="A6" s="44" t="inlineStr">
        <is>
          <t>Maddie Wilson</t>
        </is>
      </c>
      <c r="B6" s="45" t="n">
        <v>44796</v>
      </c>
      <c r="C6" s="44" t="n">
        <v>2</v>
      </c>
      <c r="D6" s="44" t="n">
        <v>50</v>
      </c>
      <c r="E6" s="44">
        <f>C6*D6</f>
        <v/>
      </c>
      <c r="F6" s="44" t="inlineStr">
        <is>
          <t>No</t>
        </is>
      </c>
      <c r="G6" s="44" t="inlineStr">
        <is>
          <t>No</t>
        </is>
      </c>
      <c r="H6" s="44" t="inlineStr">
        <is>
          <t>ACT Math, college essay</t>
        </is>
      </c>
      <c r="I6" s="44" t="n"/>
      <c r="J6" s="44">
        <f>E6+I6</f>
        <v/>
      </c>
      <c r="O6" s="47" t="inlineStr">
        <is>
          <t>Caroline Frey</t>
        </is>
      </c>
      <c r="P6" t="n">
        <v>0.5</v>
      </c>
      <c r="Q6" t="n">
        <v>25</v>
      </c>
    </row>
    <row r="7">
      <c r="A7" s="44" t="inlineStr">
        <is>
          <t>Matthew Aasen</t>
        </is>
      </c>
      <c r="B7" s="45" t="n">
        <v>44796</v>
      </c>
      <c r="C7" s="44" t="n">
        <v>0.5</v>
      </c>
      <c r="D7" s="44" t="n">
        <v>50</v>
      </c>
      <c r="E7" s="44">
        <f>C7*D7</f>
        <v/>
      </c>
      <c r="F7" s="44" t="inlineStr">
        <is>
          <t>Yes</t>
        </is>
      </c>
      <c r="G7" s="44" t="inlineStr">
        <is>
          <t>Yes</t>
        </is>
      </c>
      <c r="H7" s="44" t="inlineStr">
        <is>
          <t>2nd read common app</t>
        </is>
      </c>
      <c r="I7" s="44" t="n"/>
      <c r="J7" s="44">
        <f>E7+I7</f>
        <v/>
      </c>
      <c r="O7" s="47" t="inlineStr">
        <is>
          <t>Maddie Wilson</t>
        </is>
      </c>
      <c r="P7" t="n">
        <v>3</v>
      </c>
      <c r="Q7" t="n">
        <v>150</v>
      </c>
    </row>
    <row r="8">
      <c r="O8" s="47" t="inlineStr">
        <is>
          <t>Matthew Aasen</t>
        </is>
      </c>
      <c r="P8" t="n">
        <v>0.5</v>
      </c>
      <c r="Q8" t="n">
        <v>25</v>
      </c>
    </row>
    <row r="9">
      <c r="O9" s="47" t="inlineStr">
        <is>
          <t>Nicolette Batori</t>
        </is>
      </c>
      <c r="P9" t="n">
        <v>1.5</v>
      </c>
      <c r="Q9" t="n">
        <v>75</v>
      </c>
    </row>
    <row r="10">
      <c r="J10" s="36">
        <f>SUM(J2:J7)</f>
        <v/>
      </c>
      <c r="O10" s="47" t="inlineStr">
        <is>
          <t>Sujay Penugonda</t>
        </is>
      </c>
      <c r="P10" t="n">
        <v>2</v>
      </c>
      <c r="Q10" t="n">
        <v>100</v>
      </c>
    </row>
    <row r="11">
      <c r="O11" s="47" t="inlineStr">
        <is>
          <t>Grand Total</t>
        </is>
      </c>
      <c r="P11" t="n">
        <v>7.5</v>
      </c>
      <c r="Q11" t="n">
        <v>375</v>
      </c>
    </row>
    <row r="12">
      <c r="J12" s="36" t="inlineStr">
        <is>
          <t>BALANCED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tabColor theme="5" tint="-0.499984740745262"/>
    <outlinePr summaryBelow="1" summaryRight="1"/>
    <pageSetUpPr fitToPage="1"/>
  </sheetPr>
  <dimension ref="A1:AV61"/>
  <sheetViews>
    <sheetView showGridLines="0" tabSelected="1" zoomScale="55" zoomScaleNormal="100" workbookViewId="0">
      <selection activeCell="S16" sqref="S16"/>
    </sheetView>
  </sheetViews>
  <sheetFormatPr baseColWidth="8" defaultColWidth="8.7109375" defaultRowHeight="15"/>
  <cols>
    <col width="4.7109375" bestFit="1" customWidth="1" style="332" min="2" max="2"/>
    <col width="28.7109375" bestFit="1" customWidth="1" style="332" min="3" max="3"/>
    <col hidden="1" outlineLevel="1" width="13.140625" customWidth="1" style="627" min="4" max="4"/>
    <col hidden="1" outlineLevel="1" width="12.42578125" customWidth="1" style="627" min="5" max="5"/>
    <col hidden="1" outlineLevel="1" width="13" customWidth="1" style="627" min="6" max="6"/>
    <col hidden="1" outlineLevel="1" collapsed="1" width="12.42578125" customWidth="1" style="627" min="7" max="14"/>
    <col hidden="1" outlineLevel="1" width="12.42578125" customWidth="1" style="627" min="15" max="15"/>
    <col hidden="1" outlineLevel="1" collapsed="1" width="12.42578125" customWidth="1" style="627" min="16" max="16"/>
    <col hidden="1" outlineLevel="1" width="12.42578125" customWidth="1" style="627" min="17" max="17"/>
    <col collapsed="1" width="12.7109375" customWidth="1" style="627" min="18" max="19"/>
    <col hidden="1" outlineLevel="1" width="13" customWidth="1" style="627" min="20" max="22"/>
    <col hidden="1" outlineLevel="1" collapsed="1" width="11.7109375" customWidth="1" style="627" min="23" max="23"/>
    <col hidden="1" outlineLevel="1" collapsed="1" width="12.42578125" customWidth="1" style="627" min="24" max="24"/>
    <col hidden="1" outlineLevel="1" collapsed="1" width="11.7109375" customWidth="1" style="627" min="25" max="27"/>
    <col hidden="1" outlineLevel="1" collapsed="1" width="12.42578125" customWidth="1" style="627" min="28" max="28"/>
    <col hidden="1" outlineLevel="1" collapsed="1" width="13.42578125" customWidth="1" style="627" min="29" max="29"/>
    <col hidden="1" outlineLevel="1" width="13.42578125" customWidth="1" style="627" min="30" max="30"/>
    <col hidden="1" outlineLevel="1" collapsed="1" width="13.42578125" customWidth="1" style="627" min="31" max="31"/>
    <col hidden="1" outlineLevel="1" width="13.42578125" customWidth="1" style="627" min="32" max="32"/>
    <col collapsed="1" width="13.42578125" customWidth="1" style="627" min="33" max="34"/>
    <col hidden="1" outlineLevel="1" width="13" customWidth="1" style="627" min="35" max="35"/>
    <col hidden="1" outlineLevel="1" collapsed="1" width="13" customWidth="1" style="627" min="36" max="38"/>
    <col hidden="1" outlineLevel="1" width="13" customWidth="1" style="627" min="39" max="39"/>
    <col hidden="1" outlineLevel="1" collapsed="1" width="14.140625" customWidth="1" style="627" min="40" max="40"/>
    <col hidden="1" outlineLevel="1" width="10.7109375" customWidth="1" style="627" min="41" max="43"/>
    <col hidden="1" outlineLevel="1" width="12.85546875" customWidth="1" style="627" min="44" max="44"/>
    <col collapsed="1" width="10.7109375" customWidth="1" style="627" min="45" max="45"/>
    <col hidden="1" outlineLevel="1" width="10.7109375" customWidth="1" style="627" min="46" max="46"/>
    <col collapsed="1" width="16.28515625" bestFit="1" customWidth="1" style="627" min="47" max="47"/>
    <col width="20.140625" bestFit="1" customWidth="1" style="627" min="48" max="48"/>
  </cols>
  <sheetData>
    <row r="1"/>
    <row r="2"/>
    <row r="3"/>
    <row r="4"/>
    <row r="5"/>
    <row r="6"/>
    <row r="7"/>
    <row r="8"/>
    <row r="9"/>
    <row r="10"/>
    <row r="11"/>
    <row r="12"/>
    <row r="13" ht="15.75" customHeight="1" s="627" thickBot="1"/>
    <row r="14" ht="17.25" customHeight="1" s="627" thickBot="1" thickTop="1">
      <c r="B14" s="948" t="n">
        <v>45991</v>
      </c>
      <c r="C14" s="644" t="n"/>
      <c r="D14" s="644" t="n"/>
      <c r="E14" s="644" t="n"/>
      <c r="F14" s="644" t="n"/>
      <c r="G14" s="644" t="n"/>
      <c r="H14" s="644" t="n"/>
      <c r="I14" s="644" t="n"/>
      <c r="J14" s="644" t="n"/>
      <c r="K14" s="644" t="n"/>
      <c r="L14" s="644" t="n"/>
      <c r="M14" s="644" t="n"/>
      <c r="N14" s="644" t="n"/>
      <c r="O14" s="644" t="n"/>
      <c r="P14" s="644" t="n"/>
      <c r="Q14" s="644" t="n"/>
      <c r="R14" s="644" t="n"/>
      <c r="S14" s="644" t="n"/>
      <c r="T14" s="644" t="n"/>
      <c r="U14" s="644" t="n"/>
      <c r="V14" s="644" t="n"/>
      <c r="W14" s="644" t="n"/>
      <c r="X14" s="644" t="n"/>
      <c r="Y14" s="644" t="n"/>
      <c r="Z14" s="644" t="n"/>
      <c r="AA14" s="644" t="n"/>
      <c r="AB14" s="644" t="n"/>
      <c r="AC14" s="644" t="n"/>
      <c r="AD14" s="644" t="n"/>
      <c r="AE14" s="644" t="n"/>
      <c r="AF14" s="644" t="n"/>
      <c r="AG14" s="644" t="n"/>
      <c r="AH14" s="644" t="n"/>
      <c r="AI14" s="644" t="n"/>
      <c r="AJ14" s="644" t="n"/>
      <c r="AK14" s="644" t="n"/>
      <c r="AL14" s="644" t="n"/>
      <c r="AM14" s="644" t="n"/>
      <c r="AN14" s="644" t="n"/>
      <c r="AO14" s="644" t="n"/>
      <c r="AP14" s="644" t="n"/>
      <c r="AQ14" s="644" t="n"/>
      <c r="AR14" s="644" t="n"/>
      <c r="AS14" s="644" t="n"/>
      <c r="AT14" s="644" t="n"/>
      <c r="AU14" s="644" t="n"/>
      <c r="AV14" s="645" t="n"/>
    </row>
    <row r="15" ht="15.75" customHeight="1" s="627" thickTop="1">
      <c r="B15" s="333" t="n"/>
      <c r="C15" s="364" t="n"/>
      <c r="D15" s="554" t="n">
        <v>45535</v>
      </c>
      <c r="E15" s="554" t="n">
        <v>45565</v>
      </c>
      <c r="F15" s="554" t="n">
        <v>45596</v>
      </c>
      <c r="G15" s="554" t="n">
        <v>45626</v>
      </c>
      <c r="H15" s="554" t="n">
        <v>45657</v>
      </c>
      <c r="I15" s="553" t="n">
        <v>45688</v>
      </c>
      <c r="J15" s="554" t="n">
        <v>45716</v>
      </c>
      <c r="K15" s="553" t="n">
        <v>45747</v>
      </c>
      <c r="L15" s="554" t="n">
        <v>45777</v>
      </c>
      <c r="M15" s="553" t="n">
        <v>45808</v>
      </c>
      <c r="N15" s="554" t="n">
        <v>45838</v>
      </c>
      <c r="O15" s="554" t="n">
        <v>45869</v>
      </c>
      <c r="P15" s="554" t="n">
        <v>45900</v>
      </c>
      <c r="Q15" s="554" t="n">
        <v>45930</v>
      </c>
      <c r="R15" s="335" t="n">
        <v>45961</v>
      </c>
      <c r="S15" s="334" t="inlineStr">
        <is>
          <t>Forecast</t>
        </is>
      </c>
      <c r="T15" s="554" t="n">
        <v>45565</v>
      </c>
      <c r="U15" s="554" t="n">
        <v>45596</v>
      </c>
      <c r="V15" s="554" t="n">
        <v>45626</v>
      </c>
      <c r="W15" s="554" t="n">
        <v>45657</v>
      </c>
      <c r="X15" s="553" t="n">
        <v>45688</v>
      </c>
      <c r="Y15" s="554" t="n">
        <v>45716</v>
      </c>
      <c r="Z15" s="553" t="n">
        <v>45747</v>
      </c>
      <c r="AA15" s="554" t="n">
        <v>45777</v>
      </c>
      <c r="AB15" s="554" t="n">
        <v>45808</v>
      </c>
      <c r="AC15" s="554" t="n">
        <v>45838</v>
      </c>
      <c r="AD15" s="554" t="n">
        <v>45869</v>
      </c>
      <c r="AE15" s="554" t="n">
        <v>45900</v>
      </c>
      <c r="AF15" s="554" t="n">
        <v>45930</v>
      </c>
      <c r="AG15" s="335" t="n">
        <v>45961</v>
      </c>
      <c r="AH15" s="335" t="inlineStr">
        <is>
          <t>Actual</t>
        </is>
      </c>
      <c r="AI15" s="553" t="n">
        <v>45688</v>
      </c>
      <c r="AJ15" s="553" t="n">
        <v>45716</v>
      </c>
      <c r="AK15" s="553" t="n">
        <v>45747</v>
      </c>
      <c r="AL15" s="553" t="n">
        <v>45777</v>
      </c>
      <c r="AM15" s="553" t="n">
        <v>45808</v>
      </c>
      <c r="AN15" s="553" t="n">
        <v>45838</v>
      </c>
      <c r="AO15" s="553" t="n">
        <v>45869</v>
      </c>
      <c r="AP15" s="553" t="n">
        <v>45900</v>
      </c>
      <c r="AQ15" s="553" t="n">
        <v>45930</v>
      </c>
      <c r="AR15" s="553" t="n">
        <v>45961</v>
      </c>
      <c r="AS15" s="529" t="inlineStr">
        <is>
          <t>Budget</t>
        </is>
      </c>
      <c r="AT15" s="553" t="n">
        <v>46022</v>
      </c>
      <c r="AU15" s="336" t="inlineStr">
        <is>
          <t>Variance (Forecast)</t>
        </is>
      </c>
      <c r="AV15" s="336" t="inlineStr">
        <is>
          <t>Variance (Budget)</t>
        </is>
      </c>
    </row>
    <row r="16">
      <c r="B16" s="631" t="inlineStr">
        <is>
          <t>Total Income</t>
        </is>
      </c>
      <c r="C16" s="632" t="n"/>
      <c r="D16" s="949" t="n">
        <v>12767.59317771841</v>
      </c>
      <c r="E16" s="949" t="n">
        <v>6113.171194376149</v>
      </c>
      <c r="F16" s="949" t="n">
        <v>6127.585754232034</v>
      </c>
      <c r="G16" s="949" t="n">
        <v>6569.608575612267</v>
      </c>
      <c r="H16" s="949" t="n">
        <v>5526.455958207148</v>
      </c>
      <c r="I16" s="949" t="n">
        <v>7567.276701019865</v>
      </c>
      <c r="J16" s="949" t="n">
        <v>7549.45770589401</v>
      </c>
      <c r="K16" s="949" t="n">
        <v>6427.326148621884</v>
      </c>
      <c r="L16" s="949" t="n">
        <v>5052.101564344928</v>
      </c>
      <c r="M16" s="950" t="n">
        <v>5184.02360731048</v>
      </c>
      <c r="N16" s="951" t="n">
        <v>5656.027965600406</v>
      </c>
      <c r="O16" s="951" t="n">
        <v>7290.183838774856</v>
      </c>
      <c r="P16" s="951" t="n">
        <v>6944.7902569927</v>
      </c>
      <c r="Q16" s="951" t="n">
        <v>7864.408659199546</v>
      </c>
      <c r="R16" s="951" t="n">
        <v>8702.983976495929</v>
      </c>
      <c r="S16" s="951">
        <f>+SUMIF('Monthly Detail'!$4:$4, $B$14,'Monthly Detail'!$13:$13)</f>
        <v/>
      </c>
      <c r="T16" s="951" t="n">
        <v>4188</v>
      </c>
      <c r="U16" s="951" t="n">
        <v>4938.75</v>
      </c>
      <c r="V16" s="951" t="n">
        <v>4938.75</v>
      </c>
      <c r="W16" s="951" t="n">
        <v>6152</v>
      </c>
      <c r="X16" s="951" t="n">
        <v>6721.05</v>
      </c>
      <c r="Y16" s="951" t="n">
        <v>6501.14</v>
      </c>
      <c r="Z16" s="951" t="n">
        <v>7108.5</v>
      </c>
      <c r="AA16" s="951" t="n">
        <v>7861.75</v>
      </c>
      <c r="AB16" s="951" t="n">
        <v>7877.62</v>
      </c>
      <c r="AC16" s="951" t="n">
        <v>6887.45</v>
      </c>
      <c r="AD16" s="951" t="n">
        <v>7418.55</v>
      </c>
      <c r="AE16" s="951" t="n">
        <v>7653.35</v>
      </c>
      <c r="AF16" s="951" t="n">
        <v>6170.45</v>
      </c>
      <c r="AG16" s="951" t="n">
        <v>6998.25</v>
      </c>
      <c r="AH16" s="951">
        <f>+SUMIF('Monthly Detail'!$4:$4, $B$14,'Monthly Detail'!$13:$13)</f>
        <v/>
      </c>
      <c r="AI16" s="951" t="n">
        <v>7249.713822177183</v>
      </c>
      <c r="AJ16" s="951" t="n">
        <v>4913.487172602487</v>
      </c>
      <c r="AK16" s="951" t="n">
        <v>6536.715075223894</v>
      </c>
      <c r="AL16" s="951" t="n">
        <v>9380.610594964161</v>
      </c>
      <c r="AM16" s="951" t="n">
        <v>10754.41670071042</v>
      </c>
      <c r="AN16" s="951" t="n">
        <v>10296.46902583344</v>
      </c>
      <c r="AO16" s="951" t="n">
        <v>8231.418983615276</v>
      </c>
      <c r="AP16" s="951" t="n">
        <v>7580.179255382011</v>
      </c>
      <c r="AQ16" s="951" t="n">
        <v>6911.512149507868</v>
      </c>
      <c r="AR16" s="951" t="n">
        <v>7871.841058711183</v>
      </c>
      <c r="AS16" s="951" t="n">
        <v>7017.707274880775</v>
      </c>
      <c r="AT16" s="951" t="n">
        <v>8571.167262856077</v>
      </c>
      <c r="AU16" s="952">
        <f>+AH16-S16</f>
        <v/>
      </c>
      <c r="AV16" s="952">
        <f>+AH16-AS16</f>
        <v/>
      </c>
    </row>
    <row r="17">
      <c r="B17" s="641" t="inlineStr">
        <is>
          <t>KPIs</t>
        </is>
      </c>
      <c r="C17" s="372" t="inlineStr">
        <is>
          <t># of Successful Appointments</t>
        </is>
      </c>
      <c r="D17" s="339" t="n">
        <v>256.5106531104312</v>
      </c>
      <c r="E17" s="339" t="n">
        <v>54.70095637546731</v>
      </c>
      <c r="F17" s="339" t="n">
        <v>60.50958117209161</v>
      </c>
      <c r="G17" s="339" t="n">
        <v>80.17712632335673</v>
      </c>
      <c r="H17" s="339" t="n">
        <v>67.42200306550231</v>
      </c>
      <c r="I17" s="339" t="n">
        <v>74.91958328614891</v>
      </c>
      <c r="J17" s="339" t="n">
        <v>82.98111545564328</v>
      </c>
      <c r="K17" s="339" t="n">
        <v>86.77903868827107</v>
      </c>
      <c r="L17" s="339" t="n">
        <v>108.8789426823022</v>
      </c>
      <c r="M17" s="534" t="n">
        <v>114.8966203641861</v>
      </c>
      <c r="N17" s="340" t="n">
        <v>112.5985825634105</v>
      </c>
      <c r="O17" s="340" t="n">
        <v>88.89430496201329</v>
      </c>
      <c r="P17" s="340" t="n">
        <v>90.04653400018786</v>
      </c>
      <c r="Q17" s="340" t="n">
        <v>58.76425408568266</v>
      </c>
      <c r="R17" s="340" t="n">
        <v>79.39651691981237</v>
      </c>
      <c r="S17" s="340">
        <f>+SUMIF('Monthly Detail'!$4:$4, $B$14,'Monthly Detail'!15:15)</f>
        <v/>
      </c>
      <c r="T17" s="340" t="n">
        <v>48</v>
      </c>
      <c r="U17" s="340" t="n">
        <v>50</v>
      </c>
      <c r="V17" s="340" t="n">
        <v>50</v>
      </c>
      <c r="W17" s="340" t="n">
        <v>61</v>
      </c>
      <c r="X17" s="340" t="n">
        <v>66</v>
      </c>
      <c r="Y17" s="340" t="n">
        <v>69</v>
      </c>
      <c r="Z17" s="340" t="n">
        <v>68</v>
      </c>
      <c r="AA17" s="340" t="n">
        <v>82</v>
      </c>
      <c r="AB17" s="340" t="n">
        <v>83</v>
      </c>
      <c r="AC17" s="340" t="n">
        <v>72</v>
      </c>
      <c r="AD17" s="340" t="n">
        <v>76</v>
      </c>
      <c r="AE17" s="340" t="n">
        <v>73</v>
      </c>
      <c r="AF17" s="340" t="n">
        <v>62</v>
      </c>
      <c r="AG17" s="340" t="n">
        <v>72</v>
      </c>
      <c r="AH17" s="340">
        <f>+SUMIF('Monthly Detail'!$4:$4, $B$14,'Monthly Detail'!15:15)</f>
        <v/>
      </c>
      <c r="AI17" s="340" t="n">
        <v>80.37005233592272</v>
      </c>
      <c r="AJ17" s="340" t="n">
        <v>59.79400846481715</v>
      </c>
      <c r="AK17" s="340" t="n">
        <v>75.75967415903979</v>
      </c>
      <c r="AL17" s="340" t="n">
        <v>108.7200518775831</v>
      </c>
      <c r="AM17" s="340" t="n">
        <v>130.3078436724258</v>
      </c>
      <c r="AN17" s="340" t="n">
        <v>113.6521252369212</v>
      </c>
      <c r="AO17" s="340" t="n">
        <v>95.4010711632353</v>
      </c>
      <c r="AP17" s="340" t="n">
        <v>92.03677764469163</v>
      </c>
      <c r="AQ17" s="340" t="n">
        <v>76.46245406775074</v>
      </c>
      <c r="AR17" s="340" t="n">
        <v>91.23360996720258</v>
      </c>
      <c r="AS17" s="340" t="n">
        <v>85.8528837754976</v>
      </c>
      <c r="AT17" s="340" t="n">
        <v>94.6082946241726</v>
      </c>
      <c r="AU17" s="953">
        <f>+AH17-S17</f>
        <v/>
      </c>
      <c r="AV17" s="953">
        <f>+AH17-AS17</f>
        <v/>
      </c>
    </row>
    <row r="18">
      <c r="B18" s="642" t="n"/>
      <c r="C18" s="373" t="inlineStr">
        <is>
          <t># of Active Clients</t>
        </is>
      </c>
      <c r="D18" s="954" t="n">
        <v>165.8729396557061</v>
      </c>
      <c r="E18" s="954" t="n">
        <v>50.53206131682892</v>
      </c>
      <c r="F18" s="954" t="n">
        <v>52.40437168483685</v>
      </c>
      <c r="G18" s="954" t="n">
        <v>68.51163219316857</v>
      </c>
      <c r="H18" s="954" t="n">
        <v>57.61233518299274</v>
      </c>
      <c r="I18" s="954" t="n">
        <v>64.01904345467689</v>
      </c>
      <c r="J18" s="954" t="n">
        <v>70.90765062029564</v>
      </c>
      <c r="K18" s="954" t="n">
        <v>74.15298917935404</v>
      </c>
      <c r="L18" s="954" t="n">
        <v>92.12833611579413</v>
      </c>
      <c r="M18" s="955" t="n">
        <v>96.68130250157127</v>
      </c>
      <c r="N18" s="956" t="n">
        <v>97.58543822162243</v>
      </c>
      <c r="O18" s="956" t="n">
        <v>72.73170405982906</v>
      </c>
      <c r="P18" s="956" t="n">
        <v>79.09492851367852</v>
      </c>
      <c r="Q18" s="956" t="n">
        <v>51.41872232497233</v>
      </c>
      <c r="R18" s="342" t="n">
        <v>64.69345823095823</v>
      </c>
      <c r="S18" s="342">
        <f>+SUMIF('Monthly Detail'!$4:$4, $B$14,'Monthly Detail'!16:16)</f>
        <v/>
      </c>
      <c r="T18" s="342" t="n">
        <v>42</v>
      </c>
      <c r="U18" s="342" t="n">
        <v>46</v>
      </c>
      <c r="V18" s="342" t="n">
        <v>46</v>
      </c>
      <c r="W18" s="342" t="n">
        <v>54</v>
      </c>
      <c r="X18" s="342" t="n">
        <v>59</v>
      </c>
      <c r="Y18" s="342" t="n">
        <v>59</v>
      </c>
      <c r="Z18" s="342" t="n">
        <v>63</v>
      </c>
      <c r="AA18" s="342" t="n">
        <v>69</v>
      </c>
      <c r="AB18" s="342" t="n">
        <v>78</v>
      </c>
      <c r="AC18" s="342" t="n">
        <v>62</v>
      </c>
      <c r="AD18" s="342" t="n">
        <v>67</v>
      </c>
      <c r="AE18" s="342" t="n">
        <v>60</v>
      </c>
      <c r="AF18" s="342" t="n">
        <v>54</v>
      </c>
      <c r="AG18" s="342" t="n">
        <v>58</v>
      </c>
      <c r="AH18" s="342">
        <f>+SUMIF('Monthly Detail'!$4:$4, $B$14,'Monthly Detail'!16:16)</f>
        <v/>
      </c>
      <c r="AI18" s="342" t="n">
        <v>65.97541609665298</v>
      </c>
      <c r="AJ18" s="342" t="n">
        <v>55.75387275773491</v>
      </c>
      <c r="AK18" s="342" t="n">
        <v>66.9046473092819</v>
      </c>
      <c r="AL18" s="342" t="n">
        <v>91.99389005026261</v>
      </c>
      <c r="AM18" s="342" t="n">
        <v>109.649283090212</v>
      </c>
      <c r="AN18" s="342" t="n">
        <v>98.49850853866501</v>
      </c>
      <c r="AO18" s="342" t="n">
        <v>78.05542186082887</v>
      </c>
      <c r="AP18" s="342" t="n">
        <v>80.84311549871562</v>
      </c>
      <c r="AQ18" s="342" t="n">
        <v>66.9046473092819</v>
      </c>
      <c r="AR18" s="342" t="n">
        <v>74.33849701031322</v>
      </c>
      <c r="AS18" s="342" t="n">
        <v>78.98465307345779</v>
      </c>
      <c r="AT18" s="342" t="n">
        <v>80.84311549871562</v>
      </c>
      <c r="AU18" s="957">
        <f>+AH18-S18</f>
        <v/>
      </c>
      <c r="AV18" s="957">
        <f>+AH18-AS18</f>
        <v/>
      </c>
    </row>
    <row r="19">
      <c r="B19" s="642" t="n"/>
      <c r="C19" s="374" t="inlineStr">
        <is>
          <t># of Recurring Client Base</t>
        </is>
      </c>
      <c r="D19" s="341" t="n">
        <v>100.6295833911283</v>
      </c>
      <c r="E19" s="341" t="n">
        <v>26.84515757456537</v>
      </c>
      <c r="F19" s="341" t="n">
        <v>46.16575600807056</v>
      </c>
      <c r="G19" s="341" t="n">
        <v>30.10359596366498</v>
      </c>
      <c r="H19" s="341" t="n">
        <v>35.06837793747384</v>
      </c>
      <c r="I19" s="341" t="n">
        <v>29.63844604383189</v>
      </c>
      <c r="J19" s="341" t="n">
        <v>42.06386053746352</v>
      </c>
      <c r="K19" s="341" t="n">
        <v>40.21857040236151</v>
      </c>
      <c r="L19" s="341" t="n">
        <v>45.33299078713679</v>
      </c>
      <c r="M19" s="536" t="n">
        <v>42.03534891372664</v>
      </c>
      <c r="N19" s="342" t="n">
        <v>47.54162374899554</v>
      </c>
      <c r="O19" s="342" t="n">
        <v>43.40440403570444</v>
      </c>
      <c r="P19" s="342" t="n">
        <v>40.1377249173891</v>
      </c>
      <c r="Q19" s="342" t="n">
        <v>27.42331857331857</v>
      </c>
      <c r="R19" s="342" t="n">
        <v>43.12897215397216</v>
      </c>
      <c r="S19" s="342">
        <f>+SUMIF('Monthly Detail'!$4:$4, $B$14,'Monthly Detail'!17:17)</f>
        <v/>
      </c>
      <c r="T19" s="342" t="n">
        <v>37</v>
      </c>
      <c r="U19" s="342" t="n">
        <v>28</v>
      </c>
      <c r="V19" s="342" t="n">
        <v>28</v>
      </c>
      <c r="W19" s="342" t="n">
        <v>25</v>
      </c>
      <c r="X19" s="342" t="n">
        <v>35</v>
      </c>
      <c r="Y19" s="342" t="n">
        <v>32</v>
      </c>
      <c r="Z19" s="342" t="n">
        <v>31</v>
      </c>
      <c r="AA19" s="342" t="n">
        <v>30</v>
      </c>
      <c r="AB19" s="342" t="n">
        <v>38</v>
      </c>
      <c r="AC19" s="342" t="n">
        <v>37</v>
      </c>
      <c r="AD19" s="342" t="n">
        <v>34</v>
      </c>
      <c r="AE19" s="342" t="n">
        <v>32</v>
      </c>
      <c r="AF19" s="342" t="n">
        <v>36</v>
      </c>
      <c r="AG19" s="342" t="n">
        <v>33</v>
      </c>
      <c r="AH19" s="342">
        <f>+SUMIF('Monthly Detail'!$4:$4, $B$14,'Monthly Detail'!17:17)</f>
        <v/>
      </c>
      <c r="AI19" s="342" t="n">
        <v>40.15894892839746</v>
      </c>
      <c r="AJ19" s="342" t="n">
        <v>33.93713993949081</v>
      </c>
      <c r="AK19" s="342" t="n">
        <v>40.72456792738898</v>
      </c>
      <c r="AL19" s="342" t="n">
        <v>55.99628090015985</v>
      </c>
      <c r="AM19" s="342" t="n">
        <v>66.7430418809986</v>
      </c>
      <c r="AN19" s="342" t="n">
        <v>59.95561389310043</v>
      </c>
      <c r="AO19" s="342" t="n">
        <v>47.51199591528713</v>
      </c>
      <c r="AP19" s="342" t="n">
        <v>49.20885291226168</v>
      </c>
      <c r="AQ19" s="342" t="n">
        <v>40.72456792738897</v>
      </c>
      <c r="AR19" s="342" t="n">
        <v>45.24951991932109</v>
      </c>
      <c r="AS19" s="342" t="n">
        <v>48.07761491427866</v>
      </c>
      <c r="AT19" s="342" t="n">
        <v>49.20885291226168</v>
      </c>
      <c r="AU19" s="957">
        <f>+AH19-S19</f>
        <v/>
      </c>
      <c r="AV19" s="957">
        <f>+AH19-AS19</f>
        <v/>
      </c>
    </row>
    <row r="20">
      <c r="B20" s="642" t="n"/>
      <c r="C20" s="375" t="inlineStr">
        <is>
          <t>Net New Prospective Clients</t>
        </is>
      </c>
      <c r="D20" s="341" t="n">
        <v>19</v>
      </c>
      <c r="E20" s="958" t="n">
        <v>-19</v>
      </c>
      <c r="F20" s="958" t="n">
        <v>14</v>
      </c>
      <c r="G20" s="958" t="n">
        <v>4</v>
      </c>
      <c r="H20" s="958" t="n">
        <v>15</v>
      </c>
      <c r="I20" s="958" t="n">
        <v>12</v>
      </c>
      <c r="J20" s="958" t="n">
        <v>12</v>
      </c>
      <c r="K20" s="958" t="n">
        <v>14</v>
      </c>
      <c r="L20" s="958" t="n">
        <v>31</v>
      </c>
      <c r="M20" s="959" t="n">
        <v>30</v>
      </c>
      <c r="N20" s="960" t="n">
        <v>21</v>
      </c>
      <c r="O20" s="960" t="n">
        <v>11</v>
      </c>
      <c r="P20" s="960" t="n">
        <v>8</v>
      </c>
      <c r="Q20" s="960" t="n">
        <v>-12</v>
      </c>
      <c r="R20" s="347" t="n">
        <v>12</v>
      </c>
      <c r="S20" s="347">
        <f>+SUMIF('Monthly Detail'!$4:$4, $B$14,'Monthly Detail'!18:18)</f>
        <v/>
      </c>
      <c r="T20" s="960" t="n">
        <v>-23</v>
      </c>
      <c r="U20" s="960" t="n">
        <v>-20</v>
      </c>
      <c r="V20" s="960" t="n">
        <v>-20</v>
      </c>
      <c r="W20" s="960" t="n">
        <v>8</v>
      </c>
      <c r="X20" s="960" t="n">
        <v>5</v>
      </c>
      <c r="Y20" s="960" t="n">
        <v>0</v>
      </c>
      <c r="Z20" s="960" t="n">
        <v>4</v>
      </c>
      <c r="AA20" s="960" t="n">
        <v>6</v>
      </c>
      <c r="AB20" s="960" t="n">
        <v>9</v>
      </c>
      <c r="AC20" s="960" t="n">
        <v>-15</v>
      </c>
      <c r="AD20" s="960" t="n">
        <v>5</v>
      </c>
      <c r="AE20" s="960" t="n">
        <v>-7</v>
      </c>
      <c r="AF20" s="960" t="n">
        <v>-6</v>
      </c>
      <c r="AG20" s="960" t="n">
        <v>3</v>
      </c>
      <c r="AH20" s="960">
        <f>+SUMIF('Monthly Detail'!$4:$4, $B$14,'Monthly Detail'!18:18)</f>
        <v/>
      </c>
      <c r="AI20" s="960" t="n">
        <v>9</v>
      </c>
      <c r="AJ20" s="960" t="n">
        <v>-11</v>
      </c>
      <c r="AK20" s="960" t="n">
        <v>12</v>
      </c>
      <c r="AL20" s="960" t="n">
        <v>27</v>
      </c>
      <c r="AM20" s="960" t="n">
        <v>19</v>
      </c>
      <c r="AN20" s="960" t="n">
        <v>-12</v>
      </c>
      <c r="AO20" s="960" t="n">
        <v>-22</v>
      </c>
      <c r="AP20" s="960" t="n">
        <v>3</v>
      </c>
      <c r="AQ20" s="960" t="n">
        <v>-15</v>
      </c>
      <c r="AR20" s="960" t="n">
        <v>8</v>
      </c>
      <c r="AS20" s="960" t="n">
        <v>5</v>
      </c>
      <c r="AT20" s="960" t="n">
        <v>2</v>
      </c>
      <c r="AU20" s="957">
        <f>+AH20-S20</f>
        <v/>
      </c>
      <c r="AV20" s="957">
        <f>+AH20-AS20</f>
        <v/>
      </c>
    </row>
    <row r="21">
      <c r="B21" s="642" t="n"/>
      <c r="C21" s="375" t="inlineStr">
        <is>
          <t># of Anticipated Appointments</t>
        </is>
      </c>
      <c r="D21" s="341" t="n">
        <v>283.233515149118</v>
      </c>
      <c r="E21" s="341" t="n">
        <v>61.12007321080883</v>
      </c>
      <c r="F21" s="341" t="n">
        <v>65.67094844644865</v>
      </c>
      <c r="G21" s="341" t="n">
        <v>88.97389835821279</v>
      </c>
      <c r="H21" s="341" t="n">
        <v>72.95425430582317</v>
      </c>
      <c r="I21" s="341" t="n">
        <v>81.80371515287571</v>
      </c>
      <c r="J21" s="341" t="n">
        <v>89.24796527249309</v>
      </c>
      <c r="K21" s="341" t="n">
        <v>92.27822688745927</v>
      </c>
      <c r="L21" s="341" t="n">
        <v>114.0562672596267</v>
      </c>
      <c r="M21" s="536" t="n">
        <v>120.8528480204138</v>
      </c>
      <c r="N21" s="342" t="n">
        <v>118.4457973106252</v>
      </c>
      <c r="O21" s="342" t="n">
        <v>93.83671750442583</v>
      </c>
      <c r="P21" s="342" t="n">
        <v>96.26698822064208</v>
      </c>
      <c r="Q21" s="342" t="n">
        <v>65.51034595677453</v>
      </c>
      <c r="R21" s="342" t="n">
        <v>85.46376503117813</v>
      </c>
      <c r="S21" s="342">
        <f>+SUMIF('Monthly Detail'!$4:$4, $B$14,'Monthly Detail'!21:21)</f>
        <v/>
      </c>
      <c r="T21" s="342" t="n">
        <v>52</v>
      </c>
      <c r="U21" s="342" t="n">
        <v>55</v>
      </c>
      <c r="V21" s="342" t="n">
        <v>55</v>
      </c>
      <c r="W21" s="342" t="n">
        <v>66</v>
      </c>
      <c r="X21" s="342" t="n">
        <v>70</v>
      </c>
      <c r="Y21" s="342" t="n">
        <v>74</v>
      </c>
      <c r="Z21" s="342" t="n">
        <v>72</v>
      </c>
      <c r="AA21" s="342" t="n">
        <v>90</v>
      </c>
      <c r="AB21" s="342" t="n">
        <v>90</v>
      </c>
      <c r="AC21" s="342" t="n">
        <v>77</v>
      </c>
      <c r="AD21" s="342" t="n">
        <v>88</v>
      </c>
      <c r="AE21" s="342" t="n">
        <v>84</v>
      </c>
      <c r="AF21" s="342" t="n">
        <v>68</v>
      </c>
      <c r="AG21" s="342" t="n">
        <v>76</v>
      </c>
      <c r="AH21" s="342">
        <f>+SUMIF('Monthly Detail'!$4:$4, $B$14,'Monthly Detail'!21:21)</f>
        <v/>
      </c>
      <c r="AI21" s="342" t="n">
        <v>87.11225264247295</v>
      </c>
      <c r="AJ21" s="342" t="n">
        <v>67.83101369840942</v>
      </c>
      <c r="AK21" s="342" t="n">
        <v>81.7390750055215</v>
      </c>
      <c r="AL21" s="342" t="n">
        <v>116.2960192934871</v>
      </c>
      <c r="AM21" s="342" t="n">
        <v>141.1798488601841</v>
      </c>
      <c r="AN21" s="342" t="n">
        <v>126.6829096041637</v>
      </c>
      <c r="AO21" s="342" t="n">
        <v>106.7662836869274</v>
      </c>
      <c r="AP21" s="342" t="n">
        <v>101.5768847610152</v>
      </c>
      <c r="AQ21" s="342" t="n">
        <v>85.6661318322199</v>
      </c>
      <c r="AR21" s="342" t="n">
        <v>98.87985537397766</v>
      </c>
      <c r="AS21" s="342" t="n">
        <v>94.97624477221785</v>
      </c>
      <c r="AT21" s="342" t="n">
        <v>103.1935830017224</v>
      </c>
      <c r="AU21" s="957">
        <f>+AH21-S21</f>
        <v/>
      </c>
      <c r="AV21" s="957">
        <f>+AH21-AS21</f>
        <v/>
      </c>
    </row>
    <row r="22">
      <c r="B22" s="642" t="n"/>
      <c r="C22" s="375" t="inlineStr">
        <is>
          <t># of Anticipated Clients</t>
        </is>
      </c>
      <c r="D22" s="341" t="n">
        <v>175</v>
      </c>
      <c r="E22" s="341" t="n">
        <v>57</v>
      </c>
      <c r="F22" s="341" t="n">
        <v>57</v>
      </c>
      <c r="G22" s="341" t="n">
        <v>74</v>
      </c>
      <c r="H22" s="341" t="n">
        <v>62</v>
      </c>
      <c r="I22" s="341" t="n">
        <v>69</v>
      </c>
      <c r="J22" s="341" t="n">
        <v>75</v>
      </c>
      <c r="K22" s="341" t="n">
        <v>78</v>
      </c>
      <c r="L22" s="341" t="n">
        <v>96</v>
      </c>
      <c r="M22" s="536" t="n">
        <v>100</v>
      </c>
      <c r="N22" s="342" t="n">
        <v>101</v>
      </c>
      <c r="O22" s="342" t="n">
        <v>75</v>
      </c>
      <c r="P22" s="342" t="n">
        <v>82</v>
      </c>
      <c r="Q22" s="342" t="n">
        <v>54</v>
      </c>
      <c r="R22" s="342" t="n">
        <v>68</v>
      </c>
      <c r="S22" s="342">
        <f>+SUMIF('Monthly Detail'!$4:$4, $B$14,'Monthly Detail'!22:22)</f>
        <v/>
      </c>
      <c r="T22" s="342" t="n">
        <v>43</v>
      </c>
      <c r="U22" s="342" t="n">
        <v>47</v>
      </c>
      <c r="V22" s="342" t="n">
        <v>47</v>
      </c>
      <c r="W22" s="342" t="n">
        <v>57</v>
      </c>
      <c r="X22" s="342" t="n">
        <v>63</v>
      </c>
      <c r="Y22" s="342" t="n">
        <v>64</v>
      </c>
      <c r="Z22" s="342" t="n">
        <v>65</v>
      </c>
      <c r="AA22" s="342" t="n">
        <v>70</v>
      </c>
      <c r="AB22" s="342" t="n">
        <v>80</v>
      </c>
      <c r="AC22" s="342" t="n">
        <v>64</v>
      </c>
      <c r="AD22" s="342" t="n">
        <v>74</v>
      </c>
      <c r="AE22" s="342" t="n">
        <v>66</v>
      </c>
      <c r="AF22" s="342" t="n">
        <v>56</v>
      </c>
      <c r="AG22" s="342" t="n">
        <v>61</v>
      </c>
      <c r="AH22" s="342">
        <f>+SUMIF('Monthly Detail'!$4:$4, $B$14,'Monthly Detail'!22:22)</f>
        <v/>
      </c>
      <c r="AI22" s="342" t="n">
        <v>71</v>
      </c>
      <c r="AJ22" s="342" t="n">
        <v>60</v>
      </c>
      <c r="AK22" s="342" t="n">
        <v>72</v>
      </c>
      <c r="AL22" s="342" t="n">
        <v>99</v>
      </c>
      <c r="AM22" s="342" t="n">
        <v>118</v>
      </c>
      <c r="AN22" s="342" t="n">
        <v>106</v>
      </c>
      <c r="AO22" s="342" t="n">
        <v>84</v>
      </c>
      <c r="AP22" s="342" t="n">
        <v>87</v>
      </c>
      <c r="AQ22" s="342" t="n">
        <v>72</v>
      </c>
      <c r="AR22" s="342" t="n">
        <v>80</v>
      </c>
      <c r="AS22" s="342" t="n">
        <v>85</v>
      </c>
      <c r="AT22" s="342" t="n">
        <v>87</v>
      </c>
      <c r="AU22" s="957">
        <f>+AH22-S22</f>
        <v/>
      </c>
      <c r="AV22" s="957">
        <f>+AH22-AS22</f>
        <v/>
      </c>
    </row>
    <row r="23">
      <c r="B23" s="642" t="n"/>
      <c r="C23" s="375" t="inlineStr">
        <is>
          <t>Reschedule/Cancellation Rate</t>
        </is>
      </c>
      <c r="D23" s="961" t="n">
        <v>0.1156833854488607</v>
      </c>
      <c r="E23" s="961" t="n">
        <v>0.1146270863453843</v>
      </c>
      <c r="F23" s="961" t="n">
        <v>0.1075284848824383</v>
      </c>
      <c r="G23" s="961" t="n">
        <v>0.1086021238871118</v>
      </c>
      <c r="H23" s="961" t="n">
        <v>0.1106450248064172</v>
      </c>
      <c r="I23" s="961" t="n">
        <v>0.1128546207660132</v>
      </c>
      <c r="J23" s="961" t="n">
        <v>0.09495226995226996</v>
      </c>
      <c r="K23" s="961" t="n">
        <v>0.07969837969837971</v>
      </c>
      <c r="L23" s="961" t="n">
        <v>0.07613712613712614</v>
      </c>
      <c r="M23" s="962" t="n">
        <v>0.07263692263692263</v>
      </c>
      <c r="N23" s="963" t="n">
        <v>0.07044837044837045</v>
      </c>
      <c r="O23" s="963" t="n">
        <v>0.06864461864461864</v>
      </c>
      <c r="P23" s="963" t="n">
        <v>0.08184808184808184</v>
      </c>
      <c r="Q23" s="963" t="n">
        <v>0.0924122174122174</v>
      </c>
      <c r="R23" s="963" t="n">
        <v>0.09785884050589932</v>
      </c>
      <c r="S23" s="963">
        <f>+SUMIF('Monthly Detail'!$4:$4, $B$14,'Monthly Detail'!23:23)</f>
        <v/>
      </c>
      <c r="T23" s="963" t="n">
        <v>0.07692307692307693</v>
      </c>
      <c r="U23" s="963" t="n">
        <v>0.09090909090909091</v>
      </c>
      <c r="V23" s="963" t="n">
        <v>0.09090909090909091</v>
      </c>
      <c r="W23" s="963" t="n">
        <v>0.07575757575757576</v>
      </c>
      <c r="X23" s="963" t="n">
        <v>0.05714285714285714</v>
      </c>
      <c r="Y23" s="963" t="n">
        <v>0.06756756756756757</v>
      </c>
      <c r="Z23" s="963" t="n">
        <v>0.05555555555555555</v>
      </c>
      <c r="AA23" s="963" t="n">
        <v>0.08888888888888889</v>
      </c>
      <c r="AB23" s="963" t="n">
        <v>0.07777777777777778</v>
      </c>
      <c r="AC23" s="963" t="n">
        <v>0.06493506493506493</v>
      </c>
      <c r="AD23" s="963" t="n">
        <v>0.1363636363636364</v>
      </c>
      <c r="AE23" s="963" t="n">
        <v>0.130952380952381</v>
      </c>
      <c r="AF23" s="963" t="n">
        <v>0.08823529411764706</v>
      </c>
      <c r="AG23" s="963" t="n">
        <v>0.05263157894736842</v>
      </c>
      <c r="AH23" s="963">
        <f>+SUMIF('Monthly Detail'!$4:$4, $B$14,'Monthly Detail'!23:23)</f>
        <v/>
      </c>
      <c r="AI23" s="963" t="n">
        <v>0.1</v>
      </c>
      <c r="AJ23" s="963" t="n">
        <v>0.1</v>
      </c>
      <c r="AK23" s="963" t="n">
        <v>0.1</v>
      </c>
      <c r="AL23" s="963" t="n">
        <v>0.1</v>
      </c>
      <c r="AM23" s="963" t="n">
        <v>0.1</v>
      </c>
      <c r="AN23" s="963" t="n">
        <v>0.1</v>
      </c>
      <c r="AO23" s="963" t="n">
        <v>0.1</v>
      </c>
      <c r="AP23" s="963" t="n">
        <v>0.1</v>
      </c>
      <c r="AQ23" s="963" t="n">
        <v>0.1</v>
      </c>
      <c r="AR23" s="963" t="n">
        <v>0.1</v>
      </c>
      <c r="AS23" s="963" t="n">
        <v>0.1</v>
      </c>
      <c r="AT23" s="963" t="n">
        <v>0.1</v>
      </c>
      <c r="AU23" s="964">
        <f>+AH23-S23</f>
        <v/>
      </c>
      <c r="AV23" s="964">
        <f>+AH23-AS23</f>
        <v/>
      </c>
    </row>
    <row r="24">
      <c r="B24" s="642" t="n"/>
      <c r="C24" s="375" t="inlineStr">
        <is>
          <t>Client Base Growth Rate</t>
        </is>
      </c>
      <c r="D24" s="961" t="n">
        <v>0.1058195977047072</v>
      </c>
      <c r="E24" s="961" t="n">
        <v>-0.2104365419245481</v>
      </c>
      <c r="F24" s="961" t="n">
        <v>0.2477231353532583</v>
      </c>
      <c r="G24" s="961" t="n">
        <v>0.03805503322982684</v>
      </c>
      <c r="H24" s="961" t="n">
        <v>0.2524420691954943</v>
      </c>
      <c r="I24" s="961" t="n">
        <v>0.1855378417532758</v>
      </c>
      <c r="J24" s="961" t="n">
        <v>0.201824586784672</v>
      </c>
      <c r="K24" s="961" t="n">
        <v>0.2568303250737973</v>
      </c>
      <c r="L24" s="961" t="n">
        <v>0.4623545415205417</v>
      </c>
      <c r="M24" s="962" t="n">
        <v>0.4011782971242213</v>
      </c>
      <c r="N24" s="963" t="n">
        <v>0.2510953618156722</v>
      </c>
      <c r="O24" s="963" t="n">
        <v>0.1730920009649848</v>
      </c>
      <c r="P24" s="963" t="n">
        <v>0.1805213210996794</v>
      </c>
      <c r="Q24" s="963" t="n">
        <v>-0.1430212945837945</v>
      </c>
      <c r="R24" s="963" t="n">
        <v>0.1980270042770043</v>
      </c>
      <c r="S24" s="963">
        <f>+SUMIF('Monthly Detail'!$4:$4, $B$14,'Monthly Detail'!24:24)</f>
        <v/>
      </c>
      <c r="T24" s="963" t="n">
        <v>-0.3538461538461538</v>
      </c>
      <c r="U24" s="963" t="n">
        <v>-0.303030303030303</v>
      </c>
      <c r="V24" s="963" t="n">
        <v>-0.303030303030303</v>
      </c>
      <c r="W24" s="963" t="n">
        <v>0.173913043478261</v>
      </c>
      <c r="X24" s="963" t="n">
        <v>0.09259259259259256</v>
      </c>
      <c r="Y24" s="963" t="n">
        <v>0</v>
      </c>
      <c r="Z24" s="963" t="n">
        <v>0.06779661016949157</v>
      </c>
      <c r="AA24" s="963" t="n">
        <v>0.09523809523809534</v>
      </c>
      <c r="AB24" s="963" t="n">
        <v>0.1304347826086956</v>
      </c>
      <c r="AC24" s="963" t="n">
        <v>-0.2051282051282052</v>
      </c>
      <c r="AD24" s="963" t="n">
        <v>0.08064516129032251</v>
      </c>
      <c r="AE24" s="963" t="n">
        <v>-0.1044776119402985</v>
      </c>
      <c r="AF24" s="963" t="n">
        <v>-0.09999999999999998</v>
      </c>
      <c r="AG24" s="963" t="n">
        <v>0.07407407407407418</v>
      </c>
      <c r="AH24" s="963">
        <f>+SUMIF('Monthly Detail'!$4:$4, $B$14,'Monthly Detail'!24:24)</f>
        <v/>
      </c>
      <c r="AI24" s="963" t="n">
        <v>0.1451612903225807</v>
      </c>
      <c r="AJ24" s="963" t="n">
        <v>-0.1549295774647887</v>
      </c>
      <c r="AK24" s="963" t="n">
        <v>0.2000000000000002</v>
      </c>
      <c r="AL24" s="963" t="n">
        <v>0.375</v>
      </c>
      <c r="AM24" s="963" t="n">
        <v>0.1919191919191918</v>
      </c>
      <c r="AN24" s="963" t="n">
        <v>-0.1016949152542374</v>
      </c>
      <c r="AO24" s="963" t="n">
        <v>-0.2075471698113208</v>
      </c>
      <c r="AP24" s="963" t="n">
        <v>0.03571428571428581</v>
      </c>
      <c r="AQ24" s="963" t="n">
        <v>-0.1724137931034482</v>
      </c>
      <c r="AR24" s="963" t="n">
        <v>0.1111111111111112</v>
      </c>
      <c r="AS24" s="963" t="n">
        <v>0.0625</v>
      </c>
      <c r="AT24" s="963" t="n">
        <v>0.0235294117647058</v>
      </c>
      <c r="AU24" s="964">
        <f>+AH24-S24</f>
        <v/>
      </c>
      <c r="AV24" s="964">
        <f>+AH24-AS24</f>
        <v/>
      </c>
    </row>
    <row r="25">
      <c r="B25" s="642" t="n"/>
      <c r="C25" s="375" t="inlineStr">
        <is>
          <t>Client Hit Rate</t>
        </is>
      </c>
      <c r="D25" s="961" t="n">
        <v>0.9478453694611776</v>
      </c>
      <c r="E25" s="961" t="n">
        <v>0.8865273915233144</v>
      </c>
      <c r="F25" s="961" t="n">
        <v>0.919374941839243</v>
      </c>
      <c r="G25" s="961" t="n">
        <v>0.9258328674752508</v>
      </c>
      <c r="H25" s="961" t="n">
        <v>0.9292312126289152</v>
      </c>
      <c r="I25" s="961" t="n">
        <v>0.9278122239808244</v>
      </c>
      <c r="J25" s="961" t="n">
        <v>0.9454353416039418</v>
      </c>
      <c r="K25" s="961" t="n">
        <v>0.950679348453257</v>
      </c>
      <c r="L25" s="961" t="n">
        <v>0.9596701678728555</v>
      </c>
      <c r="M25" s="962" t="n">
        <v>0.9668130250157126</v>
      </c>
      <c r="N25" s="963" t="n">
        <v>0.966192457639826</v>
      </c>
      <c r="O25" s="963" t="n">
        <v>0.9697560541310541</v>
      </c>
      <c r="P25" s="963" t="n">
        <v>0.964572298947299</v>
      </c>
      <c r="Q25" s="963" t="n">
        <v>0.9521985615735616</v>
      </c>
      <c r="R25" s="963" t="n">
        <v>0.9513743857493857</v>
      </c>
      <c r="S25" s="963">
        <f>+SUMIF('Monthly Detail'!$4:$4, $B$14,'Monthly Detail'!25:25)</f>
        <v/>
      </c>
      <c r="T25" s="963" t="n">
        <v>0.9767441860465116</v>
      </c>
      <c r="U25" s="963" t="n">
        <v>0.9787234042553191</v>
      </c>
      <c r="V25" s="963" t="n">
        <v>0.9787234042553191</v>
      </c>
      <c r="W25" s="963" t="n">
        <v>0.9473684210526315</v>
      </c>
      <c r="X25" s="963" t="n">
        <v>0.9365079365079365</v>
      </c>
      <c r="Y25" s="963" t="n">
        <v>0.921875</v>
      </c>
      <c r="Z25" s="963" t="n">
        <v>0.9692307692307692</v>
      </c>
      <c r="AA25" s="963" t="n">
        <v>0.9857142857142858</v>
      </c>
      <c r="AB25" s="963" t="n">
        <v>0.975</v>
      </c>
      <c r="AC25" s="963" t="n">
        <v>0.96875</v>
      </c>
      <c r="AD25" s="963" t="n">
        <v>0.9054054054054054</v>
      </c>
      <c r="AE25" s="963" t="n">
        <v>0.9090909090909091</v>
      </c>
      <c r="AF25" s="963" t="n">
        <v>0.9642857142857143</v>
      </c>
      <c r="AG25" s="963" t="n">
        <v>0.9508196721311475</v>
      </c>
      <c r="AH25" s="963">
        <f>+SUMIF('Monthly Detail'!$4:$4, $B$14,'Monthly Detail'!25:25)</f>
        <v/>
      </c>
      <c r="AI25" s="963" t="n">
        <v>0.9292312126289152</v>
      </c>
      <c r="AJ25" s="963" t="n">
        <v>0.9292312126289152</v>
      </c>
      <c r="AK25" s="963" t="n">
        <v>0.9292312126289152</v>
      </c>
      <c r="AL25" s="963" t="n">
        <v>0.9292312126289152</v>
      </c>
      <c r="AM25" s="963" t="n">
        <v>0.9292312126289152</v>
      </c>
      <c r="AN25" s="963" t="n">
        <v>0.9292312126289152</v>
      </c>
      <c r="AO25" s="963" t="n">
        <v>0.9292312126289152</v>
      </c>
      <c r="AP25" s="963" t="n">
        <v>0.9292312126289152</v>
      </c>
      <c r="AQ25" s="963" t="n">
        <v>0.9292312126289152</v>
      </c>
      <c r="AR25" s="963" t="n">
        <v>0.9292312126289152</v>
      </c>
      <c r="AS25" s="963" t="n">
        <v>0.9292312126289152</v>
      </c>
      <c r="AT25" s="963" t="n">
        <v>0.9292312126289152</v>
      </c>
      <c r="AU25" s="964">
        <f>+AH25-S25</f>
        <v/>
      </c>
      <c r="AV25" s="964">
        <f>+AH25-AS25</f>
        <v/>
      </c>
    </row>
    <row r="26">
      <c r="B26" s="642" t="n"/>
      <c r="C26" s="375" t="inlineStr">
        <is>
          <t>Appt Multiplier</t>
        </is>
      </c>
      <c r="D26" s="965" t="n">
        <v>1.546428571428571</v>
      </c>
      <c r="E26" s="965" t="n">
        <v>1.15</v>
      </c>
      <c r="F26" s="965" t="n">
        <v>1.154666666666667</v>
      </c>
      <c r="G26" s="965" t="n">
        <v>1.17027027027027</v>
      </c>
      <c r="H26" s="965" t="n">
        <v>1.17027027027027</v>
      </c>
      <c r="I26" s="965" t="n">
        <v>1.17027027027027</v>
      </c>
      <c r="J26" s="965" t="n">
        <v>1.17027027027027</v>
      </c>
      <c r="K26" s="965" t="n">
        <v>1.17027027027027</v>
      </c>
      <c r="L26" s="965" t="n">
        <v>1.181818181818182</v>
      </c>
      <c r="M26" s="966" t="n">
        <v>1.188405797101449</v>
      </c>
      <c r="N26" s="967" t="n">
        <v>1.153846153846154</v>
      </c>
      <c r="O26" s="967" t="n">
        <v>1.222222222222222</v>
      </c>
      <c r="P26" s="967" t="n">
        <v>1.138461538461538</v>
      </c>
      <c r="Q26" s="967" t="n">
        <v>1.142857142857143</v>
      </c>
      <c r="R26" s="967" t="n">
        <v>1.227272727272727</v>
      </c>
      <c r="S26" s="967">
        <f>+SUMIF('Monthly Detail'!$4:$4, $B$14,'Monthly Detail'!26:26)</f>
        <v/>
      </c>
      <c r="T26" s="967" t="n">
        <v>1.142857142857143</v>
      </c>
      <c r="U26" s="967" t="n">
        <v>1.08695652173913</v>
      </c>
      <c r="V26" s="967" t="n">
        <v>1.08695652173913</v>
      </c>
      <c r="W26" s="967" t="n">
        <v>1.12962962962963</v>
      </c>
      <c r="X26" s="967" t="n">
        <v>1.11864406779661</v>
      </c>
      <c r="Y26" s="967" t="n">
        <v>1.169491525423729</v>
      </c>
      <c r="Z26" s="967" t="n">
        <v>1.079365079365079</v>
      </c>
      <c r="AA26" s="967" t="n">
        <v>1.188405797101449</v>
      </c>
      <c r="AB26" s="967" t="n">
        <v>1.064102564102564</v>
      </c>
      <c r="AC26" s="967" t="n">
        <v>1.161290322580645</v>
      </c>
      <c r="AD26" s="967" t="n">
        <v>1.134328358208955</v>
      </c>
      <c r="AE26" s="967" t="n">
        <v>1.216666666666667</v>
      </c>
      <c r="AF26" s="967" t="n">
        <v>1.148148148148148</v>
      </c>
      <c r="AG26" s="967" t="n">
        <v>1.241379310344828</v>
      </c>
      <c r="AH26" s="967">
        <f>+SUMIF('Monthly Detail'!$4:$4, $B$14,'Monthly Detail'!26:26)</f>
        <v/>
      </c>
      <c r="AI26" s="967" t="n">
        <v>1.218181818181818</v>
      </c>
      <c r="AJ26" s="967" t="n">
        <v>1.072463768115942</v>
      </c>
      <c r="AK26" s="967" t="n">
        <v>1.132352941176471</v>
      </c>
      <c r="AL26" s="967" t="n">
        <v>1.181818181818182</v>
      </c>
      <c r="AM26" s="967" t="n">
        <v>1.188405797101449</v>
      </c>
      <c r="AN26" s="967" t="n">
        <v>1.153846153846154</v>
      </c>
      <c r="AO26" s="967" t="n">
        <v>1.222222222222222</v>
      </c>
      <c r="AP26" s="967" t="n">
        <v>1.138461538461538</v>
      </c>
      <c r="AQ26" s="967" t="n">
        <v>1.142857142857143</v>
      </c>
      <c r="AR26" s="967" t="n">
        <v>1.227272727272727</v>
      </c>
      <c r="AS26" s="967" t="n">
        <v>1.08695652173913</v>
      </c>
      <c r="AT26" s="967" t="n">
        <v>1.17027027027027</v>
      </c>
      <c r="AU26" s="968">
        <f>+AH26-S26</f>
        <v/>
      </c>
      <c r="AV26" s="968">
        <f>+AH26-AS26</f>
        <v/>
      </c>
    </row>
    <row r="27">
      <c r="B27" s="642" t="n"/>
      <c r="C27" s="375" t="inlineStr">
        <is>
          <t>Total Billable Hours</t>
        </is>
      </c>
      <c r="D27" s="344" t="n">
        <v>169.2970310528846</v>
      </c>
      <c r="E27" s="344" t="n">
        <v>68.92320503308881</v>
      </c>
      <c r="F27" s="344" t="n">
        <v>69.58601834790537</v>
      </c>
      <c r="G27" s="344" t="n">
        <v>76.16827000718889</v>
      </c>
      <c r="H27" s="344" t="n">
        <v>64.0509029122272</v>
      </c>
      <c r="I27" s="344" t="n">
        <v>86.15752077907125</v>
      </c>
      <c r="J27" s="344" t="n">
        <v>82.98111545564328</v>
      </c>
      <c r="K27" s="344" t="n">
        <v>127.5651868717585</v>
      </c>
      <c r="L27" s="344" t="n">
        <v>108.8789426823022</v>
      </c>
      <c r="M27" s="540" t="n">
        <v>109.9011151309606</v>
      </c>
      <c r="N27" s="345" t="n">
        <v>118.228511691581</v>
      </c>
      <c r="O27" s="345" t="n">
        <v>147.564546236942</v>
      </c>
      <c r="P27" s="345" t="n">
        <v>142.6828261475704</v>
      </c>
      <c r="Q27" s="345" t="n">
        <v>157.7412137102762</v>
      </c>
      <c r="R27" s="205" t="n">
        <v>173.986194484774</v>
      </c>
      <c r="S27" s="205">
        <f>+SUMIF('Monthly Detail'!$4:$4, $B$14,'Monthly Detail'!30:30)</f>
        <v/>
      </c>
      <c r="T27" s="205" t="n">
        <v>48</v>
      </c>
      <c r="U27" s="205" t="n">
        <v>50</v>
      </c>
      <c r="V27" s="205" t="n">
        <v>50</v>
      </c>
      <c r="W27" s="205" t="n">
        <v>61</v>
      </c>
      <c r="X27" s="205" t="n">
        <v>66</v>
      </c>
      <c r="Y27" s="205" t="n">
        <v>143.75</v>
      </c>
      <c r="Z27" s="205" t="n">
        <v>155.5</v>
      </c>
      <c r="AA27" s="205" t="n">
        <v>170.75</v>
      </c>
      <c r="AB27" s="205" t="n">
        <v>168.75</v>
      </c>
      <c r="AC27" s="205" t="n">
        <v>135</v>
      </c>
      <c r="AD27" s="205" t="n">
        <v>146</v>
      </c>
      <c r="AE27" s="205" t="n">
        <v>150.85</v>
      </c>
      <c r="AF27" s="205" t="n">
        <v>124</v>
      </c>
      <c r="AG27" s="205" t="n">
        <v>140</v>
      </c>
      <c r="AH27" s="205">
        <f>+SUMIF('Monthly Detail'!$4:$4, $B$14,'Monthly Detail'!30:30)</f>
        <v/>
      </c>
      <c r="AI27" s="205" t="n">
        <v>84.02323653301012</v>
      </c>
      <c r="AJ27" s="205" t="n">
        <v>56.94667472839728</v>
      </c>
      <c r="AK27" s="205" t="n">
        <v>75.75967415903979</v>
      </c>
      <c r="AL27" s="205" t="n">
        <v>108.7200518775831</v>
      </c>
      <c r="AM27" s="205" t="n">
        <v>124.6422852518856</v>
      </c>
      <c r="AN27" s="205" t="n">
        <v>119.3347314987672</v>
      </c>
      <c r="AO27" s="205" t="n">
        <v>95.4010711632353</v>
      </c>
      <c r="AP27" s="205" t="n">
        <v>87.8532877517511</v>
      </c>
      <c r="AQ27" s="205" t="n">
        <v>80.1035233090722</v>
      </c>
      <c r="AR27" s="205" t="n">
        <v>91.23360996720258</v>
      </c>
      <c r="AS27" s="205" t="n">
        <v>81.33431094520826</v>
      </c>
      <c r="AT27" s="205" t="n">
        <v>99.33870935538124</v>
      </c>
      <c r="AU27" s="434">
        <f>+AH27-S27</f>
        <v/>
      </c>
      <c r="AV27" s="434">
        <f>+AH27-AS27</f>
        <v/>
      </c>
    </row>
    <row r="28">
      <c r="B28" s="642" t="n"/>
      <c r="C28" s="375" t="inlineStr">
        <is>
          <t>Realized / Effective Bill Rate</t>
        </is>
      </c>
      <c r="D28" s="969" t="n">
        <v>75.41534011739459</v>
      </c>
      <c r="E28" s="969" t="n">
        <v>86.43656121825394</v>
      </c>
      <c r="F28" s="969" t="n">
        <v>84.88071657270342</v>
      </c>
      <c r="G28" s="969" t="n">
        <v>83.7302544868965</v>
      </c>
      <c r="H28" s="969" t="n">
        <v>83.62500252911646</v>
      </c>
      <c r="I28" s="969" t="n">
        <v>85.6504201670341</v>
      </c>
      <c r="J28" s="969" t="n">
        <v>88.96199189699189</v>
      </c>
      <c r="K28" s="969" t="n">
        <v>48.97739713719243</v>
      </c>
      <c r="L28" s="969" t="n">
        <v>44.75710030368076</v>
      </c>
      <c r="M28" s="970" t="n">
        <v>45.3647617603585</v>
      </c>
      <c r="N28" s="971" t="n">
        <v>45.98380177515995</v>
      </c>
      <c r="O28" s="971" t="n">
        <v>47.00030656666474</v>
      </c>
      <c r="P28" s="971" t="n">
        <v>46.18138286103098</v>
      </c>
      <c r="Q28" s="971" t="n">
        <v>47.30422656896334</v>
      </c>
      <c r="R28" s="971" t="n">
        <v>47.58341007956871</v>
      </c>
      <c r="S28" s="971">
        <f>+SUMIF('Monthly Detail'!$4:$4, $B$14,'Monthly Detail'!32:32)</f>
        <v/>
      </c>
      <c r="T28" s="971" t="n">
        <v>80.53846153846153</v>
      </c>
      <c r="U28" s="971" t="n">
        <v>89.79545454545455</v>
      </c>
      <c r="V28" s="971" t="n">
        <v>89.79545454545455</v>
      </c>
      <c r="W28" s="971" t="n">
        <v>93.21212121212122</v>
      </c>
      <c r="X28" s="971" t="n">
        <v>96.015</v>
      </c>
      <c r="Y28" s="971" t="n">
        <v>41.14645569620254</v>
      </c>
      <c r="Z28" s="971" t="n">
        <v>43.94744976816074</v>
      </c>
      <c r="AA28" s="971" t="n">
        <v>42.32436069986541</v>
      </c>
      <c r="AB28" s="971" t="n">
        <v>43.46273103448276</v>
      </c>
      <c r="AC28" s="971" t="n">
        <v>48.16398601398601</v>
      </c>
      <c r="AD28" s="971" t="n">
        <v>43.13110465116279</v>
      </c>
      <c r="AE28" s="971" t="n">
        <v>44.79572724612233</v>
      </c>
      <c r="AF28" s="971" t="n">
        <v>45.62255083179298</v>
      </c>
      <c r="AG28" s="971" t="n">
        <v>47.85128205128205</v>
      </c>
      <c r="AH28" s="971">
        <f>+SUMIF('Monthly Detail'!$4:$4, $B$14,'Monthly Detail'!32:32)</f>
        <v/>
      </c>
      <c r="AI28" s="971" t="n">
        <v>83.62500252911646</v>
      </c>
      <c r="AJ28" s="971" t="n">
        <v>83.62500252911646</v>
      </c>
      <c r="AK28" s="971" t="n">
        <v>83.62500252911646</v>
      </c>
      <c r="AL28" s="971" t="n">
        <v>83.62500252911646</v>
      </c>
      <c r="AM28" s="971" t="n">
        <v>83.62500252911646</v>
      </c>
      <c r="AN28" s="971" t="n">
        <v>83.62500252911646</v>
      </c>
      <c r="AO28" s="971" t="n">
        <v>83.62500252911646</v>
      </c>
      <c r="AP28" s="971" t="n">
        <v>83.62500252911646</v>
      </c>
      <c r="AQ28" s="971" t="n">
        <v>83.62500252911646</v>
      </c>
      <c r="AR28" s="971" t="n">
        <v>83.62500252911646</v>
      </c>
      <c r="AS28" s="971" t="n">
        <v>83.62500252911646</v>
      </c>
      <c r="AT28" s="971" t="n">
        <v>83.62500252911646</v>
      </c>
      <c r="AU28" s="972">
        <f>+AH28-S28</f>
        <v/>
      </c>
      <c r="AV28" s="972">
        <f>+AH28-AS28</f>
        <v/>
      </c>
    </row>
    <row r="29" hidden="1" s="627">
      <c r="B29" s="343" t="n"/>
      <c r="C29" s="375" t="inlineStr">
        <is>
          <t>Productivity Utilization</t>
        </is>
      </c>
      <c r="D29" s="346" t="n">
        <v>0</v>
      </c>
      <c r="E29" s="346" t="n">
        <v>0</v>
      </c>
      <c r="F29" s="346" t="n">
        <v>0</v>
      </c>
      <c r="G29" s="346" t="n">
        <v>0</v>
      </c>
      <c r="H29" s="346" t="n">
        <v>0</v>
      </c>
      <c r="I29" s="346" t="n">
        <v>0</v>
      </c>
      <c r="J29" s="346" t="n">
        <v>0</v>
      </c>
      <c r="K29" s="346" t="n">
        <v>0</v>
      </c>
      <c r="L29" s="346" t="n">
        <v>0</v>
      </c>
      <c r="M29" s="542" t="n">
        <v>0</v>
      </c>
      <c r="N29" s="347" t="n">
        <v>0</v>
      </c>
      <c r="O29" s="347" t="n">
        <v>0</v>
      </c>
      <c r="P29" s="347" t="n">
        <v>0</v>
      </c>
      <c r="Q29" s="347" t="n">
        <v>0</v>
      </c>
      <c r="R29" s="345" t="n">
        <v>0</v>
      </c>
      <c r="S29" s="345">
        <f>+SUMIF('Monthly Detail'!$4:$4, A14,'Monthly Detail'!30:30)</f>
        <v/>
      </c>
      <c r="T29" s="345" t="n">
        <v>0</v>
      </c>
      <c r="U29" s="345" t="n">
        <v>0</v>
      </c>
      <c r="V29" s="345" t="n">
        <v>0</v>
      </c>
      <c r="W29" s="345" t="n">
        <v>0</v>
      </c>
      <c r="X29" s="345" t="n">
        <v>0</v>
      </c>
      <c r="Y29" s="345" t="n">
        <v>0</v>
      </c>
      <c r="Z29" s="345" t="n">
        <v>0</v>
      </c>
      <c r="AA29" s="345" t="n">
        <v>0</v>
      </c>
      <c r="AB29" s="345" t="n">
        <v>0</v>
      </c>
      <c r="AC29" s="345" t="n">
        <v>0</v>
      </c>
      <c r="AD29" s="345" t="n">
        <v>0</v>
      </c>
      <c r="AE29" s="345" t="n">
        <v>0</v>
      </c>
      <c r="AF29" s="345" t="n">
        <v>0</v>
      </c>
      <c r="AG29" s="345" t="n">
        <v>0</v>
      </c>
      <c r="AH29" s="345">
        <f>+SUMIF('Monthly Detail'!$4:$4, P14,'Monthly Detail'!30:30)</f>
        <v/>
      </c>
      <c r="AI29" s="345" t="n">
        <v>0</v>
      </c>
      <c r="AJ29" s="345" t="n">
        <v>0</v>
      </c>
      <c r="AK29" s="345" t="n">
        <v>0</v>
      </c>
      <c r="AL29" s="345" t="n">
        <v>0</v>
      </c>
      <c r="AM29" s="345" t="n">
        <v>0</v>
      </c>
      <c r="AN29" s="345" t="n">
        <v>0</v>
      </c>
      <c r="AO29" s="345" t="n">
        <v>0</v>
      </c>
      <c r="AP29" s="345" t="n">
        <v>0</v>
      </c>
      <c r="AQ29" s="345" t="n">
        <v>0</v>
      </c>
      <c r="AR29" s="345" t="n">
        <v>0</v>
      </c>
      <c r="AS29" s="345" t="n">
        <v>0</v>
      </c>
      <c r="AT29" s="345" t="n">
        <v>0</v>
      </c>
      <c r="AU29" s="973">
        <f>+AH29-S29</f>
        <v/>
      </c>
      <c r="AV29" s="973">
        <f>+AH29-AS29</f>
        <v/>
      </c>
    </row>
    <row r="30" ht="2.65" customHeight="1" s="627">
      <c r="B30" s="348" t="n"/>
      <c r="C30" s="375" t="n"/>
      <c r="D30" s="346" t="n"/>
      <c r="E30" s="346" t="n"/>
      <c r="F30" s="346" t="n"/>
      <c r="G30" s="346" t="n"/>
      <c r="H30" s="346" t="n"/>
      <c r="I30" s="346" t="n"/>
      <c r="J30" s="346" t="n"/>
      <c r="K30" s="346" t="n"/>
      <c r="L30" s="346" t="n"/>
      <c r="M30" s="542" t="n"/>
      <c r="N30" s="347" t="n"/>
      <c r="O30" s="347" t="n"/>
      <c r="P30" s="347" t="n"/>
      <c r="Q30" s="347" t="n"/>
      <c r="R30" s="347" t="n"/>
      <c r="S30" s="347" t="n"/>
      <c r="T30" s="347" t="n"/>
      <c r="U30" s="347" t="n"/>
      <c r="V30" s="347" t="n"/>
      <c r="W30" s="347" t="n"/>
      <c r="X30" s="347" t="n"/>
      <c r="Y30" s="347" t="n"/>
      <c r="Z30" s="347" t="n"/>
      <c r="AA30" s="347" t="n"/>
      <c r="AB30" s="347" t="n"/>
      <c r="AC30" s="347" t="n"/>
      <c r="AD30" s="347" t="n"/>
      <c r="AE30" s="347" t="n"/>
      <c r="AF30" s="347" t="n"/>
      <c r="AG30" s="347" t="n"/>
      <c r="AH30" s="347" t="n"/>
      <c r="AI30" s="347" t="n"/>
      <c r="AJ30" s="347" t="n"/>
      <c r="AK30" s="347" t="n"/>
      <c r="AL30" s="347" t="n"/>
      <c r="AM30" s="347" t="n"/>
      <c r="AN30" s="347" t="n"/>
      <c r="AO30" s="347" t="n"/>
      <c r="AP30" s="347" t="n"/>
      <c r="AQ30" s="347" t="n"/>
      <c r="AR30" s="347" t="n"/>
      <c r="AS30" s="347" t="n"/>
      <c r="AT30" s="347" t="n"/>
      <c r="AU30" s="973">
        <f>+AH30-S30</f>
        <v/>
      </c>
      <c r="AV30" s="973">
        <f>+AH30-AS30</f>
        <v/>
      </c>
    </row>
    <row r="31" ht="15.75" customHeight="1" s="627" thickBot="1">
      <c r="B31" s="349" t="n"/>
      <c r="C31" s="376" t="inlineStr">
        <is>
          <t>Utilization %</t>
        </is>
      </c>
      <c r="D31" s="350" t="n">
        <v>0.00375</v>
      </c>
      <c r="E31" s="350" t="n">
        <v>0.0075</v>
      </c>
      <c r="F31" s="350" t="n">
        <v>0.00625</v>
      </c>
      <c r="G31" s="350" t="n">
        <v>0.00625</v>
      </c>
      <c r="H31" s="350" t="n">
        <v>0.00625</v>
      </c>
      <c r="I31" s="350" t="n">
        <v>0.00625</v>
      </c>
      <c r="J31" s="350" t="n">
        <v>0.00625</v>
      </c>
      <c r="K31" s="350" t="n">
        <v>0.008750000000000001</v>
      </c>
      <c r="L31" s="350" t="n">
        <v>0.005681818181818182</v>
      </c>
      <c r="M31" s="543" t="n">
        <v>0.005434782608695652</v>
      </c>
      <c r="N31" s="351" t="n">
        <v>0.00625</v>
      </c>
      <c r="O31" s="351" t="n">
        <v>0.009431818181818182</v>
      </c>
      <c r="P31" s="351" t="n">
        <v>0.009431818181818182</v>
      </c>
      <c r="Q31" s="351" t="n">
        <v>0.01525173611111111</v>
      </c>
      <c r="R31" s="351" t="n">
        <v>0.01190955448201825</v>
      </c>
      <c r="S31" s="351">
        <f>+SUMIF('Monthly Detail'!$4:$4, $B$14,'Monthly Detail'!46:46)</f>
        <v/>
      </c>
      <c r="T31" s="351" t="n">
        <v>0.005952380952380952</v>
      </c>
      <c r="U31" s="351" t="n">
        <v>0.006578947368421053</v>
      </c>
      <c r="V31" s="351" t="n">
        <v>0.006578947368421053</v>
      </c>
      <c r="W31" s="351" t="n">
        <v>0.006578947368421053</v>
      </c>
      <c r="X31" s="351" t="n">
        <v>0.005434782608695652</v>
      </c>
      <c r="Y31" s="351" t="n">
        <v>0.01302083333333333</v>
      </c>
      <c r="Z31" s="351" t="n">
        <v>0.01361169467787115</v>
      </c>
      <c r="AA31" s="351" t="n">
        <v>0.01183134700665188</v>
      </c>
      <c r="AB31" s="351" t="n">
        <v>0.01155188937568456</v>
      </c>
      <c r="AC31" s="351" t="n">
        <v>0.01116071428571429</v>
      </c>
      <c r="AD31" s="351" t="n">
        <v>0.01091507177033493</v>
      </c>
      <c r="AE31" s="351" t="n">
        <v>0.01230022831050228</v>
      </c>
      <c r="AF31" s="351" t="n">
        <v>0.01136363636363636</v>
      </c>
      <c r="AG31" s="351" t="n">
        <v>0.01056763285024155</v>
      </c>
      <c r="AH31" s="351">
        <f>+SUMIF('Monthly Detail'!$4:$4, $B$14,'Monthly Detail'!46:46)</f>
        <v/>
      </c>
      <c r="AI31" s="351" t="n">
        <v>0.005681818181818182</v>
      </c>
      <c r="AJ31" s="351" t="n">
        <v>0.005952380952380952</v>
      </c>
      <c r="AK31" s="351" t="n">
        <v>0.005952380952380952</v>
      </c>
      <c r="AL31" s="351" t="n">
        <v>0.005681818181818182</v>
      </c>
      <c r="AM31" s="351" t="n">
        <v>0.005434782608695652</v>
      </c>
      <c r="AN31" s="351" t="n">
        <v>0.00625</v>
      </c>
      <c r="AO31" s="351" t="n">
        <v>0.005681818181818182</v>
      </c>
      <c r="AP31" s="351" t="n">
        <v>0.005681818181818182</v>
      </c>
      <c r="AQ31" s="351" t="n">
        <v>0.005952380952380952</v>
      </c>
      <c r="AR31" s="351" t="n">
        <v>0.005434782608695652</v>
      </c>
      <c r="AS31" s="351" t="n">
        <v>0.006578947368421053</v>
      </c>
      <c r="AT31" s="351" t="n">
        <v>0.00625</v>
      </c>
      <c r="AU31" s="437">
        <f>+AH31-S31</f>
        <v/>
      </c>
      <c r="AV31" s="437">
        <f>+AH31-AS31</f>
        <v/>
      </c>
    </row>
    <row r="32" ht="3.4" customHeight="1" s="627">
      <c r="B32" s="629" t="n"/>
      <c r="C32" s="630" t="n"/>
      <c r="D32" s="949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50" t="n"/>
      <c r="N32" s="951" t="n"/>
      <c r="O32" s="951" t="n"/>
      <c r="P32" s="951" t="n"/>
      <c r="Q32" s="951" t="n"/>
      <c r="R32" s="951" t="n"/>
      <c r="S32" s="951" t="n"/>
      <c r="T32" s="951" t="n"/>
      <c r="U32" s="951" t="n"/>
      <c r="V32" s="951" t="n"/>
      <c r="W32" s="951" t="n"/>
      <c r="X32" s="951" t="n"/>
      <c r="Y32" s="951" t="n"/>
      <c r="Z32" s="951" t="n"/>
      <c r="AA32" s="951" t="n"/>
      <c r="AB32" s="951" t="n"/>
      <c r="AC32" s="951" t="n"/>
      <c r="AD32" s="951" t="n"/>
      <c r="AE32" s="951" t="n"/>
      <c r="AF32" s="951" t="n"/>
      <c r="AG32" s="951" t="n"/>
      <c r="AH32" s="951" t="n"/>
      <c r="AI32" s="951" t="n"/>
      <c r="AJ32" s="951" t="n"/>
      <c r="AK32" s="951" t="n"/>
      <c r="AL32" s="951" t="n"/>
      <c r="AM32" s="951" t="n"/>
      <c r="AN32" s="951" t="n"/>
      <c r="AO32" s="951" t="n"/>
      <c r="AP32" s="951" t="n"/>
      <c r="AQ32" s="951" t="n"/>
      <c r="AR32" s="951" t="n"/>
      <c r="AS32" s="951" t="n"/>
      <c r="AT32" s="951" t="n"/>
      <c r="AU32" s="952">
        <f>+AH32-S32</f>
        <v/>
      </c>
      <c r="AV32" s="952">
        <f>+AH32-AS32</f>
        <v/>
      </c>
    </row>
    <row r="33">
      <c r="B33" s="629" t="inlineStr">
        <is>
          <t>Cost of Goods Sold</t>
        </is>
      </c>
      <c r="C33" s="630" t="n"/>
      <c r="D33" s="949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50" t="n"/>
      <c r="N33" s="951" t="n"/>
      <c r="O33" s="951" t="n"/>
      <c r="P33" s="951" t="n"/>
      <c r="Q33" s="951" t="n"/>
      <c r="R33" s="951" t="n"/>
      <c r="S33" s="951" t="n"/>
      <c r="T33" s="951" t="n"/>
      <c r="U33" s="951" t="n"/>
      <c r="V33" s="951" t="n"/>
      <c r="W33" s="951" t="n"/>
      <c r="X33" s="951" t="n"/>
      <c r="Y33" s="951" t="n"/>
      <c r="Z33" s="951" t="n"/>
      <c r="AA33" s="951" t="n"/>
      <c r="AB33" s="951" t="n"/>
      <c r="AC33" s="951" t="n"/>
      <c r="AD33" s="951" t="n"/>
      <c r="AE33" s="951" t="n"/>
      <c r="AF33" s="951" t="n"/>
      <c r="AG33" s="951" t="n"/>
      <c r="AH33" s="951" t="n"/>
      <c r="AI33" s="951" t="n"/>
      <c r="AJ33" s="951" t="n"/>
      <c r="AK33" s="951" t="n"/>
      <c r="AL33" s="951" t="n"/>
      <c r="AM33" s="951" t="n"/>
      <c r="AN33" s="951" t="n"/>
      <c r="AO33" s="951" t="n"/>
      <c r="AP33" s="951" t="n"/>
      <c r="AQ33" s="951" t="n"/>
      <c r="AR33" s="951" t="n"/>
      <c r="AS33" s="951" t="n"/>
      <c r="AT33" s="951" t="n"/>
      <c r="AU33" s="952">
        <f>+AH33-S33</f>
        <v/>
      </c>
      <c r="AV33" s="952">
        <f>+AH33-AS33</f>
        <v/>
      </c>
    </row>
    <row r="34">
      <c r="B34" s="629" t="inlineStr">
        <is>
          <t>Software - COS</t>
        </is>
      </c>
      <c r="C34" s="630" t="n"/>
      <c r="D34" s="949" t="n">
        <v>447.1799369745494</v>
      </c>
      <c r="E34" s="949" t="n">
        <v>163.213676426566</v>
      </c>
      <c r="F34" s="949" t="n">
        <v>166.8000223364692</v>
      </c>
      <c r="G34" s="949" t="n">
        <v>185.2697404533788</v>
      </c>
      <c r="H34" s="949" t="n">
        <v>163.6541684993515</v>
      </c>
      <c r="I34" s="949" t="n">
        <v>219.3571772745466</v>
      </c>
      <c r="J34" s="949" t="n">
        <v>219.1916720272191</v>
      </c>
      <c r="K34" s="949" t="n">
        <v>191.8112903207837</v>
      </c>
      <c r="L34" s="949" t="n">
        <v>152.3753875129157</v>
      </c>
      <c r="M34" s="950" t="n">
        <v>157.6212876963003</v>
      </c>
      <c r="N34" s="951" t="n">
        <v>170.1514512890574</v>
      </c>
      <c r="O34" s="951" t="n">
        <v>217.5849747820429</v>
      </c>
      <c r="P34" s="951" t="n">
        <v>203.9009273895786</v>
      </c>
      <c r="Q34" s="951" t="n">
        <v>228.9702160231939</v>
      </c>
      <c r="R34" s="951" t="n">
        <v>261.8220887782822</v>
      </c>
      <c r="S34" s="951">
        <f>+SUMIF('Monthly Detail'!$4:$4, $B$14,'Monthly Detail'!58:58)</f>
        <v/>
      </c>
      <c r="T34" s="951" t="n">
        <v>128.31</v>
      </c>
      <c r="U34" s="951" t="n">
        <v>160.15</v>
      </c>
      <c r="V34" s="951" t="n">
        <v>160.15</v>
      </c>
      <c r="W34" s="951" t="n">
        <v>171.4</v>
      </c>
      <c r="X34" s="951" t="n">
        <v>197.3</v>
      </c>
      <c r="Y34" s="951" t="n">
        <v>202.11</v>
      </c>
      <c r="Z34" s="951" t="n">
        <v>214.54</v>
      </c>
      <c r="AA34" s="951" t="n">
        <v>247.79</v>
      </c>
      <c r="AB34" s="951" t="n">
        <v>240.23</v>
      </c>
      <c r="AC34" s="951" t="n">
        <v>182.1</v>
      </c>
      <c r="AD34" s="951" t="n">
        <v>216.6</v>
      </c>
      <c r="AE34" s="951" t="n">
        <v>205.55</v>
      </c>
      <c r="AF34" s="951" t="n">
        <v>222.12</v>
      </c>
      <c r="AG34" s="951" t="n">
        <v>282</v>
      </c>
      <c r="AH34" s="951">
        <f>+SUMIF('Monthly Detail'!$4:$4, $B$14,'Monthly Detail'!58:58)</f>
        <v/>
      </c>
      <c r="AI34" s="951" t="n">
        <v>214.6847629654431</v>
      </c>
      <c r="AJ34" s="951" t="n">
        <v>145.5024094547121</v>
      </c>
      <c r="AK34" s="951" t="n">
        <v>193.5708306449593</v>
      </c>
      <c r="AL34" s="951" t="n">
        <v>277.7867115099741</v>
      </c>
      <c r="AM34" s="951" t="n">
        <v>318.4690398620803</v>
      </c>
      <c r="AN34" s="951" t="n">
        <v>304.9078993201195</v>
      </c>
      <c r="AO34" s="951" t="n">
        <v>243.7558608121711</v>
      </c>
      <c r="AP34" s="951" t="n">
        <v>224.4707896881566</v>
      </c>
      <c r="AQ34" s="951" t="n">
        <v>204.6696440638637</v>
      </c>
      <c r="AR34" s="951" t="n">
        <v>233.1077299384398</v>
      </c>
      <c r="AS34" s="951" t="n">
        <v>207.8143854809699</v>
      </c>
      <c r="AT34" s="951" t="n">
        <v>253.8167791581623</v>
      </c>
      <c r="AU34" s="952">
        <f>+AH34-S34</f>
        <v/>
      </c>
      <c r="AV34" s="952">
        <f>+AH34-AS34</f>
        <v/>
      </c>
    </row>
    <row r="35">
      <c r="B35" s="629" t="inlineStr">
        <is>
          <t>Materials - COGS</t>
        </is>
      </c>
      <c r="C35" s="630" t="n"/>
      <c r="D35" s="949" t="n">
        <v>93.18884215466917</v>
      </c>
      <c r="E35" s="949" t="n">
        <v>209.7096107076782</v>
      </c>
      <c r="F35" s="949" t="n">
        <v>174.1075387628707</v>
      </c>
      <c r="G35" s="949" t="n">
        <v>245.0048824436691</v>
      </c>
      <c r="H35" s="949" t="n">
        <v>186.3340775870678</v>
      </c>
      <c r="I35" s="949" t="n">
        <v>319.5820443809592</v>
      </c>
      <c r="J35" s="949" t="n">
        <v>330.9607799661776</v>
      </c>
      <c r="K35" s="949" t="n">
        <v>365.8050735613365</v>
      </c>
      <c r="L35" s="949" t="n">
        <v>372.1771748622666</v>
      </c>
      <c r="M35" s="950" t="n">
        <v>416.8387122340533</v>
      </c>
      <c r="N35" s="951" t="n">
        <v>477.0427875742523</v>
      </c>
      <c r="O35" s="951" t="n">
        <v>587.3694674652698</v>
      </c>
      <c r="P35" s="951" t="n">
        <v>601.1448057211098</v>
      </c>
      <c r="Q35" s="951" t="n">
        <v>720.0463235612375</v>
      </c>
      <c r="R35" s="951" t="n">
        <v>780.6470524761151</v>
      </c>
      <c r="S35" s="951">
        <f>+SUMIF('Monthly Detail'!$4:$4, $B$14,'Monthly Detail'!59:59)</f>
        <v/>
      </c>
      <c r="T35" s="951" t="n">
        <v>28.36</v>
      </c>
      <c r="U35" s="951" t="n">
        <v>356.29</v>
      </c>
      <c r="V35" s="951" t="n">
        <v>356.29</v>
      </c>
      <c r="W35" s="951" t="n">
        <v>589.1900000000001</v>
      </c>
      <c r="X35" s="951" t="n">
        <v>249.98</v>
      </c>
      <c r="Y35" s="951" t="n">
        <v>544.29</v>
      </c>
      <c r="Z35" s="951" t="n">
        <v>810.15</v>
      </c>
      <c r="AA35" s="951" t="n">
        <v>682.78</v>
      </c>
      <c r="AB35" s="951" t="n">
        <v>754.25</v>
      </c>
      <c r="AC35" s="951" t="n">
        <v>503.73</v>
      </c>
      <c r="AD35" s="951" t="n">
        <v>588.11</v>
      </c>
      <c r="AE35" s="951" t="n">
        <v>768.16</v>
      </c>
      <c r="AF35" s="951" t="n">
        <v>893.4299999999999</v>
      </c>
      <c r="AG35" s="951" t="n">
        <v>578.51</v>
      </c>
      <c r="AH35" s="951">
        <f>+SUMIF('Monthly Detail'!$4:$4, $B$14,'Monthly Detail'!59:59)</f>
        <v/>
      </c>
      <c r="AI35" s="951" t="n">
        <v>244.436714603592</v>
      </c>
      <c r="AJ35" s="951" t="n">
        <v>165.6667685342036</v>
      </c>
      <c r="AK35" s="951" t="n">
        <v>220.3967213712246</v>
      </c>
      <c r="AL35" s="951" t="n">
        <v>316.2836066431211</v>
      </c>
      <c r="AM35" s="951" t="n">
        <v>362.603869653189</v>
      </c>
      <c r="AN35" s="951" t="n">
        <v>347.1633670550233</v>
      </c>
      <c r="AO35" s="951" t="n">
        <v>277.5366120970977</v>
      </c>
      <c r="AP35" s="951" t="n">
        <v>255.57893162953</v>
      </c>
      <c r="AQ35" s="951" t="n">
        <v>233.0336568045601</v>
      </c>
      <c r="AR35" s="951" t="n">
        <v>265.4128167634582</v>
      </c>
      <c r="AS35" s="951" t="n">
        <v>236.6142102153256</v>
      </c>
      <c r="AT35" s="951" t="n">
        <v>288.9918164274812</v>
      </c>
      <c r="AU35" s="952">
        <f>+AH35-S35</f>
        <v/>
      </c>
      <c r="AV35" s="952">
        <f>+AH35-AS35</f>
        <v/>
      </c>
    </row>
    <row r="36">
      <c r="B36" s="640" t="inlineStr">
        <is>
          <t>Contractors - COS</t>
        </is>
      </c>
      <c r="C36" s="632" t="n"/>
      <c r="D36" s="949" t="n"/>
      <c r="E36" s="949" t="n">
        <v>450</v>
      </c>
      <c r="F36" s="949" t="n">
        <v>540</v>
      </c>
      <c r="G36" s="949" t="n">
        <v>540</v>
      </c>
      <c r="H36" s="949" t="n">
        <v>600</v>
      </c>
      <c r="I36" s="949" t="n">
        <v>0</v>
      </c>
      <c r="J36" s="949" t="n">
        <v>300</v>
      </c>
      <c r="K36" s="949" t="n">
        <v>1103.477803076377</v>
      </c>
      <c r="L36" s="949" t="n">
        <v>448.1841402345323</v>
      </c>
      <c r="M36" s="950" t="n">
        <v>0</v>
      </c>
      <c r="N36" s="951" t="n">
        <v>0</v>
      </c>
      <c r="O36" s="951" t="n">
        <v>998.4681935541307</v>
      </c>
      <c r="P36" s="951" t="n">
        <v>925.2423922135562</v>
      </c>
      <c r="Q36" s="951" t="n">
        <v>1091.118205654143</v>
      </c>
      <c r="R36" s="951" t="n">
        <v>1394.792917271611</v>
      </c>
      <c r="S36" s="951">
        <f>+SUMIF('Monthly Detail'!$4:$4, $B$14,'Monthly Detail'!60:60)</f>
        <v/>
      </c>
      <c r="T36" s="951" t="n">
        <v>210</v>
      </c>
      <c r="U36" s="951" t="n">
        <v>432</v>
      </c>
      <c r="V36" s="951" t="n">
        <v>432</v>
      </c>
      <c r="W36" s="951" t="n">
        <v>470</v>
      </c>
      <c r="X36" s="951" t="n">
        <v>50</v>
      </c>
      <c r="Y36" s="951" t="n">
        <v>45</v>
      </c>
      <c r="Z36" s="951" t="n">
        <v>0</v>
      </c>
      <c r="AA36" s="951" t="n">
        <v>0</v>
      </c>
      <c r="AB36" s="951" t="n">
        <v>629</v>
      </c>
      <c r="AC36" s="951" t="n">
        <v>0</v>
      </c>
      <c r="AD36" s="951" t="n">
        <v>0</v>
      </c>
      <c r="AE36" s="951" t="n">
        <v>0</v>
      </c>
      <c r="AF36" s="951" t="n">
        <v>30</v>
      </c>
      <c r="AG36" s="951" t="n">
        <v>0</v>
      </c>
      <c r="AH36" s="951">
        <f>+SUMIF('Monthly Detail'!$4:$4, $B$14,'Monthly Detail'!60:60)</f>
        <v/>
      </c>
      <c r="AI36" s="951" t="n">
        <v>0</v>
      </c>
      <c r="AJ36" s="951" t="n">
        <v>300</v>
      </c>
      <c r="AK36" s="951" t="n">
        <v>540</v>
      </c>
      <c r="AL36" s="951" t="n">
        <v>940.8007781637464</v>
      </c>
      <c r="AM36" s="951" t="n">
        <v>1179.634278778284</v>
      </c>
      <c r="AN36" s="951" t="n">
        <v>980.0209724815081</v>
      </c>
      <c r="AO36" s="951" t="n">
        <v>381.0160674485295</v>
      </c>
      <c r="AP36" s="951" t="n">
        <v>540</v>
      </c>
      <c r="AQ36" s="951" t="n">
        <v>300</v>
      </c>
      <c r="AR36" s="951" t="n">
        <v>558.5041495080387</v>
      </c>
      <c r="AS36" s="951" t="n">
        <v>540</v>
      </c>
      <c r="AT36" s="951" t="n">
        <v>680.0806403307186</v>
      </c>
      <c r="AU36" s="952">
        <f>+AH36-S36</f>
        <v/>
      </c>
      <c r="AV36" s="952">
        <f>+AH36-AS36</f>
        <v/>
      </c>
    </row>
    <row r="37">
      <c r="B37" s="637" t="inlineStr">
        <is>
          <t>Total Expenses</t>
        </is>
      </c>
      <c r="C37" s="638" t="n"/>
      <c r="D37" s="974" t="n">
        <v>540.3687791292186</v>
      </c>
      <c r="E37" s="974" t="n">
        <v>822.9232871342442</v>
      </c>
      <c r="F37" s="974" t="n">
        <v>880.9075610993399</v>
      </c>
      <c r="G37" s="974" t="n">
        <v>970.2746228970478</v>
      </c>
      <c r="H37" s="974" t="n">
        <v>949.9882460864193</v>
      </c>
      <c r="I37" s="974" t="n">
        <v>538.9392216555059</v>
      </c>
      <c r="J37" s="974" t="n">
        <v>850.1524519933967</v>
      </c>
      <c r="K37" s="974" t="n">
        <v>1661.094166958498</v>
      </c>
      <c r="L37" s="974" t="n">
        <v>972.7367026097145</v>
      </c>
      <c r="M37" s="975" t="n">
        <v>574.4599999303537</v>
      </c>
      <c r="N37" s="976" t="n">
        <v>647.1942388633097</v>
      </c>
      <c r="O37" s="976" t="n">
        <v>1803.422635801443</v>
      </c>
      <c r="P37" s="976" t="n">
        <v>1730.288125324244</v>
      </c>
      <c r="Q37" s="976" t="n">
        <v>2040.134745238575</v>
      </c>
      <c r="R37" s="976" t="n">
        <v>2437.262058526008</v>
      </c>
      <c r="S37" s="976">
        <f>+SUM(S34:S36)</f>
        <v/>
      </c>
      <c r="T37" s="976" t="n">
        <v>366.67</v>
      </c>
      <c r="U37" s="976" t="n">
        <v>948.4400000000001</v>
      </c>
      <c r="V37" s="976" t="n">
        <v>948.4400000000001</v>
      </c>
      <c r="W37" s="976" t="n">
        <v>1230.59</v>
      </c>
      <c r="X37" s="976" t="n">
        <v>497.28</v>
      </c>
      <c r="Y37" s="976" t="n">
        <v>791.4</v>
      </c>
      <c r="Z37" s="976" t="n">
        <v>1024.69</v>
      </c>
      <c r="AA37" s="976" t="n">
        <v>930.5699999999999</v>
      </c>
      <c r="AB37" s="976" t="n">
        <v>1623.48</v>
      </c>
      <c r="AC37" s="976" t="n">
        <v>685.83</v>
      </c>
      <c r="AD37" s="976" t="n">
        <v>804.71</v>
      </c>
      <c r="AE37" s="976" t="n">
        <v>973.71</v>
      </c>
      <c r="AF37" s="976" t="n">
        <v>1145.55</v>
      </c>
      <c r="AG37" s="976" t="n">
        <v>860.51</v>
      </c>
      <c r="AH37" s="976">
        <f>+SUM(AH34:AH36)</f>
        <v/>
      </c>
      <c r="AI37" s="976" t="n">
        <v>459.1214775690351</v>
      </c>
      <c r="AJ37" s="976" t="n">
        <v>611.1691779889156</v>
      </c>
      <c r="AK37" s="976" t="n">
        <v>953.967552016184</v>
      </c>
      <c r="AL37" s="976" t="n">
        <v>1534.871096316841</v>
      </c>
      <c r="AM37" s="976" t="n">
        <v>1860.707188293553</v>
      </c>
      <c r="AN37" s="976" t="n">
        <v>1632.092238856651</v>
      </c>
      <c r="AO37" s="976" t="n">
        <v>902.3085403577983</v>
      </c>
      <c r="AP37" s="976" t="n">
        <v>1020.049721317687</v>
      </c>
      <c r="AQ37" s="976" t="n">
        <v>737.7033008684239</v>
      </c>
      <c r="AR37" s="976" t="n">
        <v>1057.024696209937</v>
      </c>
      <c r="AS37" s="976" t="n">
        <v>984.4285956962955</v>
      </c>
      <c r="AT37" s="976" t="n">
        <v>1222.889235916362</v>
      </c>
      <c r="AU37" s="977">
        <f>+AH37-S37</f>
        <v/>
      </c>
      <c r="AV37" s="977">
        <f>+AH37-AS37</f>
        <v/>
      </c>
    </row>
    <row r="38">
      <c r="B38" s="640" t="inlineStr">
        <is>
          <t>Gross Profit</t>
        </is>
      </c>
      <c r="C38" s="632" t="n"/>
      <c r="D38" s="978" t="n">
        <v>12227.22439858919</v>
      </c>
      <c r="E38" s="978" t="n">
        <v>5290.247907241905</v>
      </c>
      <c r="F38" s="978" t="n">
        <v>5246.678193132694</v>
      </c>
      <c r="G38" s="978" t="n">
        <v>5599.333952715219</v>
      </c>
      <c r="H38" s="978" t="n">
        <v>4576.467712120729</v>
      </c>
      <c r="I38" s="978" t="n">
        <v>7028.337479364359</v>
      </c>
      <c r="J38" s="978" t="n">
        <v>6699.305253900614</v>
      </c>
      <c r="K38" s="978" t="n">
        <v>4766.231981663386</v>
      </c>
      <c r="L38" s="978" t="n">
        <v>4079.364861735214</v>
      </c>
      <c r="M38" s="979" t="n">
        <v>4609.563607380126</v>
      </c>
      <c r="N38" s="980" t="n">
        <v>5008.833726737096</v>
      </c>
      <c r="O38" s="980" t="n">
        <v>5486.761202973412</v>
      </c>
      <c r="P38" s="980" t="n">
        <v>5214.502131668456</v>
      </c>
      <c r="Q38" s="980" t="n">
        <v>5824.273913960971</v>
      </c>
      <c r="R38" s="980" t="n">
        <v>6265.72191796992</v>
      </c>
      <c r="S38" s="980">
        <f>+S16-S37</f>
        <v/>
      </c>
      <c r="T38" s="980" t="n">
        <v>3821.33</v>
      </c>
      <c r="U38" s="980" t="n">
        <v>3990.31</v>
      </c>
      <c r="V38" s="980" t="n">
        <v>3990.31</v>
      </c>
      <c r="W38" s="980" t="n">
        <v>4921.41</v>
      </c>
      <c r="X38" s="980" t="n">
        <v>6223.77</v>
      </c>
      <c r="Y38" s="980" t="n">
        <v>5709.740000000001</v>
      </c>
      <c r="Z38" s="980" t="n">
        <v>6083.809999999999</v>
      </c>
      <c r="AA38" s="980" t="n">
        <v>6931.18</v>
      </c>
      <c r="AB38" s="980" t="n">
        <v>6254.139999999999</v>
      </c>
      <c r="AC38" s="980" t="n">
        <v>6201.62</v>
      </c>
      <c r="AD38" s="980" t="n">
        <v>6613.84</v>
      </c>
      <c r="AE38" s="980" t="n">
        <v>6679.64</v>
      </c>
      <c r="AF38" s="980" t="n">
        <v>5024.9</v>
      </c>
      <c r="AG38" s="980" t="n">
        <v>6137.74</v>
      </c>
      <c r="AH38" s="980">
        <f>+AH16-AH37</f>
        <v/>
      </c>
      <c r="AI38" s="980" t="n">
        <v>6790.592344608148</v>
      </c>
      <c r="AJ38" s="980" t="n">
        <v>4302.317994613571</v>
      </c>
      <c r="AK38" s="980" t="n">
        <v>5582.74752320771</v>
      </c>
      <c r="AL38" s="980" t="n">
        <v>7845.739498647319</v>
      </c>
      <c r="AM38" s="980" t="n">
        <v>8893.709512416872</v>
      </c>
      <c r="AN38" s="980" t="n">
        <v>8664.376786976791</v>
      </c>
      <c r="AO38" s="980" t="n">
        <v>7329.110443257478</v>
      </c>
      <c r="AP38" s="980" t="n">
        <v>6560.129534064325</v>
      </c>
      <c r="AQ38" s="980" t="n">
        <v>6173.808848639444</v>
      </c>
      <c r="AR38" s="980" t="n">
        <v>6814.816362501246</v>
      </c>
      <c r="AS38" s="980" t="n">
        <v>6033.278679184479</v>
      </c>
      <c r="AT38" s="980" t="n">
        <v>7348.278026939715</v>
      </c>
      <c r="AU38" s="952">
        <f>+AH38-S38</f>
        <v/>
      </c>
      <c r="AV38" s="952">
        <f>+AH38-AS38</f>
        <v/>
      </c>
    </row>
    <row r="39">
      <c r="B39" s="639" t="inlineStr">
        <is>
          <t>GP%</t>
        </is>
      </c>
      <c r="C39" s="638" t="n"/>
      <c r="D39" s="981" t="n">
        <v>0.957676535302499</v>
      </c>
      <c r="E39" s="981" t="n">
        <v>0.8653852049994448</v>
      </c>
      <c r="F39" s="981" t="n">
        <v>0.8562390480637602</v>
      </c>
      <c r="G39" s="981" t="n">
        <v>0.8523086099073077</v>
      </c>
      <c r="H39" s="981" t="n">
        <v>0.8281017249987084</v>
      </c>
      <c r="I39" s="981" t="n">
        <v>0.9287802940279861</v>
      </c>
      <c r="J39" s="981" t="n">
        <v>0.8873889377074508</v>
      </c>
      <c r="K39" s="981" t="n">
        <v>0.7415575110787459</v>
      </c>
      <c r="L39" s="981" t="n">
        <v>0.8074589969697408</v>
      </c>
      <c r="M39" s="982" t="n">
        <v>0.8891864614350418</v>
      </c>
      <c r="N39" s="983" t="n">
        <v>0.8855744273544079</v>
      </c>
      <c r="O39" s="983" t="n">
        <v>0.7526231607206607</v>
      </c>
      <c r="P39" s="983" t="n">
        <v>0.7508509168319347</v>
      </c>
      <c r="Q39" s="983" t="n">
        <v>0.7405863767198712</v>
      </c>
      <c r="R39" s="983" t="n">
        <v>0.7199509886369664</v>
      </c>
      <c r="S39" s="983">
        <f>+S38/S16</f>
        <v/>
      </c>
      <c r="T39" s="983" t="n">
        <v>0.9124474689589303</v>
      </c>
      <c r="U39" s="983" t="n">
        <v>0.8079595039230575</v>
      </c>
      <c r="V39" s="983" t="n">
        <v>0.8079595039230575</v>
      </c>
      <c r="W39" s="983" t="n">
        <v>0.7999691157347204</v>
      </c>
      <c r="X39" s="983" t="n">
        <v>0.9260115606936417</v>
      </c>
      <c r="Y39" s="983" t="n">
        <v>0.8782675038531704</v>
      </c>
      <c r="Z39" s="983" t="n">
        <v>0.85585003868608</v>
      </c>
      <c r="AA39" s="983" t="n">
        <v>0.8816332241549274</v>
      </c>
      <c r="AB39" s="983" t="n">
        <v>0.7939123745496736</v>
      </c>
      <c r="AC39" s="983" t="n">
        <v>0.9004232335624941</v>
      </c>
      <c r="AD39" s="983" t="n">
        <v>0.8915273200288466</v>
      </c>
      <c r="AE39" s="983" t="n">
        <v>0.8727733606851902</v>
      </c>
      <c r="AF39" s="983" t="n">
        <v>0.8143490345112593</v>
      </c>
      <c r="AG39" s="983" t="n">
        <v>0.8770392598149537</v>
      </c>
      <c r="AH39" s="983">
        <f>+AH38/AH16</f>
        <v/>
      </c>
      <c r="AI39" s="983" t="n">
        <v>0.9366703998488102</v>
      </c>
      <c r="AJ39" s="983" t="n">
        <v>0.8756139669201167</v>
      </c>
      <c r="AK39" s="983" t="n">
        <v>0.8540600988358807</v>
      </c>
      <c r="AL39" s="983" t="n">
        <v>0.8363783379793194</v>
      </c>
      <c r="AM39" s="983" t="n">
        <v>0.8269820446728053</v>
      </c>
      <c r="AN39" s="983" t="n">
        <v>0.8414901035722252</v>
      </c>
      <c r="AO39" s="983" t="n">
        <v>0.8903823821683902</v>
      </c>
      <c r="AP39" s="983" t="n">
        <v>0.8654319789873781</v>
      </c>
      <c r="AQ39" s="983" t="n">
        <v>0.8932645584771269</v>
      </c>
      <c r="AR39" s="983" t="n">
        <v>0.8657207776012948</v>
      </c>
      <c r="AS39" s="983" t="n">
        <v>0.8597221917163793</v>
      </c>
      <c r="AT39" s="983" t="n">
        <v>0.8573252395603266</v>
      </c>
      <c r="AU39" s="984">
        <f>+AH39-S39</f>
        <v/>
      </c>
      <c r="AV39" s="984">
        <f>+AH39-AS39</f>
        <v/>
      </c>
    </row>
    <row r="40" ht="4.9" customHeight="1" s="627">
      <c r="B40" s="629" t="n"/>
      <c r="C40" s="630" t="n"/>
      <c r="D40" s="949" t="n"/>
      <c r="E40" s="949" t="n"/>
      <c r="F40" s="949" t="n"/>
      <c r="G40" s="949" t="n"/>
      <c r="H40" s="949" t="n"/>
      <c r="I40" s="949" t="n"/>
      <c r="J40" s="949" t="n"/>
      <c r="K40" s="949" t="n"/>
      <c r="L40" s="949" t="n"/>
      <c r="M40" s="950" t="n"/>
      <c r="N40" s="951" t="n"/>
      <c r="O40" s="951" t="n"/>
      <c r="P40" s="951" t="n"/>
      <c r="Q40" s="951" t="n"/>
      <c r="R40" s="951" t="n"/>
      <c r="S40" s="951" t="n"/>
      <c r="T40" s="951" t="n"/>
      <c r="U40" s="951" t="n"/>
      <c r="V40" s="951" t="n"/>
      <c r="W40" s="951" t="n"/>
      <c r="X40" s="951" t="n"/>
      <c r="Y40" s="951" t="n"/>
      <c r="Z40" s="951" t="n"/>
      <c r="AA40" s="951" t="n"/>
      <c r="AB40" s="951" t="n"/>
      <c r="AC40" s="951" t="n"/>
      <c r="AD40" s="951" t="n"/>
      <c r="AE40" s="951" t="n"/>
      <c r="AF40" s="951" t="n"/>
      <c r="AG40" s="951" t="n"/>
      <c r="AH40" s="951" t="n"/>
      <c r="AI40" s="951" t="n"/>
      <c r="AJ40" s="951" t="n"/>
      <c r="AK40" s="951" t="n"/>
      <c r="AL40" s="951" t="n"/>
      <c r="AM40" s="951" t="n"/>
      <c r="AN40" s="951" t="n"/>
      <c r="AO40" s="951" t="n"/>
      <c r="AP40" s="951" t="n"/>
      <c r="AQ40" s="951" t="n"/>
      <c r="AR40" s="951" t="n"/>
      <c r="AS40" s="951" t="n"/>
      <c r="AT40" s="951" t="n"/>
      <c r="AU40" s="952">
        <f>+AH40-S40</f>
        <v/>
      </c>
      <c r="AV40" s="952">
        <f>+AH40-AS40</f>
        <v/>
      </c>
    </row>
    <row r="41">
      <c r="B41" s="629" t="inlineStr">
        <is>
          <t>Expenses</t>
        </is>
      </c>
      <c r="C41" s="630" t="n"/>
      <c r="D41" s="949" t="n"/>
      <c r="E41" s="949" t="n"/>
      <c r="F41" s="949" t="n"/>
      <c r="G41" s="949" t="n"/>
      <c r="H41" s="949" t="n"/>
      <c r="I41" s="949" t="n"/>
      <c r="J41" s="949" t="n"/>
      <c r="K41" s="949" t="n"/>
      <c r="L41" s="949" t="n"/>
      <c r="M41" s="950" t="n"/>
      <c r="N41" s="951" t="n"/>
      <c r="O41" s="951" t="n"/>
      <c r="P41" s="951" t="n"/>
      <c r="Q41" s="951" t="n"/>
      <c r="R41" s="951" t="n"/>
      <c r="S41" s="951" t="n"/>
      <c r="T41" s="951" t="n"/>
      <c r="U41" s="951" t="n"/>
      <c r="V41" s="951" t="n"/>
      <c r="W41" s="951" t="n"/>
      <c r="X41" s="951" t="n"/>
      <c r="Y41" s="951" t="n"/>
      <c r="Z41" s="951" t="n"/>
      <c r="AA41" s="951" t="n"/>
      <c r="AB41" s="951" t="n"/>
      <c r="AC41" s="951" t="n"/>
      <c r="AD41" s="951" t="n"/>
      <c r="AE41" s="951" t="n"/>
      <c r="AF41" s="951" t="n"/>
      <c r="AG41" s="951" t="n"/>
      <c r="AH41" s="951" t="n"/>
      <c r="AI41" s="951" t="n"/>
      <c r="AJ41" s="951" t="n"/>
      <c r="AK41" s="951" t="n"/>
      <c r="AL41" s="951" t="n"/>
      <c r="AM41" s="951" t="n"/>
      <c r="AN41" s="951" t="n"/>
      <c r="AO41" s="951" t="n"/>
      <c r="AP41" s="951" t="n"/>
      <c r="AQ41" s="951" t="n"/>
      <c r="AR41" s="951" t="n"/>
      <c r="AS41" s="951" t="n"/>
      <c r="AT41" s="951" t="n"/>
      <c r="AU41" s="952">
        <f>+AH41-S41</f>
        <v/>
      </c>
      <c r="AV41" s="952">
        <f>+AH41-AS41</f>
        <v/>
      </c>
    </row>
    <row r="42">
      <c r="B42" s="629" t="inlineStr">
        <is>
          <t>Owner Payroll Burden</t>
        </is>
      </c>
      <c r="C42" s="630" t="n"/>
      <c r="D42" s="949" t="n"/>
      <c r="E42" s="949" t="n"/>
      <c r="F42" s="949" t="n"/>
      <c r="G42" s="949" t="n"/>
      <c r="H42" s="949" t="n"/>
      <c r="I42" s="949" t="n"/>
      <c r="J42" s="949" t="n">
        <v>3813.1</v>
      </c>
      <c r="K42" s="949" t="n">
        <v>1906.55</v>
      </c>
      <c r="L42" s="949" t="n">
        <v>1906.55</v>
      </c>
      <c r="M42" s="950" t="n">
        <v>2599.175</v>
      </c>
      <c r="N42" s="951" t="n">
        <v>2659.625606060606</v>
      </c>
      <c r="O42" s="951" t="n">
        <v>2659.649523809524</v>
      </c>
      <c r="P42" s="951" t="n">
        <v>2659.676190476191</v>
      </c>
      <c r="Q42" s="951" t="n">
        <v>2655.33</v>
      </c>
      <c r="R42" s="951" t="n">
        <v>2636.670572390572</v>
      </c>
      <c r="S42" s="951">
        <f>+SUMIF('Monthly Detail'!$4:$4, $B$14,'Monthly Detail'!71:71)</f>
        <v/>
      </c>
      <c r="T42" s="951" t="n"/>
      <c r="U42" s="951" t="n"/>
      <c r="V42" s="951" t="n"/>
      <c r="W42" s="951" t="n"/>
      <c r="X42" s="951" t="n"/>
      <c r="Y42" s="951" t="n">
        <v>739.41</v>
      </c>
      <c r="Z42" s="951" t="n">
        <v>1583.73</v>
      </c>
      <c r="AA42" s="951" t="n">
        <v>2659.62</v>
      </c>
      <c r="AB42" s="951" t="n">
        <v>2803.6</v>
      </c>
      <c r="AC42" s="951" t="n">
        <v>1219.9</v>
      </c>
      <c r="AD42" s="951" t="n">
        <v>1215.98</v>
      </c>
      <c r="AE42" s="951" t="n">
        <v>1219.9</v>
      </c>
      <c r="AF42" s="951" t="n">
        <v>982.41</v>
      </c>
      <c r="AG42" s="951" t="n">
        <v>1199.74</v>
      </c>
      <c r="AH42" s="951">
        <f>+SUMIF('Monthly Detail'!$4:$4, $B$14,'Monthly Detail'!71:71)</f>
        <v/>
      </c>
      <c r="AI42" s="951" t="n"/>
      <c r="AJ42" s="951" t="n">
        <v>0</v>
      </c>
      <c r="AK42" s="951" t="n">
        <v>0</v>
      </c>
      <c r="AL42" s="951" t="n"/>
      <c r="AM42" s="951" t="n"/>
      <c r="AN42" s="951" t="n"/>
      <c r="AO42" s="951" t="n"/>
      <c r="AP42" s="951" t="n"/>
      <c r="AQ42" s="951" t="n"/>
      <c r="AR42" s="951" t="n">
        <v>0</v>
      </c>
      <c r="AS42" s="951" t="n"/>
      <c r="AT42" s="951" t="n"/>
      <c r="AU42" s="952">
        <f>+AH42-S42</f>
        <v/>
      </c>
      <c r="AV42" s="952">
        <f>+AH42-AS42</f>
        <v/>
      </c>
    </row>
    <row r="43" ht="14.65" customHeight="1" s="627">
      <c r="B43" s="629" t="inlineStr">
        <is>
          <t>Travel</t>
        </is>
      </c>
      <c r="C43" s="630" t="n"/>
      <c r="D43" s="949" t="n">
        <v>55</v>
      </c>
      <c r="E43" s="949" t="n">
        <v>39.48</v>
      </c>
      <c r="F43" s="949" t="n">
        <v>38.70333333333333</v>
      </c>
      <c r="G43" s="949" t="n">
        <v>294.04</v>
      </c>
      <c r="H43" s="949" t="n">
        <v>289.0166666666667</v>
      </c>
      <c r="I43" s="949" t="n">
        <v>293.82</v>
      </c>
      <c r="J43" s="949" t="n">
        <v>214.41</v>
      </c>
      <c r="K43" s="949" t="n">
        <v>214.41</v>
      </c>
      <c r="L43" s="949" t="n">
        <v>141.31</v>
      </c>
      <c r="M43" s="950" t="n">
        <v>114.41</v>
      </c>
      <c r="N43" s="951" t="n">
        <v>78.81999999999999</v>
      </c>
      <c r="O43" s="951" t="n">
        <v>78.81999999999999</v>
      </c>
      <c r="P43" s="951" t="n">
        <v>78.81999999999999</v>
      </c>
      <c r="Q43" s="951" t="n">
        <v>78.81999999999999</v>
      </c>
      <c r="R43" s="951" t="n">
        <v>64.41</v>
      </c>
      <c r="S43" s="951">
        <f>+SUMIF('Monthly Detail'!$4:$4, $B$14,'Monthly Detail'!78:78)</f>
        <v/>
      </c>
      <c r="T43" s="951" t="n">
        <v>14.41</v>
      </c>
      <c r="U43" s="951" t="n">
        <v>183.38</v>
      </c>
      <c r="V43" s="951" t="n">
        <v>183.38</v>
      </c>
      <c r="W43" s="951" t="n">
        <v>28.82</v>
      </c>
      <c r="X43" s="951" t="n">
        <v>14.41</v>
      </c>
      <c r="Y43" s="951" t="n">
        <v>14.41</v>
      </c>
      <c r="Z43" s="951" t="n">
        <v>41.31</v>
      </c>
      <c r="AA43" s="951" t="n">
        <v>14.41</v>
      </c>
      <c r="AB43" s="951" t="n">
        <v>28.82</v>
      </c>
      <c r="AC43" s="951" t="n">
        <v>28.82</v>
      </c>
      <c r="AD43" s="951" t="n">
        <v>33.82</v>
      </c>
      <c r="AE43" s="951" t="n">
        <v>28.82</v>
      </c>
      <c r="AF43" s="951" t="n">
        <v>14.41</v>
      </c>
      <c r="AG43" s="951" t="n">
        <v>28.82</v>
      </c>
      <c r="AH43" s="951">
        <f>+SUMIF('Monthly Detail'!$4:$4, $B$14,'Monthly Detail'!78:78)</f>
        <v/>
      </c>
      <c r="AI43" s="951" t="n">
        <v>242.9183333333333</v>
      </c>
      <c r="AJ43" s="951" t="n">
        <v>242.9183333333333</v>
      </c>
      <c r="AK43" s="951" t="n">
        <v>242.9183333333333</v>
      </c>
      <c r="AL43" s="951" t="n">
        <v>242.9183333333333</v>
      </c>
      <c r="AM43" s="951" t="n">
        <v>242.9183333333333</v>
      </c>
      <c r="AN43" s="951" t="n">
        <v>242.9183333333333</v>
      </c>
      <c r="AO43" s="951" t="n">
        <v>242.9183333333333</v>
      </c>
      <c r="AP43" s="951" t="n">
        <v>242.9183333333333</v>
      </c>
      <c r="AQ43" s="951" t="n">
        <v>242.9183333333333</v>
      </c>
      <c r="AR43" s="951" t="n">
        <v>242.9183333333333</v>
      </c>
      <c r="AS43" s="951" t="n">
        <v>242.9183333333333</v>
      </c>
      <c r="AT43" s="951" t="n">
        <v>242.9183333333333</v>
      </c>
      <c r="AU43" s="952">
        <f>+AH43-S43</f>
        <v/>
      </c>
      <c r="AV43" s="952">
        <f>+AH43-AS43</f>
        <v/>
      </c>
    </row>
    <row r="44">
      <c r="B44" s="629" t="inlineStr">
        <is>
          <t>Legal &amp; Accounting Services</t>
        </is>
      </c>
      <c r="C44" s="630" t="n"/>
      <c r="D44" s="949" t="n">
        <v>300</v>
      </c>
      <c r="E44" s="949" t="n">
        <v>400</v>
      </c>
      <c r="F44" s="949" t="n">
        <v>340</v>
      </c>
      <c r="G44" s="949" t="n">
        <v>340</v>
      </c>
      <c r="H44" s="949" t="n">
        <v>340</v>
      </c>
      <c r="I44" s="949" t="n">
        <v>340</v>
      </c>
      <c r="J44" s="949" t="n">
        <v>211.67</v>
      </c>
      <c r="K44" s="949" t="n">
        <v>368.33</v>
      </c>
      <c r="L44" s="949" t="n">
        <v>353.33</v>
      </c>
      <c r="M44" s="950" t="n">
        <v>330</v>
      </c>
      <c r="N44" s="951" t="n">
        <v>350</v>
      </c>
      <c r="O44" s="951" t="n">
        <v>350</v>
      </c>
      <c r="P44" s="951" t="n">
        <v>350</v>
      </c>
      <c r="Q44" s="951" t="n">
        <v>350</v>
      </c>
      <c r="R44" s="951" t="n">
        <v>350</v>
      </c>
      <c r="S44" s="951">
        <f>+SUMIF('Monthly Detail'!$4:$4, $B$14,'Monthly Detail'!82:82)</f>
        <v/>
      </c>
      <c r="T44" s="951" t="n">
        <v>400</v>
      </c>
      <c r="U44" s="951" t="n">
        <v>330.08</v>
      </c>
      <c r="V44" s="951" t="n">
        <v>330.08</v>
      </c>
      <c r="W44" s="951" t="n">
        <v>280.5</v>
      </c>
      <c r="X44" s="951" t="n">
        <v>211.67</v>
      </c>
      <c r="Y44" s="951" t="n">
        <v>368.33</v>
      </c>
      <c r="Z44" s="951" t="n">
        <v>353.33</v>
      </c>
      <c r="AA44" s="951" t="n">
        <v>330</v>
      </c>
      <c r="AB44" s="951" t="n">
        <v>373.01</v>
      </c>
      <c r="AC44" s="951" t="n">
        <v>276.25</v>
      </c>
      <c r="AD44" s="951" t="n">
        <v>382.5</v>
      </c>
      <c r="AE44" s="951" t="n">
        <v>297.5</v>
      </c>
      <c r="AF44" s="951" t="n">
        <v>318.75</v>
      </c>
      <c r="AG44" s="951" t="n">
        <v>383.75</v>
      </c>
      <c r="AH44" s="951">
        <f>+SUMIF('Monthly Detail'!$4:$4, $B$14,'Monthly Detail'!82:82)</f>
        <v/>
      </c>
      <c r="AI44" s="951" t="n">
        <v>340</v>
      </c>
      <c r="AJ44" s="951" t="n">
        <v>340</v>
      </c>
      <c r="AK44" s="951" t="n">
        <v>340</v>
      </c>
      <c r="AL44" s="951" t="n">
        <v>340</v>
      </c>
      <c r="AM44" s="951" t="n">
        <v>340</v>
      </c>
      <c r="AN44" s="951" t="n">
        <v>340</v>
      </c>
      <c r="AO44" s="951" t="n">
        <v>340</v>
      </c>
      <c r="AP44" s="951" t="n">
        <v>340</v>
      </c>
      <c r="AQ44" s="951" t="n">
        <v>340</v>
      </c>
      <c r="AR44" s="951" t="n">
        <v>340</v>
      </c>
      <c r="AS44" s="951" t="n">
        <v>340</v>
      </c>
      <c r="AT44" s="951" t="n">
        <v>340</v>
      </c>
      <c r="AU44" s="952">
        <f>+AH44-S44</f>
        <v/>
      </c>
      <c r="AV44" s="952">
        <f>+AH44-AS44</f>
        <v/>
      </c>
    </row>
    <row r="45">
      <c r="B45" s="629" t="inlineStr">
        <is>
          <t>Office Supplies &amp; Software</t>
        </is>
      </c>
      <c r="C45" s="630" t="n"/>
      <c r="D45" s="949" t="n">
        <v>405.4966666666667</v>
      </c>
      <c r="E45" s="949" t="n">
        <v>505.5266666666666</v>
      </c>
      <c r="F45" s="949" t="n">
        <v>453.4666666666666</v>
      </c>
      <c r="G45" s="949" t="n">
        <v>392.5866666666666</v>
      </c>
      <c r="H45" s="949" t="n">
        <v>273.6033333333333</v>
      </c>
      <c r="I45" s="949" t="n">
        <v>190.0033333333333</v>
      </c>
      <c r="J45" s="949" t="n">
        <v>174.52</v>
      </c>
      <c r="K45" s="949" t="n">
        <v>221.82</v>
      </c>
      <c r="L45" s="949" t="n">
        <v>103.99</v>
      </c>
      <c r="M45" s="950" t="n">
        <v>171.41</v>
      </c>
      <c r="N45" s="951" t="n">
        <v>149.99</v>
      </c>
      <c r="O45" s="951" t="n">
        <v>149.99</v>
      </c>
      <c r="P45" s="951" t="n">
        <v>149.99</v>
      </c>
      <c r="Q45" s="951" t="n">
        <v>277.13</v>
      </c>
      <c r="R45" s="951" t="n">
        <v>159.99</v>
      </c>
      <c r="S45" s="951">
        <f>+SUMIF('Monthly Detail'!$4:$4, $B$14,'Monthly Detail'!83:83)</f>
        <v/>
      </c>
      <c r="T45" s="951" t="n">
        <v>373.8</v>
      </c>
      <c r="U45" s="951" t="n">
        <v>265.57</v>
      </c>
      <c r="V45" s="951" t="n">
        <v>265.57</v>
      </c>
      <c r="W45" s="951" t="n">
        <v>123</v>
      </c>
      <c r="X45" s="951" t="n">
        <v>174.52</v>
      </c>
      <c r="Y45" s="951" t="n">
        <v>221.82</v>
      </c>
      <c r="Z45" s="951" t="n">
        <v>103.99</v>
      </c>
      <c r="AA45" s="951" t="n">
        <v>171.41</v>
      </c>
      <c r="AB45" s="951" t="n">
        <v>149.99</v>
      </c>
      <c r="AC45" s="951" t="n">
        <v>149.99</v>
      </c>
      <c r="AD45" s="951" t="n">
        <v>165.59</v>
      </c>
      <c r="AE45" s="951" t="n">
        <v>277.13</v>
      </c>
      <c r="AF45" s="951" t="n">
        <v>159.99</v>
      </c>
      <c r="AG45" s="951" t="n">
        <v>205.51</v>
      </c>
      <c r="AH45" s="951">
        <f>+SUMIF('Monthly Detail'!$4:$4, $B$14,'Monthly Detail'!83:83)</f>
        <v/>
      </c>
      <c r="AI45" s="951" t="n">
        <v>300.9636666666667</v>
      </c>
      <c r="AJ45" s="951" t="n">
        <v>300.9636666666667</v>
      </c>
      <c r="AK45" s="951" t="n">
        <v>300.9636666666667</v>
      </c>
      <c r="AL45" s="951" t="n">
        <v>300.9636666666667</v>
      </c>
      <c r="AM45" s="951" t="n">
        <v>300.9636666666667</v>
      </c>
      <c r="AN45" s="951" t="n">
        <v>300.9636666666667</v>
      </c>
      <c r="AO45" s="951" t="n">
        <v>300.9636666666667</v>
      </c>
      <c r="AP45" s="951" t="n">
        <v>300.9636666666667</v>
      </c>
      <c r="AQ45" s="951" t="n">
        <v>300.9636666666667</v>
      </c>
      <c r="AR45" s="951" t="n">
        <v>300.9636666666667</v>
      </c>
      <c r="AS45" s="951" t="n">
        <v>300.9636666666667</v>
      </c>
      <c r="AT45" s="951" t="n">
        <v>300.9636666666667</v>
      </c>
      <c r="AU45" s="952">
        <f>+AH45-S45</f>
        <v/>
      </c>
      <c r="AV45" s="952">
        <f>+AH45-AS45</f>
        <v/>
      </c>
    </row>
    <row r="46" ht="15" customHeight="1" s="627">
      <c r="B46" s="629" t="inlineStr">
        <is>
          <t>Bank Fees</t>
        </is>
      </c>
      <c r="C46" s="630" t="n"/>
      <c r="D46" s="949" t="n">
        <v>0</v>
      </c>
      <c r="E46" s="949" t="n">
        <v>30</v>
      </c>
      <c r="F46" s="949" t="n">
        <v>33.33333333333334</v>
      </c>
      <c r="G46" s="949" t="n">
        <v>35.10333333333333</v>
      </c>
      <c r="H46" s="949" t="n">
        <v>20.43333333333333</v>
      </c>
      <c r="I46" s="949" t="n">
        <v>22.1</v>
      </c>
      <c r="J46" s="949" t="n">
        <v>25</v>
      </c>
      <c r="K46" s="949" t="n">
        <v>25</v>
      </c>
      <c r="L46" s="949" t="n">
        <v>25</v>
      </c>
      <c r="M46" s="950" t="n">
        <v>25</v>
      </c>
      <c r="N46" s="951" t="n">
        <v>25</v>
      </c>
      <c r="O46" s="951" t="n">
        <v>25</v>
      </c>
      <c r="P46" s="951" t="n">
        <v>25</v>
      </c>
      <c r="Q46" s="951" t="n">
        <v>25</v>
      </c>
      <c r="R46" s="951" t="n">
        <v>15</v>
      </c>
      <c r="S46" s="951">
        <f>+SUMIF('Monthly Detail'!$4:$4, $B$14,'Monthly Detail'!84:84)</f>
        <v/>
      </c>
      <c r="T46" s="951" t="n">
        <v>20</v>
      </c>
      <c r="U46" s="951" t="n">
        <v>25.99</v>
      </c>
      <c r="V46" s="951" t="n">
        <v>25.99</v>
      </c>
      <c r="W46" s="951" t="n">
        <v>25</v>
      </c>
      <c r="X46" s="951" t="n">
        <v>25</v>
      </c>
      <c r="Y46" s="951" t="n">
        <v>25</v>
      </c>
      <c r="Z46" s="951" t="n">
        <v>25</v>
      </c>
      <c r="AA46" s="951" t="n">
        <v>25</v>
      </c>
      <c r="AB46" s="951" t="n">
        <v>25</v>
      </c>
      <c r="AC46" s="951" t="n">
        <v>25</v>
      </c>
      <c r="AD46" s="951" t="n">
        <v>25</v>
      </c>
      <c r="AE46" s="951" t="n">
        <v>25</v>
      </c>
      <c r="AF46" s="951" t="n">
        <v>15</v>
      </c>
      <c r="AG46" s="951" t="n">
        <v>30</v>
      </c>
      <c r="AH46" s="951">
        <f>+SUMIF('Monthly Detail'!$4:$4, $B$14,'Monthly Detail'!84:84)</f>
        <v/>
      </c>
      <c r="AI46" s="951" t="n">
        <v>22.47666666666667</v>
      </c>
      <c r="AJ46" s="951" t="n">
        <v>22.47666666666667</v>
      </c>
      <c r="AK46" s="951" t="n">
        <v>22.47666666666667</v>
      </c>
      <c r="AL46" s="951" t="n">
        <v>22.47666666666667</v>
      </c>
      <c r="AM46" s="951" t="n">
        <v>22.47666666666667</v>
      </c>
      <c r="AN46" s="951" t="n">
        <v>22.47666666666667</v>
      </c>
      <c r="AO46" s="951" t="n">
        <v>22.47666666666667</v>
      </c>
      <c r="AP46" s="951" t="n">
        <v>22.47666666666667</v>
      </c>
      <c r="AQ46" s="951" t="n">
        <v>22.47666666666667</v>
      </c>
      <c r="AR46" s="951" t="n">
        <v>22.47666666666667</v>
      </c>
      <c r="AS46" s="951" t="n">
        <v>22.47666666666667</v>
      </c>
      <c r="AT46" s="951" t="n">
        <v>22.47666666666667</v>
      </c>
      <c r="AU46" s="952">
        <f>+AH46-S46</f>
        <v/>
      </c>
      <c r="AV46" s="952">
        <f>+AH46-AS46</f>
        <v/>
      </c>
    </row>
    <row r="47">
      <c r="B47" s="629" t="inlineStr">
        <is>
          <t>Facility &amp; Storage Rent</t>
        </is>
      </c>
      <c r="C47" s="630" t="n"/>
      <c r="D47" s="949" t="n">
        <v>308.83</v>
      </c>
      <c r="E47" s="949" t="n">
        <v>1475.943333333333</v>
      </c>
      <c r="F47" s="949" t="n">
        <v>1372.64</v>
      </c>
      <c r="G47" s="949" t="n">
        <v>1372.64</v>
      </c>
      <c r="H47" s="949" t="n">
        <v>1372.64</v>
      </c>
      <c r="I47" s="949" t="n">
        <v>1414.26</v>
      </c>
      <c r="J47" s="949" t="n">
        <v>1853.192</v>
      </c>
      <c r="K47" s="949" t="n">
        <v>1511.95</v>
      </c>
      <c r="L47" s="949" t="n">
        <v>1536.028333333334</v>
      </c>
      <c r="M47" s="950" t="n">
        <v>1646.423333333333</v>
      </c>
      <c r="N47" s="951" t="n">
        <v>1579.79</v>
      </c>
      <c r="O47" s="951" t="n">
        <v>1497.786666666667</v>
      </c>
      <c r="P47" s="951" t="n">
        <v>1468.206666666667</v>
      </c>
      <c r="Q47" s="951" t="n">
        <v>1555.425</v>
      </c>
      <c r="R47" s="951" t="n">
        <v>1516.67</v>
      </c>
      <c r="S47" s="951">
        <f>+SUMIF('Monthly Detail'!$4:$4, $B$14,'Monthly Detail'!85:85)</f>
        <v/>
      </c>
      <c r="T47" s="951" t="n">
        <v>1372.64</v>
      </c>
      <c r="U47" s="951" t="n">
        <v>1711.17</v>
      </c>
      <c r="V47" s="951" t="n">
        <v>1711.17</v>
      </c>
      <c r="W47" s="951" t="n">
        <v>1414.26</v>
      </c>
      <c r="X47" s="951" t="n">
        <v>1684.72</v>
      </c>
      <c r="Y47" s="951" t="n">
        <v>1374.5</v>
      </c>
      <c r="Z47" s="951" t="n">
        <v>1658.88</v>
      </c>
      <c r="AA47" s="951" t="n">
        <v>2035.01</v>
      </c>
      <c r="AB47" s="951" t="n">
        <v>1711.37</v>
      </c>
      <c r="AC47" s="951" t="n">
        <v>1507.24</v>
      </c>
      <c r="AD47" s="951" t="n">
        <v>1680.57</v>
      </c>
      <c r="AE47" s="951" t="n">
        <v>1724.48</v>
      </c>
      <c r="AF47" s="951" t="n">
        <v>1441.35</v>
      </c>
      <c r="AG47" s="951" t="n">
        <v>1761.79</v>
      </c>
      <c r="AH47" s="951">
        <f>+SUMIF('Monthly Detail'!$4:$4, $B$14,'Monthly Detail'!85:85)</f>
        <v/>
      </c>
      <c r="AI47" s="951" t="n">
        <v>1372.64</v>
      </c>
      <c r="AJ47" s="951" t="n">
        <v>1509.904</v>
      </c>
      <c r="AK47" s="951" t="n">
        <v>1509.904</v>
      </c>
      <c r="AL47" s="951" t="n">
        <v>1509.904</v>
      </c>
      <c r="AM47" s="951" t="n">
        <v>1509.904</v>
      </c>
      <c r="AN47" s="951" t="n">
        <v>1509.904</v>
      </c>
      <c r="AO47" s="951" t="n">
        <v>1509.904</v>
      </c>
      <c r="AP47" s="951" t="n">
        <v>1509.904</v>
      </c>
      <c r="AQ47" s="951" t="n">
        <v>1509.904</v>
      </c>
      <c r="AR47" s="951" t="n">
        <v>1509.904</v>
      </c>
      <c r="AS47" s="951" t="n">
        <v>1509.904</v>
      </c>
      <c r="AT47" s="951" t="n">
        <v>1509.904</v>
      </c>
      <c r="AU47" s="952">
        <f>+AH47-S47</f>
        <v/>
      </c>
      <c r="AV47" s="952">
        <f>+AH47-AS47</f>
        <v/>
      </c>
    </row>
    <row r="48" ht="14.65" customHeight="1" s="627">
      <c r="B48" s="629" t="inlineStr">
        <is>
          <t>Business Insurance</t>
        </is>
      </c>
      <c r="C48" s="630" t="n"/>
      <c r="D48" s="949" t="n">
        <v>0.25</v>
      </c>
      <c r="E48" s="949" t="n">
        <v>10</v>
      </c>
      <c r="F48" s="949" t="n">
        <v>127.06</v>
      </c>
      <c r="G48" s="949" t="n">
        <v>150.1733333333333</v>
      </c>
      <c r="H48" s="949" t="n">
        <v>120.1733333333333</v>
      </c>
      <c r="I48" s="949" t="n">
        <v>194.93</v>
      </c>
      <c r="J48" s="949" t="n">
        <v>174.5433333333333</v>
      </c>
      <c r="K48" s="949" t="n">
        <v>174.7366666666667</v>
      </c>
      <c r="L48" s="949" t="n">
        <v>158.3533333333333</v>
      </c>
      <c r="M48" s="950" t="n">
        <v>271.7933333333334</v>
      </c>
      <c r="N48" s="951" t="n">
        <v>223.4066666666667</v>
      </c>
      <c r="O48" s="951" t="n">
        <v>220.0733333333334</v>
      </c>
      <c r="P48" s="951" t="n">
        <v>161.6866666666667</v>
      </c>
      <c r="Q48" s="951" t="n">
        <v>203.5333333333333</v>
      </c>
      <c r="R48" s="951" t="n">
        <v>205.2733333333333</v>
      </c>
      <c r="S48" s="951">
        <f>+SUMIF('Monthly Detail'!$4:$4, $B$14,'Monthly Detail'!86:86)</f>
        <v/>
      </c>
      <c r="T48" s="951" t="n">
        <v>51.62</v>
      </c>
      <c r="U48" s="951" t="n">
        <v>196.16</v>
      </c>
      <c r="V48" s="951" t="n">
        <v>196.16</v>
      </c>
      <c r="W48" s="951" t="n">
        <v>275.89</v>
      </c>
      <c r="X48" s="951" t="n">
        <v>51.58</v>
      </c>
      <c r="Y48" s="951" t="n">
        <v>196.74</v>
      </c>
      <c r="Z48" s="951" t="n">
        <v>226.74</v>
      </c>
      <c r="AA48" s="951" t="n">
        <v>391.9</v>
      </c>
      <c r="AB48" s="951" t="n">
        <v>51.58</v>
      </c>
      <c r="AC48" s="951" t="n">
        <v>216.74</v>
      </c>
      <c r="AD48" s="951" t="n">
        <v>176.95</v>
      </c>
      <c r="AE48" s="951" t="n">
        <v>216.91</v>
      </c>
      <c r="AF48" s="951" t="n">
        <v>221.96</v>
      </c>
      <c r="AG48" s="951" t="n">
        <v>222</v>
      </c>
      <c r="AH48" s="951">
        <f>+SUMIF('Monthly Detail'!$4:$4, $B$14,'Monthly Detail'!86:86)</f>
        <v/>
      </c>
      <c r="AI48" s="951" t="n">
        <v>132.1906666666667</v>
      </c>
      <c r="AJ48" s="951" t="n">
        <v>132.1906666666667</v>
      </c>
      <c r="AK48" s="951" t="n">
        <v>132.1906666666667</v>
      </c>
      <c r="AL48" s="951" t="n">
        <v>132.1906666666667</v>
      </c>
      <c r="AM48" s="951" t="n">
        <v>132.1906666666667</v>
      </c>
      <c r="AN48" s="951" t="n">
        <v>132.1906666666667</v>
      </c>
      <c r="AO48" s="951" t="n">
        <v>132.1906666666667</v>
      </c>
      <c r="AP48" s="951" t="n">
        <v>132.1906666666667</v>
      </c>
      <c r="AQ48" s="951" t="n">
        <v>132.1906666666667</v>
      </c>
      <c r="AR48" s="951" t="n">
        <v>132.1906666666667</v>
      </c>
      <c r="AS48" s="951" t="n">
        <v>132.1906666666667</v>
      </c>
      <c r="AT48" s="951" t="n">
        <v>132.1906666666667</v>
      </c>
      <c r="AU48" s="952">
        <f>+AH48-S48</f>
        <v/>
      </c>
      <c r="AV48" s="952">
        <f>+AH48-AS48</f>
        <v/>
      </c>
    </row>
    <row r="49">
      <c r="B49" s="629" t="inlineStr">
        <is>
          <t>Donations</t>
        </is>
      </c>
      <c r="C49" s="630" t="n"/>
      <c r="D49" s="949" t="n">
        <v>399.8033333333333</v>
      </c>
      <c r="E49" s="949" t="n">
        <v>10</v>
      </c>
      <c r="F49" s="949" t="n">
        <v>10</v>
      </c>
      <c r="G49" s="949" t="n">
        <v>10</v>
      </c>
      <c r="H49" s="949" t="n">
        <v>10</v>
      </c>
      <c r="I49" s="949" t="n">
        <v>10</v>
      </c>
      <c r="J49" s="949" t="n">
        <v>10</v>
      </c>
      <c r="K49" s="949" t="n">
        <v>10</v>
      </c>
      <c r="L49" s="949" t="n">
        <v>10</v>
      </c>
      <c r="M49" s="950" t="n">
        <v>10</v>
      </c>
      <c r="N49" s="951" t="n">
        <v>10</v>
      </c>
      <c r="O49" s="951" t="n">
        <v>10</v>
      </c>
      <c r="P49" s="951" t="n">
        <v>10</v>
      </c>
      <c r="Q49" s="951" t="n">
        <v>10</v>
      </c>
      <c r="R49" s="951" t="n">
        <v>10</v>
      </c>
      <c r="S49" s="951">
        <f>+SUMIF('Monthly Detail'!$4:$4, $B$14,'Monthly Detail'!87:87)</f>
        <v/>
      </c>
      <c r="T49" s="951" t="n">
        <v>0</v>
      </c>
      <c r="U49" s="951" t="n">
        <v>0</v>
      </c>
      <c r="V49" s="951" t="n">
        <v>0</v>
      </c>
      <c r="W49" s="951" t="n">
        <v>0</v>
      </c>
      <c r="X49" s="951" t="n">
        <v>0</v>
      </c>
      <c r="Y49" s="951" t="n">
        <v>0</v>
      </c>
      <c r="Z49" s="951" t="n">
        <v>0</v>
      </c>
      <c r="AA49" s="951" t="n">
        <v>0</v>
      </c>
      <c r="AB49" s="951" t="n">
        <v>0</v>
      </c>
      <c r="AC49" s="951" t="n">
        <v>0</v>
      </c>
      <c r="AD49" s="951" t="n">
        <v>0</v>
      </c>
      <c r="AE49" s="951" t="n">
        <v>0</v>
      </c>
      <c r="AF49" s="951" t="n">
        <v>0</v>
      </c>
      <c r="AG49" s="951" t="n">
        <v>0</v>
      </c>
      <c r="AH49" s="951">
        <f>+SUMIF('Monthly Detail'!$4:$4, $B$14,'Monthly Detail'!87:87)</f>
        <v/>
      </c>
      <c r="AI49" s="951" t="n">
        <v>11</v>
      </c>
      <c r="AJ49" s="951" t="n">
        <v>11</v>
      </c>
      <c r="AK49" s="951" t="n">
        <v>11</v>
      </c>
      <c r="AL49" s="951" t="n">
        <v>11</v>
      </c>
      <c r="AM49" s="951" t="n">
        <v>11</v>
      </c>
      <c r="AN49" s="951" t="n">
        <v>11</v>
      </c>
      <c r="AO49" s="951" t="n">
        <v>11</v>
      </c>
      <c r="AP49" s="951" t="n">
        <v>11</v>
      </c>
      <c r="AQ49" s="951" t="n">
        <v>11</v>
      </c>
      <c r="AR49" s="951" t="n">
        <v>11</v>
      </c>
      <c r="AS49" s="951" t="n">
        <v>11</v>
      </c>
      <c r="AT49" s="951" t="n">
        <v>11</v>
      </c>
      <c r="AU49" s="952">
        <f>+AH49-S49</f>
        <v/>
      </c>
      <c r="AV49" s="952">
        <f>+AH49-AS49</f>
        <v/>
      </c>
    </row>
    <row r="50" ht="14.65" customHeight="1" s="627">
      <c r="B50" s="629" t="inlineStr">
        <is>
          <t>Licenses</t>
        </is>
      </c>
      <c r="C50" s="630" t="n"/>
      <c r="D50" s="949" t="n">
        <v>0</v>
      </c>
      <c r="E50" s="949" t="n">
        <v>0</v>
      </c>
      <c r="F50" s="949" t="n">
        <v>0</v>
      </c>
      <c r="G50" s="949" t="n">
        <v>0</v>
      </c>
      <c r="H50" s="949" t="n">
        <v>0</v>
      </c>
      <c r="I50" s="949" t="n">
        <v>0</v>
      </c>
      <c r="J50" s="949" t="n">
        <v>0</v>
      </c>
      <c r="K50" s="949" t="n">
        <v>0</v>
      </c>
      <c r="L50" s="949" t="n">
        <v>0</v>
      </c>
      <c r="M50" s="950" t="n">
        <v>0</v>
      </c>
      <c r="N50" s="951" t="n">
        <v>50</v>
      </c>
      <c r="O50" s="951" t="n">
        <v>0</v>
      </c>
      <c r="P50" s="951" t="n">
        <v>0</v>
      </c>
      <c r="Q50" s="951" t="n">
        <v>0</v>
      </c>
      <c r="R50" s="951" t="n">
        <v>105</v>
      </c>
      <c r="S50" s="951">
        <f>+SUMIF('Monthly Detail'!$4:$4, $B$14,'Monthly Detail'!88:88)</f>
        <v/>
      </c>
      <c r="T50" s="951" t="n">
        <v>0</v>
      </c>
      <c r="U50" s="951" t="n">
        <v>0</v>
      </c>
      <c r="V50" s="951" t="n">
        <v>0</v>
      </c>
      <c r="W50" s="951" t="n">
        <v>0</v>
      </c>
      <c r="X50" s="951" t="n">
        <v>0</v>
      </c>
      <c r="Y50" s="951" t="n">
        <v>0</v>
      </c>
      <c r="Z50" s="951" t="n">
        <v>0</v>
      </c>
      <c r="AA50" s="951" t="n">
        <v>0</v>
      </c>
      <c r="AB50" s="951" t="n">
        <v>0</v>
      </c>
      <c r="AC50" s="951" t="n">
        <v>0</v>
      </c>
      <c r="AD50" s="951" t="n">
        <v>0</v>
      </c>
      <c r="AE50" s="951" t="n">
        <v>62.81</v>
      </c>
      <c r="AF50" s="951" t="n">
        <v>0</v>
      </c>
      <c r="AG50" s="951" t="n">
        <v>0</v>
      </c>
      <c r="AH50" s="951">
        <f>+SUMIF('Monthly Detail'!$4:$4, $B$14,'Monthly Detail'!88:88)</f>
        <v/>
      </c>
      <c r="AI50" s="951" t="n">
        <v>0</v>
      </c>
      <c r="AJ50" s="951" t="n">
        <v>0</v>
      </c>
      <c r="AK50" s="951" t="n">
        <v>0</v>
      </c>
      <c r="AL50" s="951" t="n">
        <v>0</v>
      </c>
      <c r="AM50" s="951" t="n">
        <v>0</v>
      </c>
      <c r="AN50" s="951" t="n">
        <v>50</v>
      </c>
      <c r="AO50" s="951" t="n">
        <v>0</v>
      </c>
      <c r="AP50" s="951" t="n">
        <v>0</v>
      </c>
      <c r="AQ50" s="951" t="n">
        <v>0</v>
      </c>
      <c r="AR50" s="951" t="n">
        <v>105</v>
      </c>
      <c r="AS50" s="951" t="n">
        <v>0</v>
      </c>
      <c r="AT50" s="951" t="n">
        <v>0</v>
      </c>
      <c r="AU50" s="952">
        <f>+AH50-S50</f>
        <v/>
      </c>
      <c r="AV50" s="952">
        <f>+AH50-AS50</f>
        <v/>
      </c>
    </row>
    <row r="51" ht="14.65" customHeight="1" s="627">
      <c r="B51" s="640" t="inlineStr">
        <is>
          <t>Interest Paid</t>
        </is>
      </c>
      <c r="C51" s="632" t="n"/>
      <c r="D51" s="949" t="n"/>
      <c r="E51" s="949" t="n"/>
      <c r="F51" s="949" t="n"/>
      <c r="G51" s="949" t="n"/>
      <c r="H51" s="949" t="n"/>
      <c r="I51" s="949" t="n"/>
      <c r="J51" s="949" t="n"/>
      <c r="K51" s="949" t="n"/>
      <c r="L51" s="949" t="n"/>
      <c r="M51" s="950" t="n"/>
      <c r="N51" s="951" t="n"/>
      <c r="O51" s="951" t="n"/>
      <c r="P51" s="951" t="n"/>
      <c r="Q51" s="951" t="n"/>
      <c r="R51" s="951" t="n">
        <v>0</v>
      </c>
      <c r="S51" s="951">
        <f>+SUMIF('Monthly Detail'!$4:$4, $B$14,'Monthly Detail'!90:90)</f>
        <v/>
      </c>
      <c r="T51" s="951" t="n"/>
      <c r="U51" s="951" t="n"/>
      <c r="V51" s="951" t="n"/>
      <c r="W51" s="951" t="n"/>
      <c r="X51" s="951" t="n"/>
      <c r="Y51" s="951" t="n"/>
      <c r="Z51" s="951" t="n"/>
      <c r="AA51" s="951" t="n"/>
      <c r="AB51" s="951" t="n"/>
      <c r="AC51" s="951" t="n"/>
      <c r="AD51" s="951" t="n"/>
      <c r="AE51" s="951" t="n"/>
      <c r="AF51" s="951" t="n"/>
      <c r="AG51" s="951" t="n">
        <v>16.13</v>
      </c>
      <c r="AH51" s="951">
        <f>+SUMIF('Monthly Detail'!$4:$4, $B$14,'Monthly Detail'!90:90)</f>
        <v/>
      </c>
      <c r="AI51" s="951" t="n"/>
      <c r="AJ51" s="951" t="n"/>
      <c r="AK51" s="951" t="n"/>
      <c r="AL51" s="951" t="n"/>
      <c r="AM51" s="951" t="n"/>
      <c r="AN51" s="951" t="n"/>
      <c r="AO51" s="951" t="n"/>
      <c r="AP51" s="951" t="n"/>
      <c r="AQ51" s="951" t="n"/>
      <c r="AR51" s="951" t="n">
        <v>0</v>
      </c>
      <c r="AS51" s="951" t="n"/>
      <c r="AT51" s="951" t="n"/>
      <c r="AU51" s="952">
        <f>+AH51-S51</f>
        <v/>
      </c>
      <c r="AV51" s="952">
        <f>+AH51-AS51</f>
        <v/>
      </c>
    </row>
    <row r="52">
      <c r="B52" s="637" t="inlineStr">
        <is>
          <t>Total Expenses</t>
        </is>
      </c>
      <c r="C52" s="638" t="n"/>
      <c r="D52" s="974" t="n">
        <v>1469.38</v>
      </c>
      <c r="E52" s="974">
        <f>+SUM(E43:E50)</f>
        <v/>
      </c>
      <c r="F52" s="974" t="n">
        <v>2375.203333333333</v>
      </c>
      <c r="G52" s="974" t="n">
        <v>2594.543333333333</v>
      </c>
      <c r="H52" s="974" t="n">
        <v>2425.866666666666</v>
      </c>
      <c r="I52" s="974" t="n">
        <v>2465.113333333333</v>
      </c>
      <c r="J52" s="974">
        <f>+SUM(J42:J50)</f>
        <v/>
      </c>
      <c r="K52" s="974" t="n">
        <v>4432.796666666667</v>
      </c>
      <c r="L52" s="974" t="n">
        <v>4234.561666666666</v>
      </c>
      <c r="M52" s="975" t="n">
        <v>5168.211666666666</v>
      </c>
      <c r="N52" s="976" t="n">
        <v>5126.632272727273</v>
      </c>
      <c r="O52" s="976" t="n">
        <v>4991.319523809525</v>
      </c>
      <c r="P52" s="976" t="n">
        <v>4903.379523809524</v>
      </c>
      <c r="Q52" s="976" t="n">
        <v>5155.238333333334</v>
      </c>
      <c r="R52" s="976" t="n">
        <v>5063.013905723906</v>
      </c>
      <c r="S52" s="976">
        <f>+SUM(S42:S51)</f>
        <v/>
      </c>
      <c r="T52" s="976" t="n">
        <v>2232.47</v>
      </c>
      <c r="U52" s="976" t="n">
        <v>2712.35</v>
      </c>
      <c r="V52" s="976" t="n">
        <v>2712.35</v>
      </c>
      <c r="W52" s="976" t="n">
        <v>2147.47</v>
      </c>
      <c r="X52" s="976" t="n">
        <v>2161.9</v>
      </c>
      <c r="Y52" s="976" t="n">
        <v>2940.21</v>
      </c>
      <c r="Z52" s="976" t="n">
        <v>3992.98</v>
      </c>
      <c r="AA52" s="976" t="n">
        <v>5627.349999999999</v>
      </c>
      <c r="AB52" s="976" t="n">
        <v>5143.37</v>
      </c>
      <c r="AC52" s="976" t="n">
        <v>3423.94</v>
      </c>
      <c r="AD52" s="976" t="n">
        <v>3680.41</v>
      </c>
      <c r="AE52" s="976" t="n">
        <v>3852.55</v>
      </c>
      <c r="AF52" s="976" t="n">
        <v>3153.87</v>
      </c>
      <c r="AG52" s="976" t="n">
        <v>3847.74</v>
      </c>
      <c r="AH52" s="976">
        <f>+SUM(AH42:AH51)</f>
        <v/>
      </c>
      <c r="AI52" s="976" t="n">
        <v>2422.189333333334</v>
      </c>
      <c r="AJ52" s="976" t="n">
        <v>2559.453333333334</v>
      </c>
      <c r="AK52" s="976" t="n">
        <v>2559.453333333334</v>
      </c>
      <c r="AL52" s="976" t="n">
        <v>2559.453333333334</v>
      </c>
      <c r="AM52" s="976" t="n">
        <v>2559.453333333334</v>
      </c>
      <c r="AN52" s="976" t="n">
        <v>2609.453333333334</v>
      </c>
      <c r="AO52" s="976" t="n">
        <v>2559.453333333334</v>
      </c>
      <c r="AP52" s="976" t="n">
        <v>2559.453333333334</v>
      </c>
      <c r="AQ52" s="976" t="n">
        <v>2559.453333333334</v>
      </c>
      <c r="AR52" s="976" t="n">
        <v>2664.453333333334</v>
      </c>
      <c r="AS52" s="976" t="n">
        <v>2559.453333333334</v>
      </c>
      <c r="AT52" s="976" t="n">
        <v>2559.453333333334</v>
      </c>
      <c r="AU52" s="977">
        <f>+AH52-S52</f>
        <v/>
      </c>
      <c r="AV52" s="977">
        <f>+AH52-AS52</f>
        <v/>
      </c>
    </row>
    <row r="53">
      <c r="B53" s="637" t="inlineStr">
        <is>
          <t>Net Operating Income</t>
        </is>
      </c>
      <c r="C53" s="638" t="n"/>
      <c r="D53" s="978" t="n">
        <v>10757.84439858919</v>
      </c>
      <c r="E53" s="978">
        <f>+E38-E52</f>
        <v/>
      </c>
      <c r="F53" s="978" t="n">
        <v>2871.474859799361</v>
      </c>
      <c r="G53" s="978" t="n">
        <v>3004.790619381886</v>
      </c>
      <c r="H53" s="978" t="n">
        <v>2150.601045454062</v>
      </c>
      <c r="I53" s="978" t="n">
        <v>4563.224146031025</v>
      </c>
      <c r="J53" s="978">
        <f>+J38-J52</f>
        <v/>
      </c>
      <c r="K53" s="978" t="n">
        <v>333.4353149967192</v>
      </c>
      <c r="L53" s="978" t="n">
        <v>-155.1968049314528</v>
      </c>
      <c r="M53" s="979" t="n">
        <v>-558.64805928654</v>
      </c>
      <c r="N53" s="980" t="n">
        <v>-117.7985459901765</v>
      </c>
      <c r="O53" s="980" t="n">
        <v>495.4416791638869</v>
      </c>
      <c r="P53" s="980" t="n">
        <v>311.1226078589316</v>
      </c>
      <c r="Q53" s="980" t="n">
        <v>669.0355806276375</v>
      </c>
      <c r="R53" s="980" t="n">
        <v>1202.708012246015</v>
      </c>
      <c r="S53" s="980">
        <f>+S38-S52</f>
        <v/>
      </c>
      <c r="T53" s="980" t="n">
        <v>1588.86</v>
      </c>
      <c r="U53" s="980" t="n">
        <v>1277.96</v>
      </c>
      <c r="V53" s="980" t="n">
        <v>1277.96</v>
      </c>
      <c r="W53" s="980" t="n">
        <v>2773.94</v>
      </c>
      <c r="X53" s="980" t="n">
        <v>4061.87</v>
      </c>
      <c r="Y53" s="980" t="n">
        <v>2769.530000000001</v>
      </c>
      <c r="Z53" s="980" t="n">
        <v>2090.83</v>
      </c>
      <c r="AA53" s="980" t="n">
        <v>1303.830000000001</v>
      </c>
      <c r="AB53" s="980" t="n">
        <v>1110.77</v>
      </c>
      <c r="AC53" s="980" t="n">
        <v>2777.68</v>
      </c>
      <c r="AD53" s="980" t="n">
        <v>2933.43</v>
      </c>
      <c r="AE53" s="980" t="n">
        <v>2827.090000000001</v>
      </c>
      <c r="AF53" s="980" t="n">
        <v>1871.03</v>
      </c>
      <c r="AG53" s="980" t="n">
        <v>2290</v>
      </c>
      <c r="AH53" s="980">
        <f>+AH38-AH52</f>
        <v/>
      </c>
      <c r="AI53" s="980" t="n">
        <v>4368.403011274814</v>
      </c>
      <c r="AJ53" s="980" t="n">
        <v>1742.864661280238</v>
      </c>
      <c r="AK53" s="980" t="n">
        <v>3023.294189874377</v>
      </c>
      <c r="AL53" s="980" t="n">
        <v>5286.286165313985</v>
      </c>
      <c r="AM53" s="980" t="n">
        <v>6334.256179083538</v>
      </c>
      <c r="AN53" s="980" t="n">
        <v>6054.923453643457</v>
      </c>
      <c r="AO53" s="980" t="n">
        <v>4769.657109924145</v>
      </c>
      <c r="AP53" s="980" t="n">
        <v>4000.676200730991</v>
      </c>
      <c r="AQ53" s="980" t="n">
        <v>3614.355515306111</v>
      </c>
      <c r="AR53" s="980" t="n">
        <v>4150.363029167912</v>
      </c>
      <c r="AS53" s="980" t="n">
        <v>3473.825345851145</v>
      </c>
      <c r="AT53" s="980" t="n">
        <v>4788.824693606382</v>
      </c>
      <c r="AU53" s="952">
        <f>+AH53-S53</f>
        <v/>
      </c>
      <c r="AV53" s="952">
        <f>+AH53-AS53</f>
        <v/>
      </c>
    </row>
    <row r="54">
      <c r="B54" s="633" t="inlineStr">
        <is>
          <t>NOI%</t>
        </is>
      </c>
      <c r="C54" s="634" t="n"/>
      <c r="D54" s="985" t="n">
        <v>0.8425898482858486</v>
      </c>
      <c r="E54" s="985">
        <f>+E53/E16</f>
        <v/>
      </c>
      <c r="F54" s="985" t="n">
        <v>0.4686143899032615</v>
      </c>
      <c r="G54" s="985" t="n">
        <v>0.4573774197957979</v>
      </c>
      <c r="H54" s="985" t="n">
        <v>0.3891465093936521</v>
      </c>
      <c r="I54" s="985" t="n">
        <v>0.6030206541034803</v>
      </c>
      <c r="J54" s="985">
        <f>+J53/J16</f>
        <v/>
      </c>
      <c r="K54" s="985" t="n">
        <v>0.05187776491912002</v>
      </c>
      <c r="L54" s="985" t="n">
        <v>-0.03071925672016376</v>
      </c>
      <c r="M54" s="986" t="n">
        <v>-0.1077634095837715</v>
      </c>
      <c r="N54" s="987" t="n">
        <v>-0.02082707983528717</v>
      </c>
      <c r="O54" s="987" t="n">
        <v>0.06796010774498491</v>
      </c>
      <c r="P54" s="987" t="n">
        <v>0.04479942465442533</v>
      </c>
      <c r="Q54" s="987" t="n">
        <v>0.08507131427421692</v>
      </c>
      <c r="R54" s="987" t="n">
        <v>0.13819490136879</v>
      </c>
      <c r="S54" s="987">
        <f>+S53/S16</f>
        <v/>
      </c>
      <c r="T54" s="987" t="n">
        <v>0.3793839541547277</v>
      </c>
      <c r="U54" s="987" t="n">
        <v>0.2587618324474816</v>
      </c>
      <c r="V54" s="987" t="n">
        <v>0.2587618324474816</v>
      </c>
      <c r="W54" s="987" t="n">
        <v>0.4509005201560468</v>
      </c>
      <c r="X54" s="987" t="n">
        <v>0.6043505107088922</v>
      </c>
      <c r="Y54" s="987" t="n">
        <v>0.426006823418662</v>
      </c>
      <c r="Z54" s="987" t="n">
        <v>0.2941309699655342</v>
      </c>
      <c r="AA54" s="987" t="n">
        <v>0.165844754666582</v>
      </c>
      <c r="AB54" s="987" t="n">
        <v>0.1410032471736387</v>
      </c>
      <c r="AC54" s="987" t="n">
        <v>0.4032958496976385</v>
      </c>
      <c r="AD54" s="987" t="n">
        <v>0.3954182421093071</v>
      </c>
      <c r="AE54" s="987" t="n">
        <v>0.3693924882567765</v>
      </c>
      <c r="AF54" s="987" t="n">
        <v>0.3032242381025695</v>
      </c>
      <c r="AG54" s="987" t="n">
        <v>0.3272246633086843</v>
      </c>
      <c r="AH54" s="987">
        <f>+AH53/AH16</f>
        <v/>
      </c>
      <c r="AI54" s="987" t="n">
        <v>0.6025621311991217</v>
      </c>
      <c r="AJ54" s="987" t="n">
        <v>0.354710330984157</v>
      </c>
      <c r="AK54" s="987" t="n">
        <v>0.462509709400302</v>
      </c>
      <c r="AL54" s="987" t="n">
        <v>0.5635332702278302</v>
      </c>
      <c r="AM54" s="987" t="n">
        <v>0.5889911424638311</v>
      </c>
      <c r="AN54" s="987" t="n">
        <v>0.5880582400094526</v>
      </c>
      <c r="AO54" s="987" t="n">
        <v>0.5794453082048424</v>
      </c>
      <c r="AP54" s="987" t="n">
        <v>0.527781212811091</v>
      </c>
      <c r="AQ54" s="987" t="n">
        <v>0.5229471405274849</v>
      </c>
      <c r="AR54" s="987" t="n">
        <v>0.5272417212457577</v>
      </c>
      <c r="AS54" s="987" t="n">
        <v>0.4950085846819769</v>
      </c>
      <c r="AT54" s="987" t="n">
        <v>0.558713247186201</v>
      </c>
      <c r="AU54" s="988">
        <f>+AH54-S54</f>
        <v/>
      </c>
      <c r="AV54" s="988">
        <f>+AH54-AS54</f>
        <v/>
      </c>
    </row>
    <row r="55" hidden="1" s="627">
      <c r="B55" s="640" t="inlineStr">
        <is>
          <t xml:space="preserve">   Interest Income</t>
        </is>
      </c>
      <c r="C55" s="632" t="n"/>
      <c r="D55" s="949" t="n">
        <v>0</v>
      </c>
      <c r="E55" s="949" t="n">
        <v>0</v>
      </c>
      <c r="F55" s="949" t="n">
        <v>0</v>
      </c>
      <c r="G55" s="949" t="n">
        <v>0</v>
      </c>
      <c r="H55" s="949" t="n">
        <v>0</v>
      </c>
      <c r="I55" s="949" t="n">
        <v>0</v>
      </c>
      <c r="J55" s="949" t="n">
        <v>0</v>
      </c>
      <c r="K55" s="949" t="n">
        <v>0</v>
      </c>
      <c r="L55" s="949" t="n">
        <v>0</v>
      </c>
      <c r="M55" s="950" t="n">
        <v>0</v>
      </c>
      <c r="N55" s="951" t="n">
        <v>0</v>
      </c>
      <c r="O55" s="951" t="n">
        <v>0</v>
      </c>
      <c r="P55" s="951" t="n">
        <v>0</v>
      </c>
      <c r="Q55" s="951" t="n">
        <v>0</v>
      </c>
      <c r="R55" s="951" t="n">
        <v>0</v>
      </c>
      <c r="S55" s="951">
        <f>+SUMIF('Monthly Detail'!$4:$4,#REF!, 'Monthly Detail'!105:105)</f>
        <v/>
      </c>
      <c r="T55" s="951" t="n">
        <v>0</v>
      </c>
      <c r="U55" s="951" t="n">
        <v>0</v>
      </c>
      <c r="V55" s="951" t="n">
        <v>0</v>
      </c>
      <c r="W55" s="951" t="n">
        <v>0</v>
      </c>
      <c r="X55" s="951" t="n">
        <v>0</v>
      </c>
      <c r="Y55" s="951" t="n">
        <v>0</v>
      </c>
      <c r="Z55" s="951" t="n">
        <v>0</v>
      </c>
      <c r="AA55" s="951" t="n">
        <v>0</v>
      </c>
      <c r="AB55" s="951" t="n">
        <v>0</v>
      </c>
      <c r="AC55" s="951" t="n">
        <v>0</v>
      </c>
      <c r="AD55" s="951" t="n">
        <v>0</v>
      </c>
      <c r="AE55" s="951" t="n">
        <v>0</v>
      </c>
      <c r="AF55" s="951" t="n">
        <v>0</v>
      </c>
      <c r="AG55" s="951" t="n">
        <v>0</v>
      </c>
      <c r="AH55" s="951">
        <f>+SUMIF('Monthly Detail'!$4:$4,#REF!, 'Monthly Detail'!105:105)</f>
        <v/>
      </c>
      <c r="AI55" s="951" t="n">
        <v>0</v>
      </c>
      <c r="AJ55" s="951" t="n">
        <v>0</v>
      </c>
      <c r="AK55" s="951" t="n">
        <v>0</v>
      </c>
      <c r="AL55" s="951" t="n">
        <v>0</v>
      </c>
      <c r="AM55" s="951" t="n">
        <v>0</v>
      </c>
      <c r="AN55" s="951" t="n">
        <v>0</v>
      </c>
      <c r="AO55" s="951" t="n">
        <v>0</v>
      </c>
      <c r="AP55" s="951" t="n">
        <v>0</v>
      </c>
      <c r="AQ55" s="951" t="n">
        <v>0</v>
      </c>
      <c r="AR55" s="951" t="n">
        <v>0</v>
      </c>
      <c r="AS55" s="951" t="n">
        <v>0</v>
      </c>
      <c r="AT55" s="951" t="n">
        <v>0</v>
      </c>
      <c r="AU55" s="952">
        <f>+AH55-S55</f>
        <v/>
      </c>
      <c r="AV55" s="952">
        <f>+AH55-AS55</f>
        <v/>
      </c>
    </row>
    <row r="56">
      <c r="B56" s="637" t="inlineStr">
        <is>
          <t>Total Other Income</t>
        </is>
      </c>
      <c r="C56" s="638" t="n"/>
      <c r="D56" s="974" t="n">
        <v>0</v>
      </c>
      <c r="E56" s="974" t="n">
        <v>0</v>
      </c>
      <c r="F56" s="974" t="n">
        <v>0</v>
      </c>
      <c r="G56" s="974" t="n">
        <v>0</v>
      </c>
      <c r="H56" s="974" t="n">
        <v>0</v>
      </c>
      <c r="I56" s="974" t="n">
        <v>0</v>
      </c>
      <c r="J56" s="974" t="n">
        <v>0</v>
      </c>
      <c r="K56" s="974" t="n">
        <v>0</v>
      </c>
      <c r="L56" s="974" t="n">
        <v>0</v>
      </c>
      <c r="M56" s="975" t="n">
        <v>0</v>
      </c>
      <c r="N56" s="976" t="n">
        <v>0</v>
      </c>
      <c r="O56" s="976" t="n">
        <v>0</v>
      </c>
      <c r="P56" s="976" t="n">
        <v>0</v>
      </c>
      <c r="Q56" s="976" t="n">
        <v>3.44</v>
      </c>
      <c r="R56" s="976" t="n">
        <v>2.61</v>
      </c>
      <c r="S56" s="976">
        <f>+SUMIF('Monthly Detail'!$4:$4, $B$14,'Monthly Detail'!95:95)</f>
        <v/>
      </c>
      <c r="T56" s="976" t="n">
        <v>0</v>
      </c>
      <c r="U56" s="976" t="n">
        <v>0</v>
      </c>
      <c r="V56" s="976" t="n">
        <v>0</v>
      </c>
      <c r="W56" s="976" t="n">
        <v>0</v>
      </c>
      <c r="X56" s="976" t="n">
        <v>0</v>
      </c>
      <c r="Y56" s="976" t="n">
        <v>0</v>
      </c>
      <c r="Z56" s="976" t="n">
        <v>0</v>
      </c>
      <c r="AA56" s="976" t="n">
        <v>0</v>
      </c>
      <c r="AB56" s="976" t="n">
        <v>0</v>
      </c>
      <c r="AC56" s="976" t="n">
        <v>0</v>
      </c>
      <c r="AD56" s="976" t="n">
        <v>0</v>
      </c>
      <c r="AE56" s="976" t="n">
        <v>3.44</v>
      </c>
      <c r="AF56" s="976" t="n">
        <v>2.61</v>
      </c>
      <c r="AG56" s="976" t="n">
        <v>1.78</v>
      </c>
      <c r="AH56" s="976">
        <f>+SUMIF('Monthly Detail'!$4:$4, $B$14,'Monthly Detail'!95:95)</f>
        <v/>
      </c>
      <c r="AI56" s="976" t="n">
        <v>0</v>
      </c>
      <c r="AJ56" s="976" t="n">
        <v>0</v>
      </c>
      <c r="AK56" s="976" t="n">
        <v>0</v>
      </c>
      <c r="AL56" s="976" t="n">
        <v>0</v>
      </c>
      <c r="AM56" s="976" t="n">
        <v>0</v>
      </c>
      <c r="AN56" s="976" t="n">
        <v>0</v>
      </c>
      <c r="AO56" s="976" t="n">
        <v>0</v>
      </c>
      <c r="AP56" s="976" t="n">
        <v>0</v>
      </c>
      <c r="AQ56" s="976" t="n">
        <v>0</v>
      </c>
      <c r="AR56" s="976" t="n">
        <v>0</v>
      </c>
      <c r="AS56" s="976" t="n">
        <v>0</v>
      </c>
      <c r="AT56" s="976" t="n">
        <v>0</v>
      </c>
      <c r="AU56" s="977">
        <f>+AH56-S56</f>
        <v/>
      </c>
      <c r="AV56" s="977">
        <f>+AH56-AS56</f>
        <v/>
      </c>
    </row>
    <row r="57" hidden="1" s="627">
      <c r="B57" s="637" t="inlineStr">
        <is>
          <t>Net Other Income</t>
        </is>
      </c>
      <c r="C57" s="638" t="n"/>
      <c r="D57" s="989" t="n">
        <v>0</v>
      </c>
      <c r="E57" s="989" t="n">
        <v>0</v>
      </c>
      <c r="F57" s="989" t="n">
        <v>0</v>
      </c>
      <c r="G57" s="989" t="n">
        <v>0</v>
      </c>
      <c r="H57" s="989" t="n">
        <v>0</v>
      </c>
      <c r="I57" s="989" t="n">
        <v>0</v>
      </c>
      <c r="J57" s="989" t="n">
        <v>0</v>
      </c>
      <c r="K57" s="989" t="n">
        <v>0</v>
      </c>
      <c r="L57" s="989" t="n">
        <v>0</v>
      </c>
      <c r="M57" s="990" t="n">
        <v>0</v>
      </c>
      <c r="N57" s="991" t="n">
        <v>0</v>
      </c>
      <c r="O57" s="991" t="n">
        <v>0</v>
      </c>
      <c r="P57" s="991" t="n">
        <v>0</v>
      </c>
      <c r="Q57" s="991" t="n">
        <v>3.44</v>
      </c>
      <c r="R57" s="991" t="n">
        <v>2.61</v>
      </c>
      <c r="S57" s="991">
        <f>+S56</f>
        <v/>
      </c>
      <c r="T57" s="991" t="n">
        <v>0</v>
      </c>
      <c r="U57" s="991" t="n">
        <v>0</v>
      </c>
      <c r="V57" s="991" t="n">
        <v>0</v>
      </c>
      <c r="W57" s="991" t="n">
        <v>0</v>
      </c>
      <c r="X57" s="991" t="n">
        <v>0</v>
      </c>
      <c r="Y57" s="991" t="n">
        <v>0</v>
      </c>
      <c r="Z57" s="991" t="n">
        <v>0</v>
      </c>
      <c r="AA57" s="991" t="n">
        <v>0</v>
      </c>
      <c r="AB57" s="991" t="n">
        <v>0</v>
      </c>
      <c r="AC57" s="991" t="n">
        <v>0</v>
      </c>
      <c r="AD57" s="991" t="n">
        <v>0</v>
      </c>
      <c r="AE57" s="991" t="n">
        <v>3.44</v>
      </c>
      <c r="AF57" s="991" t="n">
        <v>2.61</v>
      </c>
      <c r="AG57" s="991" t="n">
        <v>1.78</v>
      </c>
      <c r="AH57" s="991">
        <f>+AH56</f>
        <v/>
      </c>
      <c r="AI57" s="991" t="n">
        <v>0</v>
      </c>
      <c r="AJ57" s="991" t="n">
        <v>0</v>
      </c>
      <c r="AK57" s="991" t="n">
        <v>0</v>
      </c>
      <c r="AL57" s="991" t="n">
        <v>0</v>
      </c>
      <c r="AM57" s="991" t="n">
        <v>0</v>
      </c>
      <c r="AN57" s="991" t="n">
        <v>0</v>
      </c>
      <c r="AO57" s="991" t="n">
        <v>0</v>
      </c>
      <c r="AP57" s="991" t="n">
        <v>0</v>
      </c>
      <c r="AQ57" s="991" t="n">
        <v>0</v>
      </c>
      <c r="AR57" s="991" t="n">
        <v>0</v>
      </c>
      <c r="AS57" s="991" t="n">
        <v>0</v>
      </c>
      <c r="AT57" s="991" t="n">
        <v>0</v>
      </c>
      <c r="AU57" s="992">
        <f>+AH57-S57</f>
        <v/>
      </c>
      <c r="AV57" s="992">
        <f>+AH57-AS57</f>
        <v/>
      </c>
    </row>
    <row r="58">
      <c r="B58" s="639" t="inlineStr">
        <is>
          <t>Owner Personal Burden</t>
        </is>
      </c>
      <c r="C58" s="638" t="n"/>
      <c r="D58" s="993" t="n">
        <v>-3048.159999999997</v>
      </c>
      <c r="E58" s="993" t="n">
        <v>-3126.69</v>
      </c>
      <c r="F58" s="993" t="n">
        <v>-2700</v>
      </c>
      <c r="G58" s="993" t="n">
        <v>-3130</v>
      </c>
      <c r="H58" s="993" t="n">
        <v>-3130</v>
      </c>
      <c r="I58" s="993" t="n">
        <v>-2000</v>
      </c>
      <c r="J58" s="993" t="n">
        <v>-2000</v>
      </c>
      <c r="K58" s="993" t="n">
        <v>-150</v>
      </c>
      <c r="L58" s="993" t="n">
        <v>-150</v>
      </c>
      <c r="M58" s="994" t="n">
        <v>-150</v>
      </c>
      <c r="N58" s="995" t="n">
        <v>-150</v>
      </c>
      <c r="O58" s="995" t="n">
        <v>-150</v>
      </c>
      <c r="P58" s="995" t="n">
        <v>-150</v>
      </c>
      <c r="Q58" s="995" t="n">
        <v>-150</v>
      </c>
      <c r="R58" s="995" t="n">
        <v>-4027.909999999996</v>
      </c>
      <c r="S58" s="995">
        <f>'Monthly Detail'!AH154</f>
        <v/>
      </c>
      <c r="T58" s="995" t="n">
        <v>-2737.769999999997</v>
      </c>
      <c r="U58" s="995" t="n">
        <v>-2394.389999999999</v>
      </c>
      <c r="V58" s="995" t="n">
        <v>-2307.559999999998</v>
      </c>
      <c r="W58" s="995" t="n">
        <v>-4112.450000000004</v>
      </c>
      <c r="X58" s="995" t="n">
        <v>-3431.580000000002</v>
      </c>
      <c r="Y58" s="995" t="n">
        <v>-1624.479999999996</v>
      </c>
      <c r="Z58" s="995" t="n">
        <v>-1148.720000000001</v>
      </c>
      <c r="AA58" s="995" t="n">
        <v>-150</v>
      </c>
      <c r="AB58" s="995" t="n">
        <v>-150</v>
      </c>
      <c r="AC58" s="995" t="n">
        <v>-150</v>
      </c>
      <c r="AD58" s="995" t="n">
        <v>-2635.220000000001</v>
      </c>
      <c r="AE58" s="995" t="n">
        <v>-2635.220000000001</v>
      </c>
      <c r="AF58" s="995" t="n">
        <v>-4027.909999999996</v>
      </c>
      <c r="AG58" s="995" t="n">
        <v>-4027.909999999996</v>
      </c>
      <c r="AH58" s="995">
        <f>'Monthly Detail'!AW154</f>
        <v/>
      </c>
      <c r="AI58" s="995" t="n">
        <v>-2307.559999999998</v>
      </c>
      <c r="AJ58" s="995" t="n">
        <v>-2307.559999999998</v>
      </c>
      <c r="AK58" s="995" t="n">
        <v>-2307.559999999998</v>
      </c>
      <c r="AL58" s="995" t="n">
        <v>-2307.559999999998</v>
      </c>
      <c r="AM58" s="995" t="n">
        <v>-2307.559999999998</v>
      </c>
      <c r="AN58" s="995" t="n">
        <v>-2307.559999999998</v>
      </c>
      <c r="AO58" s="995" t="n">
        <v>-2307.559999999998</v>
      </c>
      <c r="AP58" s="995" t="n">
        <v>-2307.559999999998</v>
      </c>
      <c r="AQ58" s="995" t="n">
        <v>-2307.559999999998</v>
      </c>
      <c r="AR58" s="995" t="n">
        <v>-2307.559999999998</v>
      </c>
      <c r="AS58" s="995" t="n">
        <v>-2307.559999999998</v>
      </c>
      <c r="AT58" s="995" t="n">
        <v>-2307.559999999998</v>
      </c>
      <c r="AU58" s="996">
        <f>+AH58-S58</f>
        <v/>
      </c>
      <c r="AV58" s="996">
        <f>+AH58-AS58</f>
        <v/>
      </c>
    </row>
    <row r="59" ht="15.75" customHeight="1" s="627" thickBot="1">
      <c r="B59" s="635" t="inlineStr">
        <is>
          <t>Net Income</t>
        </is>
      </c>
      <c r="C59" s="636" t="n"/>
      <c r="D59" s="997" t="n">
        <v>10757.84439858919</v>
      </c>
      <c r="E59" s="997" t="n">
        <v>3219.297907241905</v>
      </c>
      <c r="F59" s="997" t="n">
        <v>2871.474859799361</v>
      </c>
      <c r="G59" s="997" t="n">
        <v>3004.790619381886</v>
      </c>
      <c r="H59" s="997" t="n">
        <v>2150.601045454062</v>
      </c>
      <c r="I59" s="997" t="n">
        <v>4563.224146031025</v>
      </c>
      <c r="J59" s="997">
        <f>+J57+J53</f>
        <v/>
      </c>
      <c r="K59" s="997" t="n">
        <v>333.4353149967192</v>
      </c>
      <c r="L59" s="997" t="n">
        <v>-155.1968049314528</v>
      </c>
      <c r="M59" s="998" t="n">
        <v>-558.64805928654</v>
      </c>
      <c r="N59" s="999" t="n">
        <v>-117.7985459901765</v>
      </c>
      <c r="O59" s="999" t="n">
        <v>495.4416791638869</v>
      </c>
      <c r="P59" s="999" t="n">
        <v>311.1226078589316</v>
      </c>
      <c r="Q59" s="999" t="n">
        <v>672.4755806276376</v>
      </c>
      <c r="R59" s="1000" t="n">
        <v>1205.318012246015</v>
      </c>
      <c r="S59" s="1000">
        <f>+S57+S53</f>
        <v/>
      </c>
      <c r="T59" s="1000" t="n">
        <v>1588.86</v>
      </c>
      <c r="U59" s="1000" t="n">
        <v>1277.96</v>
      </c>
      <c r="V59" s="1000" t="n">
        <v>1277.96</v>
      </c>
      <c r="W59" s="1000" t="n">
        <v>2773.94</v>
      </c>
      <c r="X59" s="1000" t="n">
        <v>4061.87</v>
      </c>
      <c r="Y59" s="1000" t="n">
        <v>2769.530000000001</v>
      </c>
      <c r="Z59" s="1000" t="n">
        <v>2090.83</v>
      </c>
      <c r="AA59" s="1000" t="n">
        <v>1303.830000000001</v>
      </c>
      <c r="AB59" s="1000" t="n">
        <v>1110.77</v>
      </c>
      <c r="AC59" s="1000" t="n">
        <v>2777.68</v>
      </c>
      <c r="AD59" s="1000" t="n">
        <v>2933.43</v>
      </c>
      <c r="AE59" s="1000" t="n">
        <v>2830.530000000001</v>
      </c>
      <c r="AF59" s="1000" t="n">
        <v>1873.64</v>
      </c>
      <c r="AG59" s="1000" t="n">
        <v>2291.78</v>
      </c>
      <c r="AH59" s="1000">
        <f>+AH57+AH53</f>
        <v/>
      </c>
      <c r="AI59" s="1000" t="n">
        <v>4368.403011274814</v>
      </c>
      <c r="AJ59" s="1000" t="n">
        <v>1742.864661280238</v>
      </c>
      <c r="AK59" s="1000" t="n">
        <v>3023.294189874377</v>
      </c>
      <c r="AL59" s="1000" t="n">
        <v>5286.286165313985</v>
      </c>
      <c r="AM59" s="1000" t="n">
        <v>6334.256179083538</v>
      </c>
      <c r="AN59" s="1000" t="n">
        <v>6054.923453643457</v>
      </c>
      <c r="AO59" s="1000" t="n">
        <v>4769.657109924145</v>
      </c>
      <c r="AP59" s="1000" t="n">
        <v>4000.676200730991</v>
      </c>
      <c r="AQ59" s="1000" t="n">
        <v>3614.355515306111</v>
      </c>
      <c r="AR59" s="1000" t="n">
        <v>4150.363029167912</v>
      </c>
      <c r="AS59" s="1000" t="n">
        <v>3473.825345851145</v>
      </c>
      <c r="AT59" s="1000" t="n">
        <v>4788.824693606382</v>
      </c>
      <c r="AU59" s="1001">
        <f>+AH59-S59</f>
        <v/>
      </c>
      <c r="AV59" s="1001">
        <f>+AH59-AS59</f>
        <v/>
      </c>
    </row>
    <row r="60" ht="15.75" customHeight="1" s="627" thickTop="1"/>
    <row r="61">
      <c r="B61" s="362" t="n"/>
      <c r="C61" s="362" t="n"/>
      <c r="D61" s="702" t="n"/>
      <c r="E61" s="702" t="n"/>
      <c r="F61" s="702" t="n"/>
      <c r="G61" s="702" t="n"/>
      <c r="H61" s="702" t="n"/>
      <c r="I61" s="702" t="n"/>
      <c r="J61" s="702" t="n"/>
      <c r="K61" s="702" t="n"/>
      <c r="L61" s="702" t="n"/>
      <c r="M61" s="702" t="n"/>
      <c r="N61" s="702" t="n"/>
      <c r="O61" s="702" t="n"/>
      <c r="P61" s="702" t="n"/>
      <c r="Q61" s="702" t="n"/>
      <c r="R61" s="702" t="n"/>
      <c r="S61" s="702" t="n"/>
      <c r="T61" s="702" t="n"/>
      <c r="U61" s="702" t="n"/>
      <c r="V61" s="702" t="n"/>
      <c r="W61" s="702" t="n"/>
      <c r="X61" s="702" t="n"/>
      <c r="Y61" s="702" t="n"/>
      <c r="Z61" s="702" t="n"/>
      <c r="AA61" s="702" t="n"/>
      <c r="AB61" s="702" t="n"/>
      <c r="AC61" s="702" t="n"/>
      <c r="AD61" s="702" t="n"/>
      <c r="AE61" s="702" t="n"/>
      <c r="AF61" s="702" t="n"/>
      <c r="AG61" s="702" t="n"/>
      <c r="AH61" s="702" t="n"/>
      <c r="AI61" s="702" t="n"/>
      <c r="AJ61" s="702" t="n"/>
      <c r="AK61" s="702" t="n"/>
      <c r="AL61" s="702" t="n"/>
      <c r="AM61" s="702" t="n"/>
      <c r="AN61" s="702" t="n"/>
      <c r="AO61" s="702" t="n"/>
      <c r="AP61" s="702" t="n"/>
      <c r="AQ61" s="702" t="n"/>
      <c r="AR61" s="702" t="n"/>
      <c r="AS61" s="702" t="n"/>
      <c r="AT61" s="702" t="n"/>
      <c r="AU61" s="1002" t="n"/>
      <c r="AV61" s="1002" t="n"/>
    </row>
  </sheetData>
  <mergeCells count="31">
    <mergeCell ref="B47:C47"/>
    <mergeCell ref="B16:C16"/>
    <mergeCell ref="B54:C54"/>
    <mergeCell ref="B59:C59"/>
    <mergeCell ref="B46:C46"/>
    <mergeCell ref="B56:C56"/>
    <mergeCell ref="B43:C43"/>
    <mergeCell ref="B58:C58"/>
    <mergeCell ref="B39:C39"/>
    <mergeCell ref="B52:C52"/>
    <mergeCell ref="B48:C48"/>
    <mergeCell ref="B42:C42"/>
    <mergeCell ref="B57:C57"/>
    <mergeCell ref="B53:C53"/>
    <mergeCell ref="B44:C44"/>
    <mergeCell ref="B38:C38"/>
    <mergeCell ref="B34:C34"/>
    <mergeCell ref="B37:C37"/>
    <mergeCell ref="B17:B28"/>
    <mergeCell ref="B14:AV14"/>
    <mergeCell ref="B40:C40"/>
    <mergeCell ref="B49:C49"/>
    <mergeCell ref="B55:C55"/>
    <mergeCell ref="B33:C33"/>
    <mergeCell ref="B51:C51"/>
    <mergeCell ref="B45:C45"/>
    <mergeCell ref="B36:C36"/>
    <mergeCell ref="B32:C32"/>
    <mergeCell ref="B50:C50"/>
    <mergeCell ref="B41:C41"/>
    <mergeCell ref="B35:C35"/>
  </mergeCells>
  <pageMargins left="0.7" right="0.7" top="0.75" bottom="0.75" header="0.3" footer="0.3"/>
  <pageSetup orientation="landscape" scale="50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theme="5" tint="-0.499984740745262"/>
    <outlinePr summaryBelow="1" summaryRight="1"/>
    <pageSetUpPr/>
  </sheetPr>
  <dimension ref="A1:FC18"/>
  <sheetViews>
    <sheetView topLeftCell="D1" workbookViewId="0">
      <selection activeCell="Y16" sqref="Y16"/>
    </sheetView>
  </sheetViews>
  <sheetFormatPr baseColWidth="8" defaultColWidth="8.7109375" defaultRowHeight="15"/>
  <cols>
    <col width="13.42578125" bestFit="1" customWidth="1" style="627" min="2" max="2"/>
    <col width="14.42578125" bestFit="1" customWidth="1" style="627" min="3" max="3"/>
    <col width="11.28515625" bestFit="1" customWidth="1" style="627" min="4" max="4"/>
    <col width="17.42578125" bestFit="1" customWidth="1" style="627" min="5" max="5"/>
    <col hidden="1" outlineLevel="1" width="10" customWidth="1" style="627" min="7" max="7"/>
    <col hidden="1" outlineLevel="1" width="10.140625" customWidth="1" style="627" min="8" max="11"/>
    <col hidden="1" outlineLevel="1" width="11.140625" customWidth="1" style="627" min="12" max="14"/>
    <col hidden="1" outlineLevel="1" width="10.140625" customWidth="1" style="627" min="15" max="15"/>
    <col hidden="1" outlineLevel="1" width="10.42578125" customWidth="1" style="627" min="16" max="17"/>
    <col collapsed="1" width="10.42578125" bestFit="1" customWidth="1" style="627" min="18" max="18"/>
    <col width="10.42578125" bestFit="1" customWidth="1" style="627" min="19" max="23"/>
    <col width="11.28515625" bestFit="1" customWidth="1" style="627" min="24" max="26"/>
    <col width="10.42578125" bestFit="1" customWidth="1" style="627" min="27" max="35"/>
    <col width="11.28515625" bestFit="1" customWidth="1" style="627" min="36" max="38"/>
    <col width="10.42578125" bestFit="1" customWidth="1" style="627" min="39" max="47"/>
    <col width="11.28515625" bestFit="1" customWidth="1" style="627" min="48" max="50"/>
    <col width="10.42578125" bestFit="1" customWidth="1" style="627" min="51" max="59"/>
    <col width="11.28515625" bestFit="1" customWidth="1" style="627" min="60" max="62"/>
    <col width="10.42578125" bestFit="1" customWidth="1" style="627" min="63" max="71"/>
    <col width="11.28515625" bestFit="1" customWidth="1" style="627" min="72" max="74"/>
    <col width="11.42578125" bestFit="1" customWidth="1" style="627" min="75" max="158"/>
  </cols>
  <sheetData>
    <row r="1" ht="15.75" customHeight="1" s="627" thickBot="1">
      <c r="A1" s="28" t="n"/>
      <c r="B1" s="28" t="n"/>
      <c r="C1" s="28" t="n"/>
      <c r="D1" s="28" t="n"/>
      <c r="E1" s="28" t="n"/>
      <c r="F1" s="28" t="n"/>
      <c r="G1" s="28" t="n"/>
      <c r="H1" s="29">
        <f>YEAR(H4)</f>
        <v/>
      </c>
      <c r="I1" s="29">
        <f>YEAR(I4)</f>
        <v/>
      </c>
      <c r="J1" s="29">
        <f>YEAR(J4)</f>
        <v/>
      </c>
      <c r="K1" s="29">
        <f>YEAR(K4)</f>
        <v/>
      </c>
      <c r="L1" s="240">
        <f>YEAR(L4)</f>
        <v/>
      </c>
      <c r="M1" s="29">
        <f>YEAR(M4)</f>
        <v/>
      </c>
      <c r="N1" s="29">
        <f>YEAR(N4)</f>
        <v/>
      </c>
      <c r="O1" s="29">
        <f>YEAR(O4)</f>
        <v/>
      </c>
      <c r="P1" s="29">
        <f>YEAR(P4)</f>
        <v/>
      </c>
      <c r="Q1" s="240">
        <f>YEAR(Q4)</f>
        <v/>
      </c>
      <c r="R1" s="29">
        <f>YEAR(R4)</f>
        <v/>
      </c>
      <c r="S1" s="29">
        <f>YEAR(S4)</f>
        <v/>
      </c>
      <c r="T1" s="29">
        <f>YEAR(T4)</f>
        <v/>
      </c>
      <c r="U1" s="29">
        <f>YEAR(U4)</f>
        <v/>
      </c>
      <c r="V1" s="29">
        <f>YEAR(V4)</f>
        <v/>
      </c>
      <c r="W1" s="29">
        <f>YEAR(W4)</f>
        <v/>
      </c>
      <c r="X1" s="29">
        <f>YEAR(X4)</f>
        <v/>
      </c>
      <c r="Y1" s="29">
        <f>YEAR(Y4)</f>
        <v/>
      </c>
      <c r="Z1" s="29">
        <f>YEAR(Z4)</f>
        <v/>
      </c>
      <c r="AA1" s="29">
        <f>YEAR(AA4)</f>
        <v/>
      </c>
      <c r="AB1" s="29">
        <f>YEAR(AB4)</f>
        <v/>
      </c>
      <c r="AC1" s="29">
        <f>YEAR(AC4)</f>
        <v/>
      </c>
      <c r="AD1" s="29">
        <f>YEAR(AD4)</f>
        <v/>
      </c>
      <c r="AE1" s="29">
        <f>YEAR(AE4)</f>
        <v/>
      </c>
      <c r="AF1" s="29">
        <f>YEAR(AF4)</f>
        <v/>
      </c>
      <c r="AG1" s="29">
        <f>YEAR(AG4)</f>
        <v/>
      </c>
      <c r="AH1" s="29">
        <f>YEAR(AH4)</f>
        <v/>
      </c>
      <c r="AI1" s="29">
        <f>YEAR(AI4)</f>
        <v/>
      </c>
      <c r="AJ1" s="240">
        <f>YEAR(AJ4)</f>
        <v/>
      </c>
      <c r="AK1" s="29">
        <f>YEAR(AK4)</f>
        <v/>
      </c>
      <c r="AL1" s="29">
        <f>YEAR(AL4)</f>
        <v/>
      </c>
      <c r="AM1" s="427">
        <f>YEAR(AM4)</f>
        <v/>
      </c>
      <c r="AN1" s="29">
        <f>YEAR(AN4)</f>
        <v/>
      </c>
      <c r="AO1" s="29">
        <f>YEAR(AO4)</f>
        <v/>
      </c>
      <c r="AP1" s="29">
        <f>YEAR(AP4)</f>
        <v/>
      </c>
      <c r="AQ1" s="240">
        <f>YEAR(AQ4)</f>
        <v/>
      </c>
      <c r="AR1" s="29">
        <f>YEAR(AR4)</f>
        <v/>
      </c>
      <c r="AS1" s="29">
        <f>YEAR(AS4)</f>
        <v/>
      </c>
      <c r="AT1" s="29">
        <f>YEAR(AT4)</f>
        <v/>
      </c>
      <c r="AU1" s="29">
        <f>YEAR(AU4)</f>
        <v/>
      </c>
      <c r="AV1" s="29">
        <f>YEAR(AV4)</f>
        <v/>
      </c>
      <c r="AW1" s="29">
        <f>YEAR(AW4)</f>
        <v/>
      </c>
      <c r="AX1" s="29">
        <f>YEAR(AX4)</f>
        <v/>
      </c>
      <c r="AY1" s="29">
        <f>YEAR(AY4)</f>
        <v/>
      </c>
      <c r="AZ1" s="29">
        <f>YEAR(AZ4)</f>
        <v/>
      </c>
      <c r="BA1" s="29">
        <f>YEAR(BA4)</f>
        <v/>
      </c>
      <c r="BB1" s="29">
        <f>YEAR(BB4)</f>
        <v/>
      </c>
      <c r="BC1" s="240">
        <f>YEAR(BC4)</f>
        <v/>
      </c>
      <c r="BD1" s="29">
        <f>YEAR(BD4)</f>
        <v/>
      </c>
      <c r="BE1" s="29">
        <f>YEAR(BE4)</f>
        <v/>
      </c>
      <c r="BF1" s="29">
        <f>YEAR(BF4)</f>
        <v/>
      </c>
      <c r="BG1" s="29">
        <f>YEAR(BG4)</f>
        <v/>
      </c>
      <c r="BH1" s="29">
        <f>YEAR(BH4)</f>
        <v/>
      </c>
      <c r="BI1" s="29">
        <f>YEAR(BI4)</f>
        <v/>
      </c>
      <c r="BJ1" s="29">
        <f>YEAR(BJ4)</f>
        <v/>
      </c>
      <c r="BK1" s="29">
        <f>YEAR(BK4)</f>
        <v/>
      </c>
      <c r="BL1" s="29">
        <f>YEAR(BL4)</f>
        <v/>
      </c>
      <c r="BM1" s="29">
        <f>YEAR(BM4)</f>
        <v/>
      </c>
      <c r="BN1" s="29">
        <f>YEAR(BN4)</f>
        <v/>
      </c>
      <c r="BO1" s="240">
        <f>YEAR(BO4)</f>
        <v/>
      </c>
      <c r="BP1" s="29">
        <f>YEAR(BP4)</f>
        <v/>
      </c>
      <c r="BQ1" s="29">
        <f>YEAR(BQ4)</f>
        <v/>
      </c>
      <c r="BR1" s="29">
        <f>YEAR(BR4)</f>
        <v/>
      </c>
      <c r="BS1" s="29">
        <f>YEAR(BS4)</f>
        <v/>
      </c>
      <c r="BT1" s="29">
        <f>YEAR(BT4)</f>
        <v/>
      </c>
      <c r="BU1" s="29">
        <f>YEAR(BU4)</f>
        <v/>
      </c>
      <c r="BV1" s="29">
        <f>YEAR(BV4)</f>
        <v/>
      </c>
      <c r="BW1" s="29">
        <f>YEAR(BW4)</f>
        <v/>
      </c>
      <c r="BX1" s="29">
        <f>YEAR(BX4)</f>
        <v/>
      </c>
      <c r="BY1" s="29">
        <f>YEAR(BY4)</f>
        <v/>
      </c>
      <c r="BZ1" s="29">
        <f>YEAR(BZ4)</f>
        <v/>
      </c>
      <c r="CA1" s="240">
        <f>YEAR(CA4)</f>
        <v/>
      </c>
      <c r="CB1" s="29">
        <f>YEAR(CB4)</f>
        <v/>
      </c>
      <c r="CC1" s="29">
        <f>YEAR(CC4)</f>
        <v/>
      </c>
      <c r="CD1" s="29">
        <f>YEAR(CD4)</f>
        <v/>
      </c>
      <c r="CE1" s="29">
        <f>YEAR(CE4)</f>
        <v/>
      </c>
      <c r="CF1" s="29">
        <f>YEAR(CF4)</f>
        <v/>
      </c>
      <c r="CG1" s="29">
        <f>YEAR(CG4)</f>
        <v/>
      </c>
      <c r="CH1" s="29">
        <f>YEAR(CH4)</f>
        <v/>
      </c>
      <c r="CI1" s="29">
        <f>YEAR(CI4)</f>
        <v/>
      </c>
      <c r="CJ1" s="29">
        <f>YEAR(CJ4)</f>
        <v/>
      </c>
      <c r="CK1" s="29">
        <f>YEAR(CK4)</f>
        <v/>
      </c>
      <c r="CL1" s="29">
        <f>YEAR(CL4)</f>
        <v/>
      </c>
      <c r="CM1" s="240">
        <f>YEAR(CM4)</f>
        <v/>
      </c>
      <c r="CN1" s="29">
        <f>YEAR(CN4)</f>
        <v/>
      </c>
      <c r="CO1" s="29">
        <f>YEAR(CO4)</f>
        <v/>
      </c>
      <c r="CP1" s="29">
        <f>YEAR(CP4)</f>
        <v/>
      </c>
      <c r="CQ1" s="29">
        <f>YEAR(CQ4)</f>
        <v/>
      </c>
      <c r="CR1" s="29">
        <f>YEAR(CR4)</f>
        <v/>
      </c>
      <c r="CS1" s="29">
        <f>YEAR(CS4)</f>
        <v/>
      </c>
      <c r="CT1" s="29">
        <f>YEAR(CT4)</f>
        <v/>
      </c>
      <c r="CU1" s="29">
        <f>YEAR(CU4)</f>
        <v/>
      </c>
      <c r="CV1" s="29">
        <f>YEAR(CV4)</f>
        <v/>
      </c>
      <c r="CW1" s="29">
        <f>YEAR(CW4)</f>
        <v/>
      </c>
      <c r="CX1" s="29">
        <f>YEAR(CX4)</f>
        <v/>
      </c>
      <c r="CY1" s="240">
        <f>YEAR(CY4)</f>
        <v/>
      </c>
      <c r="CZ1" s="29">
        <f>YEAR(CZ4)</f>
        <v/>
      </c>
      <c r="DA1" s="29">
        <f>YEAR(DA4)</f>
        <v/>
      </c>
      <c r="DB1" s="29">
        <f>YEAR(DB4)</f>
        <v/>
      </c>
      <c r="DC1" s="29">
        <f>YEAR(DC4)</f>
        <v/>
      </c>
      <c r="DD1" s="29">
        <f>YEAR(DD4)</f>
        <v/>
      </c>
      <c r="DE1" s="29">
        <f>YEAR(DE4)</f>
        <v/>
      </c>
      <c r="DF1" s="29">
        <f>YEAR(DF4)</f>
        <v/>
      </c>
      <c r="DG1" s="29">
        <f>YEAR(DG4)</f>
        <v/>
      </c>
      <c r="DH1" s="29">
        <f>YEAR(DH4)</f>
        <v/>
      </c>
      <c r="DI1" s="29">
        <f>YEAR(DI4)</f>
        <v/>
      </c>
      <c r="DJ1" s="29">
        <f>YEAR(DJ4)</f>
        <v/>
      </c>
      <c r="DK1" s="29">
        <f>YEAR(DK4)</f>
        <v/>
      </c>
      <c r="DL1" s="29" t="n"/>
      <c r="DM1" s="29" t="n"/>
      <c r="DN1" s="51" t="n"/>
    </row>
    <row r="2">
      <c r="A2" s="28" t="n"/>
      <c r="B2" s="28" t="n"/>
      <c r="C2" s="28" t="n"/>
      <c r="D2" s="28" t="n"/>
      <c r="E2" s="28" t="n"/>
      <c r="F2" s="295" t="n"/>
      <c r="G2" s="295" t="n"/>
      <c r="H2" s="296">
        <f>+'Monthly Detail'!AG2</f>
        <v/>
      </c>
      <c r="I2" s="296">
        <f>+'Monthly Detail'!AH2</f>
        <v/>
      </c>
      <c r="J2" s="29">
        <f>+'Monthly Detail'!AI2</f>
        <v/>
      </c>
      <c r="K2" s="296">
        <f>+'Monthly Detail'!AJ2</f>
        <v/>
      </c>
      <c r="L2" s="297">
        <f>+'Monthly Detail'!AK2</f>
        <v/>
      </c>
      <c r="M2" s="296">
        <f>+'Monthly Detail'!AL2</f>
        <v/>
      </c>
      <c r="N2" s="240">
        <f>+'Monthly Detail'!AM2</f>
        <v/>
      </c>
      <c r="O2" s="29">
        <f>+'Monthly Detail'!AN2</f>
        <v/>
      </c>
      <c r="P2" s="29">
        <f>+'Monthly Detail'!AO2</f>
        <v/>
      </c>
      <c r="Q2" s="240">
        <f>+'Monthly Detail'!AP2</f>
        <v/>
      </c>
      <c r="R2" s="29">
        <f>+'Monthly Detail'!AQ2</f>
        <v/>
      </c>
      <c r="S2" s="29">
        <f>+'Monthly Detail'!AR2</f>
        <v/>
      </c>
      <c r="T2" s="29">
        <f>+'Monthly Detail'!AS2</f>
        <v/>
      </c>
      <c r="U2" s="29">
        <f>+'Monthly Detail'!AT2</f>
        <v/>
      </c>
      <c r="V2" s="29">
        <f>+'Monthly Detail'!AU2</f>
        <v/>
      </c>
      <c r="W2" s="29">
        <f>+'Monthly Detail'!AV2</f>
        <v/>
      </c>
      <c r="X2" s="29">
        <f>+'Monthly Detail'!AW2</f>
        <v/>
      </c>
      <c r="Y2" s="29">
        <f>+'Monthly Detail'!AX2</f>
        <v/>
      </c>
      <c r="Z2" s="240">
        <f>+'Monthly Detail'!AY2</f>
        <v/>
      </c>
      <c r="AA2" s="29">
        <f>+'Monthly Detail'!AZ2</f>
        <v/>
      </c>
      <c r="AB2" s="29">
        <f>+'Monthly Detail'!BA2</f>
        <v/>
      </c>
      <c r="AC2" s="29">
        <f>+'Monthly Detail'!BB2</f>
        <v/>
      </c>
      <c r="AD2" s="29">
        <f>+'Monthly Detail'!BC2</f>
        <v/>
      </c>
      <c r="AE2" s="29">
        <f>+'Monthly Detail'!BD2</f>
        <v/>
      </c>
      <c r="AF2" s="29">
        <f>+'Monthly Detail'!BE2</f>
        <v/>
      </c>
      <c r="AG2" s="29">
        <f>+'Monthly Detail'!BF2</f>
        <v/>
      </c>
      <c r="AH2" s="29">
        <f>+'Monthly Detail'!BG2</f>
        <v/>
      </c>
      <c r="AI2" s="29">
        <f>+'Monthly Detail'!BH2</f>
        <v/>
      </c>
      <c r="AJ2" s="29">
        <f>+'Monthly Detail'!BI2</f>
        <v/>
      </c>
      <c r="AK2" s="29">
        <f>+'Monthly Detail'!BJ2</f>
        <v/>
      </c>
      <c r="AL2" s="240">
        <f>+'Monthly Detail'!BK2</f>
        <v/>
      </c>
      <c r="AM2" s="29">
        <f>+'Monthly Detail'!BL2</f>
        <v/>
      </c>
      <c r="AN2" s="29">
        <f>+'Monthly Detail'!BM2</f>
        <v/>
      </c>
      <c r="AO2" s="29">
        <f>+'Monthly Detail'!BN2</f>
        <v/>
      </c>
      <c r="AP2" s="29">
        <f>+'Monthly Detail'!BO2</f>
        <v/>
      </c>
      <c r="AQ2" s="29">
        <f>+'Monthly Detail'!BP2</f>
        <v/>
      </c>
      <c r="AR2" s="29">
        <f>+'Monthly Detail'!BQ2</f>
        <v/>
      </c>
      <c r="AS2" s="29">
        <f>+'Monthly Detail'!BR2</f>
        <v/>
      </c>
      <c r="AT2" s="29">
        <f>+'Monthly Detail'!BS2</f>
        <v/>
      </c>
      <c r="AU2" s="29">
        <f>+'Monthly Detail'!BT2</f>
        <v/>
      </c>
      <c r="AV2" s="29">
        <f>+'Monthly Detail'!BU2</f>
        <v/>
      </c>
      <c r="AW2" s="29">
        <f>+'Monthly Detail'!BV2</f>
        <v/>
      </c>
      <c r="AX2" s="240">
        <f>+'Monthly Detail'!BW2</f>
        <v/>
      </c>
      <c r="AY2" s="29">
        <f>+'Monthly Detail'!BX2</f>
        <v/>
      </c>
      <c r="AZ2" s="29">
        <f>+'Monthly Detail'!BY2</f>
        <v/>
      </c>
      <c r="BA2" s="29">
        <f>+'Monthly Detail'!BZ2</f>
        <v/>
      </c>
      <c r="BB2" s="29">
        <f>+'Monthly Detail'!CA2</f>
        <v/>
      </c>
      <c r="BC2" s="29">
        <f>+'Monthly Detail'!CB2</f>
        <v/>
      </c>
      <c r="BD2" s="29">
        <f>+'Monthly Detail'!CC2</f>
        <v/>
      </c>
      <c r="BE2" s="29">
        <f>+'Monthly Detail'!CD2</f>
        <v/>
      </c>
      <c r="BF2" s="29">
        <f>+'Monthly Detail'!CE2</f>
        <v/>
      </c>
      <c r="BG2" s="29">
        <f>+'Monthly Detail'!CF2</f>
        <v/>
      </c>
      <c r="BH2" s="29">
        <f>+'Monthly Detail'!CG2</f>
        <v/>
      </c>
      <c r="BI2" s="29">
        <f>+'Monthly Detail'!CH2</f>
        <v/>
      </c>
      <c r="BJ2" s="240">
        <f>+'Monthly Detail'!CI2</f>
        <v/>
      </c>
      <c r="BK2" s="29">
        <f>+'Monthly Detail'!CJ2</f>
        <v/>
      </c>
      <c r="BL2" s="29">
        <f>+'Monthly Detail'!CK2</f>
        <v/>
      </c>
      <c r="BM2" s="29">
        <f>+'Monthly Detail'!CL2</f>
        <v/>
      </c>
      <c r="BN2" s="29">
        <f>+'Monthly Detail'!CM2</f>
        <v/>
      </c>
      <c r="BO2" s="29">
        <f>+'Monthly Detail'!CN2</f>
        <v/>
      </c>
      <c r="BP2" s="29">
        <f>+'Monthly Detail'!CO2</f>
        <v/>
      </c>
      <c r="BQ2" s="29">
        <f>+'Monthly Detail'!CP2</f>
        <v/>
      </c>
      <c r="BR2" s="29">
        <f>+'Monthly Detail'!CQ2</f>
        <v/>
      </c>
      <c r="BS2" s="29">
        <f>+'Monthly Detail'!CR2</f>
        <v/>
      </c>
      <c r="BT2" s="29">
        <f>+'Monthly Detail'!CS2</f>
        <v/>
      </c>
      <c r="BU2" s="29">
        <f>+'Monthly Detail'!CT2</f>
        <v/>
      </c>
      <c r="BV2" s="240">
        <f>+'Monthly Detail'!CU2</f>
        <v/>
      </c>
      <c r="BW2" s="29">
        <f>+'Monthly Detail'!CV2</f>
        <v/>
      </c>
      <c r="BX2" s="29">
        <f>+'Monthly Detail'!CW2</f>
        <v/>
      </c>
      <c r="BY2" s="29">
        <f>+'Monthly Detail'!CX2</f>
        <v/>
      </c>
      <c r="BZ2" s="29">
        <f>+'Monthly Detail'!CY2</f>
        <v/>
      </c>
      <c r="CA2" s="29">
        <f>+'Monthly Detail'!CZ2</f>
        <v/>
      </c>
      <c r="CB2" s="29">
        <f>+'Monthly Detail'!DA2</f>
        <v/>
      </c>
      <c r="CC2" s="29">
        <f>+'Monthly Detail'!DB2</f>
        <v/>
      </c>
      <c r="CD2" s="29">
        <f>+'Monthly Detail'!DC2</f>
        <v/>
      </c>
      <c r="CE2" s="29">
        <f>+'Monthly Detail'!DD2</f>
        <v/>
      </c>
      <c r="CF2" s="29">
        <f>+'Monthly Detail'!DE2</f>
        <v/>
      </c>
      <c r="CG2" s="29">
        <f>+'Monthly Detail'!DF2</f>
        <v/>
      </c>
      <c r="CH2" s="29">
        <f>+'Monthly Detail'!DG2</f>
        <v/>
      </c>
      <c r="CI2" s="29">
        <f>+'Monthly Detail'!DH2</f>
        <v/>
      </c>
      <c r="CJ2" s="29">
        <f>+'Monthly Detail'!DI2</f>
        <v/>
      </c>
      <c r="CK2" s="29">
        <f>+'Monthly Detail'!DJ2</f>
        <v/>
      </c>
      <c r="CL2" s="29">
        <f>+'Monthly Detail'!DK2</f>
        <v/>
      </c>
      <c r="CM2" s="240">
        <f>+'Monthly Detail'!DL2</f>
        <v/>
      </c>
      <c r="CN2" s="29">
        <f>+'Monthly Detail'!DM2</f>
        <v/>
      </c>
      <c r="CO2" s="29">
        <f>+'Monthly Detail'!DN2</f>
        <v/>
      </c>
      <c r="CP2" s="29">
        <f>+'Monthly Detail'!DO2</f>
        <v/>
      </c>
      <c r="CQ2" s="29">
        <f>+'Monthly Detail'!DP2</f>
        <v/>
      </c>
      <c r="CR2" s="29">
        <f>+'Monthly Detail'!DQ2</f>
        <v/>
      </c>
      <c r="CS2" s="29">
        <f>+'Monthly Detail'!DR2</f>
        <v/>
      </c>
      <c r="CT2" s="29">
        <f>+'Monthly Detail'!DS2</f>
        <v/>
      </c>
      <c r="CU2" s="29">
        <f>+'Monthly Detail'!DT2</f>
        <v/>
      </c>
      <c r="CV2" s="29">
        <f>+'Monthly Detail'!DU2</f>
        <v/>
      </c>
      <c r="CW2" s="29">
        <f>+'Monthly Detail'!DV2</f>
        <v/>
      </c>
      <c r="CX2" s="29">
        <f>+'Monthly Detail'!DW2</f>
        <v/>
      </c>
      <c r="CY2" s="240">
        <f>+'Monthly Detail'!DX2</f>
        <v/>
      </c>
      <c r="CZ2" s="29">
        <f>+'Monthly Detail'!DY2</f>
        <v/>
      </c>
      <c r="DA2" s="29">
        <f>+'Monthly Detail'!DZ2</f>
        <v/>
      </c>
      <c r="DB2" s="29">
        <f>+'Monthly Detail'!EA2</f>
        <v/>
      </c>
      <c r="DC2" s="29">
        <f>+'Monthly Detail'!EB2</f>
        <v/>
      </c>
      <c r="DD2" s="29">
        <f>+'Monthly Detail'!EC2</f>
        <v/>
      </c>
      <c r="DE2" s="29">
        <f>+'Monthly Detail'!ED2</f>
        <v/>
      </c>
      <c r="DF2" s="29">
        <f>+'Monthly Detail'!EE2</f>
        <v/>
      </c>
      <c r="DG2" s="29">
        <f>+'Monthly Detail'!EF2</f>
        <v/>
      </c>
      <c r="DH2" s="29">
        <f>+'Monthly Detail'!EG2</f>
        <v/>
      </c>
      <c r="DI2" s="29">
        <f>+'Monthly Detail'!EH2</f>
        <v/>
      </c>
      <c r="DJ2" s="29">
        <f>+'Monthly Detail'!EI2</f>
        <v/>
      </c>
      <c r="DK2" s="29">
        <f>+'Monthly Detail'!EJ2</f>
        <v/>
      </c>
      <c r="DL2" s="29" t="n"/>
      <c r="DM2" s="29" t="n"/>
      <c r="DN2" s="29" t="n"/>
    </row>
    <row r="3">
      <c r="A3" s="28" t="n"/>
      <c r="B3" s="28" t="n"/>
      <c r="C3" s="28" t="n"/>
      <c r="D3" s="28" t="n"/>
      <c r="E3" s="28" t="n"/>
      <c r="F3" s="28" t="n"/>
      <c r="G3" s="28" t="n"/>
      <c r="H3" s="162">
        <f>+"Q1 "&amp;H1</f>
        <v/>
      </c>
      <c r="I3" s="162">
        <f>+"Q1 "&amp;I1</f>
        <v/>
      </c>
      <c r="J3" s="162">
        <f>+"Q1 "&amp;J1</f>
        <v/>
      </c>
      <c r="K3" s="162">
        <f>+"Q2 "&amp;K1</f>
        <v/>
      </c>
      <c r="L3" s="241">
        <f>+"Q2 "&amp;L1</f>
        <v/>
      </c>
      <c r="M3" s="162">
        <f>+"Q2 "&amp;M1</f>
        <v/>
      </c>
      <c r="N3" s="162">
        <f>+"Q3 "&amp;N1</f>
        <v/>
      </c>
      <c r="O3" s="162">
        <f>+"Q3 "&amp;O1</f>
        <v/>
      </c>
      <c r="P3" s="162">
        <f>+"Q3 "&amp;P1</f>
        <v/>
      </c>
      <c r="Q3" s="241">
        <f>+"Q4 "&amp;Q1</f>
        <v/>
      </c>
      <c r="R3" s="162">
        <f>+"Q4 "&amp;R1</f>
        <v/>
      </c>
      <c r="S3" s="162">
        <f>+"Q4 "&amp;S1</f>
        <v/>
      </c>
      <c r="T3" s="162">
        <f>+"Q1 "&amp;T1</f>
        <v/>
      </c>
      <c r="U3" s="162">
        <f>+"Q1 "&amp;U1</f>
        <v/>
      </c>
      <c r="V3" s="162">
        <f>+"Q1 "&amp;V1</f>
        <v/>
      </c>
      <c r="W3" s="162">
        <f>+"Q2 "&amp;W1</f>
        <v/>
      </c>
      <c r="X3" s="162">
        <f>+"Q2 "&amp;X1</f>
        <v/>
      </c>
      <c r="Y3" s="162">
        <f>+"Q2 "&amp;Y1</f>
        <v/>
      </c>
      <c r="Z3" s="162">
        <f>+"Q3 "&amp;Z1</f>
        <v/>
      </c>
      <c r="AA3" s="162">
        <f>+"Q3 "&amp;AA1</f>
        <v/>
      </c>
      <c r="AB3" s="162">
        <f>+"Q3 "&amp;AB1</f>
        <v/>
      </c>
      <c r="AC3" s="162">
        <f>+"Q4 "&amp;AC1</f>
        <v/>
      </c>
      <c r="AD3" s="162">
        <f>+"Q4 "&amp;AD1</f>
        <v/>
      </c>
      <c r="AE3" s="162">
        <f>+"Q4 "&amp;AE1</f>
        <v/>
      </c>
      <c r="AF3" s="162">
        <f>+"Q1 "&amp;AF1</f>
        <v/>
      </c>
      <c r="AG3" s="162">
        <f>+"Q1 "&amp;AG1</f>
        <v/>
      </c>
      <c r="AH3" s="162">
        <f>+"Q1 "&amp;AH1</f>
        <v/>
      </c>
      <c r="AI3" s="162">
        <f>+"Q2 "&amp;AI1</f>
        <v/>
      </c>
      <c r="AJ3" s="162">
        <f>+"Q2 "&amp;AJ1</f>
        <v/>
      </c>
      <c r="AK3" s="162">
        <f>+"Q2 "&amp;AK1</f>
        <v/>
      </c>
      <c r="AL3" s="162">
        <f>+"Q3 "&amp;AL1</f>
        <v/>
      </c>
      <c r="AM3" s="428">
        <f>+"Q3 "&amp;AM1</f>
        <v/>
      </c>
      <c r="AN3" s="162">
        <f>+"Q3 "&amp;AN1</f>
        <v/>
      </c>
      <c r="AO3" s="162">
        <f>+"Q4 "&amp;AO1</f>
        <v/>
      </c>
      <c r="AP3" s="462">
        <f>+"Q4 "&amp;AP1</f>
        <v/>
      </c>
      <c r="AQ3" s="241">
        <f>+"Q4 "&amp;AQ1</f>
        <v/>
      </c>
      <c r="AR3" s="162">
        <f>+"Q1 "&amp;AR1</f>
        <v/>
      </c>
      <c r="AS3" s="162">
        <f>+"Q1 "&amp;AS1</f>
        <v/>
      </c>
      <c r="AT3" s="162">
        <f>+"Q1 "&amp;AT1</f>
        <v/>
      </c>
      <c r="AU3" s="162">
        <f>+"Q2 "&amp;AU1</f>
        <v/>
      </c>
      <c r="AV3" s="162">
        <f>+"Q2 "&amp;AV1</f>
        <v/>
      </c>
      <c r="AW3" s="162">
        <f>+"Q2 "&amp;AW1</f>
        <v/>
      </c>
      <c r="AX3" s="162">
        <f>+"Q3 "&amp;AX1</f>
        <v/>
      </c>
      <c r="AY3" s="162">
        <f>+"Q3 "&amp;AY1</f>
        <v/>
      </c>
      <c r="AZ3" s="162">
        <f>+"Q3 "&amp;AZ1</f>
        <v/>
      </c>
      <c r="BA3" s="162">
        <f>+"Q4 "&amp;BA1</f>
        <v/>
      </c>
      <c r="BB3" s="162">
        <f>+"Q4 "&amp;BB1</f>
        <v/>
      </c>
      <c r="BC3" s="241">
        <f>+"Q4 "&amp;BC1</f>
        <v/>
      </c>
      <c r="BD3" s="162">
        <f>+"Q1 "&amp;BD1</f>
        <v/>
      </c>
      <c r="BE3" s="162">
        <f>+"Q1 "&amp;BE1</f>
        <v/>
      </c>
      <c r="BF3" s="162">
        <f>+"Q1 "&amp;BF1</f>
        <v/>
      </c>
      <c r="BG3" s="162">
        <f>+"Q2 "&amp;BG1</f>
        <v/>
      </c>
      <c r="BH3" s="162">
        <f>+"Q2 "&amp;BH1</f>
        <v/>
      </c>
      <c r="BI3" s="162">
        <f>+"Q2 "&amp;BI1</f>
        <v/>
      </c>
      <c r="BJ3" s="162">
        <f>+"Q3 "&amp;BJ1</f>
        <v/>
      </c>
      <c r="BK3" s="162">
        <f>+"Q3 "&amp;BK1</f>
        <v/>
      </c>
      <c r="BL3" s="162">
        <f>+"Q3 "&amp;BL1</f>
        <v/>
      </c>
      <c r="BM3" s="162">
        <f>+"Q4 "&amp;BM1</f>
        <v/>
      </c>
      <c r="BN3" s="162">
        <f>+"Q4 "&amp;BN1</f>
        <v/>
      </c>
      <c r="BO3" s="241">
        <f>+"Q4 "&amp;BO1</f>
        <v/>
      </c>
      <c r="BP3" s="162">
        <f>+"Q1 "&amp;BP1</f>
        <v/>
      </c>
      <c r="BQ3" s="162">
        <f>+"Q1 "&amp;BQ1</f>
        <v/>
      </c>
      <c r="BR3" s="162">
        <f>+"Q1 "&amp;BR1</f>
        <v/>
      </c>
      <c r="BS3" s="162">
        <f>+"Q2 "&amp;BS1</f>
        <v/>
      </c>
      <c r="BT3" s="162">
        <f>+"Q2 "&amp;BT1</f>
        <v/>
      </c>
      <c r="BU3" s="162">
        <f>+"Q2 "&amp;BU1</f>
        <v/>
      </c>
      <c r="BV3" s="162">
        <f>+"Q3 "&amp;BV1</f>
        <v/>
      </c>
      <c r="BW3" s="162">
        <f>+"Q3 "&amp;BW1</f>
        <v/>
      </c>
      <c r="BX3" s="162">
        <f>+"Q3 "&amp;BX1</f>
        <v/>
      </c>
      <c r="BY3" s="162">
        <f>+"Q4 "&amp;BY1</f>
        <v/>
      </c>
      <c r="BZ3" s="162">
        <f>+"Q4 "&amp;BZ1</f>
        <v/>
      </c>
      <c r="CA3" s="241">
        <f>+"Q4 "&amp;CA1</f>
        <v/>
      </c>
      <c r="CB3" s="162">
        <f>+"Q1 "&amp;CB1</f>
        <v/>
      </c>
      <c r="CC3" s="162">
        <f>+"Q1 "&amp;CC1</f>
        <v/>
      </c>
      <c r="CD3" s="162">
        <f>+"Q1 "&amp;CD1</f>
        <v/>
      </c>
      <c r="CE3" s="162">
        <f>+"Q2 "&amp;CE1</f>
        <v/>
      </c>
      <c r="CF3" s="162">
        <f>+"Q2 "&amp;CF1</f>
        <v/>
      </c>
      <c r="CG3" s="162">
        <f>+"Q2 "&amp;CG1</f>
        <v/>
      </c>
      <c r="CH3" s="162">
        <f>+"Q3 "&amp;CH1</f>
        <v/>
      </c>
      <c r="CI3" s="162">
        <f>+"Q3 "&amp;CI1</f>
        <v/>
      </c>
      <c r="CJ3" s="162">
        <f>+"Q3 "&amp;CJ1</f>
        <v/>
      </c>
      <c r="CK3" s="162">
        <f>+"Q4 "&amp;CK1</f>
        <v/>
      </c>
      <c r="CL3" s="162">
        <f>+"Q4 "&amp;CL1</f>
        <v/>
      </c>
      <c r="CM3" s="241">
        <f>+"Q4 "&amp;CM1</f>
        <v/>
      </c>
      <c r="CN3" s="162">
        <f>+"Q1 "&amp;CN1</f>
        <v/>
      </c>
      <c r="CO3" s="162">
        <f>+"Q1 "&amp;CO1</f>
        <v/>
      </c>
      <c r="CP3" s="162">
        <f>+"Q1 "&amp;CP1</f>
        <v/>
      </c>
      <c r="CQ3" s="162">
        <f>+"Q2 "&amp;CQ1</f>
        <v/>
      </c>
      <c r="CR3" s="162">
        <f>+"Q2 "&amp;CR1</f>
        <v/>
      </c>
      <c r="CS3" s="162">
        <f>+"Q2 "&amp;CS1</f>
        <v/>
      </c>
      <c r="CT3" s="162">
        <f>+"Q3 "&amp;CT1</f>
        <v/>
      </c>
      <c r="CU3" s="162">
        <f>+"Q3 "&amp;CU1</f>
        <v/>
      </c>
      <c r="CV3" s="162">
        <f>+"Q3 "&amp;CV1</f>
        <v/>
      </c>
      <c r="CW3" s="162">
        <f>+"Q4 "&amp;CW1</f>
        <v/>
      </c>
      <c r="CX3" s="162">
        <f>+"Q4 "&amp;CX1</f>
        <v/>
      </c>
      <c r="CY3" s="241">
        <f>+"Q4 "&amp;CY1</f>
        <v/>
      </c>
      <c r="CZ3" s="162">
        <f>+"Q1 "&amp;CZ1</f>
        <v/>
      </c>
      <c r="DA3" s="162">
        <f>+"Q1 "&amp;DA1</f>
        <v/>
      </c>
      <c r="DB3" s="162">
        <f>+"Q1 "&amp;DB1</f>
        <v/>
      </c>
      <c r="DC3" s="162">
        <f>+"Q2 "&amp;DC1</f>
        <v/>
      </c>
      <c r="DD3" s="162">
        <f>+"Q2 "&amp;DD1</f>
        <v/>
      </c>
      <c r="DE3" s="162">
        <f>+"Q2 "&amp;DE1</f>
        <v/>
      </c>
      <c r="DF3" s="162">
        <f>+"Q3 "&amp;DF1</f>
        <v/>
      </c>
      <c r="DG3" s="162">
        <f>+"Q3 "&amp;DG1</f>
        <v/>
      </c>
      <c r="DH3" s="162">
        <f>+"Q3 "&amp;DH1</f>
        <v/>
      </c>
      <c r="DI3" s="162">
        <f>+"Q4 "&amp;DI1</f>
        <v/>
      </c>
      <c r="DJ3" s="162">
        <f>+"Q4 "&amp;DJ1</f>
        <v/>
      </c>
      <c r="DK3" s="162">
        <f>+"Q4 "&amp;DK1</f>
        <v/>
      </c>
      <c r="DL3" s="29" t="n"/>
      <c r="DM3" s="29" t="n"/>
      <c r="DN3" s="29" t="n"/>
    </row>
    <row r="4" ht="15.75" customHeight="1" s="627" thickBot="1">
      <c r="A4" s="30" t="n"/>
      <c r="B4" s="31" t="n"/>
      <c r="C4" s="31" t="n"/>
      <c r="D4" s="31" t="n"/>
      <c r="E4" s="31" t="n"/>
      <c r="F4" s="31" t="n"/>
      <c r="G4" s="31" t="n"/>
      <c r="H4" s="463" t="n">
        <v>45473</v>
      </c>
      <c r="I4" s="463">
        <f>+EOMONTH(H4,1)</f>
        <v/>
      </c>
      <c r="J4" s="463">
        <f>+EOMONTH(I4,1)</f>
        <v/>
      </c>
      <c r="K4" s="32">
        <f>+EOMONTH(J4,1)</f>
        <v/>
      </c>
      <c r="L4" s="32">
        <f>+EOMONTH(K4,1)</f>
        <v/>
      </c>
      <c r="M4" s="32">
        <f>+EOMONTH(L4,1)</f>
        <v/>
      </c>
      <c r="N4" s="32">
        <f>+EOMONTH(M4,1)</f>
        <v/>
      </c>
      <c r="O4" s="32">
        <f>+EOMONTH(N4,1)</f>
        <v/>
      </c>
      <c r="P4" s="32">
        <f>+EOMONTH(O4,1)</f>
        <v/>
      </c>
      <c r="Q4" s="242">
        <f>+EOMONTH(P4,1)</f>
        <v/>
      </c>
      <c r="R4" s="32">
        <f>+EOMONTH(Q4,1)</f>
        <v/>
      </c>
      <c r="S4" s="32">
        <f>+EOMONTH(R4,1)</f>
        <v/>
      </c>
      <c r="T4" s="160">
        <f>+EOMONTH(S4,1)</f>
        <v/>
      </c>
      <c r="U4" s="32">
        <f>+EOMONTH(T4,1)</f>
        <v/>
      </c>
      <c r="V4" s="32">
        <f>+EOMONTH(U4,1)</f>
        <v/>
      </c>
      <c r="W4" s="32">
        <f>+EOMONTH(V4,1)</f>
        <v/>
      </c>
      <c r="X4" s="32">
        <f>+EOMONTH(W4,1)</f>
        <v/>
      </c>
      <c r="Y4" s="32">
        <f>+EOMONTH(X4,1)</f>
        <v/>
      </c>
      <c r="Z4" s="32">
        <f>+EOMONTH(Y4,1)</f>
        <v/>
      </c>
      <c r="AA4" s="32">
        <f>+EOMONTH(Z4,1)</f>
        <v/>
      </c>
      <c r="AB4" s="32">
        <f>+EOMONTH(AA4,1)</f>
        <v/>
      </c>
      <c r="AC4" s="32">
        <f>+EOMONTH(AB4,1)</f>
        <v/>
      </c>
      <c r="AD4" s="32">
        <f>+EOMONTH(AC4,1)</f>
        <v/>
      </c>
      <c r="AE4" s="32">
        <f>+EOMONTH(AD4,1)</f>
        <v/>
      </c>
      <c r="AF4" s="32">
        <f>+EOMONTH(AE4,1)</f>
        <v/>
      </c>
      <c r="AG4" s="32">
        <f>+EOMONTH(AF4,1)</f>
        <v/>
      </c>
      <c r="AH4" s="32">
        <f>+EOMONTH(AG4,1)</f>
        <v/>
      </c>
      <c r="AI4" s="32">
        <f>+EOMONTH(AH4,1)</f>
        <v/>
      </c>
      <c r="AJ4" s="242">
        <f>+EOMONTH(AI4,1)</f>
        <v/>
      </c>
      <c r="AK4" s="32">
        <f>+EOMONTH(AJ4,1)</f>
        <v/>
      </c>
      <c r="AL4" s="32">
        <f>+EOMONTH(AK4,1)</f>
        <v/>
      </c>
      <c r="AM4" s="429">
        <f>+EOMONTH(AL4,1)</f>
        <v/>
      </c>
      <c r="AN4" s="32">
        <f>+EOMONTH(AM4,1)</f>
        <v/>
      </c>
      <c r="AO4" s="32">
        <f>+EOMONTH(AN4,1)</f>
        <v/>
      </c>
      <c r="AP4" s="52">
        <f>+EOMONTH(AO4,1)</f>
        <v/>
      </c>
      <c r="AQ4" s="242">
        <f>+EOMONTH(AP4,1)</f>
        <v/>
      </c>
      <c r="AR4" s="32">
        <f>+EOMONTH(AQ4,1)</f>
        <v/>
      </c>
      <c r="AS4" s="32">
        <f>+EOMONTH(AR4,1)</f>
        <v/>
      </c>
      <c r="AT4" s="32">
        <f>+EOMONTH(AS4,1)</f>
        <v/>
      </c>
      <c r="AU4" s="32">
        <f>+EOMONTH(AT4,1)</f>
        <v/>
      </c>
      <c r="AV4" s="32">
        <f>+EOMONTH(AU4,1)</f>
        <v/>
      </c>
      <c r="AW4" s="32">
        <f>+EOMONTH(AV4,1)</f>
        <v/>
      </c>
      <c r="AX4" s="32">
        <f>+EOMONTH(AW4,1)</f>
        <v/>
      </c>
      <c r="AY4" s="32">
        <f>+EOMONTH(AX4,1)</f>
        <v/>
      </c>
      <c r="AZ4" s="32">
        <f>+EOMONTH(AY4,1)</f>
        <v/>
      </c>
      <c r="BA4" s="32">
        <f>+EOMONTH(AZ4,1)</f>
        <v/>
      </c>
      <c r="BB4" s="32">
        <f>+EOMONTH(BA4,1)</f>
        <v/>
      </c>
      <c r="BC4" s="242">
        <f>+EOMONTH(BB4,1)</f>
        <v/>
      </c>
      <c r="BD4" s="32">
        <f>+EOMONTH(BC4,1)</f>
        <v/>
      </c>
      <c r="BE4" s="32">
        <f>+EOMONTH(BD4,1)</f>
        <v/>
      </c>
      <c r="BF4" s="32">
        <f>+EOMONTH(BE4,1)</f>
        <v/>
      </c>
      <c r="BG4" s="32">
        <f>+EOMONTH(BF4,1)</f>
        <v/>
      </c>
      <c r="BH4" s="32">
        <f>+EOMONTH(BG4,1)</f>
        <v/>
      </c>
      <c r="BI4" s="32">
        <f>+EOMONTH(BH4,1)</f>
        <v/>
      </c>
      <c r="BJ4" s="32">
        <f>+EOMONTH(BI4,1)</f>
        <v/>
      </c>
      <c r="BK4" s="32">
        <f>+EOMONTH(BJ4,1)</f>
        <v/>
      </c>
      <c r="BL4" s="32">
        <f>+EOMONTH(BK4,1)</f>
        <v/>
      </c>
      <c r="BM4" s="32">
        <f>+EOMONTH(BL4,1)</f>
        <v/>
      </c>
      <c r="BN4" s="32">
        <f>+EOMONTH(BM4,1)</f>
        <v/>
      </c>
      <c r="BO4" s="242">
        <f>+EOMONTH(BN4,1)</f>
        <v/>
      </c>
      <c r="BP4" s="32">
        <f>+EOMONTH(BO4,1)</f>
        <v/>
      </c>
      <c r="BQ4" s="32">
        <f>+EOMONTH(BP4,1)</f>
        <v/>
      </c>
      <c r="BR4" s="32">
        <f>+EOMONTH(BQ4,1)</f>
        <v/>
      </c>
      <c r="BS4" s="32">
        <f>+EOMONTH(BR4,1)</f>
        <v/>
      </c>
      <c r="BT4" s="32">
        <f>+EOMONTH(BS4,1)</f>
        <v/>
      </c>
      <c r="BU4" s="32">
        <f>+EOMONTH(BT4,1)</f>
        <v/>
      </c>
      <c r="BV4" s="32">
        <f>+EOMONTH(BU4,1)</f>
        <v/>
      </c>
      <c r="BW4" s="32">
        <f>+EOMONTH(BV4,1)</f>
        <v/>
      </c>
      <c r="BX4" s="32">
        <f>+EOMONTH(BW4,1)</f>
        <v/>
      </c>
      <c r="BY4" s="32">
        <f>+EOMONTH(BX4,1)</f>
        <v/>
      </c>
      <c r="BZ4" s="32">
        <f>+EOMONTH(BY4,1)</f>
        <v/>
      </c>
      <c r="CA4" s="242">
        <f>+EOMONTH(BZ4,1)</f>
        <v/>
      </c>
      <c r="CB4" s="32">
        <f>+EOMONTH(CA4,1)</f>
        <v/>
      </c>
      <c r="CC4" s="32">
        <f>+EOMONTH(CB4,1)</f>
        <v/>
      </c>
      <c r="CD4" s="32">
        <f>+EOMONTH(CC4,1)</f>
        <v/>
      </c>
      <c r="CE4" s="32">
        <f>+EOMONTH(CD4,1)</f>
        <v/>
      </c>
      <c r="CF4" s="32">
        <f>+EOMONTH(CE4,1)</f>
        <v/>
      </c>
      <c r="CG4" s="32">
        <f>+EOMONTH(CF4,1)</f>
        <v/>
      </c>
      <c r="CH4" s="32">
        <f>+EOMONTH(CG4,1)</f>
        <v/>
      </c>
      <c r="CI4" s="32">
        <f>+EOMONTH(CH4,1)</f>
        <v/>
      </c>
      <c r="CJ4" s="32">
        <f>+EOMONTH(CI4,1)</f>
        <v/>
      </c>
      <c r="CK4" s="32">
        <f>+EOMONTH(CJ4,1)</f>
        <v/>
      </c>
      <c r="CL4" s="32">
        <f>+EOMONTH(CK4,1)</f>
        <v/>
      </c>
      <c r="CM4" s="242">
        <f>+EOMONTH(CL4,1)</f>
        <v/>
      </c>
      <c r="CN4" s="32">
        <f>+EOMONTH(CM4,1)</f>
        <v/>
      </c>
      <c r="CO4" s="32">
        <f>+EOMONTH(CN4,1)</f>
        <v/>
      </c>
      <c r="CP4" s="32">
        <f>+EOMONTH(CO4,1)</f>
        <v/>
      </c>
      <c r="CQ4" s="32">
        <f>+EOMONTH(CP4,1)</f>
        <v/>
      </c>
      <c r="CR4" s="32">
        <f>+EOMONTH(CQ4,1)</f>
        <v/>
      </c>
      <c r="CS4" s="32">
        <f>+EOMONTH(CR4,1)</f>
        <v/>
      </c>
      <c r="CT4" s="32">
        <f>+EOMONTH(CS4,1)</f>
        <v/>
      </c>
      <c r="CU4" s="32">
        <f>+EOMONTH(CT4,1)</f>
        <v/>
      </c>
      <c r="CV4" s="32">
        <f>+EOMONTH(CU4,1)</f>
        <v/>
      </c>
      <c r="CW4" s="32">
        <f>+EOMONTH(CV4,1)</f>
        <v/>
      </c>
      <c r="CX4" s="32">
        <f>+EOMONTH(CW4,1)</f>
        <v/>
      </c>
      <c r="CY4" s="242">
        <f>+EOMONTH(CX4,1)</f>
        <v/>
      </c>
      <c r="CZ4" s="32">
        <f>+EOMONTH(CY4,1)</f>
        <v/>
      </c>
      <c r="DA4" s="32">
        <f>+EOMONTH(CZ4,1)</f>
        <v/>
      </c>
      <c r="DB4" s="32">
        <f>+EOMONTH(DA4,1)</f>
        <v/>
      </c>
      <c r="DC4" s="32">
        <f>+EOMONTH(DB4,1)</f>
        <v/>
      </c>
      <c r="DD4" s="32">
        <f>+EOMONTH(DC4,1)</f>
        <v/>
      </c>
      <c r="DE4" s="32">
        <f>+EOMONTH(DD4,1)</f>
        <v/>
      </c>
      <c r="DF4" s="32">
        <f>+EOMONTH(DE4,1)</f>
        <v/>
      </c>
      <c r="DG4" s="32">
        <f>+EOMONTH(DF4,1)</f>
        <v/>
      </c>
      <c r="DH4" s="32">
        <f>+EOMONTH(DG4,1)</f>
        <v/>
      </c>
      <c r="DI4" s="32">
        <f>+EOMONTH(DH4,1)</f>
        <v/>
      </c>
      <c r="DJ4" s="32">
        <f>+EOMONTH(DI4,1)</f>
        <v/>
      </c>
      <c r="DK4" s="32">
        <f>+EOMONTH(DJ4,1)</f>
        <v/>
      </c>
      <c r="DL4" s="32" t="n"/>
      <c r="DM4" s="32" t="n"/>
      <c r="DN4" s="52" t="n"/>
    </row>
    <row r="6">
      <c r="G6" s="165" t="n">
        <v>45443</v>
      </c>
      <c r="H6" s="165" t="n">
        <v>45473</v>
      </c>
      <c r="I6" s="165">
        <f>+EOMONTH(H6,1)</f>
        <v/>
      </c>
      <c r="J6" s="165">
        <f>+EOMONTH(I6,1)</f>
        <v/>
      </c>
      <c r="K6" s="165">
        <f>+EOMONTH(J6,1)</f>
        <v/>
      </c>
      <c r="L6" s="165">
        <f>+EOMONTH(K6,1)</f>
        <v/>
      </c>
      <c r="M6" s="165">
        <f>+EOMONTH(L6,1)</f>
        <v/>
      </c>
      <c r="N6" s="165">
        <f>+EOMONTH(M6,1)</f>
        <v/>
      </c>
      <c r="O6" s="165">
        <f>+EOMONTH(N6,1)</f>
        <v/>
      </c>
      <c r="P6" s="165">
        <f>+EOMONTH(O6,1)</f>
        <v/>
      </c>
      <c r="Q6" s="165">
        <f>+EOMONTH(P6,1)</f>
        <v/>
      </c>
      <c r="R6" s="165">
        <f>+EOMONTH(Q6,1)</f>
        <v/>
      </c>
      <c r="S6" s="165">
        <f>+EOMONTH(R6,1)</f>
        <v/>
      </c>
      <c r="T6" s="165">
        <f>+EOMONTH(S6,1)</f>
        <v/>
      </c>
      <c r="U6" s="165">
        <f>+EOMONTH(T6,1)</f>
        <v/>
      </c>
      <c r="V6" s="165">
        <f>+EOMONTH(U6,1)</f>
        <v/>
      </c>
      <c r="W6" s="165">
        <f>+EOMONTH(V6,1)</f>
        <v/>
      </c>
      <c r="X6" s="165">
        <f>+EOMONTH(W6,1)</f>
        <v/>
      </c>
      <c r="Y6" s="165">
        <f>+EOMONTH(X6,1)</f>
        <v/>
      </c>
      <c r="Z6" s="165">
        <f>+EOMONTH(Y6,1)</f>
        <v/>
      </c>
      <c r="AA6" s="165">
        <f>+EOMONTH(Z6,1)</f>
        <v/>
      </c>
      <c r="AB6" s="165">
        <f>+EOMONTH(AA6,1)</f>
        <v/>
      </c>
      <c r="AC6" s="165">
        <f>+EOMONTH(AB6,1)</f>
        <v/>
      </c>
      <c r="AD6" s="165">
        <f>+EOMONTH(AC6,1)</f>
        <v/>
      </c>
      <c r="AE6" s="165">
        <f>+EOMONTH(AD6,1)</f>
        <v/>
      </c>
      <c r="AF6" s="165">
        <f>+EOMONTH(AE6,1)</f>
        <v/>
      </c>
      <c r="AG6" s="165">
        <f>+EOMONTH(AF6,1)</f>
        <v/>
      </c>
      <c r="AH6" s="165">
        <f>+EOMONTH(AG6,1)</f>
        <v/>
      </c>
      <c r="AI6" s="165">
        <f>+EOMONTH(AH6,1)</f>
        <v/>
      </c>
      <c r="AJ6" s="165">
        <f>+EOMONTH(AI6,1)</f>
        <v/>
      </c>
      <c r="AK6" s="165">
        <f>+EOMONTH(AJ6,1)</f>
        <v/>
      </c>
      <c r="AL6" s="165">
        <f>+EOMONTH(AK6,1)</f>
        <v/>
      </c>
      <c r="AM6" s="165">
        <f>+EOMONTH(AL6,1)</f>
        <v/>
      </c>
      <c r="AN6" s="165">
        <f>+EOMONTH(AM6,1)</f>
        <v/>
      </c>
      <c r="AO6" s="165">
        <f>+EOMONTH(AN6,1)</f>
        <v/>
      </c>
      <c r="AP6" s="165">
        <f>+EOMONTH(AO6,1)</f>
        <v/>
      </c>
      <c r="AQ6" s="165">
        <f>+EOMONTH(AP6,1)</f>
        <v/>
      </c>
      <c r="AR6" s="165">
        <f>+EOMONTH(AQ6,1)</f>
        <v/>
      </c>
      <c r="AS6" s="165">
        <f>+EOMONTH(AR6,1)</f>
        <v/>
      </c>
      <c r="AT6" s="165">
        <f>+EOMONTH(AS6,1)</f>
        <v/>
      </c>
      <c r="AU6" s="165">
        <f>+EOMONTH(AT6,1)</f>
        <v/>
      </c>
      <c r="AV6" s="165">
        <f>+EOMONTH(AU6,1)</f>
        <v/>
      </c>
      <c r="AW6" s="165">
        <f>+EOMONTH(AV6,1)</f>
        <v/>
      </c>
      <c r="AX6" s="165">
        <f>+EOMONTH(AW6,1)</f>
        <v/>
      </c>
      <c r="AY6" s="165">
        <f>+EOMONTH(AX6,1)</f>
        <v/>
      </c>
      <c r="AZ6" s="165">
        <f>+EOMONTH(AY6,1)</f>
        <v/>
      </c>
      <c r="BA6" s="165">
        <f>+EOMONTH(AZ6,1)</f>
        <v/>
      </c>
      <c r="BB6" s="165">
        <f>+EOMONTH(BA6,1)</f>
        <v/>
      </c>
      <c r="BC6" s="165">
        <f>+EOMONTH(BB6,1)</f>
        <v/>
      </c>
      <c r="BD6" s="165">
        <f>+EOMONTH(BC6,1)</f>
        <v/>
      </c>
      <c r="BE6" s="165">
        <f>+EOMONTH(BD6,1)</f>
        <v/>
      </c>
      <c r="BF6" s="165">
        <f>+EOMONTH(BE6,1)</f>
        <v/>
      </c>
      <c r="BG6" s="165">
        <f>+EOMONTH(BF6,1)</f>
        <v/>
      </c>
      <c r="BH6" s="165">
        <f>+EOMONTH(BG6,1)</f>
        <v/>
      </c>
      <c r="BI6" s="165">
        <f>+EOMONTH(BH6,1)</f>
        <v/>
      </c>
      <c r="BJ6" s="165">
        <f>+EOMONTH(BI6,1)</f>
        <v/>
      </c>
      <c r="BK6" s="165">
        <f>+EOMONTH(BJ6,1)</f>
        <v/>
      </c>
      <c r="BL6" s="165">
        <f>+EOMONTH(BK6,1)</f>
        <v/>
      </c>
      <c r="BM6" s="165">
        <f>+EOMONTH(BL6,1)</f>
        <v/>
      </c>
      <c r="BN6" s="165">
        <f>+EOMONTH(BM6,1)</f>
        <v/>
      </c>
      <c r="BO6" s="165">
        <f>+EOMONTH(BN6,1)</f>
        <v/>
      </c>
      <c r="BP6" s="165">
        <f>+EOMONTH(BO6,1)</f>
        <v/>
      </c>
      <c r="BQ6" s="165">
        <f>+EOMONTH(BP6,1)</f>
        <v/>
      </c>
      <c r="BR6" s="165">
        <f>+EOMONTH(BQ6,1)</f>
        <v/>
      </c>
      <c r="BS6" s="165">
        <f>+EOMONTH(BR6,1)</f>
        <v/>
      </c>
      <c r="BT6" s="165">
        <f>+EOMONTH(BS6,1)</f>
        <v/>
      </c>
      <c r="BU6" s="165">
        <f>+EOMONTH(BT6,1)</f>
        <v/>
      </c>
      <c r="BV6" s="165">
        <f>+EOMONTH(BU6,1)</f>
        <v/>
      </c>
      <c r="BW6" s="165">
        <f>+EOMONTH(BV6,1)</f>
        <v/>
      </c>
      <c r="BX6" s="165">
        <f>+EOMONTH(BW6,1)</f>
        <v/>
      </c>
      <c r="BY6" s="165">
        <f>+EOMONTH(BX6,1)</f>
        <v/>
      </c>
      <c r="BZ6" s="165">
        <f>+EOMONTH(BY6,1)</f>
        <v/>
      </c>
      <c r="CA6" s="165">
        <f>+EOMONTH(BZ6,1)</f>
        <v/>
      </c>
      <c r="CB6" s="165">
        <f>+EOMONTH(CA6,1)</f>
        <v/>
      </c>
      <c r="CC6" s="165">
        <f>+EOMONTH(CB6,1)</f>
        <v/>
      </c>
      <c r="CD6" s="165">
        <f>+EOMONTH(CC6,1)</f>
        <v/>
      </c>
      <c r="CE6" s="165">
        <f>+EOMONTH(CD6,1)</f>
        <v/>
      </c>
      <c r="CF6" s="165">
        <f>+EOMONTH(CE6,1)</f>
        <v/>
      </c>
      <c r="CG6" s="165">
        <f>+EOMONTH(CF6,1)</f>
        <v/>
      </c>
      <c r="CH6" s="165">
        <f>+EOMONTH(CG6,1)</f>
        <v/>
      </c>
      <c r="CI6" s="165">
        <f>+EOMONTH(CH6,1)</f>
        <v/>
      </c>
      <c r="CJ6" s="165">
        <f>+EOMONTH(CI6,1)</f>
        <v/>
      </c>
      <c r="CK6" s="165">
        <f>+EOMONTH(CJ6,1)</f>
        <v/>
      </c>
      <c r="CL6" s="165">
        <f>+EOMONTH(CK6,1)</f>
        <v/>
      </c>
      <c r="CM6" s="165">
        <f>+EOMONTH(CL6,1)</f>
        <v/>
      </c>
      <c r="CN6" s="165">
        <f>+EOMONTH(CM6,1)</f>
        <v/>
      </c>
      <c r="CO6" s="165">
        <f>+EOMONTH(CN6,1)</f>
        <v/>
      </c>
      <c r="CP6" s="165">
        <f>+EOMONTH(CO6,1)</f>
        <v/>
      </c>
      <c r="CQ6" s="165">
        <f>+EOMONTH(CP6,1)</f>
        <v/>
      </c>
      <c r="CR6" s="165">
        <f>+EOMONTH(CQ6,1)</f>
        <v/>
      </c>
      <c r="CS6" s="165">
        <f>+EOMONTH(CR6,1)</f>
        <v/>
      </c>
      <c r="CT6" s="165">
        <f>+EOMONTH(CS6,1)</f>
        <v/>
      </c>
      <c r="CU6" s="165">
        <f>+EOMONTH(CT6,1)</f>
        <v/>
      </c>
      <c r="CV6" s="165">
        <f>+EOMONTH(CU6,1)</f>
        <v/>
      </c>
      <c r="CW6" s="165">
        <f>+EOMONTH(CV6,1)</f>
        <v/>
      </c>
      <c r="CX6" s="165">
        <f>+EOMONTH(CW6,1)</f>
        <v/>
      </c>
      <c r="CY6" s="165">
        <f>+EOMONTH(CX6,1)</f>
        <v/>
      </c>
      <c r="CZ6" s="165">
        <f>+EOMONTH(CY6,1)</f>
        <v/>
      </c>
      <c r="DA6" s="165">
        <f>+EOMONTH(CZ6,1)</f>
        <v/>
      </c>
      <c r="DB6" s="165">
        <f>+EOMONTH(DA6,1)</f>
        <v/>
      </c>
      <c r="DC6" s="165">
        <f>+EOMONTH(DB6,1)</f>
        <v/>
      </c>
      <c r="DD6" s="165">
        <f>+EOMONTH(DC6,1)</f>
        <v/>
      </c>
      <c r="DE6" s="165">
        <f>+EOMONTH(DD6,1)</f>
        <v/>
      </c>
      <c r="DF6" s="165">
        <f>+EOMONTH(DE6,1)</f>
        <v/>
      </c>
      <c r="DG6" s="165">
        <f>+EOMONTH(DF6,1)</f>
        <v/>
      </c>
      <c r="DH6" s="165">
        <f>+EOMONTH(DG6,1)</f>
        <v/>
      </c>
      <c r="DI6" s="165">
        <f>+EOMONTH(DH6,1)</f>
        <v/>
      </c>
      <c r="DJ6" s="165">
        <f>+EOMONTH(DI6,1)</f>
        <v/>
      </c>
      <c r="DK6" s="165">
        <f>+EOMONTH(DJ6,1)</f>
        <v/>
      </c>
      <c r="DL6" s="165">
        <f>+EOMONTH(DK6,1)</f>
        <v/>
      </c>
      <c r="DM6" s="165">
        <f>+EOMONTH(DL6,1)</f>
        <v/>
      </c>
      <c r="DN6" s="165">
        <f>+EOMONTH(DM6,1)</f>
        <v/>
      </c>
      <c r="DO6" s="165">
        <f>+EOMONTH(DN6,1)</f>
        <v/>
      </c>
      <c r="DP6" s="165">
        <f>+EOMONTH(DO6,1)</f>
        <v/>
      </c>
      <c r="DQ6" s="165">
        <f>+EOMONTH(DP6,1)</f>
        <v/>
      </c>
      <c r="DR6" s="165">
        <f>+EOMONTH(DQ6,1)</f>
        <v/>
      </c>
      <c r="DS6" s="165">
        <f>+EOMONTH(DR6,1)</f>
        <v/>
      </c>
      <c r="DT6" s="165">
        <f>+EOMONTH(DS6,1)</f>
        <v/>
      </c>
      <c r="DU6" s="165">
        <f>+EOMONTH(DT6,1)</f>
        <v/>
      </c>
      <c r="DV6" s="165">
        <f>+EOMONTH(DU6,1)</f>
        <v/>
      </c>
      <c r="DW6" s="165">
        <f>+EOMONTH(DV6,1)</f>
        <v/>
      </c>
      <c r="DX6" s="165">
        <f>+EOMONTH(DW6,1)</f>
        <v/>
      </c>
      <c r="DY6" s="165">
        <f>+EOMONTH(DX6,1)</f>
        <v/>
      </c>
      <c r="DZ6" s="165">
        <f>+EOMONTH(DY6,1)</f>
        <v/>
      </c>
      <c r="EA6" s="165">
        <f>+EOMONTH(DZ6,1)</f>
        <v/>
      </c>
      <c r="EB6" s="165">
        <f>+EOMONTH(EA6,1)</f>
        <v/>
      </c>
      <c r="EC6" s="165">
        <f>+EOMONTH(EB6,1)</f>
        <v/>
      </c>
      <c r="ED6" s="165">
        <f>+EOMONTH(EC6,1)</f>
        <v/>
      </c>
      <c r="EE6" s="165">
        <f>+EOMONTH(ED6,1)</f>
        <v/>
      </c>
      <c r="EF6" s="165">
        <f>+EOMONTH(EE6,1)</f>
        <v/>
      </c>
      <c r="EG6" s="165">
        <f>+EOMONTH(EF6,1)</f>
        <v/>
      </c>
      <c r="EH6" s="165">
        <f>+EOMONTH(EG6,1)</f>
        <v/>
      </c>
      <c r="EI6" s="165">
        <f>+EOMONTH(EH6,1)</f>
        <v/>
      </c>
      <c r="EJ6" s="165">
        <f>+EOMONTH(EI6,1)</f>
        <v/>
      </c>
      <c r="EK6" s="165">
        <f>+EOMONTH(EJ6,1)</f>
        <v/>
      </c>
      <c r="EL6" s="165">
        <f>+EOMONTH(EK6,1)</f>
        <v/>
      </c>
      <c r="EM6" s="165">
        <f>+EOMONTH(EL6,1)</f>
        <v/>
      </c>
      <c r="EN6" s="165">
        <f>+EOMONTH(EM6,1)</f>
        <v/>
      </c>
      <c r="EO6" s="165">
        <f>+EOMONTH(EN6,1)</f>
        <v/>
      </c>
      <c r="EP6" s="165">
        <f>+EOMONTH(EO6,1)</f>
        <v/>
      </c>
      <c r="EQ6" s="165">
        <f>+EOMONTH(EP6,1)</f>
        <v/>
      </c>
      <c r="ER6" s="165">
        <f>+EOMONTH(EQ6,1)</f>
        <v/>
      </c>
      <c r="ES6" s="165">
        <f>+EOMONTH(ER6,1)</f>
        <v/>
      </c>
      <c r="ET6" s="165">
        <f>+EOMONTH(ES6,1)</f>
        <v/>
      </c>
      <c r="EU6" s="165">
        <f>+EOMONTH(ET6,1)</f>
        <v/>
      </c>
      <c r="EV6" s="165">
        <f>+EOMONTH(EU6,1)</f>
        <v/>
      </c>
      <c r="EW6" s="165">
        <f>+EOMONTH(EV6,1)</f>
        <v/>
      </c>
      <c r="EX6" s="165">
        <f>+EOMONTH(EW6,1)</f>
        <v/>
      </c>
      <c r="EY6" s="165">
        <f>+EOMONTH(EX6,1)</f>
        <v/>
      </c>
      <c r="EZ6" s="165">
        <f>+EOMONTH(EY6,1)</f>
        <v/>
      </c>
      <c r="FA6" s="165">
        <f>+EOMONTH(EZ6,1)</f>
        <v/>
      </c>
      <c r="FB6" s="165">
        <f>+EOMONTH(FA6,1)</f>
        <v/>
      </c>
      <c r="FC6" s="165" t="n"/>
    </row>
    <row r="7">
      <c r="B7" t="inlineStr">
        <is>
          <t>Name</t>
        </is>
      </c>
      <c r="C7" t="inlineStr">
        <is>
          <t>Position</t>
        </is>
      </c>
      <c r="D7" t="inlineStr">
        <is>
          <t>Hourly Rate</t>
        </is>
      </c>
      <c r="E7" t="inlineStr">
        <is>
          <t>Avg. Hours/Month</t>
        </is>
      </c>
    </row>
    <row r="8">
      <c r="B8" t="inlineStr">
        <is>
          <t>Diamond Hurt</t>
        </is>
      </c>
      <c r="C8" t="inlineStr">
        <is>
          <t>Assistant</t>
        </is>
      </c>
      <c r="D8" t="n">
        <v>10</v>
      </c>
      <c r="E8" t="n">
        <v>15</v>
      </c>
      <c r="G8" s="1003" t="n">
        <v>0</v>
      </c>
      <c r="H8" s="1003" t="n">
        <v>765</v>
      </c>
      <c r="I8" s="1003" t="n">
        <v>394</v>
      </c>
      <c r="J8" s="1003" t="n">
        <v>630</v>
      </c>
      <c r="K8" s="1003" t="n">
        <v>210</v>
      </c>
      <c r="L8" s="1003" t="n">
        <v>475</v>
      </c>
      <c r="M8" s="1003" t="n">
        <v>432</v>
      </c>
      <c r="N8" s="1003">
        <f>8*75</f>
        <v/>
      </c>
      <c r="O8" s="1003" t="n">
        <v>50</v>
      </c>
      <c r="P8" s="1003" t="n">
        <v>45</v>
      </c>
      <c r="Q8" s="1003" t="n">
        <v>0</v>
      </c>
      <c r="R8" s="1003" t="n">
        <v>0</v>
      </c>
      <c r="S8" s="1003" t="n">
        <v>0</v>
      </c>
      <c r="T8" s="1003" t="n">
        <v>0</v>
      </c>
      <c r="U8" s="1003" t="n">
        <v>0</v>
      </c>
      <c r="V8" s="1003" t="n">
        <v>0</v>
      </c>
      <c r="W8" s="1003" t="n">
        <v>30</v>
      </c>
      <c r="X8" s="1003" t="n">
        <v>0</v>
      </c>
      <c r="Y8" s="694">
        <f>+$D$8*((IF(Y2="Trough",0.5*$E$8,IF(Y2="Shoulder",0.9*$E$8,1.1*$E$8))))</f>
        <v/>
      </c>
      <c r="Z8" s="694">
        <f>+$D$8*((IF(Z2="Trough",0.5*$E$8,IF(Z2="Shoulder",0.9*$E$8,1.1*$E$8))))</f>
        <v/>
      </c>
      <c r="AA8" s="694">
        <f>+$D$8*((IF(AA2="Trough",0.5*$E$8,IF(AA2="Shoulder",0.9*$E$8,1.1*$E$8))))</f>
        <v/>
      </c>
      <c r="AB8" s="694">
        <f>+$D$8*((IF(AB2="Trough",0.5*$E$8,IF(AB2="Shoulder",0.9*$E$8,1.1*$E$8))))</f>
        <v/>
      </c>
      <c r="AC8" s="694">
        <f>+$D$8*((IF(AC2="Trough",0.5*$E$8,IF(AC2="Shoulder",0.9*$E$8,1.1*$E$8))))</f>
        <v/>
      </c>
      <c r="AD8" s="694">
        <f>+$D$8*((IF(AD2="Trough",0.5*$E$8,IF(AD2="Shoulder",0.9*$E$8,1.1*$E$8))))</f>
        <v/>
      </c>
      <c r="AE8" s="694">
        <f>+$D$8*((IF(AE2="Trough",0.5*$E$8,IF(AE2="Shoulder",0.9*$E$8,1.1*$E$8))))</f>
        <v/>
      </c>
      <c r="AF8" s="694">
        <f>+$D$8*((IF(AF2="Trough",0.5*$E$8,IF(AF2="Shoulder",0.9*$E$8,1.1*$E$8))))</f>
        <v/>
      </c>
      <c r="AG8" s="694">
        <f>+$D$8*((IF(AG2="Trough",0.5*$E$8,IF(AG2="Shoulder",0.9*$E$8,1.1*$E$8))))</f>
        <v/>
      </c>
      <c r="AH8" s="694">
        <f>+$D$8*((IF(AH2="Trough",0.5*$E$8,IF(AH2="Shoulder",0.9*$E$8,1.1*$E$8))))</f>
        <v/>
      </c>
      <c r="AI8" s="694">
        <f>+$D$8*((IF(AI2="Trough",0.5*$E$8,IF(AI2="Shoulder",0.9*$E$8,1.1*$E$8))))</f>
        <v/>
      </c>
      <c r="AJ8" s="694">
        <f>+$D$8*((IF(AJ2="Trough",0.5*$E$8,IF(AJ2="Shoulder",0.9*$E$8,1.1*$E$8))))</f>
        <v/>
      </c>
      <c r="AK8" s="694">
        <f>+$D$8*((IF(AK2="Trough",0.5*$E$8,IF(AK2="Shoulder",0.9*$E$8,1.1*$E$8))))</f>
        <v/>
      </c>
      <c r="AL8" s="694">
        <f>+$D$8*((IF(AL2="Trough",0.5*$E$8,IF(AL2="Shoulder",0.9*$E$8,1.1*$E$8))))</f>
        <v/>
      </c>
      <c r="AM8" s="694">
        <f>+$D$8*((IF(AM2="Trough",0.5*$E$8,IF(AM2="Shoulder",0.9*$E$8,1.1*$E$8))))</f>
        <v/>
      </c>
      <c r="AN8" s="694">
        <f>+$D$8*((IF(AN2="Trough",0.5*$E$8,IF(AN2="Shoulder",0.9*$E$8,1.1*$E$8))))</f>
        <v/>
      </c>
      <c r="AO8" s="694">
        <f>+$D$8*((IF(AO2="Trough",0.5*$E$8,IF(AO2="Shoulder",0.9*$E$8,1.1*$E$8))))</f>
        <v/>
      </c>
      <c r="AP8" s="694">
        <f>+$D$8*((IF(AP2="Trough",0.5*$E$8,IF(AP2="Shoulder",0.9*$E$8,1.1*$E$8))))</f>
        <v/>
      </c>
      <c r="AQ8" s="694">
        <f>+$D$8*((IF(AQ2="Trough",0.5*$E$8,IF(AQ2="Shoulder",0.9*$E$8,1.1*$E$8))))</f>
        <v/>
      </c>
      <c r="AR8" s="694">
        <f>+$D$8*((IF(AR2="Trough",0.5*$E$8,IF(AR2="Shoulder",0.9*$E$8,1.1*$E$8))))</f>
        <v/>
      </c>
      <c r="AS8" s="694">
        <f>+$D$8*((IF(AS2="Trough",0.5*$E$8,IF(AS2="Shoulder",0.9*$E$8,1.1*$E$8))))</f>
        <v/>
      </c>
      <c r="AT8" s="694">
        <f>+$D$8*((IF(AT2="Trough",0.5*$E$8,IF(AT2="Shoulder",0.9*$E$8,1.1*$E$8))))</f>
        <v/>
      </c>
      <c r="AU8" s="694">
        <f>+$D$8*((IF(AU2="Trough",0.5*$E$8,IF(AU2="Shoulder",0.9*$E$8,1.1*$E$8))))</f>
        <v/>
      </c>
      <c r="AV8" s="694">
        <f>+$D$8*((IF(AV2="Trough",0.5*$E$8,IF(AV2="Shoulder",0.9*$E$8,1.1*$E$8))))</f>
        <v/>
      </c>
      <c r="AW8" s="694">
        <f>+$D$8*((IF(AW2="Trough",0.5*$E$8,IF(AW2="Shoulder",0.9*$E$8,1.1*$E$8))))</f>
        <v/>
      </c>
      <c r="AX8" s="694">
        <f>+$D$8*((IF(AX2="Trough",0.5*$E$8,IF(AX2="Shoulder",0.9*$E$8,1.1*$E$8))))</f>
        <v/>
      </c>
      <c r="AY8" s="694">
        <f>+$D$8*((IF(AY2="Trough",0.5*$E$8,IF(AY2="Shoulder",0.9*$E$8,1.1*$E$8))))</f>
        <v/>
      </c>
      <c r="AZ8" s="694">
        <f>+$D$8*((IF(AZ2="Trough",0.5*$E$8,IF(AZ2="Shoulder",0.9*$E$8,1.1*$E$8))))</f>
        <v/>
      </c>
      <c r="BA8" s="694">
        <f>+$D$8*((IF(BA2="Trough",0.5*$E$8,IF(BA2="Shoulder",0.9*$E$8,1.1*$E$8))))</f>
        <v/>
      </c>
      <c r="BB8" s="694">
        <f>+$D$8*((IF(BB2="Trough",0.5*$E$8,IF(BB2="Shoulder",0.9*$E$8,1.1*$E$8))))</f>
        <v/>
      </c>
      <c r="BC8" s="694">
        <f>+$D$8*((IF(BC2="Trough",0.5*$E$8,IF(BC2="Shoulder",0.9*$E$8,1.1*$E$8))))</f>
        <v/>
      </c>
      <c r="BD8" s="694">
        <f>+$D$8*((IF(BD2="Trough",0.5*$E$8,IF(BD2="Shoulder",0.9*$E$8,1.1*$E$8))))</f>
        <v/>
      </c>
      <c r="BE8" s="694">
        <f>+$D$8*((IF(BE2="Trough",0.5*$E$8,IF(BE2="Shoulder",0.9*$E$8,1.1*$E$8))))</f>
        <v/>
      </c>
      <c r="BF8" s="694">
        <f>+$D$8*((IF(BF2="Trough",0.5*$E$8,IF(BF2="Shoulder",0.9*$E$8,1.1*$E$8))))</f>
        <v/>
      </c>
      <c r="BG8" s="694">
        <f>+$D$8*((IF(BG2="Trough",0.5*$E$8,IF(BG2="Shoulder",0.9*$E$8,1.1*$E$8))))</f>
        <v/>
      </c>
      <c r="BH8" s="694">
        <f>+$D$8*((IF(BH2="Trough",0.5*$E$8,IF(BH2="Shoulder",0.9*$E$8,1.1*$E$8))))</f>
        <v/>
      </c>
      <c r="BI8" s="694">
        <f>+$D$8*((IF(BI2="Trough",0.5*$E$8,IF(BI2="Shoulder",0.9*$E$8,1.1*$E$8))))</f>
        <v/>
      </c>
      <c r="BJ8" s="694">
        <f>+$D$8*((IF(BJ2="Trough",0.5*$E$8,IF(BJ2="Shoulder",0.9*$E$8,1.1*$E$8))))</f>
        <v/>
      </c>
      <c r="BK8" s="694">
        <f>+$D$8*((IF(BK2="Trough",0.5*$E$8,IF(BK2="Shoulder",0.9*$E$8,1.1*$E$8))))</f>
        <v/>
      </c>
      <c r="BL8" s="694">
        <f>+$D$8*((IF(BL2="Trough",0.5*$E$8,IF(BL2="Shoulder",0.9*$E$8,1.1*$E$8))))</f>
        <v/>
      </c>
      <c r="BM8" s="694">
        <f>+$D$8*((IF(BM2="Trough",0.5*$E$8,IF(BM2="Shoulder",0.9*$E$8,1.1*$E$8))))</f>
        <v/>
      </c>
      <c r="BN8" s="694">
        <f>+$D$8*((IF(BN2="Trough",0.5*$E$8,IF(BN2="Shoulder",0.9*$E$8,1.1*$E$8))))</f>
        <v/>
      </c>
      <c r="BO8" s="694">
        <f>+$D$8*((IF(BO2="Trough",0.5*$E$8,IF(BO2="Shoulder",0.9*$E$8,1.1*$E$8))))</f>
        <v/>
      </c>
      <c r="BP8" s="694">
        <f>+$D$8*((IF(BP2="Trough",0.5*$E$8,IF(BP2="Shoulder",0.9*$E$8,1.1*$E$8))))</f>
        <v/>
      </c>
      <c r="BQ8" s="694">
        <f>+$D$8*((IF(BQ2="Trough",0.5*$E$8,IF(BQ2="Shoulder",0.9*$E$8,1.1*$E$8))))</f>
        <v/>
      </c>
      <c r="BR8" s="694">
        <f>+$D$8*((IF(BR2="Trough",0.5*$E$8,IF(BR2="Shoulder",0.9*$E$8,1.1*$E$8))))</f>
        <v/>
      </c>
      <c r="BS8" s="694">
        <f>+$D$8*((IF(BS2="Trough",0.5*$E$8,IF(BS2="Shoulder",0.9*$E$8,1.1*$E$8))))</f>
        <v/>
      </c>
      <c r="BT8" s="694">
        <f>+$D$8*((IF(BT2="Trough",0.5*$E$8,IF(BT2="Shoulder",0.9*$E$8,1.1*$E$8))))</f>
        <v/>
      </c>
      <c r="BU8" s="694">
        <f>+$D$8*((IF(BU2="Trough",0.5*$E$8,IF(BU2="Shoulder",0.9*$E$8,1.1*$E$8))))</f>
        <v/>
      </c>
      <c r="BV8" s="694">
        <f>+$D$8*((IF(BV2="Trough",0.5*$E$8,IF(BV2="Shoulder",0.9*$E$8,1.1*$E$8))))</f>
        <v/>
      </c>
      <c r="BW8" s="694">
        <f>+$D$8*((IF(BW2="Trough",0.5*$E$8,IF(BW2="Shoulder",0.9*$E$8,1.1*$E$8))))</f>
        <v/>
      </c>
      <c r="BX8" s="694">
        <f>+$D$8*((IF(BX2="Trough",0.5*$E$8,IF(BX2="Shoulder",0.9*$E$8,1.1*$E$8))))</f>
        <v/>
      </c>
      <c r="BY8" s="694">
        <f>+$D$8*((IF(BY2="Trough",0.5*$E$8,IF(BY2="Shoulder",0.9*$E$8,1.1*$E$8))))</f>
        <v/>
      </c>
      <c r="BZ8" s="694">
        <f>+$D$8*((IF(BZ2="Trough",0.5*$E$8,IF(BZ2="Shoulder",0.9*$E$8,1.1*$E$8))))</f>
        <v/>
      </c>
      <c r="CA8" s="694">
        <f>+$D$8*((IF(CA2="Trough",0.5*$E$8,IF(CA2="Shoulder",0.9*$E$8,1.1*$E$8))))</f>
        <v/>
      </c>
      <c r="CB8" s="694">
        <f>+$D$8*((IF(CB2="Trough",0.5*$E$8,IF(CB2="Shoulder",0.9*$E$8,1.1*$E$8))))</f>
        <v/>
      </c>
      <c r="CC8" s="694">
        <f>+$D$8*((IF(CC2="Trough",0.5*$E$8,IF(CC2="Shoulder",0.9*$E$8,1.1*$E$8))))</f>
        <v/>
      </c>
      <c r="CD8" s="694">
        <f>+$D$8*((IF(CD2="Trough",0.5*$E$8,IF(CD2="Shoulder",0.9*$E$8,1.1*$E$8))))</f>
        <v/>
      </c>
      <c r="CE8" s="694">
        <f>+$D$8*((IF(CE2="Trough",0.5*$E$8,IF(CE2="Shoulder",0.9*$E$8,1.1*$E$8))))</f>
        <v/>
      </c>
      <c r="CF8" s="694">
        <f>+$D$8*((IF(CF2="Trough",0.5*$E$8,IF(CF2="Shoulder",0.9*$E$8,1.1*$E$8))))</f>
        <v/>
      </c>
      <c r="CG8" s="694">
        <f>+$D$8*((IF(CG2="Trough",0.5*$E$8,IF(CG2="Shoulder",0.9*$E$8,1.1*$E$8))))</f>
        <v/>
      </c>
      <c r="CH8" s="694">
        <f>+$D$8*((IF(CH2="Trough",0.5*$E$8,IF(CH2="Shoulder",0.9*$E$8,1.1*$E$8))))</f>
        <v/>
      </c>
      <c r="CI8" s="694">
        <f>+$D$8*((IF(CI2="Trough",0.5*$E$8,IF(CI2="Shoulder",0.9*$E$8,1.1*$E$8))))</f>
        <v/>
      </c>
      <c r="CJ8" s="694">
        <f>+$D$8*((IF(CJ2="Trough",0.5*$E$8,IF(CJ2="Shoulder",0.9*$E$8,1.1*$E$8))))</f>
        <v/>
      </c>
      <c r="CK8" s="694">
        <f>+$D$8*((IF(CK2="Trough",0.5*$E$8,IF(CK2="Shoulder",0.9*$E$8,1.1*$E$8))))</f>
        <v/>
      </c>
      <c r="CL8" s="694">
        <f>+$D$8*((IF(CL2="Trough",0.5*$E$8,IF(CL2="Shoulder",0.9*$E$8,1.1*$E$8))))</f>
        <v/>
      </c>
      <c r="CM8" s="694">
        <f>+$D$8*((IF(CM2="Trough",0.5*$E$8,IF(CM2="Shoulder",0.9*$E$8,1.1*$E$8))))</f>
        <v/>
      </c>
      <c r="CN8" s="694">
        <f>+$D$8*((IF(CN2="Trough",0.5*$E$8,IF(CN2="Shoulder",0.9*$E$8,1.1*$E$8))))</f>
        <v/>
      </c>
      <c r="CO8" s="694">
        <f>+$D$8*((IF(CO2="Trough",0.5*$E$8,IF(CO2="Shoulder",0.9*$E$8,1.1*$E$8))))</f>
        <v/>
      </c>
      <c r="CP8" s="694">
        <f>+$D$8*((IF(CP2="Trough",0.5*$E$8,IF(CP2="Shoulder",0.9*$E$8,1.1*$E$8))))</f>
        <v/>
      </c>
      <c r="CQ8" s="694">
        <f>+$D$8*((IF(CQ2="Trough",0.5*$E$8,IF(CQ2="Shoulder",0.9*$E$8,1.1*$E$8))))</f>
        <v/>
      </c>
      <c r="CR8" s="694">
        <f>+$D$8*((IF(CR2="Trough",0.5*$E$8,IF(CR2="Shoulder",0.9*$E$8,1.1*$E$8))))</f>
        <v/>
      </c>
      <c r="CS8" s="694">
        <f>+$D$8*((IF(CS2="Trough",0.5*$E$8,IF(CS2="Shoulder",0.9*$E$8,1.1*$E$8))))</f>
        <v/>
      </c>
      <c r="CT8" s="694">
        <f>+$D$8*((IF(CT2="Trough",0.5*$E$8,IF(CT2="Shoulder",0.9*$E$8,1.1*$E$8))))</f>
        <v/>
      </c>
      <c r="CU8" s="694">
        <f>+$D$8*((IF(CU2="Trough",0.5*$E$8,IF(CU2="Shoulder",0.9*$E$8,1.1*$E$8))))</f>
        <v/>
      </c>
      <c r="CV8" s="694">
        <f>+$D$8*((IF(CV2="Trough",0.5*$E$8,IF(CV2="Shoulder",0.9*$E$8,1.1*$E$8))))</f>
        <v/>
      </c>
      <c r="CW8" s="694">
        <f>+$D$8*((IF(CW2="Trough",0.5*$E$8,IF(CW2="Shoulder",0.9*$E$8,1.1*$E$8))))</f>
        <v/>
      </c>
      <c r="CX8" s="694">
        <f>+$D$8*((IF(CX2="Trough",0.5*$E$8,IF(CX2="Shoulder",0.9*$E$8,1.1*$E$8))))</f>
        <v/>
      </c>
      <c r="CY8" s="694">
        <f>+$D$8*((IF(CY2="Trough",0.5*$E$8,IF(CY2="Shoulder",0.9*$E$8,1.1*$E$8))))</f>
        <v/>
      </c>
      <c r="CZ8" s="694">
        <f>+$D$8*((IF(CZ2="Trough",0.5*$E$8,IF(CZ2="Shoulder",0.9*$E$8,1.1*$E$8))))</f>
        <v/>
      </c>
      <c r="DA8" s="694">
        <f>+$D$8*((IF(DA2="Trough",0.5*$E$8,IF(DA2="Shoulder",0.9*$E$8,1.1*$E$8))))</f>
        <v/>
      </c>
      <c r="DB8" s="694">
        <f>+$D$8*((IF(DB2="Trough",0.5*$E$8,IF(DB2="Shoulder",0.9*$E$8,1.1*$E$8))))</f>
        <v/>
      </c>
      <c r="DC8" s="694">
        <f>+$D$8*((IF(DC2="Trough",0.5*$E$8,IF(DC2="Shoulder",0.9*$E$8,1.1*$E$8))))</f>
        <v/>
      </c>
      <c r="DD8" s="694">
        <f>+$D$8*((IF(DD2="Trough",0.5*$E$8,IF(DD2="Shoulder",0.9*$E$8,1.1*$E$8))))</f>
        <v/>
      </c>
      <c r="DE8" s="694">
        <f>+$D$8*((IF(DE2="Trough",0.5*$E$8,IF(DE2="Shoulder",0.9*$E$8,1.1*$E$8))))</f>
        <v/>
      </c>
      <c r="DF8" s="694">
        <f>+$D$8*((IF(DF2="Trough",0.5*$E$8,IF(DF2="Shoulder",0.9*$E$8,1.1*$E$8))))</f>
        <v/>
      </c>
      <c r="DG8" s="694">
        <f>+$D$8*((IF(DG2="Trough",0.5*$E$8,IF(DG2="Shoulder",0.9*$E$8,1.1*$E$8))))</f>
        <v/>
      </c>
      <c r="DH8" s="694">
        <f>+$D$8*((IF(DH2="Trough",0.5*$E$8,IF(DH2="Shoulder",0.9*$E$8,1.1*$E$8))))</f>
        <v/>
      </c>
      <c r="DI8" s="694">
        <f>+$D$8*((IF(DI2="Trough",0.5*$E$8,IF(DI2="Shoulder",0.9*$E$8,1.1*$E$8))))</f>
        <v/>
      </c>
      <c r="DJ8" s="694">
        <f>+$D$8*((IF(DJ2="Trough",0.5*$E$8,IF(DJ2="Shoulder",0.9*$E$8,1.1*$E$8))))</f>
        <v/>
      </c>
      <c r="DK8" s="694">
        <f>+$D$8*((IF(DK2="Trough",0.5*$E$8,IF(DK2="Shoulder",0.9*$E$8,1.1*$E$8))))</f>
        <v/>
      </c>
      <c r="DL8" s="694">
        <f>+$D$8*((IF(DL2="Trough",0.5*$E$8,IF(DL2="Shoulder",0.9*$E$8,1.1*$E$8))))</f>
        <v/>
      </c>
      <c r="DM8" s="694">
        <f>+$D$8*((IF(DM2="Trough",0.5*$E$8,IF(DM2="Shoulder",0.9*$E$8,1.1*$E$8))))</f>
        <v/>
      </c>
      <c r="DN8" s="694">
        <f>+$D$8*((IF(DN2="Trough",0.5*$E$8,IF(DN2="Shoulder",0.9*$E$8,1.1*$E$8))))</f>
        <v/>
      </c>
      <c r="DO8" s="694">
        <f>+$D$8*((IF(DO2="Trough",0.5*$E$8,IF(DO2="Shoulder",0.9*$E$8,1.1*$E$8))))</f>
        <v/>
      </c>
      <c r="DP8" s="694">
        <f>+$D$8*((IF(DP2="Trough",0.5*$E$8,IF(DP2="Shoulder",0.9*$E$8,1.1*$E$8))))</f>
        <v/>
      </c>
      <c r="DQ8" s="694">
        <f>+$D$8*((IF(DQ2="Trough",0.5*$E$8,IF(DQ2="Shoulder",0.9*$E$8,1.1*$E$8))))</f>
        <v/>
      </c>
      <c r="DR8" s="694">
        <f>+$D$8*((IF(DR2="Trough",0.5*$E$8,IF(DR2="Shoulder",0.9*$E$8,1.1*$E$8))))</f>
        <v/>
      </c>
      <c r="DS8" s="694">
        <f>+$D$8*((IF(DS2="Trough",0.5*$E$8,IF(DS2="Shoulder",0.9*$E$8,1.1*$E$8))))</f>
        <v/>
      </c>
      <c r="DT8" s="694">
        <f>+$D$8*((IF(DT2="Trough",0.5*$E$8,IF(DT2="Shoulder",0.9*$E$8,1.1*$E$8))))</f>
        <v/>
      </c>
      <c r="DU8" s="694">
        <f>+$D$8*((IF(DU2="Trough",0.5*$E$8,IF(DU2="Shoulder",0.9*$E$8,1.1*$E$8))))</f>
        <v/>
      </c>
      <c r="DV8" s="694">
        <f>+$D$8*((IF(DV2="Trough",0.5*$E$8,IF(DV2="Shoulder",0.9*$E$8,1.1*$E$8))))</f>
        <v/>
      </c>
      <c r="DW8" s="694">
        <f>+$D$8*((IF(DW2="Trough",0.5*$E$8,IF(DW2="Shoulder",0.9*$E$8,1.1*$E$8))))</f>
        <v/>
      </c>
      <c r="DX8" s="694">
        <f>+$D$8*((IF(DX2="Trough",0.5*$E$8,IF(DX2="Shoulder",0.9*$E$8,1.1*$E$8))))</f>
        <v/>
      </c>
      <c r="DY8" s="694">
        <f>+$D$8*((IF(DY2="Trough",0.5*$E$8,IF(DY2="Shoulder",0.9*$E$8,1.1*$E$8))))</f>
        <v/>
      </c>
      <c r="DZ8" s="694">
        <f>+$D$8*((IF(DZ2="Trough",0.5*$E$8,IF(DZ2="Shoulder",0.9*$E$8,1.1*$E$8))))</f>
        <v/>
      </c>
      <c r="EA8" s="694">
        <f>+$D$8*((IF(EA2="Trough",0.5*$E$8,IF(EA2="Shoulder",0.9*$E$8,1.1*$E$8))))</f>
        <v/>
      </c>
      <c r="EB8" s="694">
        <f>+$D$8*((IF(EB2="Trough",0.5*$E$8,IF(EB2="Shoulder",0.9*$E$8,1.1*$E$8))))</f>
        <v/>
      </c>
      <c r="EC8" s="694">
        <f>+$D$8*((IF(EC2="Trough",0.5*$E$8,IF(EC2="Shoulder",0.9*$E$8,1.1*$E$8))))</f>
        <v/>
      </c>
      <c r="ED8" s="694">
        <f>+$D$8*((IF(ED2="Trough",0.5*$E$8,IF(ED2="Shoulder",0.9*$E$8,1.1*$E$8))))</f>
        <v/>
      </c>
      <c r="EE8" s="694">
        <f>+$D$8*((IF(EE2="Trough",0.5*$E$8,IF(EE2="Shoulder",0.9*$E$8,1.1*$E$8))))</f>
        <v/>
      </c>
      <c r="EF8" s="694">
        <f>+$D$8*((IF(EF2="Trough",0.5*$E$8,IF(EF2="Shoulder",0.9*$E$8,1.1*$E$8))))</f>
        <v/>
      </c>
      <c r="EG8" s="694">
        <f>+$D$8*((IF(EG2="Trough",0.5*$E$8,IF(EG2="Shoulder",0.9*$E$8,1.1*$E$8))))</f>
        <v/>
      </c>
      <c r="EH8" s="694">
        <f>+$D$8*((IF(EH2="Trough",0.5*$E$8,IF(EH2="Shoulder",0.9*$E$8,1.1*$E$8))))</f>
        <v/>
      </c>
      <c r="EI8" s="694">
        <f>+$D$8*((IF(EI2="Trough",0.5*$E$8,IF(EI2="Shoulder",0.9*$E$8,1.1*$E$8))))</f>
        <v/>
      </c>
      <c r="EJ8" s="694">
        <f>+$D$8*((IF(EJ2="Trough",0.5*$E$8,IF(EJ2="Shoulder",0.9*$E$8,1.1*$E$8))))</f>
        <v/>
      </c>
      <c r="EK8" s="694">
        <f>+$D$8*((IF(EK2="Trough",0.5*$E$8,IF(EK2="Shoulder",0.9*$E$8,1.1*$E$8))))</f>
        <v/>
      </c>
      <c r="EL8" s="694">
        <f>+$D$8*((IF(EL2="Trough",0.5*$E$8,IF(EL2="Shoulder",0.9*$E$8,1.1*$E$8))))</f>
        <v/>
      </c>
      <c r="EM8" s="694">
        <f>+$D$8*((IF(EM2="Trough",0.5*$E$8,IF(EM2="Shoulder",0.9*$E$8,1.1*$E$8))))</f>
        <v/>
      </c>
      <c r="EN8" s="694">
        <f>+$D$8*((IF(EN2="Trough",0.5*$E$8,IF(EN2="Shoulder",0.9*$E$8,1.1*$E$8))))</f>
        <v/>
      </c>
      <c r="EO8" s="694">
        <f>+$D$8*((IF(EO2="Trough",0.5*$E$8,IF(EO2="Shoulder",0.9*$E$8,1.1*$E$8))))</f>
        <v/>
      </c>
      <c r="EP8" s="694">
        <f>+$D$8*((IF(EP2="Trough",0.5*$E$8,IF(EP2="Shoulder",0.9*$E$8,1.1*$E$8))))</f>
        <v/>
      </c>
      <c r="EQ8" s="694">
        <f>+$D$8*((IF(EQ2="Trough",0.5*$E$8,IF(EQ2="Shoulder",0.9*$E$8,1.1*$E$8))))</f>
        <v/>
      </c>
      <c r="ER8" s="694">
        <f>+$D$8*((IF(ER2="Trough",0.5*$E$8,IF(ER2="Shoulder",0.9*$E$8,1.1*$E$8))))</f>
        <v/>
      </c>
      <c r="ES8" s="694">
        <f>+$D$8*((IF(ES2="Trough",0.5*$E$8,IF(ES2="Shoulder",0.9*$E$8,1.1*$E$8))))</f>
        <v/>
      </c>
      <c r="ET8" s="694">
        <f>+$D$8*((IF(ET2="Trough",0.5*$E$8,IF(ET2="Shoulder",0.9*$E$8,1.1*$E$8))))</f>
        <v/>
      </c>
      <c r="EU8" s="694">
        <f>+$D$8*((IF(EU2="Trough",0.5*$E$8,IF(EU2="Shoulder",0.9*$E$8,1.1*$E$8))))</f>
        <v/>
      </c>
      <c r="EV8" s="694">
        <f>+$D$8*((IF(EV2="Trough",0.5*$E$8,IF(EV2="Shoulder",0.9*$E$8,1.1*$E$8))))</f>
        <v/>
      </c>
      <c r="EW8" s="694">
        <f>+$D$8*((IF(EW2="Trough",0.5*$E$8,IF(EW2="Shoulder",0.9*$E$8,1.1*$E$8))))</f>
        <v/>
      </c>
      <c r="EX8" s="694">
        <f>+$D$8*((IF(EX2="Trough",0.5*$E$8,IF(EX2="Shoulder",0.9*$E$8,1.1*$E$8))))</f>
        <v/>
      </c>
      <c r="EY8" s="694">
        <f>+$D$8*((IF(EY2="Trough",0.5*$E$8,IF(EY2="Shoulder",0.9*$E$8,1.1*$E$8))))</f>
        <v/>
      </c>
      <c r="EZ8" s="694">
        <f>+$D$8*((IF(EZ2="Trough",0.5*$E$8,IF(EZ2="Shoulder",0.9*$E$8,1.1*$E$8))))</f>
        <v/>
      </c>
      <c r="FA8" s="694">
        <f>+$D$8*((IF(FA2="Trough",0.5*$E$8,IF(FA2="Shoulder",0.9*$E$8,1.1*$E$8))))</f>
        <v/>
      </c>
      <c r="FB8" s="694">
        <f>+$D$8*((IF(FB2="Trough",0.5*$E$8,IF(FB2="Shoulder",0.9*$E$8,1.1*$E$8))))</f>
        <v/>
      </c>
    </row>
    <row r="9">
      <c r="B9" t="inlineStr">
        <is>
          <t>New</t>
        </is>
      </c>
      <c r="C9" t="inlineStr">
        <is>
          <t>Nail Tech Sub</t>
        </is>
      </c>
      <c r="D9" t="n">
        <v>15</v>
      </c>
      <c r="Y9" s="694">
        <f>+IF(('Monthly Detail'!AX30-'Monthly Detail'!$B$28)&gt;0,('Monthly Detail'!AX30-'Monthly Detail'!$B$28)*'People Plan'!$D$9, 0)</f>
        <v/>
      </c>
      <c r="Z9" s="694">
        <f>+IF(('Monthly Detail'!AY30-'Monthly Detail'!$B$28)&gt;0,('Monthly Detail'!AY30-'Monthly Detail'!$B$28)*'People Plan'!$D$9, 0)</f>
        <v/>
      </c>
      <c r="AA9" s="694">
        <f>+IF(('Monthly Detail'!AZ30-'Monthly Detail'!$B$28)&gt;0,('Monthly Detail'!AZ30-'Monthly Detail'!$B$28)*'People Plan'!$D$9, 0)</f>
        <v/>
      </c>
      <c r="AB9" s="694">
        <f>+IF(('Monthly Detail'!BA30-'Monthly Detail'!$B$28)&gt;0,('Monthly Detail'!BA30-'Monthly Detail'!$B$28)*'People Plan'!$D$9, 0)</f>
        <v/>
      </c>
      <c r="AC9" s="694">
        <f>+IF(('Monthly Detail'!BB30-'Monthly Detail'!$B$28)&gt;0,('Monthly Detail'!BB30-'Monthly Detail'!$B$28)*'People Plan'!$D$9, 0)</f>
        <v/>
      </c>
      <c r="AD9" s="694">
        <f>+IF(('Monthly Detail'!BC30-'Monthly Detail'!$B$28)&gt;0,('Monthly Detail'!BC30-'Monthly Detail'!$B$28)*'People Plan'!$D$9, 0)</f>
        <v/>
      </c>
      <c r="AE9" s="694">
        <f>+IF(('Monthly Detail'!BD30-'Monthly Detail'!$B$28)&gt;0,('Monthly Detail'!BD30-'Monthly Detail'!$B$28)*'People Plan'!$D$9, 0)</f>
        <v/>
      </c>
      <c r="AF9" s="694">
        <f>+IF(('Monthly Detail'!BE30-'Monthly Detail'!$B$28)&gt;0,('Monthly Detail'!BE30-'Monthly Detail'!$B$28)*'People Plan'!$D$9, 0)</f>
        <v/>
      </c>
      <c r="AG9" s="694">
        <f>+IF(('Monthly Detail'!BF30-'Monthly Detail'!$B$28)&gt;0,('Monthly Detail'!BF30-'Monthly Detail'!$B$28)*'People Plan'!$D$9, 0)</f>
        <v/>
      </c>
      <c r="AH9" s="694">
        <f>+IF(('Monthly Detail'!BG30-'Monthly Detail'!$B$28)&gt;0,('Monthly Detail'!BG30-'Monthly Detail'!$B$28)*'People Plan'!$D$9, 0)</f>
        <v/>
      </c>
      <c r="AI9" s="694">
        <f>+IF(('Monthly Detail'!BH30-'Monthly Detail'!$B$28)&gt;0,('Monthly Detail'!BH30-'Monthly Detail'!$B$28)*'People Plan'!$D$9, 0)</f>
        <v/>
      </c>
      <c r="AJ9" s="694">
        <f>+IF(('Monthly Detail'!BI30-'Monthly Detail'!$B$28)&gt;0,('Monthly Detail'!BI30-'Monthly Detail'!$B$28)*'People Plan'!$D$9, 0)</f>
        <v/>
      </c>
      <c r="AK9" s="694">
        <f>+IF(('Monthly Detail'!BJ30-'Monthly Detail'!$B$28)&gt;0,('Monthly Detail'!BJ30-'Monthly Detail'!$B$28)*'People Plan'!$D$9, 0)</f>
        <v/>
      </c>
      <c r="AL9" s="694">
        <f>+IF(('Monthly Detail'!BK30-'Monthly Detail'!$B$28)&gt;0,('Monthly Detail'!BK30-'Monthly Detail'!$B$28)*'People Plan'!$D$9, 0)</f>
        <v/>
      </c>
      <c r="AM9" s="694">
        <f>+IF(('Monthly Detail'!BL30-'Monthly Detail'!$B$28)&gt;0,('Monthly Detail'!BL30-'Monthly Detail'!$B$28)*'People Plan'!$D$9, 0)</f>
        <v/>
      </c>
      <c r="AN9" s="694">
        <f>+IF(('Monthly Detail'!BM30-'Monthly Detail'!$B$28)&gt;0,('Monthly Detail'!BM30-'Monthly Detail'!$B$28)*'People Plan'!$D$9, 0)</f>
        <v/>
      </c>
      <c r="AO9" s="694">
        <f>+IF(('Monthly Detail'!BN30-'Monthly Detail'!$B$28)&gt;0,('Monthly Detail'!BN30-'Monthly Detail'!$B$28)*'People Plan'!$D$9, 0)</f>
        <v/>
      </c>
      <c r="AP9" s="694">
        <f>+IF(('Monthly Detail'!BO30-'Monthly Detail'!$B$28)&gt;0,('Monthly Detail'!BO30-'Monthly Detail'!$B$28)*'People Plan'!$D$9, 0)</f>
        <v/>
      </c>
      <c r="AQ9" s="694">
        <f>+IF(('Monthly Detail'!BP30-'Monthly Detail'!$B$28)&gt;0,('Monthly Detail'!BP30-'Monthly Detail'!$B$28)*'People Plan'!$D$9, 0)</f>
        <v/>
      </c>
      <c r="AR9" s="694">
        <f>+IF(('Monthly Detail'!BQ30-'Monthly Detail'!$B$28)&gt;0,('Monthly Detail'!BQ30-'Monthly Detail'!$B$28)*'People Plan'!$D$9, 0)</f>
        <v/>
      </c>
      <c r="AS9" s="694">
        <f>+IF(('Monthly Detail'!BR30-'Monthly Detail'!$B$28)&gt;0,('Monthly Detail'!BR30-'Monthly Detail'!$B$28)*'People Plan'!$D$9, 0)</f>
        <v/>
      </c>
      <c r="AT9" s="694">
        <f>+IF(('Monthly Detail'!BS30-'Monthly Detail'!$B$28)&gt;0,('Monthly Detail'!BS30-'Monthly Detail'!$B$28)*'People Plan'!$D$9, 0)</f>
        <v/>
      </c>
      <c r="AU9" s="694">
        <f>+IF(('Monthly Detail'!BT30-'Monthly Detail'!$B$28)&gt;0,('Monthly Detail'!BT30-'Monthly Detail'!$B$28)*'People Plan'!$D$9, 0)</f>
        <v/>
      </c>
      <c r="AV9" s="694">
        <f>+IF(('Monthly Detail'!BU30-'Monthly Detail'!$B$28)&gt;0,('Monthly Detail'!BU30-'Monthly Detail'!$B$28)*'People Plan'!$D$9, 0)</f>
        <v/>
      </c>
      <c r="AW9" s="694">
        <f>+IF(('Monthly Detail'!BV30-'Monthly Detail'!$B$28)&gt;0,('Monthly Detail'!BV30-'Monthly Detail'!$B$28)*'People Plan'!$D$9, 0)</f>
        <v/>
      </c>
      <c r="AX9" s="694">
        <f>+IF(('Monthly Detail'!BW30-'Monthly Detail'!$B$28)&gt;0,('Monthly Detail'!BW30-'Monthly Detail'!$B$28)*'People Plan'!$D$9, 0)</f>
        <v/>
      </c>
      <c r="AY9" s="694">
        <f>+IF(('Monthly Detail'!BX30-'Monthly Detail'!$B$28)&gt;0,('Monthly Detail'!BX30-'Monthly Detail'!$B$28)*'People Plan'!$D$9, 0)</f>
        <v/>
      </c>
      <c r="AZ9" s="694">
        <f>+IF(('Monthly Detail'!BY30-'Monthly Detail'!$B$28)&gt;0,('Monthly Detail'!BY30-'Monthly Detail'!$B$28)*'People Plan'!$D$9, 0)</f>
        <v/>
      </c>
      <c r="BA9" s="694">
        <f>+IF(('Monthly Detail'!BZ30-'Monthly Detail'!$B$28)&gt;0,('Monthly Detail'!BZ30-'Monthly Detail'!$B$28)*'People Plan'!$D$9, 0)</f>
        <v/>
      </c>
      <c r="BB9" s="694">
        <f>+IF(('Monthly Detail'!CA30-'Monthly Detail'!$B$28)&gt;0,('Monthly Detail'!CA30-'Monthly Detail'!$B$28)*'People Plan'!$D$9, 0)</f>
        <v/>
      </c>
      <c r="BC9" s="694">
        <f>+IF(('Monthly Detail'!CB30-'Monthly Detail'!$B$28)&gt;0,('Monthly Detail'!CB30-'Monthly Detail'!$B$28)*'People Plan'!$D$9, 0)</f>
        <v/>
      </c>
      <c r="BD9" s="694">
        <f>+IF(('Monthly Detail'!CC30-'Monthly Detail'!$B$28)&gt;0,('Monthly Detail'!CC30-'Monthly Detail'!$B$28)*'People Plan'!$D$9, 0)</f>
        <v/>
      </c>
      <c r="BE9" s="694">
        <f>+IF(('Monthly Detail'!CD30-'Monthly Detail'!$B$28)&gt;0,('Monthly Detail'!CD30-'Monthly Detail'!$B$28)*'People Plan'!$D$9, 0)</f>
        <v/>
      </c>
      <c r="BF9" s="694">
        <f>+IF(('Monthly Detail'!CE30-'Monthly Detail'!$B$28)&gt;0,('Monthly Detail'!CE30-'Monthly Detail'!$B$28)*'People Plan'!$D$9, 0)</f>
        <v/>
      </c>
      <c r="BG9" s="694">
        <f>+IF(('Monthly Detail'!CF30-'Monthly Detail'!$B$28)&gt;0,('Monthly Detail'!CF30-'Monthly Detail'!$B$28)*'People Plan'!$D$9, 0)</f>
        <v/>
      </c>
      <c r="BH9" s="694">
        <f>+IF(('Monthly Detail'!CG30-'Monthly Detail'!$B$28)&gt;0,('Monthly Detail'!CG30-'Monthly Detail'!$B$28)*'People Plan'!$D$9, 0)</f>
        <v/>
      </c>
      <c r="BI9" s="694">
        <f>+IF(('Monthly Detail'!CH30-'Monthly Detail'!$B$28)&gt;0,('Monthly Detail'!CH30-'Monthly Detail'!$B$28)*'People Plan'!$D$9, 0)</f>
        <v/>
      </c>
      <c r="BJ9" s="694">
        <f>+IF(('Monthly Detail'!CI30-'Monthly Detail'!$B$28)&gt;0,('Monthly Detail'!CI30-'Monthly Detail'!$B$28)*'People Plan'!$D$9, 0)</f>
        <v/>
      </c>
      <c r="BK9" s="694">
        <f>+IF(('Monthly Detail'!CJ30-'Monthly Detail'!$B$28)&gt;0,('Monthly Detail'!CJ30-'Monthly Detail'!$B$28)*'People Plan'!$D$9, 0)</f>
        <v/>
      </c>
      <c r="BL9" s="694">
        <f>+IF(('Monthly Detail'!CK30-'Monthly Detail'!$B$28)&gt;0,('Monthly Detail'!CK30-'Monthly Detail'!$B$28)*'People Plan'!$D$9, 0)</f>
        <v/>
      </c>
      <c r="BM9" s="694">
        <f>+IF(('Monthly Detail'!CL30-'Monthly Detail'!$B$28)&gt;0,('Monthly Detail'!CL30-'Monthly Detail'!$B$28)*'People Plan'!$D$9, 0)</f>
        <v/>
      </c>
      <c r="BN9" s="694">
        <f>+IF(('Monthly Detail'!CM30-'Monthly Detail'!$B$28)&gt;0,('Monthly Detail'!CM30-'Monthly Detail'!$B$28)*'People Plan'!$D$9, 0)</f>
        <v/>
      </c>
      <c r="BO9" s="694">
        <f>+IF(('Monthly Detail'!CN30-'Monthly Detail'!$B$28)&gt;0,('Monthly Detail'!CN30-'Monthly Detail'!$B$28)*'People Plan'!$D$9, 0)</f>
        <v/>
      </c>
      <c r="BP9" s="694">
        <f>+IF(('Monthly Detail'!CO30-'Monthly Detail'!$B$28)&gt;0,('Monthly Detail'!CO30-'Monthly Detail'!$B$28)*'People Plan'!$D$9, 0)</f>
        <v/>
      </c>
      <c r="BQ9" s="694">
        <f>+IF(('Monthly Detail'!CP30-'Monthly Detail'!$B$28)&gt;0,('Monthly Detail'!CP30-'Monthly Detail'!$B$28)*'People Plan'!$D$9, 0)</f>
        <v/>
      </c>
      <c r="BR9" s="694">
        <f>+IF(('Monthly Detail'!CQ30-'Monthly Detail'!$B$28)&gt;0,('Monthly Detail'!CQ30-'Monthly Detail'!$B$28)*'People Plan'!$D$9, 0)</f>
        <v/>
      </c>
      <c r="BS9" s="694">
        <f>+IF(('Monthly Detail'!CR30-'Monthly Detail'!$B$28)&gt;0,('Monthly Detail'!CR30-'Monthly Detail'!$B$28)*'People Plan'!$D$9, 0)</f>
        <v/>
      </c>
      <c r="BT9" s="694">
        <f>+IF(('Monthly Detail'!CS30-'Monthly Detail'!$B$28)&gt;0,('Monthly Detail'!CS30-'Monthly Detail'!$B$28)*'People Plan'!$D$9, 0)</f>
        <v/>
      </c>
      <c r="BU9" s="694">
        <f>+IF(('Monthly Detail'!CT30-'Monthly Detail'!$B$28)&gt;0,('Monthly Detail'!CT30-'Monthly Detail'!$B$28)*'People Plan'!$D$9, 0)</f>
        <v/>
      </c>
      <c r="BV9" s="694">
        <f>+IF(('Monthly Detail'!CU30-'Monthly Detail'!$B$28)&gt;0,('Monthly Detail'!CU30-'Monthly Detail'!$B$28)*'People Plan'!$D$9, 0)</f>
        <v/>
      </c>
      <c r="BW9" s="694">
        <f>+IF(('Monthly Detail'!CV30-'Monthly Detail'!$B$28)&gt;0,('Monthly Detail'!CV30-'Monthly Detail'!$B$28)*'People Plan'!$D$9, 0)</f>
        <v/>
      </c>
      <c r="BX9" s="694">
        <f>+IF(('Monthly Detail'!CW30-'Monthly Detail'!$B$28)&gt;0,('Monthly Detail'!CW30-'Monthly Detail'!$B$28)*'People Plan'!$D$9, 0)</f>
        <v/>
      </c>
      <c r="BY9" s="694">
        <f>+IF(('Monthly Detail'!CX30-'Monthly Detail'!$B$28)&gt;0,('Monthly Detail'!CX30-'Monthly Detail'!$B$28)*'People Plan'!$D$9, 0)</f>
        <v/>
      </c>
      <c r="BZ9" s="694">
        <f>+IF(('Monthly Detail'!CY30-'Monthly Detail'!$B$28)&gt;0,('Monthly Detail'!CY30-'Monthly Detail'!$B$28)*'People Plan'!$D$9, 0)</f>
        <v/>
      </c>
      <c r="CA9" s="694">
        <f>+IF(('Monthly Detail'!CZ30-'Monthly Detail'!$B$28)&gt;0,('Monthly Detail'!CZ30-'Monthly Detail'!$B$28)*'People Plan'!$D$9, 0)</f>
        <v/>
      </c>
      <c r="CB9" s="694">
        <f>+IF(('Monthly Detail'!DA30-'Monthly Detail'!$B$28)&gt;0,('Monthly Detail'!DA30-'Monthly Detail'!$B$28)*'People Plan'!$D$9, 0)</f>
        <v/>
      </c>
      <c r="CC9" s="694">
        <f>+IF(('Monthly Detail'!DB30-'Monthly Detail'!$B$28)&gt;0,('Monthly Detail'!DB30-'Monthly Detail'!$B$28)*'People Plan'!$D$9, 0)</f>
        <v/>
      </c>
      <c r="CD9" s="694">
        <f>+IF(('Monthly Detail'!DC30-'Monthly Detail'!$B$28)&gt;0,('Monthly Detail'!DC30-'Monthly Detail'!$B$28)*'People Plan'!$D$9, 0)</f>
        <v/>
      </c>
      <c r="CE9" s="694">
        <f>+IF(('Monthly Detail'!DD30-'Monthly Detail'!$B$28)&gt;0,('Monthly Detail'!DD30-'Monthly Detail'!$B$28)*'People Plan'!$D$9, 0)</f>
        <v/>
      </c>
      <c r="CF9" s="694">
        <f>+IF(('Monthly Detail'!DE30-'Monthly Detail'!$B$28)&gt;0,('Monthly Detail'!DE30-'Monthly Detail'!$B$28)*'People Plan'!$D$9, 0)</f>
        <v/>
      </c>
      <c r="CG9" s="694">
        <f>+IF(('Monthly Detail'!DF30-'Monthly Detail'!$B$28)&gt;0,('Monthly Detail'!DF30-'Monthly Detail'!$B$28)*'People Plan'!$D$9, 0)</f>
        <v/>
      </c>
      <c r="CH9" s="694">
        <f>+IF(('Monthly Detail'!DG30-'Monthly Detail'!$B$28)&gt;0,('Monthly Detail'!DG30-'Monthly Detail'!$B$28)*'People Plan'!$D$9, 0)</f>
        <v/>
      </c>
      <c r="CI9" s="694">
        <f>+IF(('Monthly Detail'!DH30-'Monthly Detail'!$B$28)&gt;0,('Monthly Detail'!DH30-'Monthly Detail'!$B$28)*'People Plan'!$D$9, 0)</f>
        <v/>
      </c>
      <c r="CJ9" s="694">
        <f>+IF(('Monthly Detail'!DI30-'Monthly Detail'!$B$28)&gt;0,('Monthly Detail'!DI30-'Monthly Detail'!$B$28)*'People Plan'!$D$9, 0)</f>
        <v/>
      </c>
      <c r="CK9" s="694">
        <f>+IF(('Monthly Detail'!DJ30-'Monthly Detail'!$B$28)&gt;0,('Monthly Detail'!DJ30-'Monthly Detail'!$B$28)*'People Plan'!$D$9, 0)</f>
        <v/>
      </c>
      <c r="CL9" s="694">
        <f>+IF(('Monthly Detail'!DK30-'Monthly Detail'!$B$28)&gt;0,('Monthly Detail'!DK30-'Monthly Detail'!$B$28)*'People Plan'!$D$9, 0)</f>
        <v/>
      </c>
      <c r="CM9" s="694">
        <f>+IF(('Monthly Detail'!DL30-'Monthly Detail'!$B$28)&gt;0,('Monthly Detail'!DL30-'Monthly Detail'!$B$28)*'People Plan'!$D$9, 0)</f>
        <v/>
      </c>
      <c r="CN9" s="694">
        <f>+IF(('Monthly Detail'!DM30-'Monthly Detail'!$B$28)&gt;0,('Monthly Detail'!DM30-'Monthly Detail'!$B$28)*'People Plan'!$D$9, 0)</f>
        <v/>
      </c>
      <c r="CO9" s="694">
        <f>+IF(('Monthly Detail'!DN30-'Monthly Detail'!$B$28)&gt;0,('Monthly Detail'!DN30-'Monthly Detail'!$B$28)*'People Plan'!$D$9, 0)</f>
        <v/>
      </c>
      <c r="CP9" s="694">
        <f>+IF(('Monthly Detail'!DO30-'Monthly Detail'!$B$28)&gt;0,('Monthly Detail'!DO30-'Monthly Detail'!$B$28)*'People Plan'!$D$9, 0)</f>
        <v/>
      </c>
      <c r="CQ9" s="694">
        <f>+IF(('Monthly Detail'!DP30-'Monthly Detail'!$B$28)&gt;0,('Monthly Detail'!DP30-'Monthly Detail'!$B$28)*'People Plan'!$D$9, 0)</f>
        <v/>
      </c>
      <c r="CR9" s="694">
        <f>+IF(('Monthly Detail'!DQ30-'Monthly Detail'!$B$28)&gt;0,('Monthly Detail'!DQ30-'Monthly Detail'!$B$28)*'People Plan'!$D$9, 0)</f>
        <v/>
      </c>
      <c r="CS9" s="694">
        <f>+IF(('Monthly Detail'!DR30-'Monthly Detail'!$B$28)&gt;0,('Monthly Detail'!DR30-'Monthly Detail'!$B$28)*'People Plan'!$D$9, 0)</f>
        <v/>
      </c>
      <c r="CT9" s="694">
        <f>+IF(('Monthly Detail'!DS30-'Monthly Detail'!$B$28)&gt;0,('Monthly Detail'!DS30-'Monthly Detail'!$B$28)*'People Plan'!$D$9, 0)</f>
        <v/>
      </c>
      <c r="CU9" s="694">
        <f>+IF(('Monthly Detail'!DT30-'Monthly Detail'!$B$28)&gt;0,('Monthly Detail'!DT30-'Monthly Detail'!$B$28)*'People Plan'!$D$9, 0)</f>
        <v/>
      </c>
      <c r="CV9" s="694">
        <f>+IF(('Monthly Detail'!DU30-'Monthly Detail'!$B$28)&gt;0,('Monthly Detail'!DU30-'Monthly Detail'!$B$28)*'People Plan'!$D$9, 0)</f>
        <v/>
      </c>
      <c r="CW9" s="694">
        <f>+IF(('Monthly Detail'!DV30-'Monthly Detail'!$B$28)&gt;0,('Monthly Detail'!DV30-'Monthly Detail'!$B$28)*'People Plan'!$D$9, 0)</f>
        <v/>
      </c>
      <c r="CX9" s="694">
        <f>+IF(('Monthly Detail'!DW30-'Monthly Detail'!$B$28)&gt;0,('Monthly Detail'!DW30-'Monthly Detail'!$B$28)*'People Plan'!$D$9, 0)</f>
        <v/>
      </c>
      <c r="CY9" s="694">
        <f>+IF(('Monthly Detail'!DX30-'Monthly Detail'!$B$28)&gt;0,('Monthly Detail'!DX30-'Monthly Detail'!$B$28)*'People Plan'!$D$9, 0)</f>
        <v/>
      </c>
      <c r="CZ9" s="694">
        <f>+IF(('Monthly Detail'!DY30-'Monthly Detail'!$B$28)&gt;0,('Monthly Detail'!DY30-'Monthly Detail'!$B$28)*'People Plan'!$D$9, 0)</f>
        <v/>
      </c>
      <c r="DA9" s="694">
        <f>+IF(('Monthly Detail'!DZ30-'Monthly Detail'!$B$28)&gt;0,('Monthly Detail'!DZ30-'Monthly Detail'!$B$28)*'People Plan'!$D$9, 0)</f>
        <v/>
      </c>
      <c r="DB9" s="694">
        <f>+IF(('Monthly Detail'!EA30-'Monthly Detail'!$B$28)&gt;0,('Monthly Detail'!EA30-'Monthly Detail'!$B$28)*'People Plan'!$D$9, 0)</f>
        <v/>
      </c>
      <c r="DC9" s="694">
        <f>+IF(('Monthly Detail'!EB30-'Monthly Detail'!$B$28)&gt;0,('Monthly Detail'!EB30-'Monthly Detail'!$B$28)*'People Plan'!$D$9, 0)</f>
        <v/>
      </c>
      <c r="DD9" s="694">
        <f>+IF(('Monthly Detail'!EC30-'Monthly Detail'!$B$28)&gt;0,('Monthly Detail'!EC30-'Monthly Detail'!$B$28)*'People Plan'!$D$9, 0)</f>
        <v/>
      </c>
      <c r="DE9" s="694">
        <f>+IF(('Monthly Detail'!ED30-'Monthly Detail'!$B$28)&gt;0,('Monthly Detail'!ED30-'Monthly Detail'!$B$28)*'People Plan'!$D$9, 0)</f>
        <v/>
      </c>
      <c r="DF9" s="694">
        <f>+IF(('Monthly Detail'!EE30-'Monthly Detail'!$B$28)&gt;0,('Monthly Detail'!EE30-'Monthly Detail'!$B$28)*'People Plan'!$D$9, 0)</f>
        <v/>
      </c>
      <c r="DG9" s="694">
        <f>+IF(('Monthly Detail'!EF30-'Monthly Detail'!$B$28)&gt;0,('Monthly Detail'!EF30-'Monthly Detail'!$B$28)*'People Plan'!$D$9, 0)</f>
        <v/>
      </c>
      <c r="DH9" s="694">
        <f>+IF(('Monthly Detail'!EG30-'Monthly Detail'!$B$28)&gt;0,('Monthly Detail'!EG30-'Monthly Detail'!$B$28)*'People Plan'!$D$9, 0)</f>
        <v/>
      </c>
      <c r="DI9" s="694">
        <f>+IF(('Monthly Detail'!EH30-'Monthly Detail'!$B$28)&gt;0,('Monthly Detail'!EH30-'Monthly Detail'!$B$28)*'People Plan'!$D$9, 0)</f>
        <v/>
      </c>
      <c r="DJ9" s="694">
        <f>+IF(('Monthly Detail'!EI30-'Monthly Detail'!$B$28)&gt;0,('Monthly Detail'!EI30-'Monthly Detail'!$B$28)*'People Plan'!$D$9, 0)</f>
        <v/>
      </c>
      <c r="DK9" s="694">
        <f>+IF(('Monthly Detail'!EJ30-'Monthly Detail'!$B$28)&gt;0,('Monthly Detail'!EJ30-'Monthly Detail'!$B$28)*'People Plan'!$D$9, 0)</f>
        <v/>
      </c>
      <c r="DL9" s="694">
        <f>+IF(('Monthly Detail'!EK30-'Monthly Detail'!$B$28)&gt;0,('Monthly Detail'!EK30-'Monthly Detail'!$B$28)*'People Plan'!$D$9, 0)</f>
        <v/>
      </c>
      <c r="DM9" s="694">
        <f>+IF(('Monthly Detail'!EL30-'Monthly Detail'!$B$28)&gt;0,('Monthly Detail'!EL30-'Monthly Detail'!$B$28)*'People Plan'!$D$9, 0)</f>
        <v/>
      </c>
      <c r="DN9" s="694">
        <f>+IF(('Monthly Detail'!EM30-'Monthly Detail'!$B$28)&gt;0,('Monthly Detail'!EM30-'Monthly Detail'!$B$28)*'People Plan'!$D$9, 0)</f>
        <v/>
      </c>
      <c r="DO9" s="694">
        <f>+IF(('Monthly Detail'!EN30-'Monthly Detail'!$B$28)&gt;0,('Monthly Detail'!EN30-'Monthly Detail'!$B$28)*'People Plan'!$D$9, 0)</f>
        <v/>
      </c>
      <c r="DP9" s="694">
        <f>+IF(('Monthly Detail'!EO30-'Monthly Detail'!$B$28)&gt;0,('Monthly Detail'!EO30-'Monthly Detail'!$B$28)*'People Plan'!$D$9, 0)</f>
        <v/>
      </c>
      <c r="DQ9" s="694">
        <f>+IF(('Monthly Detail'!EP30-'Monthly Detail'!$B$28)&gt;0,('Monthly Detail'!EP30-'Monthly Detail'!$B$28)*'People Plan'!$D$9, 0)</f>
        <v/>
      </c>
      <c r="DR9" s="694">
        <f>+IF(('Monthly Detail'!EQ30-'Monthly Detail'!$B$28)&gt;0,('Monthly Detail'!EQ30-'Monthly Detail'!$B$28)*'People Plan'!$D$9, 0)</f>
        <v/>
      </c>
      <c r="DS9" s="694">
        <f>+IF(('Monthly Detail'!ER30-'Monthly Detail'!$B$28)&gt;0,('Monthly Detail'!ER30-'Monthly Detail'!$B$28)*'People Plan'!$D$9, 0)</f>
        <v/>
      </c>
      <c r="DT9" s="694">
        <f>+IF(('Monthly Detail'!ES30-'Monthly Detail'!$B$28)&gt;0,('Monthly Detail'!ES30-'Monthly Detail'!$B$28)*'People Plan'!$D$9, 0)</f>
        <v/>
      </c>
      <c r="DU9" s="694">
        <f>+IF(('Monthly Detail'!ET30-'Monthly Detail'!$B$28)&gt;0,('Monthly Detail'!ET30-'Monthly Detail'!$B$28)*'People Plan'!$D$9, 0)</f>
        <v/>
      </c>
      <c r="DV9" s="694">
        <f>+IF(('Monthly Detail'!EU30-'Monthly Detail'!$B$28)&gt;0,('Monthly Detail'!EU30-'Monthly Detail'!$B$28)*'People Plan'!$D$9, 0)</f>
        <v/>
      </c>
      <c r="DW9" s="694">
        <f>+IF(('Monthly Detail'!EV30-'Monthly Detail'!$B$28)&gt;0,('Monthly Detail'!EV30-'Monthly Detail'!$B$28)*'People Plan'!$D$9, 0)</f>
        <v/>
      </c>
      <c r="DX9" s="694">
        <f>+IF(('Monthly Detail'!EW30-'Monthly Detail'!$B$28)&gt;0,('Monthly Detail'!EW30-'Monthly Detail'!$B$28)*'People Plan'!$D$9, 0)</f>
        <v/>
      </c>
      <c r="DY9" s="694">
        <f>+IF(('Monthly Detail'!EX30-'Monthly Detail'!$B$28)&gt;0,('Monthly Detail'!EX30-'Monthly Detail'!$B$28)*'People Plan'!$D$9, 0)</f>
        <v/>
      </c>
      <c r="DZ9" s="694">
        <f>+IF(('Monthly Detail'!EY30-'Monthly Detail'!$B$28)&gt;0,('Monthly Detail'!EY30-'Monthly Detail'!$B$28)*'People Plan'!$D$9, 0)</f>
        <v/>
      </c>
      <c r="EA9" s="694">
        <f>+IF(('Monthly Detail'!EZ30-'Monthly Detail'!$B$28)&gt;0,('Monthly Detail'!EZ30-'Monthly Detail'!$B$28)*'People Plan'!$D$9, 0)</f>
        <v/>
      </c>
      <c r="EB9" s="694">
        <f>+IF(('Monthly Detail'!FA30-'Monthly Detail'!$B$28)&gt;0,('Monthly Detail'!FA30-'Monthly Detail'!$B$28)*'People Plan'!$D$9, 0)</f>
        <v/>
      </c>
      <c r="EC9" s="694">
        <f>+IF(('Monthly Detail'!FB30-'Monthly Detail'!$B$28)&gt;0,('Monthly Detail'!FB30-'Monthly Detail'!$B$28)*'People Plan'!$D$9, 0)</f>
        <v/>
      </c>
      <c r="ED9" s="694">
        <f>+IF(('Monthly Detail'!FC30-'Monthly Detail'!$B$28)&gt;0,('Monthly Detail'!FC30-'Monthly Detail'!$B$28)*'People Plan'!$D$9, 0)</f>
        <v/>
      </c>
      <c r="EE9" s="694">
        <f>+IF(('Monthly Detail'!FD30-'Monthly Detail'!$B$28)&gt;0,('Monthly Detail'!FD30-'Monthly Detail'!$B$28)*'People Plan'!$D$9, 0)</f>
        <v/>
      </c>
      <c r="EF9" s="694">
        <f>+IF(('Monthly Detail'!FE30-'Monthly Detail'!$B$28)&gt;0,('Monthly Detail'!FE30-'Monthly Detail'!$B$28)*'People Plan'!$D$9, 0)</f>
        <v/>
      </c>
      <c r="EG9" s="694">
        <f>+IF(('Monthly Detail'!FF30-'Monthly Detail'!$B$28)&gt;0,('Monthly Detail'!FF30-'Monthly Detail'!$B$28)*'People Plan'!$D$9, 0)</f>
        <v/>
      </c>
      <c r="EH9" s="694">
        <f>+IF(('Monthly Detail'!FG30-'Monthly Detail'!$B$28)&gt;0,('Monthly Detail'!FG30-'Monthly Detail'!$B$28)*'People Plan'!$D$9, 0)</f>
        <v/>
      </c>
      <c r="EI9" s="694">
        <f>+IF(('Monthly Detail'!FH30-'Monthly Detail'!$B$28)&gt;0,('Monthly Detail'!FH30-'Monthly Detail'!$B$28)*'People Plan'!$D$9, 0)</f>
        <v/>
      </c>
      <c r="EJ9" s="694">
        <f>+IF(('Monthly Detail'!FI30-'Monthly Detail'!$B$28)&gt;0,('Monthly Detail'!FI30-'Monthly Detail'!$B$28)*'People Plan'!$D$9, 0)</f>
        <v/>
      </c>
      <c r="EK9" s="694">
        <f>+IF(('Monthly Detail'!FJ30-'Monthly Detail'!$B$28)&gt;0,('Monthly Detail'!FJ30-'Monthly Detail'!$B$28)*'People Plan'!$D$9, 0)</f>
        <v/>
      </c>
      <c r="EL9" s="694">
        <f>+IF(('Monthly Detail'!FK30-'Monthly Detail'!$B$28)&gt;0,('Monthly Detail'!FK30-'Monthly Detail'!$B$28)*'People Plan'!$D$9, 0)</f>
        <v/>
      </c>
      <c r="EM9" s="694">
        <f>+IF(('Monthly Detail'!FL30-'Monthly Detail'!$B$28)&gt;0,('Monthly Detail'!FL30-'Monthly Detail'!$B$28)*'People Plan'!$D$9, 0)</f>
        <v/>
      </c>
      <c r="EN9" s="694">
        <f>+IF(('Monthly Detail'!FM30-'Monthly Detail'!$B$28)&gt;0,('Monthly Detail'!FM30-'Monthly Detail'!$B$28)*'People Plan'!$D$9, 0)</f>
        <v/>
      </c>
      <c r="EO9" s="694">
        <f>+IF(('Monthly Detail'!FN30-'Monthly Detail'!$B$28)&gt;0,('Monthly Detail'!FN30-'Monthly Detail'!$B$28)*'People Plan'!$D$9, 0)</f>
        <v/>
      </c>
      <c r="EP9" s="694">
        <f>+IF(('Monthly Detail'!FO30-'Monthly Detail'!$B$28)&gt;0,('Monthly Detail'!FO30-'Monthly Detail'!$B$28)*'People Plan'!$D$9, 0)</f>
        <v/>
      </c>
      <c r="EQ9" s="694">
        <f>+IF(('Monthly Detail'!FP30-'Monthly Detail'!$B$28)&gt;0,('Monthly Detail'!FP30-'Monthly Detail'!$B$28)*'People Plan'!$D$9, 0)</f>
        <v/>
      </c>
      <c r="ER9" s="694">
        <f>+IF(('Monthly Detail'!FQ30-'Monthly Detail'!$B$28)&gt;0,('Monthly Detail'!FQ30-'Monthly Detail'!$B$28)*'People Plan'!$D$9, 0)</f>
        <v/>
      </c>
      <c r="ES9" s="694">
        <f>+IF(('Monthly Detail'!FR30-'Monthly Detail'!$B$28)&gt;0,('Monthly Detail'!FR30-'Monthly Detail'!$B$28)*'People Plan'!$D$9, 0)</f>
        <v/>
      </c>
      <c r="ET9" s="694">
        <f>+IF(('Monthly Detail'!FS30-'Monthly Detail'!$B$28)&gt;0,('Monthly Detail'!FS30-'Monthly Detail'!$B$28)*'People Plan'!$D$9, 0)</f>
        <v/>
      </c>
      <c r="EU9" s="694">
        <f>+IF(('Monthly Detail'!FT30-'Monthly Detail'!$B$28)&gt;0,('Monthly Detail'!FT30-'Monthly Detail'!$B$28)*'People Plan'!$D$9, 0)</f>
        <v/>
      </c>
      <c r="EV9" s="694">
        <f>+IF(('Monthly Detail'!FU30-'Monthly Detail'!$B$28)&gt;0,('Monthly Detail'!FU30-'Monthly Detail'!$B$28)*'People Plan'!$D$9, 0)</f>
        <v/>
      </c>
      <c r="EW9" s="694">
        <f>+IF(('Monthly Detail'!FV30-'Monthly Detail'!$B$28)&gt;0,('Monthly Detail'!FV30-'Monthly Detail'!$B$28)*'People Plan'!$D$9, 0)</f>
        <v/>
      </c>
      <c r="EX9" s="694">
        <f>+IF(('Monthly Detail'!FW30-'Monthly Detail'!$B$28)&gt;0,('Monthly Detail'!FW30-'Monthly Detail'!$B$28)*'People Plan'!$D$9, 0)</f>
        <v/>
      </c>
      <c r="EY9" s="694">
        <f>+IF(('Monthly Detail'!FX30-'Monthly Detail'!$B$28)&gt;0,('Monthly Detail'!FX30-'Monthly Detail'!$B$28)*'People Plan'!$D$9, 0)</f>
        <v/>
      </c>
      <c r="EZ9" s="694">
        <f>+IF(('Monthly Detail'!FY30-'Monthly Detail'!$B$28)&gt;0,('Monthly Detail'!FY30-'Monthly Detail'!$B$28)*'People Plan'!$D$9, 0)</f>
        <v/>
      </c>
      <c r="FA9" s="694">
        <f>+IF(('Monthly Detail'!FZ30-'Monthly Detail'!$B$28)&gt;0,('Monthly Detail'!FZ30-'Monthly Detail'!$B$28)*'People Plan'!$D$9, 0)</f>
        <v/>
      </c>
      <c r="FB9" s="694">
        <f>+IF(('Monthly Detail'!GA30-'Monthly Detail'!$B$28)&gt;0,('Monthly Detail'!GA30-'Monthly Detail'!$B$28)*'People Plan'!$D$9, 0)</f>
        <v/>
      </c>
    </row>
    <row r="13">
      <c r="E13" s="473" t="inlineStr">
        <is>
          <t>Total Sub Contractors</t>
        </is>
      </c>
      <c r="F13" s="5" t="n"/>
      <c r="G13" s="1004">
        <f>SUM(G8:G12)</f>
        <v/>
      </c>
      <c r="H13" s="1004">
        <f>SUM(H8:H12)</f>
        <v/>
      </c>
      <c r="I13" s="1004">
        <f>SUM(I8:I12)</f>
        <v/>
      </c>
      <c r="J13" s="1004">
        <f>SUM(J8:J12)</f>
        <v/>
      </c>
      <c r="K13" s="1004">
        <f>SUM(K8:K12)</f>
        <v/>
      </c>
      <c r="L13" s="1004">
        <f>SUM(L8:L12)</f>
        <v/>
      </c>
      <c r="M13" s="1004">
        <f>SUM(M8:M12)</f>
        <v/>
      </c>
      <c r="N13" s="1004">
        <f>SUM(N8:N12)</f>
        <v/>
      </c>
      <c r="O13" s="1004">
        <f>SUM(O8:O12)</f>
        <v/>
      </c>
      <c r="P13" s="1004">
        <f>SUM(P8:P12)</f>
        <v/>
      </c>
      <c r="Q13" s="1004">
        <f>SUM(Q8:Q12)</f>
        <v/>
      </c>
      <c r="R13" s="1004">
        <f>SUM(R8:R12)</f>
        <v/>
      </c>
      <c r="S13" s="1004">
        <f>SUM(S8:S12)</f>
        <v/>
      </c>
      <c r="T13" s="1004">
        <f>SUM(T8:T12)</f>
        <v/>
      </c>
      <c r="U13" s="1004">
        <f>SUM(U8:U12)</f>
        <v/>
      </c>
      <c r="V13" s="1004">
        <f>SUM(V8:V12)</f>
        <v/>
      </c>
      <c r="W13" s="1004">
        <f>SUM(W8:W12)</f>
        <v/>
      </c>
      <c r="X13" s="1004">
        <f>SUM(X8:X12)</f>
        <v/>
      </c>
      <c r="Y13" s="1004">
        <f>SUM(Y8:Y12)</f>
        <v/>
      </c>
      <c r="Z13" s="1004">
        <f>SUM(Z8:Z12)</f>
        <v/>
      </c>
      <c r="AA13" s="1004">
        <f>SUM(AA8:AA12)</f>
        <v/>
      </c>
      <c r="AB13" s="1004">
        <f>SUM(AB8:AB12)</f>
        <v/>
      </c>
      <c r="AC13" s="1004">
        <f>SUM(AC8:AC12)</f>
        <v/>
      </c>
      <c r="AD13" s="1004">
        <f>SUM(AD8:AD12)</f>
        <v/>
      </c>
      <c r="AE13" s="1004">
        <f>SUM(AE8:AE12)</f>
        <v/>
      </c>
      <c r="AF13" s="1004">
        <f>SUM(AF8:AF12)</f>
        <v/>
      </c>
      <c r="AG13" s="1004">
        <f>SUM(AG8:AG12)</f>
        <v/>
      </c>
      <c r="AH13" s="1004">
        <f>SUM(AH8:AH12)</f>
        <v/>
      </c>
      <c r="AI13" s="1004">
        <f>SUM(AI8:AI12)</f>
        <v/>
      </c>
      <c r="AJ13" s="1004">
        <f>SUM(AJ8:AJ12)</f>
        <v/>
      </c>
      <c r="AK13" s="1004">
        <f>SUM(AK8:AK12)</f>
        <v/>
      </c>
      <c r="AL13" s="1004">
        <f>SUM(AL8:AL12)</f>
        <v/>
      </c>
      <c r="AM13" s="1004">
        <f>SUM(AM8:AM12)</f>
        <v/>
      </c>
      <c r="AN13" s="1004">
        <f>SUM(AN8:AN12)</f>
        <v/>
      </c>
      <c r="AO13" s="1004">
        <f>SUM(AO8:AO12)</f>
        <v/>
      </c>
      <c r="AP13" s="1004">
        <f>SUM(AP8:AP12)</f>
        <v/>
      </c>
      <c r="AQ13" s="1004">
        <f>SUM(AQ8:AQ12)</f>
        <v/>
      </c>
      <c r="AR13" s="1004">
        <f>SUM(AR8:AR12)</f>
        <v/>
      </c>
      <c r="AS13" s="1004">
        <f>SUM(AS8:AS12)</f>
        <v/>
      </c>
      <c r="AT13" s="1004">
        <f>SUM(AT8:AT12)</f>
        <v/>
      </c>
      <c r="AU13" s="1004">
        <f>SUM(AU8:AU12)</f>
        <v/>
      </c>
      <c r="AV13" s="1004">
        <f>SUM(AV8:AV12)</f>
        <v/>
      </c>
      <c r="AW13" s="1004">
        <f>SUM(AW8:AW12)</f>
        <v/>
      </c>
      <c r="AX13" s="1004">
        <f>SUM(AX8:AX12)</f>
        <v/>
      </c>
      <c r="AY13" s="1004">
        <f>SUM(AY8:AY12)</f>
        <v/>
      </c>
      <c r="AZ13" s="1004">
        <f>SUM(AZ8:AZ12)</f>
        <v/>
      </c>
      <c r="BA13" s="1004">
        <f>SUM(BA8:BA12)</f>
        <v/>
      </c>
      <c r="BB13" s="1004">
        <f>SUM(BB8:BB12)</f>
        <v/>
      </c>
      <c r="BC13" s="1004">
        <f>SUM(BC8:BC12)</f>
        <v/>
      </c>
      <c r="BD13" s="1004">
        <f>SUM(BD8:BD12)</f>
        <v/>
      </c>
      <c r="BE13" s="1004">
        <f>SUM(BE8:BE12)</f>
        <v/>
      </c>
      <c r="BF13" s="1004">
        <f>SUM(BF8:BF12)</f>
        <v/>
      </c>
      <c r="BG13" s="1004">
        <f>SUM(BG8:BG12)</f>
        <v/>
      </c>
      <c r="BH13" s="1004">
        <f>SUM(BH8:BH12)</f>
        <v/>
      </c>
      <c r="BI13" s="1004">
        <f>SUM(BI8:BI12)</f>
        <v/>
      </c>
      <c r="BJ13" s="1004">
        <f>SUM(BJ8:BJ12)</f>
        <v/>
      </c>
      <c r="BK13" s="1004">
        <f>SUM(BK8:BK12)</f>
        <v/>
      </c>
      <c r="BL13" s="1004">
        <f>SUM(BL8:BL12)</f>
        <v/>
      </c>
      <c r="BM13" s="1004">
        <f>SUM(BM8:BM12)</f>
        <v/>
      </c>
      <c r="BN13" s="1004">
        <f>SUM(BN8:BN12)</f>
        <v/>
      </c>
      <c r="BO13" s="1004">
        <f>SUM(BO8:BO12)</f>
        <v/>
      </c>
      <c r="BP13" s="1004">
        <f>SUM(BP8:BP12)</f>
        <v/>
      </c>
      <c r="BQ13" s="1004">
        <f>SUM(BQ8:BQ12)</f>
        <v/>
      </c>
      <c r="BR13" s="1004">
        <f>SUM(BR8:BR12)</f>
        <v/>
      </c>
      <c r="BS13" s="1004">
        <f>SUM(BS8:BS12)</f>
        <v/>
      </c>
      <c r="BT13" s="1004">
        <f>SUM(BT8:BT12)</f>
        <v/>
      </c>
      <c r="BU13" s="1004">
        <f>SUM(BU8:BU12)</f>
        <v/>
      </c>
      <c r="BV13" s="1004">
        <f>SUM(BV8:BV12)</f>
        <v/>
      </c>
      <c r="BW13" s="1004">
        <f>SUM(BW8:BW12)</f>
        <v/>
      </c>
      <c r="BX13" s="1004">
        <f>SUM(BX8:BX12)</f>
        <v/>
      </c>
      <c r="BY13" s="1004">
        <f>SUM(BY8:BY12)</f>
        <v/>
      </c>
      <c r="BZ13" s="1004">
        <f>SUM(BZ8:BZ12)</f>
        <v/>
      </c>
      <c r="CA13" s="1004">
        <f>SUM(CA8:CA12)</f>
        <v/>
      </c>
      <c r="CB13" s="1004">
        <f>SUM(CB8:CB12)</f>
        <v/>
      </c>
      <c r="CC13" s="1004">
        <f>SUM(CC8:CC12)</f>
        <v/>
      </c>
      <c r="CD13" s="1004">
        <f>SUM(CD8:CD12)</f>
        <v/>
      </c>
      <c r="CE13" s="1004">
        <f>SUM(CE8:CE12)</f>
        <v/>
      </c>
      <c r="CF13" s="1004">
        <f>SUM(CF8:CF12)</f>
        <v/>
      </c>
      <c r="CG13" s="1004">
        <f>SUM(CG8:CG12)</f>
        <v/>
      </c>
      <c r="CH13" s="1004">
        <f>SUM(CH8:CH12)</f>
        <v/>
      </c>
      <c r="CI13" s="1004">
        <f>SUM(CI8:CI12)</f>
        <v/>
      </c>
      <c r="CJ13" s="1004">
        <f>SUM(CJ8:CJ12)</f>
        <v/>
      </c>
      <c r="CK13" s="1004">
        <f>SUM(CK8:CK12)</f>
        <v/>
      </c>
      <c r="CL13" s="1004">
        <f>SUM(CL8:CL12)</f>
        <v/>
      </c>
      <c r="CM13" s="1004">
        <f>SUM(CM8:CM12)</f>
        <v/>
      </c>
      <c r="CN13" s="1004">
        <f>SUM(CN8:CN12)</f>
        <v/>
      </c>
      <c r="CO13" s="1004">
        <f>SUM(CO8:CO12)</f>
        <v/>
      </c>
      <c r="CP13" s="1004">
        <f>SUM(CP8:CP12)</f>
        <v/>
      </c>
      <c r="CQ13" s="1004">
        <f>SUM(CQ8:CQ12)</f>
        <v/>
      </c>
      <c r="CR13" s="1004">
        <f>SUM(CR8:CR12)</f>
        <v/>
      </c>
      <c r="CS13" s="1004">
        <f>SUM(CS8:CS12)</f>
        <v/>
      </c>
      <c r="CT13" s="1004">
        <f>SUM(CT8:CT12)</f>
        <v/>
      </c>
      <c r="CU13" s="1004">
        <f>SUM(CU8:CU12)</f>
        <v/>
      </c>
      <c r="CV13" s="1004">
        <f>SUM(CV8:CV12)</f>
        <v/>
      </c>
      <c r="CW13" s="1004">
        <f>SUM(CW8:CW12)</f>
        <v/>
      </c>
      <c r="CX13" s="1004">
        <f>SUM(CX8:CX12)</f>
        <v/>
      </c>
      <c r="CY13" s="1004">
        <f>SUM(CY8:CY12)</f>
        <v/>
      </c>
      <c r="CZ13" s="1004">
        <f>SUM(CZ8:CZ12)</f>
        <v/>
      </c>
      <c r="DA13" s="1004">
        <f>SUM(DA8:DA12)</f>
        <v/>
      </c>
      <c r="DB13" s="1004">
        <f>SUM(DB8:DB12)</f>
        <v/>
      </c>
      <c r="DC13" s="1004">
        <f>SUM(DC8:DC12)</f>
        <v/>
      </c>
      <c r="DD13" s="1004">
        <f>SUM(DD8:DD12)</f>
        <v/>
      </c>
      <c r="DE13" s="1004">
        <f>SUM(DE8:DE12)</f>
        <v/>
      </c>
      <c r="DF13" s="1004">
        <f>SUM(DF8:DF12)</f>
        <v/>
      </c>
      <c r="DG13" s="1004">
        <f>SUM(DG8:DG12)</f>
        <v/>
      </c>
      <c r="DH13" s="1004">
        <f>SUM(DH8:DH12)</f>
        <v/>
      </c>
      <c r="DI13" s="1004">
        <f>SUM(DI8:DI12)</f>
        <v/>
      </c>
      <c r="DJ13" s="1004">
        <f>SUM(DJ8:DJ12)</f>
        <v/>
      </c>
      <c r="DK13" s="1004">
        <f>SUM(DK8:DK12)</f>
        <v/>
      </c>
      <c r="DL13" s="1004">
        <f>SUM(DL8:DL12)</f>
        <v/>
      </c>
      <c r="DM13" s="1004">
        <f>SUM(DM8:DM12)</f>
        <v/>
      </c>
      <c r="DN13" s="1004">
        <f>SUM(DN8:DN12)</f>
        <v/>
      </c>
      <c r="DO13" s="1004">
        <f>SUM(DO8:DO12)</f>
        <v/>
      </c>
      <c r="DP13" s="1004">
        <f>SUM(DP8:DP12)</f>
        <v/>
      </c>
      <c r="DQ13" s="1004">
        <f>SUM(DQ8:DQ12)</f>
        <v/>
      </c>
      <c r="DR13" s="1004">
        <f>SUM(DR8:DR12)</f>
        <v/>
      </c>
      <c r="DS13" s="1004">
        <f>SUM(DS8:DS12)</f>
        <v/>
      </c>
      <c r="DT13" s="1004">
        <f>SUM(DT8:DT12)</f>
        <v/>
      </c>
      <c r="DU13" s="1004">
        <f>SUM(DU8:DU12)</f>
        <v/>
      </c>
      <c r="DV13" s="1004">
        <f>SUM(DV8:DV12)</f>
        <v/>
      </c>
      <c r="DW13" s="1004">
        <f>SUM(DW8:DW12)</f>
        <v/>
      </c>
      <c r="DX13" s="1004">
        <f>SUM(DX8:DX12)</f>
        <v/>
      </c>
      <c r="DY13" s="1004">
        <f>SUM(DY8:DY12)</f>
        <v/>
      </c>
      <c r="DZ13" s="1004">
        <f>SUM(DZ8:DZ12)</f>
        <v/>
      </c>
      <c r="EA13" s="1004">
        <f>SUM(EA8:EA12)</f>
        <v/>
      </c>
      <c r="EB13" s="1004">
        <f>SUM(EB8:EB12)</f>
        <v/>
      </c>
      <c r="EC13" s="1004">
        <f>SUM(EC8:EC12)</f>
        <v/>
      </c>
      <c r="ED13" s="1004">
        <f>SUM(ED8:ED12)</f>
        <v/>
      </c>
      <c r="EE13" s="1004">
        <f>SUM(EE8:EE12)</f>
        <v/>
      </c>
      <c r="EF13" s="1004">
        <f>SUM(EF8:EF12)</f>
        <v/>
      </c>
      <c r="EG13" s="1004">
        <f>SUM(EG8:EG12)</f>
        <v/>
      </c>
      <c r="EH13" s="1004">
        <f>SUM(EH8:EH12)</f>
        <v/>
      </c>
      <c r="EI13" s="1004">
        <f>SUM(EI8:EI12)</f>
        <v/>
      </c>
      <c r="EJ13" s="1004">
        <f>SUM(EJ8:EJ12)</f>
        <v/>
      </c>
      <c r="EK13" s="1004">
        <f>SUM(EK8:EK12)</f>
        <v/>
      </c>
      <c r="EL13" s="1004">
        <f>SUM(EL8:EL12)</f>
        <v/>
      </c>
      <c r="EM13" s="1004">
        <f>SUM(EM8:EM12)</f>
        <v/>
      </c>
      <c r="EN13" s="1004">
        <f>SUM(EN8:EN12)</f>
        <v/>
      </c>
      <c r="EO13" s="1004">
        <f>SUM(EO8:EO12)</f>
        <v/>
      </c>
      <c r="EP13" s="1004">
        <f>SUM(EP8:EP12)</f>
        <v/>
      </c>
      <c r="EQ13" s="1004">
        <f>SUM(EQ8:EQ12)</f>
        <v/>
      </c>
      <c r="ER13" s="1004">
        <f>SUM(ER8:ER12)</f>
        <v/>
      </c>
      <c r="ES13" s="1004">
        <f>SUM(ES8:ES12)</f>
        <v/>
      </c>
      <c r="ET13" s="1004">
        <f>SUM(ET8:ET12)</f>
        <v/>
      </c>
      <c r="EU13" s="1004">
        <f>SUM(EU8:EU12)</f>
        <v/>
      </c>
      <c r="EV13" s="1004">
        <f>SUM(EV8:EV12)</f>
        <v/>
      </c>
      <c r="EW13" s="1004">
        <f>SUM(EW8:EW12)</f>
        <v/>
      </c>
      <c r="EX13" s="1004">
        <f>SUM(EX8:EX12)</f>
        <v/>
      </c>
      <c r="EY13" s="1004">
        <f>SUM(EY8:EY12)</f>
        <v/>
      </c>
      <c r="EZ13" s="1004">
        <f>SUM(EZ8:EZ12)</f>
        <v/>
      </c>
      <c r="FA13" s="1004">
        <f>SUM(FA8:FA12)</f>
        <v/>
      </c>
      <c r="FB13" s="1005">
        <f>SUM(FB8:FB12)</f>
        <v/>
      </c>
    </row>
    <row r="14">
      <c r="E14" t="inlineStr">
        <is>
          <t>Salary</t>
        </is>
      </c>
    </row>
    <row r="15">
      <c r="B15" t="inlineStr">
        <is>
          <t>Iyalonna West</t>
        </is>
      </c>
      <c r="C15" t="inlineStr">
        <is>
          <t>Owner</t>
        </is>
      </c>
      <c r="D15" s="1006" t="n">
        <v>85</v>
      </c>
      <c r="E15" t="n">
        <v>20</v>
      </c>
      <c r="O15" s="1003" t="n"/>
      <c r="P15" s="1003" t="n">
        <v>1300</v>
      </c>
      <c r="Q15" s="1003" t="n">
        <v>1430</v>
      </c>
      <c r="R15" s="1003" t="n">
        <v>1950</v>
      </c>
      <c r="S15" s="1003" t="n">
        <v>1365</v>
      </c>
      <c r="T15" s="1003" t="n">
        <v>650</v>
      </c>
      <c r="U15" s="1003" t="n">
        <v>650</v>
      </c>
      <c r="V15" s="1003" t="n">
        <v>715</v>
      </c>
      <c r="W15" s="1003" t="n">
        <v>438.75</v>
      </c>
      <c r="X15" s="1003" t="n">
        <v>650</v>
      </c>
      <c r="Y15" s="819">
        <f>+IF(Y$1&lt;&gt;X$1,R15*1.05, R15)</f>
        <v/>
      </c>
      <c r="Z15" s="819">
        <f>+IF(Z$1&lt;&gt;Y$1,Y15*1.05, Y15)</f>
        <v/>
      </c>
      <c r="AA15" s="819">
        <f>+IF(AA$1&lt;&gt;Z$1,Z15*1.05, Z15)</f>
        <v/>
      </c>
      <c r="AB15" s="819">
        <f>+IF(AB$1&lt;&gt;AA$1,AA15*1.05, AA15)</f>
        <v/>
      </c>
      <c r="AC15" s="819">
        <f>+IF(AC$1&lt;&gt;AB$1,AB15*1.05, AB15)</f>
        <v/>
      </c>
      <c r="AD15" s="819">
        <f>+IF(AD$1&lt;&gt;AC$1,AC15*1.05, AC15)</f>
        <v/>
      </c>
      <c r="AE15" s="819">
        <f>+IF(AE$1&lt;&gt;AD$1,AD15*1.05, AD15)</f>
        <v/>
      </c>
      <c r="AF15" s="819">
        <f>+IF(AF$1&lt;&gt;AE$1,AE15*1.05, AE15)</f>
        <v/>
      </c>
      <c r="AG15" s="819">
        <f>+IF(AG$1&lt;&gt;AF$1,AF15*1.05, AF15)</f>
        <v/>
      </c>
      <c r="AH15" s="819">
        <f>+IF(AH$1&lt;&gt;AG$1,AG15*1.05, AG15)</f>
        <v/>
      </c>
      <c r="AI15" s="819">
        <f>+IF(AI$1&lt;&gt;AH$1,AH15*1.05, AH15)</f>
        <v/>
      </c>
      <c r="AJ15" s="819">
        <f>+IF(AJ$1&lt;&gt;AI$1,AI15*1.05, AI15)</f>
        <v/>
      </c>
      <c r="AK15" s="819">
        <f>+IF(AK$1&lt;&gt;AJ$1,AJ15*1.05, AJ15)</f>
        <v/>
      </c>
      <c r="AL15" s="819">
        <f>+IF(AL$1&lt;&gt;AK$1,AK15*1.05, AK15)</f>
        <v/>
      </c>
      <c r="AM15" s="819">
        <f>+IF(AM$1&lt;&gt;AL$1,AL15*1.05, AL15)</f>
        <v/>
      </c>
      <c r="AN15" s="819">
        <f>+IF(AN$1&lt;&gt;AM$1,AM15*1.05, AM15)</f>
        <v/>
      </c>
      <c r="AO15" s="819">
        <f>+IF(AO$1&lt;&gt;AN$1,AN15*1.05, AN15)</f>
        <v/>
      </c>
      <c r="AP15" s="819">
        <f>+IF(AP$1&lt;&gt;AO$1,AO15*1.05, AO15)</f>
        <v/>
      </c>
      <c r="AQ15" s="819">
        <f>+IF(AQ$1&lt;&gt;AP$1,AP15*1.05, AP15)</f>
        <v/>
      </c>
      <c r="AR15" s="819">
        <f>+IF(AR$1&lt;&gt;AQ$1,AQ15*1.05, AQ15)</f>
        <v/>
      </c>
      <c r="AS15" s="819">
        <f>+IF(AS$1&lt;&gt;AR$1,AR15*1.05, AR15)</f>
        <v/>
      </c>
      <c r="AT15" s="819">
        <f>+IF(AT$1&lt;&gt;AS$1,AS15*1.05, AS15)</f>
        <v/>
      </c>
      <c r="AU15" s="819">
        <f>+IF(AU$1&lt;&gt;AT$1,AT15*1.05, AT15)</f>
        <v/>
      </c>
      <c r="AV15" s="819">
        <f>+IF(AV$1&lt;&gt;AU$1,AU15*1.05, AU15)</f>
        <v/>
      </c>
      <c r="AW15" s="819">
        <f>+IF(AW$1&lt;&gt;AV$1,AV15*1.05, AV15)</f>
        <v/>
      </c>
      <c r="AX15" s="819">
        <f>+IF(AX$1&lt;&gt;AW$1,AW15*1.05, AW15)</f>
        <v/>
      </c>
      <c r="AY15" s="819">
        <f>+IF(AY$1&lt;&gt;AX$1,AX15*1.05, AX15)</f>
        <v/>
      </c>
      <c r="AZ15" s="819">
        <f>+IF(AZ$1&lt;&gt;AY$1,AY15*1.05, AY15)</f>
        <v/>
      </c>
      <c r="BA15" s="819">
        <f>+IF(BA$1&lt;&gt;AZ$1,AZ15*1.05, AZ15)</f>
        <v/>
      </c>
      <c r="BB15" s="819">
        <f>+IF(BB$1&lt;&gt;BA$1,BA15*1.05, BA15)</f>
        <v/>
      </c>
      <c r="BC15" s="819">
        <f>+IF(BC$1&lt;&gt;BB$1,BB15*1.05, BB15)</f>
        <v/>
      </c>
      <c r="BD15" s="819">
        <f>+IF(BD$1&lt;&gt;BC$1,BC15*1.05, BC15)</f>
        <v/>
      </c>
      <c r="BE15" s="819">
        <f>+IF(BE$1&lt;&gt;BD$1,BD15*1.05, BD15)</f>
        <v/>
      </c>
      <c r="BF15" s="819">
        <f>+IF(BF$1&lt;&gt;BE$1,BE15*1.05, BE15)</f>
        <v/>
      </c>
      <c r="BG15" s="819">
        <f>+IF(BG$1&lt;&gt;BF$1,BF15*1.05, BF15)</f>
        <v/>
      </c>
      <c r="BH15" s="819">
        <f>+IF(BH$1&lt;&gt;BG$1,BG15*1.05, BG15)</f>
        <v/>
      </c>
      <c r="BI15" s="819">
        <f>+IF(BI$1&lt;&gt;BH$1,BH15*1.05, BH15)</f>
        <v/>
      </c>
      <c r="BJ15" s="819">
        <f>+IF(BJ$1&lt;&gt;BI$1,BI15*1.05, BI15)</f>
        <v/>
      </c>
      <c r="BK15" s="819">
        <f>+IF(BK$1&lt;&gt;BJ$1,BJ15*1.05, BJ15)</f>
        <v/>
      </c>
      <c r="BL15" s="819">
        <f>+IF(BL$1&lt;&gt;BK$1,BK15*1.05, BK15)</f>
        <v/>
      </c>
      <c r="BM15" s="819">
        <f>+IF(BM$1&lt;&gt;BL$1,BL15*1.05, BL15)</f>
        <v/>
      </c>
      <c r="BN15" s="819">
        <f>+IF(BN$1&lt;&gt;BM$1,BM15*1.05, BM15)</f>
        <v/>
      </c>
      <c r="BO15" s="819">
        <f>+IF(BO$1&lt;&gt;BN$1,BN15*1.05, BN15)</f>
        <v/>
      </c>
      <c r="BP15" s="819">
        <f>+IF(BP$1&lt;&gt;BO$1,BO15*1.05, BO15)</f>
        <v/>
      </c>
      <c r="BQ15" s="819">
        <f>+IF(BQ$1&lt;&gt;BP$1,BP15*1.05, BP15)</f>
        <v/>
      </c>
      <c r="BR15" s="819">
        <f>+IF(BR$1&lt;&gt;BQ$1,BQ15*1.05, BQ15)</f>
        <v/>
      </c>
      <c r="BS15" s="819">
        <f>+IF(BS$1&lt;&gt;BR$1,BR15*1.05, BR15)</f>
        <v/>
      </c>
      <c r="BT15" s="819">
        <f>+IF(BT$1&lt;&gt;BS$1,BS15*1.05, BS15)</f>
        <v/>
      </c>
      <c r="BU15" s="819">
        <f>+IF(BU$1&lt;&gt;BT$1,BT15*1.05, BT15)</f>
        <v/>
      </c>
      <c r="BV15" s="819">
        <f>+IF(BV$1&lt;&gt;BU$1,BU15*1.05, BU15)</f>
        <v/>
      </c>
      <c r="BW15" s="819">
        <f>+IF(BW$1&lt;&gt;BV$1,BV15*1.05, BV15)</f>
        <v/>
      </c>
      <c r="BX15" s="819">
        <f>+IF(BX$1&lt;&gt;BW$1,BW15*1.05, BW15)</f>
        <v/>
      </c>
      <c r="BY15" s="819">
        <f>+IF(BY$1&lt;&gt;BX$1,BX15*1.05, BX15)</f>
        <v/>
      </c>
      <c r="BZ15" s="819">
        <f>+IF(BZ$1&lt;&gt;BY$1,BY15*1.05, BY15)</f>
        <v/>
      </c>
      <c r="CA15" s="819">
        <f>+IF(CA$1&lt;&gt;BZ$1,BZ15*1.05, BZ15)</f>
        <v/>
      </c>
      <c r="CB15" s="819">
        <f>+IF(CB$1&lt;&gt;CA$1,CA15*1.05, CA15)</f>
        <v/>
      </c>
      <c r="CC15" s="819">
        <f>+IF(CC$1&lt;&gt;CB$1,CB15*1.05, CB15)</f>
        <v/>
      </c>
      <c r="CD15" s="819">
        <f>+IF(CD$1&lt;&gt;CC$1,CC15*1.05, CC15)</f>
        <v/>
      </c>
      <c r="CE15" s="819">
        <f>+IF(CE$1&lt;&gt;CD$1,CD15*1.05, CD15)</f>
        <v/>
      </c>
      <c r="CF15" s="819">
        <f>+IF(CF$1&lt;&gt;CE$1,CE15*1.05, CE15)</f>
        <v/>
      </c>
      <c r="CG15" s="819">
        <f>+IF(CG$1&lt;&gt;CF$1,CF15*1.05, CF15)</f>
        <v/>
      </c>
      <c r="CH15" s="819">
        <f>+IF(CH$1&lt;&gt;CG$1,CG15*1.05, CG15)</f>
        <v/>
      </c>
      <c r="CI15" s="819">
        <f>+IF(CI$1&lt;&gt;CH$1,CH15*1.05, CH15)</f>
        <v/>
      </c>
      <c r="CJ15" s="819">
        <f>+IF(CJ$1&lt;&gt;CI$1,CI15*1.05, CI15)</f>
        <v/>
      </c>
      <c r="CK15" s="819">
        <f>+IF(CK$1&lt;&gt;CJ$1,CJ15*1.05, CJ15)</f>
        <v/>
      </c>
      <c r="CL15" s="819">
        <f>+IF(CL$1&lt;&gt;CK$1,CK15*1.05, CK15)</f>
        <v/>
      </c>
      <c r="CM15" s="819">
        <f>+IF(CM$1&lt;&gt;CL$1,CL15*1.05, CL15)</f>
        <v/>
      </c>
      <c r="CN15" s="819">
        <f>+IF(CN$1&lt;&gt;CM$1,CM15*1.05, CM15)</f>
        <v/>
      </c>
      <c r="CO15" s="819">
        <f>+IF(CO$1&lt;&gt;CN$1,CN15*1.05, CN15)</f>
        <v/>
      </c>
      <c r="CP15" s="819">
        <f>+IF(CP$1&lt;&gt;CO$1,CO15*1.05, CO15)</f>
        <v/>
      </c>
      <c r="CQ15" s="819">
        <f>+IF(CQ$1&lt;&gt;CP$1,CP15*1.05, CP15)</f>
        <v/>
      </c>
      <c r="CR15" s="819">
        <f>+IF(CR$1&lt;&gt;CQ$1,CQ15*1.05, CQ15)</f>
        <v/>
      </c>
      <c r="CS15" s="819">
        <f>+IF(CS$1&lt;&gt;CR$1,CR15*1.05, CR15)</f>
        <v/>
      </c>
      <c r="CT15" s="819">
        <f>+IF(CT$1&lt;&gt;CS$1,CS15*1.05, CS15)</f>
        <v/>
      </c>
      <c r="CU15" s="819">
        <f>+IF(CU$1&lt;&gt;CT$1,CT15*1.05, CT15)</f>
        <v/>
      </c>
      <c r="CV15" s="819">
        <f>+IF(CV$1&lt;&gt;CU$1,CU15*1.05, CU15)</f>
        <v/>
      </c>
      <c r="CW15" s="819">
        <f>+IF(CW$1&lt;&gt;CV$1,CV15*1.05, CV15)</f>
        <v/>
      </c>
      <c r="CX15" s="819">
        <f>+IF(CX$1&lt;&gt;CW$1,CW15*1.05, CW15)</f>
        <v/>
      </c>
      <c r="CY15" s="819">
        <f>+IF(CY$1&lt;&gt;CX$1,CX15*1.05, CX15)</f>
        <v/>
      </c>
      <c r="CZ15" s="819">
        <f>+IF(CZ$1&lt;&gt;CY$1,CY15*1.05, CY15)</f>
        <v/>
      </c>
      <c r="DA15" s="819">
        <f>+IF(DA$1&lt;&gt;CZ$1,CZ15*1.05, CZ15)</f>
        <v/>
      </c>
      <c r="DB15" s="819">
        <f>+IF(DB$1&lt;&gt;DA$1,DA15*1.05, DA15)</f>
        <v/>
      </c>
      <c r="DC15" s="819">
        <f>+IF(DC$1&lt;&gt;DB$1,DB15*1.05, DB15)</f>
        <v/>
      </c>
      <c r="DD15" s="819">
        <f>+IF(DD$1&lt;&gt;DC$1,DC15*1.05, DC15)</f>
        <v/>
      </c>
      <c r="DE15" s="819">
        <f>+IF(DE$1&lt;&gt;DD$1,DD15*1.05, DD15)</f>
        <v/>
      </c>
      <c r="DF15" s="819">
        <f>+IF(DF$1&lt;&gt;DE$1,DE15*1.05, DE15)</f>
        <v/>
      </c>
      <c r="DG15" s="819">
        <f>+IF(DG$1&lt;&gt;DF$1,DF15*1.05, DF15)</f>
        <v/>
      </c>
      <c r="DH15" s="819">
        <f>+IF(DH$1&lt;&gt;DG$1,DG15*1.05, DG15)</f>
        <v/>
      </c>
      <c r="DI15" s="819">
        <f>+IF(DI$1&lt;&gt;DH$1,DH15*1.05, DH15)</f>
        <v/>
      </c>
      <c r="DJ15" s="819">
        <f>+IF(DJ$1&lt;&gt;DI$1,DI15*1.05, DI15)</f>
        <v/>
      </c>
      <c r="DK15" s="819">
        <f>+IF(DK$1&lt;&gt;DJ$1,DJ15*1.05, DJ15)</f>
        <v/>
      </c>
      <c r="DL15" s="819">
        <f>+IF(DL$1&lt;&gt;DK$1,DK15*1.05, DK15)</f>
        <v/>
      </c>
      <c r="DM15" s="819">
        <f>+IF(DM$1&lt;&gt;DL$1,DL15*1.05, DL15)</f>
        <v/>
      </c>
      <c r="DN15" s="819">
        <f>+IF(DN$1&lt;&gt;DM$1,DM15*1.05, DM15)</f>
        <v/>
      </c>
      <c r="DO15" s="819">
        <f>+IF(DO$1&lt;&gt;DN$1,DN15*1.05, DN15)</f>
        <v/>
      </c>
      <c r="DP15" s="819">
        <f>+IF(DP$1&lt;&gt;DO$1,DO15*1.05, DO15)</f>
        <v/>
      </c>
      <c r="DQ15" s="819">
        <f>+IF(DQ$1&lt;&gt;DP$1,DP15*1.05, DP15)</f>
        <v/>
      </c>
      <c r="DR15" s="819">
        <f>+IF(DR$1&lt;&gt;DQ$1,DQ15*1.05, DQ15)</f>
        <v/>
      </c>
      <c r="DS15" s="819">
        <f>+IF(DS$1&lt;&gt;DR$1,DR15*1.05, DR15)</f>
        <v/>
      </c>
      <c r="DT15" s="819">
        <f>+IF(DT$1&lt;&gt;DS$1,DS15*1.05, DS15)</f>
        <v/>
      </c>
      <c r="DU15" s="819">
        <f>+IF(DU$1&lt;&gt;DT$1,DT15*1.05, DT15)</f>
        <v/>
      </c>
      <c r="DV15" s="819">
        <f>+IF(DV$1&lt;&gt;DU$1,DU15*1.05, DU15)</f>
        <v/>
      </c>
      <c r="DW15" s="819">
        <f>+IF(DW$1&lt;&gt;DV$1,DV15*1.05, DV15)</f>
        <v/>
      </c>
      <c r="DX15" s="819">
        <f>+IF(DX$1&lt;&gt;DW$1,DW15*1.05, DW15)</f>
        <v/>
      </c>
      <c r="DY15" s="819">
        <f>+IF(DY$1&lt;&gt;DX$1,DX15*1.05, DX15)</f>
        <v/>
      </c>
      <c r="DZ15" s="819">
        <f>+IF(DZ$1&lt;&gt;DY$1,DY15*1.05, DY15)</f>
        <v/>
      </c>
      <c r="EA15" s="819">
        <f>+IF(EA$1&lt;&gt;DZ$1,DZ15*1.05, DZ15)</f>
        <v/>
      </c>
      <c r="EB15" s="819">
        <f>+IF(EB$1&lt;&gt;EA$1,EA15*1.05, EA15)</f>
        <v/>
      </c>
      <c r="EC15" s="819">
        <f>+IF(EC$1&lt;&gt;EB$1,EB15*1.05, EB15)</f>
        <v/>
      </c>
      <c r="ED15" s="819">
        <f>+IF(ED$1&lt;&gt;EC$1,EC15*1.05, EC15)</f>
        <v/>
      </c>
      <c r="EE15" s="819">
        <f>+IF(EE$1&lt;&gt;ED$1,ED15*1.05, ED15)</f>
        <v/>
      </c>
      <c r="EF15" s="819">
        <f>+IF(EF$1&lt;&gt;EE$1,EE15*1.05, EE15)</f>
        <v/>
      </c>
      <c r="EG15" s="819">
        <f>+IF(EG$1&lt;&gt;EF$1,EF15*1.05, EF15)</f>
        <v/>
      </c>
      <c r="EH15" s="819">
        <f>+IF(EH$1&lt;&gt;EG$1,EG15*1.05, EG15)</f>
        <v/>
      </c>
      <c r="EI15" s="819">
        <f>+IF(EI$1&lt;&gt;EH$1,EH15*1.05, EH15)</f>
        <v/>
      </c>
      <c r="EJ15" s="819">
        <f>+IF(EJ$1&lt;&gt;EI$1,EI15*1.05, EI15)</f>
        <v/>
      </c>
      <c r="EK15" s="819">
        <f>+IF(EK$1&lt;&gt;EJ$1,EJ15*1.05, EJ15)</f>
        <v/>
      </c>
      <c r="EL15" s="819">
        <f>+IF(EL$1&lt;&gt;EK$1,EK15*1.05, EK15)</f>
        <v/>
      </c>
      <c r="EM15" s="819">
        <f>+IF(EM$1&lt;&gt;EL$1,EL15*1.05, EL15)</f>
        <v/>
      </c>
      <c r="EN15" s="819">
        <f>+IF(EN$1&lt;&gt;EM$1,EM15*1.05, EM15)</f>
        <v/>
      </c>
      <c r="EO15" s="819">
        <f>+IF(EO$1&lt;&gt;EN$1,EN15*1.05, EN15)</f>
        <v/>
      </c>
      <c r="EP15" s="819">
        <f>+IF(EP$1&lt;&gt;EO$1,EO15*1.05, EO15)</f>
        <v/>
      </c>
      <c r="EQ15" s="819">
        <f>+IF(EQ$1&lt;&gt;EP$1,EP15*1.05, EP15)</f>
        <v/>
      </c>
      <c r="ER15" s="819">
        <f>+IF(ER$1&lt;&gt;EQ$1,EQ15*1.05, EQ15)</f>
        <v/>
      </c>
      <c r="ES15" s="819">
        <f>+IF(ES$1&lt;&gt;ER$1,ER15*1.05, ER15)</f>
        <v/>
      </c>
      <c r="ET15" s="819">
        <f>+IF(ET$1&lt;&gt;ES$1,ES15*1.05, ES15)</f>
        <v/>
      </c>
      <c r="EU15" s="819">
        <f>+IF(EU$1&lt;&gt;ET$1,ET15*1.05, ET15)</f>
        <v/>
      </c>
      <c r="EV15" s="819">
        <f>+IF(EV$1&lt;&gt;EU$1,EU15*1.05, EU15)</f>
        <v/>
      </c>
      <c r="EW15" s="819">
        <f>+IF(EW$1&lt;&gt;EV$1,EV15*1.05, EV15)</f>
        <v/>
      </c>
      <c r="EX15" s="819">
        <f>+IF(EX$1&lt;&gt;EW$1,EW15*1.05, EW15)</f>
        <v/>
      </c>
      <c r="EY15" s="819">
        <f>+IF(EY$1&lt;&gt;EX$1,EX15*1.05, EX15)</f>
        <v/>
      </c>
      <c r="EZ15" s="819">
        <f>+IF(EZ$1&lt;&gt;EY$1,EY15*1.05, EY15)</f>
        <v/>
      </c>
      <c r="FA15" s="819">
        <f>+IF(FA$1&lt;&gt;EZ$1,EZ15*1.05, EZ15)</f>
        <v/>
      </c>
      <c r="FB15" s="819">
        <f>+IF(FB$1&lt;&gt;FA$1,FA15*1.05, FA15)</f>
        <v/>
      </c>
    </row>
    <row r="18">
      <c r="E18" s="473" t="inlineStr">
        <is>
          <t>Total G&amp;A Wages</t>
        </is>
      </c>
      <c r="F18" s="5" t="n"/>
      <c r="G18" s="1004">
        <f>SUM(G13:G17)</f>
        <v/>
      </c>
      <c r="H18" s="1004">
        <f>SUM(H14:H17)</f>
        <v/>
      </c>
      <c r="I18" s="1004">
        <f>SUM(I14:I17)</f>
        <v/>
      </c>
      <c r="J18" s="1004">
        <f>SUM(J14:J17)</f>
        <v/>
      </c>
      <c r="K18" s="1004">
        <f>SUM(K14:K17)</f>
        <v/>
      </c>
      <c r="L18" s="1004">
        <f>SUM(L14:L17)</f>
        <v/>
      </c>
      <c r="M18" s="1005">
        <f>SUM(M14:M17)</f>
        <v/>
      </c>
      <c r="N18" s="1004">
        <f>SUM(N14:N17)</f>
        <v/>
      </c>
      <c r="O18" s="1004">
        <f>SUM(O14:O17)</f>
        <v/>
      </c>
      <c r="P18" s="1004">
        <f>SUM(P14:P17)</f>
        <v/>
      </c>
      <c r="Q18" s="1004">
        <f>SUM(Q14:Q17)</f>
        <v/>
      </c>
      <c r="R18" s="1004">
        <f>SUM(R14:R17)</f>
        <v/>
      </c>
      <c r="S18" s="1004">
        <f>SUM(S14:S17)</f>
        <v/>
      </c>
      <c r="T18" s="1004">
        <f>SUM(T14:T17)</f>
        <v/>
      </c>
      <c r="U18" s="1004">
        <f>SUM(U14:U17)</f>
        <v/>
      </c>
      <c r="V18" s="1004">
        <f>SUM(V14:V17)</f>
        <v/>
      </c>
      <c r="W18" s="1004">
        <f>SUM(W14:W17)</f>
        <v/>
      </c>
      <c r="X18" s="1004">
        <f>SUM(X14:X17)</f>
        <v/>
      </c>
      <c r="Y18" s="1004">
        <f>SUM(Y14:Y17)</f>
        <v/>
      </c>
      <c r="Z18" s="1004">
        <f>SUM(Z14:Z17)</f>
        <v/>
      </c>
      <c r="AA18" s="1004">
        <f>SUM(AA14:AA17)</f>
        <v/>
      </c>
      <c r="AB18" s="1004">
        <f>SUM(AB14:AB17)</f>
        <v/>
      </c>
      <c r="AC18" s="1004">
        <f>SUM(AC14:AC17)</f>
        <v/>
      </c>
      <c r="AD18" s="1004">
        <f>SUM(AD14:AD17)</f>
        <v/>
      </c>
      <c r="AE18" s="1004">
        <f>SUM(AE14:AE17)</f>
        <v/>
      </c>
      <c r="AF18" s="1004">
        <f>SUM(AF14:AF17)</f>
        <v/>
      </c>
      <c r="AG18" s="1004">
        <f>SUM(AG14:AG17)</f>
        <v/>
      </c>
      <c r="AH18" s="1004">
        <f>SUM(AH14:AH17)</f>
        <v/>
      </c>
      <c r="AI18" s="1004">
        <f>SUM(AI14:AI17)</f>
        <v/>
      </c>
      <c r="AJ18" s="1004">
        <f>SUM(AJ14:AJ17)</f>
        <v/>
      </c>
      <c r="AK18" s="1004">
        <f>SUM(AK14:AK17)</f>
        <v/>
      </c>
      <c r="AL18" s="1004">
        <f>SUM(AL14:AL17)</f>
        <v/>
      </c>
      <c r="AM18" s="1004">
        <f>SUM(AM14:AM17)</f>
        <v/>
      </c>
      <c r="AN18" s="1004">
        <f>SUM(AN14:AN17)</f>
        <v/>
      </c>
      <c r="AO18" s="1004">
        <f>SUM(AO14:AO17)</f>
        <v/>
      </c>
      <c r="AP18" s="1004">
        <f>SUM(AP14:AP17)</f>
        <v/>
      </c>
      <c r="AQ18" s="1004">
        <f>SUM(AQ14:AQ17)</f>
        <v/>
      </c>
      <c r="AR18" s="1004">
        <f>SUM(AR14:AR17)</f>
        <v/>
      </c>
      <c r="AS18" s="1004">
        <f>SUM(AS14:AS17)</f>
        <v/>
      </c>
      <c r="AT18" s="1004">
        <f>SUM(AT14:AT17)</f>
        <v/>
      </c>
      <c r="AU18" s="1004">
        <f>SUM(AU14:AU17)</f>
        <v/>
      </c>
      <c r="AV18" s="1004">
        <f>SUM(AV14:AV17)</f>
        <v/>
      </c>
      <c r="AW18" s="1004">
        <f>SUM(AW14:AW17)</f>
        <v/>
      </c>
      <c r="AX18" s="1004">
        <f>SUM(AX14:AX17)</f>
        <v/>
      </c>
      <c r="AY18" s="1004">
        <f>SUM(AY14:AY17)</f>
        <v/>
      </c>
      <c r="AZ18" s="1004">
        <f>SUM(AZ14:AZ17)</f>
        <v/>
      </c>
      <c r="BA18" s="1004">
        <f>SUM(BA14:BA17)</f>
        <v/>
      </c>
      <c r="BB18" s="1004">
        <f>SUM(BB14:BB17)</f>
        <v/>
      </c>
      <c r="BC18" s="1004">
        <f>SUM(BC14:BC17)</f>
        <v/>
      </c>
      <c r="BD18" s="1004">
        <f>SUM(BD14:BD17)</f>
        <v/>
      </c>
      <c r="BE18" s="1004">
        <f>SUM(BE14:BE17)</f>
        <v/>
      </c>
      <c r="BF18" s="1004">
        <f>SUM(BF14:BF17)</f>
        <v/>
      </c>
      <c r="BG18" s="1004">
        <f>SUM(BG14:BG17)</f>
        <v/>
      </c>
      <c r="BH18" s="1004">
        <f>SUM(BH14:BH17)</f>
        <v/>
      </c>
      <c r="BI18" s="1004">
        <f>SUM(BI14:BI17)</f>
        <v/>
      </c>
      <c r="BJ18" s="1004">
        <f>SUM(BJ14:BJ17)</f>
        <v/>
      </c>
      <c r="BK18" s="1004">
        <f>SUM(BK14:BK17)</f>
        <v/>
      </c>
      <c r="BL18" s="1004">
        <f>SUM(BL14:BL17)</f>
        <v/>
      </c>
      <c r="BM18" s="1004">
        <f>SUM(BM14:BM17)</f>
        <v/>
      </c>
      <c r="BN18" s="1004">
        <f>SUM(BN14:BN17)</f>
        <v/>
      </c>
      <c r="BO18" s="1004">
        <f>SUM(BO14:BO17)</f>
        <v/>
      </c>
      <c r="BP18" s="1004">
        <f>SUM(BP14:BP17)</f>
        <v/>
      </c>
      <c r="BQ18" s="1004">
        <f>SUM(BQ14:BQ17)</f>
        <v/>
      </c>
      <c r="BR18" s="1004">
        <f>SUM(BR14:BR17)</f>
        <v/>
      </c>
      <c r="BS18" s="1004">
        <f>SUM(BS14:BS17)</f>
        <v/>
      </c>
      <c r="BT18" s="1004">
        <f>SUM(BT14:BT17)</f>
        <v/>
      </c>
      <c r="BU18" s="1004">
        <f>SUM(BU14:BU17)</f>
        <v/>
      </c>
      <c r="BV18" s="1004">
        <f>SUM(BV14:BV17)</f>
        <v/>
      </c>
      <c r="BW18" s="1004">
        <f>SUM(BW14:BW17)</f>
        <v/>
      </c>
      <c r="BX18" s="1004">
        <f>SUM(BX14:BX17)</f>
        <v/>
      </c>
      <c r="BY18" s="1004">
        <f>SUM(BY14:BY17)</f>
        <v/>
      </c>
      <c r="BZ18" s="1004">
        <f>SUM(BZ14:BZ17)</f>
        <v/>
      </c>
      <c r="CA18" s="1004">
        <f>SUM(CA14:CA17)</f>
        <v/>
      </c>
      <c r="CB18" s="1004">
        <f>SUM(CB14:CB17)</f>
        <v/>
      </c>
      <c r="CC18" s="1004">
        <f>SUM(CC14:CC17)</f>
        <v/>
      </c>
      <c r="CD18" s="1004">
        <f>SUM(CD14:CD17)</f>
        <v/>
      </c>
      <c r="CE18" s="1004">
        <f>SUM(CE14:CE17)</f>
        <v/>
      </c>
      <c r="CF18" s="1004">
        <f>SUM(CF14:CF17)</f>
        <v/>
      </c>
      <c r="CG18" s="1004">
        <f>SUM(CG14:CG17)</f>
        <v/>
      </c>
      <c r="CH18" s="1004">
        <f>SUM(CH14:CH17)</f>
        <v/>
      </c>
      <c r="CI18" s="1004">
        <f>SUM(CI14:CI17)</f>
        <v/>
      </c>
      <c r="CJ18" s="1004">
        <f>SUM(CJ14:CJ17)</f>
        <v/>
      </c>
      <c r="CK18" s="1004">
        <f>SUM(CK14:CK17)</f>
        <v/>
      </c>
      <c r="CL18" s="1004">
        <f>SUM(CL14:CL17)</f>
        <v/>
      </c>
      <c r="CM18" s="1004">
        <f>SUM(CM14:CM17)</f>
        <v/>
      </c>
      <c r="CN18" s="1004">
        <f>SUM(CN14:CN17)</f>
        <v/>
      </c>
      <c r="CO18" s="1004">
        <f>SUM(CO14:CO17)</f>
        <v/>
      </c>
      <c r="CP18" s="1004">
        <f>SUM(CP14:CP17)</f>
        <v/>
      </c>
      <c r="CQ18" s="1004">
        <f>SUM(CQ14:CQ17)</f>
        <v/>
      </c>
      <c r="CR18" s="1004">
        <f>SUM(CR14:CR17)</f>
        <v/>
      </c>
      <c r="CS18" s="1004">
        <f>SUM(CS14:CS17)</f>
        <v/>
      </c>
      <c r="CT18" s="1004">
        <f>SUM(CT14:CT17)</f>
        <v/>
      </c>
      <c r="CU18" s="1004">
        <f>SUM(CU14:CU17)</f>
        <v/>
      </c>
      <c r="CV18" s="1004">
        <f>SUM(CV14:CV17)</f>
        <v/>
      </c>
      <c r="CW18" s="1004">
        <f>SUM(CW14:CW17)</f>
        <v/>
      </c>
      <c r="CX18" s="1004">
        <f>SUM(CX14:CX17)</f>
        <v/>
      </c>
      <c r="CY18" s="1004">
        <f>SUM(CY14:CY17)</f>
        <v/>
      </c>
      <c r="CZ18" s="1004">
        <f>SUM(CZ14:CZ17)</f>
        <v/>
      </c>
      <c r="DA18" s="1004">
        <f>SUM(DA14:DA17)</f>
        <v/>
      </c>
      <c r="DB18" s="1004">
        <f>SUM(DB14:DB17)</f>
        <v/>
      </c>
      <c r="DC18" s="1004">
        <f>SUM(DC14:DC17)</f>
        <v/>
      </c>
      <c r="DD18" s="1004">
        <f>SUM(DD14:DD17)</f>
        <v/>
      </c>
      <c r="DE18" s="1004">
        <f>SUM(DE14:DE17)</f>
        <v/>
      </c>
      <c r="DF18" s="1004">
        <f>SUM(DF14:DF17)</f>
        <v/>
      </c>
      <c r="DG18" s="1004">
        <f>SUM(DG14:DG17)</f>
        <v/>
      </c>
      <c r="DH18" s="1004">
        <f>SUM(DH14:DH17)</f>
        <v/>
      </c>
      <c r="DI18" s="1004">
        <f>SUM(DI14:DI17)</f>
        <v/>
      </c>
      <c r="DJ18" s="1004">
        <f>SUM(DJ14:DJ17)</f>
        <v/>
      </c>
      <c r="DK18" s="1004">
        <f>SUM(DK14:DK17)</f>
        <v/>
      </c>
      <c r="DL18" s="1004">
        <f>SUM(DL14:DL17)</f>
        <v/>
      </c>
      <c r="DM18" s="1004">
        <f>SUM(DM14:DM17)</f>
        <v/>
      </c>
      <c r="DN18" s="1004">
        <f>SUM(DN14:DN17)</f>
        <v/>
      </c>
      <c r="DO18" s="1004">
        <f>SUM(DO14:DO17)</f>
        <v/>
      </c>
      <c r="DP18" s="1004">
        <f>SUM(DP14:DP17)</f>
        <v/>
      </c>
      <c r="DQ18" s="1004">
        <f>SUM(DQ14:DQ17)</f>
        <v/>
      </c>
      <c r="DR18" s="1004">
        <f>SUM(DR14:DR17)</f>
        <v/>
      </c>
      <c r="DS18" s="1004">
        <f>SUM(DS14:DS17)</f>
        <v/>
      </c>
      <c r="DT18" s="1004">
        <f>SUM(DT14:DT17)</f>
        <v/>
      </c>
      <c r="DU18" s="1004">
        <f>SUM(DU14:DU17)</f>
        <v/>
      </c>
      <c r="DV18" s="1004">
        <f>SUM(DV14:DV17)</f>
        <v/>
      </c>
      <c r="DW18" s="1004">
        <f>SUM(DW14:DW17)</f>
        <v/>
      </c>
      <c r="DX18" s="1004">
        <f>SUM(DX14:DX17)</f>
        <v/>
      </c>
      <c r="DY18" s="1004">
        <f>SUM(DY14:DY17)</f>
        <v/>
      </c>
      <c r="DZ18" s="1004">
        <f>SUM(DZ14:DZ17)</f>
        <v/>
      </c>
      <c r="EA18" s="1004">
        <f>SUM(EA14:EA17)</f>
        <v/>
      </c>
      <c r="EB18" s="1004">
        <f>SUM(EB14:EB17)</f>
        <v/>
      </c>
      <c r="EC18" s="1004">
        <f>SUM(EC14:EC17)</f>
        <v/>
      </c>
      <c r="ED18" s="1004">
        <f>SUM(ED14:ED17)</f>
        <v/>
      </c>
      <c r="EE18" s="1004">
        <f>SUM(EE14:EE17)</f>
        <v/>
      </c>
      <c r="EF18" s="1004">
        <f>SUM(EF14:EF17)</f>
        <v/>
      </c>
      <c r="EG18" s="1004">
        <f>SUM(EG14:EG17)</f>
        <v/>
      </c>
      <c r="EH18" s="1004">
        <f>SUM(EH14:EH17)</f>
        <v/>
      </c>
      <c r="EI18" s="1004">
        <f>SUM(EI14:EI17)</f>
        <v/>
      </c>
      <c r="EJ18" s="1004">
        <f>SUM(EJ14:EJ17)</f>
        <v/>
      </c>
      <c r="EK18" s="1004">
        <f>SUM(EK14:EK17)</f>
        <v/>
      </c>
      <c r="EL18" s="1004">
        <f>SUM(EL14:EL17)</f>
        <v/>
      </c>
      <c r="EM18" s="1004">
        <f>SUM(EM14:EM17)</f>
        <v/>
      </c>
      <c r="EN18" s="1004">
        <f>SUM(EN14:EN17)</f>
        <v/>
      </c>
      <c r="EO18" s="1004">
        <f>SUM(EO14:EO17)</f>
        <v/>
      </c>
      <c r="EP18" s="1004">
        <f>SUM(EP14:EP17)</f>
        <v/>
      </c>
      <c r="EQ18" s="1004">
        <f>SUM(EQ14:EQ17)</f>
        <v/>
      </c>
      <c r="ER18" s="1004">
        <f>SUM(ER14:ER17)</f>
        <v/>
      </c>
      <c r="ES18" s="1004">
        <f>SUM(ES14:ES17)</f>
        <v/>
      </c>
      <c r="ET18" s="1004">
        <f>SUM(ET14:ET17)</f>
        <v/>
      </c>
      <c r="EU18" s="1004">
        <f>SUM(EU14:EU17)</f>
        <v/>
      </c>
      <c r="EV18" s="1004">
        <f>SUM(EV14:EV17)</f>
        <v/>
      </c>
      <c r="EW18" s="1004">
        <f>SUM(EW14:EW17)</f>
        <v/>
      </c>
      <c r="EX18" s="1004">
        <f>SUM(EX14:EX17)</f>
        <v/>
      </c>
      <c r="EY18" s="1004">
        <f>SUM(EY14:EY17)</f>
        <v/>
      </c>
      <c r="EZ18" s="1004">
        <f>SUM(EZ14:EZ17)</f>
        <v/>
      </c>
      <c r="FA18" s="1004">
        <f>SUM(FA14:FA17)</f>
        <v/>
      </c>
      <c r="FB18" s="1005">
        <f>SUM(FB14:FB17)</f>
        <v/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tabColor theme="0" tint="-0.249977111117893"/>
    <outlinePr summaryBelow="1" summaryRight="1"/>
    <pageSetUpPr/>
  </sheetPr>
  <dimension ref="B2:C93"/>
  <sheetViews>
    <sheetView topLeftCell="A64" workbookViewId="0">
      <selection activeCell="C77" sqref="C77"/>
    </sheetView>
  </sheetViews>
  <sheetFormatPr baseColWidth="8" defaultColWidth="8.7109375" defaultRowHeight="15"/>
  <cols>
    <col width="10.7109375" bestFit="1" customWidth="1" style="627" min="2" max="2"/>
    <col width="14.28515625" bestFit="1" customWidth="1" style="627" min="3" max="3"/>
  </cols>
  <sheetData>
    <row r="2">
      <c r="B2" s="1007" t="inlineStr">
        <is>
          <t>Holidays</t>
        </is>
      </c>
      <c r="C2" s="13" t="n"/>
    </row>
    <row r="3">
      <c r="B3" s="1008" t="n">
        <v>43831</v>
      </c>
      <c r="C3" t="inlineStr">
        <is>
          <t>New Years</t>
        </is>
      </c>
    </row>
    <row r="4">
      <c r="B4" s="1008" t="n">
        <v>43850</v>
      </c>
      <c r="C4" t="inlineStr">
        <is>
          <t>MLK</t>
        </is>
      </c>
    </row>
    <row r="5">
      <c r="B5" s="1008" t="n">
        <v>43878</v>
      </c>
      <c r="C5" t="inlineStr">
        <is>
          <t>Presidents Day</t>
        </is>
      </c>
    </row>
    <row r="6">
      <c r="B6" s="1008" t="n">
        <v>43976</v>
      </c>
      <c r="C6" t="inlineStr">
        <is>
          <t>Memorial Day</t>
        </is>
      </c>
    </row>
    <row r="7">
      <c r="B7" s="1008" t="n">
        <v>44081</v>
      </c>
      <c r="C7" t="inlineStr">
        <is>
          <t>Labor Day</t>
        </is>
      </c>
    </row>
    <row r="8">
      <c r="B8" s="1008" t="n">
        <v>44016</v>
      </c>
      <c r="C8" t="inlineStr">
        <is>
          <t>4th of July</t>
        </is>
      </c>
    </row>
    <row r="9">
      <c r="B9" s="1008" t="n">
        <v>44161</v>
      </c>
      <c r="C9" t="inlineStr">
        <is>
          <t>Thanksgiving</t>
        </is>
      </c>
    </row>
    <row r="10">
      <c r="B10" s="1008">
        <f>+B9+1</f>
        <v/>
      </c>
      <c r="C10" t="inlineStr">
        <is>
          <t>Black Friday</t>
        </is>
      </c>
    </row>
    <row r="11">
      <c r="B11" s="1008" t="n">
        <v>44189</v>
      </c>
      <c r="C11" t="inlineStr">
        <is>
          <t>Christmas Eve</t>
        </is>
      </c>
    </row>
    <row r="12">
      <c r="B12" s="1008">
        <f>+B11+1</f>
        <v/>
      </c>
      <c r="C12" t="inlineStr">
        <is>
          <t>Christmas</t>
        </is>
      </c>
    </row>
    <row r="13">
      <c r="B13" s="1008">
        <f>+B3+366</f>
        <v/>
      </c>
      <c r="C13" t="inlineStr">
        <is>
          <t>New Years</t>
        </is>
      </c>
    </row>
    <row r="14">
      <c r="B14" s="1008">
        <f>+B4+366</f>
        <v/>
      </c>
      <c r="C14" t="inlineStr">
        <is>
          <t>MLK</t>
        </is>
      </c>
    </row>
    <row r="15">
      <c r="B15" s="1008">
        <f>+B5+366</f>
        <v/>
      </c>
      <c r="C15" t="inlineStr">
        <is>
          <t>Presidents Day</t>
        </is>
      </c>
    </row>
    <row r="16">
      <c r="B16" s="1008">
        <f>+B6+366</f>
        <v/>
      </c>
      <c r="C16" t="inlineStr">
        <is>
          <t>Memorial Day</t>
        </is>
      </c>
    </row>
    <row r="17">
      <c r="B17" s="1008">
        <f>+B7+366</f>
        <v/>
      </c>
      <c r="C17" t="inlineStr">
        <is>
          <t>Labor Day</t>
        </is>
      </c>
    </row>
    <row r="18">
      <c r="B18" s="1008">
        <f>+B8+366</f>
        <v/>
      </c>
      <c r="C18" t="inlineStr">
        <is>
          <t>4th of July</t>
        </is>
      </c>
    </row>
    <row r="19">
      <c r="B19" s="1008">
        <f>+B9+366</f>
        <v/>
      </c>
      <c r="C19" t="inlineStr">
        <is>
          <t>Thanksgiving</t>
        </is>
      </c>
    </row>
    <row r="20">
      <c r="B20" s="1008">
        <f>+B10+366</f>
        <v/>
      </c>
      <c r="C20" t="inlineStr">
        <is>
          <t>Black Friday</t>
        </is>
      </c>
    </row>
    <row r="21">
      <c r="B21" s="1008">
        <f>+B11+366</f>
        <v/>
      </c>
      <c r="C21" t="inlineStr">
        <is>
          <t>Christmas Eve</t>
        </is>
      </c>
    </row>
    <row r="22">
      <c r="B22" s="1008">
        <f>+B12+366</f>
        <v/>
      </c>
      <c r="C22" t="inlineStr">
        <is>
          <t>Christmas</t>
        </is>
      </c>
    </row>
    <row r="23">
      <c r="B23" s="1008">
        <f>+B13+365</f>
        <v/>
      </c>
      <c r="C23" t="inlineStr">
        <is>
          <t>New Years</t>
        </is>
      </c>
    </row>
    <row r="24">
      <c r="B24" s="1008">
        <f>+B14+365</f>
        <v/>
      </c>
      <c r="C24" t="inlineStr">
        <is>
          <t>MLK</t>
        </is>
      </c>
    </row>
    <row r="25">
      <c r="B25" s="1008">
        <f>+B15+365</f>
        <v/>
      </c>
      <c r="C25" t="inlineStr">
        <is>
          <t>Presidents Day</t>
        </is>
      </c>
    </row>
    <row r="26">
      <c r="B26" s="1008">
        <f>+B16+365</f>
        <v/>
      </c>
      <c r="C26" t="inlineStr">
        <is>
          <t>Memorial Day</t>
        </is>
      </c>
    </row>
    <row r="27">
      <c r="B27" s="1008">
        <f>+B17+365</f>
        <v/>
      </c>
      <c r="C27" t="inlineStr">
        <is>
          <t>Labor Day</t>
        </is>
      </c>
    </row>
    <row r="28">
      <c r="B28" s="1008">
        <f>+B18+365</f>
        <v/>
      </c>
      <c r="C28" t="inlineStr">
        <is>
          <t>4th of July</t>
        </is>
      </c>
    </row>
    <row r="29">
      <c r="B29" s="1008">
        <f>+B19+365</f>
        <v/>
      </c>
      <c r="C29" t="inlineStr">
        <is>
          <t>Thanksgiving</t>
        </is>
      </c>
    </row>
    <row r="30">
      <c r="B30" s="1008">
        <f>+B20+365</f>
        <v/>
      </c>
      <c r="C30" t="inlineStr">
        <is>
          <t>Black Friday</t>
        </is>
      </c>
    </row>
    <row r="31">
      <c r="B31" s="1008">
        <f>+B21+365</f>
        <v/>
      </c>
      <c r="C31" t="inlineStr">
        <is>
          <t>Christmas Eve</t>
        </is>
      </c>
    </row>
    <row r="32">
      <c r="B32" s="1008">
        <f>+B22+365</f>
        <v/>
      </c>
      <c r="C32" t="inlineStr">
        <is>
          <t>Christmas</t>
        </is>
      </c>
    </row>
    <row r="33">
      <c r="B33" s="1008">
        <f>+B23+365</f>
        <v/>
      </c>
      <c r="C33" t="inlineStr">
        <is>
          <t>New Years</t>
        </is>
      </c>
    </row>
    <row r="34">
      <c r="B34" s="1008">
        <f>+B24+365</f>
        <v/>
      </c>
      <c r="C34" t="inlineStr">
        <is>
          <t>MLK</t>
        </is>
      </c>
    </row>
    <row r="35">
      <c r="B35" s="1008">
        <f>+B25+365</f>
        <v/>
      </c>
      <c r="C35" t="inlineStr">
        <is>
          <t>Presidents Day</t>
        </is>
      </c>
    </row>
    <row r="36">
      <c r="B36" s="1008">
        <f>+B26+365</f>
        <v/>
      </c>
      <c r="C36" t="inlineStr">
        <is>
          <t>Memorial Day</t>
        </is>
      </c>
    </row>
    <row r="37">
      <c r="B37" s="1008">
        <f>+B27+365</f>
        <v/>
      </c>
      <c r="C37" t="inlineStr">
        <is>
          <t>Labor Day</t>
        </is>
      </c>
    </row>
    <row r="38">
      <c r="B38" s="1008">
        <f>+B28+365</f>
        <v/>
      </c>
      <c r="C38" t="inlineStr">
        <is>
          <t>4th of July</t>
        </is>
      </c>
    </row>
    <row r="39">
      <c r="B39" s="1008">
        <f>+B29+365</f>
        <v/>
      </c>
      <c r="C39" t="inlineStr">
        <is>
          <t>Thanksgiving</t>
        </is>
      </c>
    </row>
    <row r="40">
      <c r="B40" s="1008">
        <f>+B30+365</f>
        <v/>
      </c>
      <c r="C40" t="inlineStr">
        <is>
          <t>Black Friday</t>
        </is>
      </c>
    </row>
    <row r="41">
      <c r="B41" s="1008">
        <f>+B31+365</f>
        <v/>
      </c>
      <c r="C41" t="inlineStr">
        <is>
          <t>Christmas Eve</t>
        </is>
      </c>
    </row>
    <row r="42">
      <c r="B42" s="1008">
        <f>+B32+365</f>
        <v/>
      </c>
      <c r="C42" t="inlineStr">
        <is>
          <t>Christmas</t>
        </is>
      </c>
    </row>
    <row r="43">
      <c r="B43" s="1008">
        <f>+B33+365</f>
        <v/>
      </c>
      <c r="C43" t="inlineStr">
        <is>
          <t>New Years</t>
        </is>
      </c>
    </row>
    <row r="44">
      <c r="B44" s="1008">
        <f>+B34+365</f>
        <v/>
      </c>
      <c r="C44" t="inlineStr">
        <is>
          <t>MLK</t>
        </is>
      </c>
    </row>
    <row r="45">
      <c r="B45" s="1008">
        <f>+B35+365</f>
        <v/>
      </c>
      <c r="C45" t="inlineStr">
        <is>
          <t>Presidents Day</t>
        </is>
      </c>
    </row>
    <row r="46">
      <c r="B46" s="1008">
        <f>+B36+365</f>
        <v/>
      </c>
      <c r="C46" t="inlineStr">
        <is>
          <t>Memorial Day</t>
        </is>
      </c>
    </row>
    <row r="47">
      <c r="B47" s="1008">
        <f>+B37+365</f>
        <v/>
      </c>
      <c r="C47" t="inlineStr">
        <is>
          <t>Labor Day</t>
        </is>
      </c>
    </row>
    <row r="48">
      <c r="B48" s="1008">
        <f>+B38+365</f>
        <v/>
      </c>
      <c r="C48" t="inlineStr">
        <is>
          <t>4th of July</t>
        </is>
      </c>
    </row>
    <row r="49">
      <c r="B49" s="1008">
        <f>+B39+365</f>
        <v/>
      </c>
      <c r="C49" t="inlineStr">
        <is>
          <t>Thanksgiving</t>
        </is>
      </c>
    </row>
    <row r="50">
      <c r="B50" s="1008">
        <f>+B40+365</f>
        <v/>
      </c>
      <c r="C50" t="inlineStr">
        <is>
          <t>Black Friday</t>
        </is>
      </c>
    </row>
    <row r="51">
      <c r="B51" s="1008">
        <f>+B41+365</f>
        <v/>
      </c>
      <c r="C51" t="inlineStr">
        <is>
          <t>Christmas Eve</t>
        </is>
      </c>
    </row>
    <row r="52">
      <c r="B52" s="1008">
        <f>+B42+365</f>
        <v/>
      </c>
      <c r="C52" t="inlineStr">
        <is>
          <t>Christmas</t>
        </is>
      </c>
    </row>
    <row r="53">
      <c r="B53" s="1008">
        <f>+B43+365</f>
        <v/>
      </c>
      <c r="C53" t="inlineStr">
        <is>
          <t>New Years</t>
        </is>
      </c>
    </row>
    <row r="54">
      <c r="B54" s="1008">
        <f>+B44+365</f>
        <v/>
      </c>
      <c r="C54" t="inlineStr">
        <is>
          <t>MLK</t>
        </is>
      </c>
    </row>
    <row r="55">
      <c r="B55" s="1008">
        <f>+B45+365</f>
        <v/>
      </c>
      <c r="C55" t="inlineStr">
        <is>
          <t>Presidents Day</t>
        </is>
      </c>
    </row>
    <row r="56">
      <c r="B56" s="1008">
        <f>+B46+365</f>
        <v/>
      </c>
      <c r="C56" t="inlineStr">
        <is>
          <t>Memorial Day</t>
        </is>
      </c>
    </row>
    <row r="57">
      <c r="B57" s="1008">
        <f>+B47+365</f>
        <v/>
      </c>
      <c r="C57" t="inlineStr">
        <is>
          <t>Labor Day</t>
        </is>
      </c>
    </row>
    <row r="58">
      <c r="B58" s="1008">
        <f>+B48+365</f>
        <v/>
      </c>
      <c r="C58" t="inlineStr">
        <is>
          <t>4th of July</t>
        </is>
      </c>
    </row>
    <row r="59">
      <c r="B59" s="1008">
        <f>+B49+365</f>
        <v/>
      </c>
      <c r="C59" t="inlineStr">
        <is>
          <t>Thanksgiving</t>
        </is>
      </c>
    </row>
    <row r="60">
      <c r="B60" s="1008">
        <f>+B50+365</f>
        <v/>
      </c>
      <c r="C60" t="inlineStr">
        <is>
          <t>Black Friday</t>
        </is>
      </c>
    </row>
    <row r="61">
      <c r="B61" s="1008">
        <f>+B51+365</f>
        <v/>
      </c>
      <c r="C61" t="inlineStr">
        <is>
          <t>Christmas Eve</t>
        </is>
      </c>
    </row>
    <row r="62">
      <c r="B62" s="1008">
        <f>+B52+365</f>
        <v/>
      </c>
      <c r="C62" t="inlineStr">
        <is>
          <t>Christmas</t>
        </is>
      </c>
    </row>
    <row r="63">
      <c r="B63" s="1008">
        <f>+B53+365</f>
        <v/>
      </c>
      <c r="C63" t="inlineStr">
        <is>
          <t>New Years</t>
        </is>
      </c>
    </row>
    <row r="64">
      <c r="B64" s="1008">
        <f>+B54+365</f>
        <v/>
      </c>
      <c r="C64" t="inlineStr">
        <is>
          <t>MLK</t>
        </is>
      </c>
    </row>
    <row r="65">
      <c r="B65" s="1008">
        <f>+B55+365</f>
        <v/>
      </c>
      <c r="C65" t="inlineStr">
        <is>
          <t>Presidents Day</t>
        </is>
      </c>
    </row>
    <row r="66">
      <c r="B66" s="1008">
        <f>+B56+365</f>
        <v/>
      </c>
      <c r="C66" t="inlineStr">
        <is>
          <t>Memorial Day</t>
        </is>
      </c>
    </row>
    <row r="67">
      <c r="B67" s="1008">
        <f>+B57+365</f>
        <v/>
      </c>
      <c r="C67" t="inlineStr">
        <is>
          <t>Labor Day</t>
        </is>
      </c>
    </row>
    <row r="68">
      <c r="B68" s="1008">
        <f>+B58+365</f>
        <v/>
      </c>
      <c r="C68" t="inlineStr">
        <is>
          <t>5th of July</t>
        </is>
      </c>
    </row>
    <row r="69">
      <c r="B69" s="1008">
        <f>+B59+365</f>
        <v/>
      </c>
      <c r="C69" t="inlineStr">
        <is>
          <t>Thanksgiving</t>
        </is>
      </c>
    </row>
    <row r="70">
      <c r="B70" s="1008">
        <f>+B60+365</f>
        <v/>
      </c>
      <c r="C70" t="inlineStr">
        <is>
          <t>Black Friday</t>
        </is>
      </c>
    </row>
    <row r="71">
      <c r="B71" s="1008">
        <f>+B61+365</f>
        <v/>
      </c>
      <c r="C71" t="inlineStr">
        <is>
          <t>Christmas Eve</t>
        </is>
      </c>
    </row>
    <row r="72">
      <c r="B72" s="1008">
        <f>+B62+365</f>
        <v/>
      </c>
      <c r="C72" t="inlineStr">
        <is>
          <t>Christmas</t>
        </is>
      </c>
    </row>
    <row r="73">
      <c r="B73" s="1008">
        <f>+B63+365</f>
        <v/>
      </c>
      <c r="C73" t="inlineStr">
        <is>
          <t>New Years</t>
        </is>
      </c>
    </row>
    <row r="74">
      <c r="B74" s="1008">
        <f>+B64+365</f>
        <v/>
      </c>
      <c r="C74" t="inlineStr">
        <is>
          <t>MLK</t>
        </is>
      </c>
    </row>
    <row r="75">
      <c r="B75" s="1008">
        <f>+B65+365</f>
        <v/>
      </c>
      <c r="C75" t="inlineStr">
        <is>
          <t>Presidents Day</t>
        </is>
      </c>
    </row>
    <row r="76">
      <c r="B76" s="1008">
        <f>+B66+365</f>
        <v/>
      </c>
      <c r="C76" t="inlineStr">
        <is>
          <t>Memorial Day</t>
        </is>
      </c>
    </row>
    <row r="77">
      <c r="B77" s="1008">
        <f>+B67+365</f>
        <v/>
      </c>
      <c r="C77" t="inlineStr">
        <is>
          <t>Labor Day</t>
        </is>
      </c>
    </row>
    <row r="78">
      <c r="B78" s="1008">
        <f>+B68+365</f>
        <v/>
      </c>
      <c r="C78" t="inlineStr">
        <is>
          <t>6th of July</t>
        </is>
      </c>
    </row>
    <row r="79">
      <c r="B79" s="1008">
        <f>+B69+365</f>
        <v/>
      </c>
      <c r="C79" t="inlineStr">
        <is>
          <t>Thanksgiving</t>
        </is>
      </c>
    </row>
    <row r="80">
      <c r="B80" s="1008">
        <f>+B70+365</f>
        <v/>
      </c>
      <c r="C80" t="inlineStr">
        <is>
          <t>Black Friday</t>
        </is>
      </c>
    </row>
    <row r="81">
      <c r="B81" s="1008">
        <f>+B71+365</f>
        <v/>
      </c>
      <c r="C81" t="inlineStr">
        <is>
          <t>Christmas Eve</t>
        </is>
      </c>
    </row>
    <row r="82">
      <c r="B82" s="1008">
        <f>+B72+365</f>
        <v/>
      </c>
      <c r="C82" t="inlineStr">
        <is>
          <t>Christmas</t>
        </is>
      </c>
    </row>
    <row r="83">
      <c r="B83" s="1008">
        <f>+B73+365</f>
        <v/>
      </c>
      <c r="C83" t="inlineStr">
        <is>
          <t>New Years</t>
        </is>
      </c>
    </row>
    <row r="84">
      <c r="B84" s="1008">
        <f>+B74+365</f>
        <v/>
      </c>
      <c r="C84" t="inlineStr">
        <is>
          <t>MLK</t>
        </is>
      </c>
    </row>
    <row r="85">
      <c r="B85" s="1008">
        <f>+B75+365</f>
        <v/>
      </c>
      <c r="C85" t="inlineStr">
        <is>
          <t>Presidents Day</t>
        </is>
      </c>
    </row>
    <row r="86">
      <c r="B86" s="1008">
        <f>+B76+365</f>
        <v/>
      </c>
      <c r="C86" t="inlineStr">
        <is>
          <t>Memorial Day</t>
        </is>
      </c>
    </row>
    <row r="87">
      <c r="B87" s="1008">
        <f>+B77+365</f>
        <v/>
      </c>
      <c r="C87" t="inlineStr">
        <is>
          <t>Labor Day</t>
        </is>
      </c>
    </row>
    <row r="88">
      <c r="B88" s="1008">
        <f>+B78+365</f>
        <v/>
      </c>
      <c r="C88" t="inlineStr">
        <is>
          <t>7th of July</t>
        </is>
      </c>
    </row>
    <row r="89">
      <c r="B89" s="1008">
        <f>+B79+365</f>
        <v/>
      </c>
      <c r="C89" t="inlineStr">
        <is>
          <t>Thanksgiving</t>
        </is>
      </c>
    </row>
    <row r="90">
      <c r="B90" s="1008">
        <f>+B80+365</f>
        <v/>
      </c>
      <c r="C90" t="inlineStr">
        <is>
          <t>Black Friday</t>
        </is>
      </c>
    </row>
    <row r="91">
      <c r="B91" s="1008">
        <f>+B81+365</f>
        <v/>
      </c>
      <c r="C91" t="inlineStr">
        <is>
          <t>Christmas Eve</t>
        </is>
      </c>
    </row>
    <row r="92">
      <c r="B92" s="1008">
        <f>+B82+365</f>
        <v/>
      </c>
      <c r="C92" t="inlineStr">
        <is>
          <t>Christmas</t>
        </is>
      </c>
    </row>
    <row r="93">
      <c r="B93" s="1008">
        <f>+B83+365</f>
        <v/>
      </c>
      <c r="C93" t="inlineStr">
        <is>
          <t>New Years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FD18"/>
  <sheetViews>
    <sheetView workbookViewId="0">
      <selection activeCell="C2" sqref="C2:C16"/>
    </sheetView>
  </sheetViews>
  <sheetFormatPr baseColWidth="8" defaultColWidth="8.7109375" defaultRowHeight="15"/>
  <cols>
    <col width="8.7109375" customWidth="1" style="131" min="1" max="1"/>
    <col width="12.28515625" bestFit="1" customWidth="1" style="131" min="2" max="2"/>
    <col width="8.7109375" customWidth="1" style="131" min="3" max="9"/>
    <col width="15" bestFit="1" customWidth="1" style="131" min="10" max="10"/>
    <col width="8.7109375" customWidth="1" style="131" min="11" max="11"/>
    <col width="8.7109375" customWidth="1" style="131" min="12" max="16384"/>
  </cols>
  <sheetData>
    <row r="1">
      <c r="A1" s="131" t="inlineStr">
        <is>
          <t>Student</t>
        </is>
      </c>
      <c r="B1" s="131" t="inlineStr">
        <is>
          <t>Date</t>
        </is>
      </c>
      <c r="C1" s="131" t="inlineStr">
        <is>
          <t>Hours</t>
        </is>
      </c>
      <c r="D1" s="131" t="inlineStr">
        <is>
          <t>Rate ($/hr)</t>
        </is>
      </c>
      <c r="E1" s="131" t="inlineStr">
        <is>
          <t>Coin</t>
        </is>
      </c>
      <c r="F1" s="131" t="inlineStr">
        <is>
          <t>Billed?</t>
        </is>
      </c>
      <c r="G1" s="131" t="inlineStr">
        <is>
          <t>Received payment?</t>
        </is>
      </c>
      <c r="H1" s="131" t="inlineStr">
        <is>
          <t>Topic</t>
        </is>
      </c>
      <c r="I1" s="131" t="inlineStr">
        <is>
          <t>Tip?</t>
        </is>
      </c>
      <c r="J1" s="132" t="inlineStr">
        <is>
          <t>Paid via invoice?</t>
        </is>
      </c>
      <c r="K1" s="131" t="inlineStr">
        <is>
          <t>Totals</t>
        </is>
      </c>
    </row>
    <row r="2">
      <c r="A2" s="133" t="inlineStr">
        <is>
          <t>Caroline Frey</t>
        </is>
      </c>
      <c r="B2" s="133" t="inlineStr">
        <is>
          <t>Asynchronous</t>
        </is>
      </c>
      <c r="C2" s="133" t="n">
        <v>2</v>
      </c>
      <c r="D2" s="133" t="n">
        <v>50</v>
      </c>
      <c r="E2" s="133" t="n">
        <v>100</v>
      </c>
      <c r="F2" s="133" t="inlineStr">
        <is>
          <t>Yes</t>
        </is>
      </c>
      <c r="G2" s="133" t="inlineStr">
        <is>
          <t>Yes</t>
        </is>
      </c>
      <c r="H2" s="133" t="inlineStr">
        <is>
          <t>Honors College Essays</t>
        </is>
      </c>
      <c r="I2" s="133" t="n"/>
      <c r="J2" s="134" t="inlineStr">
        <is>
          <t>Venmo for Tip</t>
        </is>
      </c>
      <c r="K2" s="133" t="n">
        <v>100</v>
      </c>
    </row>
    <row r="3">
      <c r="A3" s="133" t="inlineStr">
        <is>
          <t>Elle Mishler</t>
        </is>
      </c>
      <c r="B3" s="135" t="n">
        <v>44906</v>
      </c>
      <c r="C3" s="133" t="n">
        <v>1.25</v>
      </c>
      <c r="D3" s="134" t="n">
        <v>60</v>
      </c>
      <c r="E3" s="133" t="n">
        <v>75</v>
      </c>
      <c r="F3" s="133" t="inlineStr">
        <is>
          <t>Yes</t>
        </is>
      </c>
      <c r="G3" s="133" t="inlineStr">
        <is>
          <t>Yes</t>
        </is>
      </c>
      <c r="H3" s="133" t="inlineStr">
        <is>
          <t>Algebra 1</t>
        </is>
      </c>
      <c r="I3" s="133" t="inlineStr">
        <is>
          <t>No</t>
        </is>
      </c>
      <c r="J3" s="133" t="inlineStr">
        <is>
          <t>QBA</t>
        </is>
      </c>
      <c r="K3" s="133" t="n">
        <v>75</v>
      </c>
    </row>
    <row r="4">
      <c r="A4" s="133" t="inlineStr">
        <is>
          <t>John Surles</t>
        </is>
      </c>
      <c r="B4" s="135" t="n">
        <v>44907</v>
      </c>
      <c r="C4" s="133" t="n">
        <v>1</v>
      </c>
      <c r="D4" s="134" t="n">
        <v>60</v>
      </c>
      <c r="E4" s="133" t="n">
        <v>60</v>
      </c>
      <c r="F4" s="133" t="inlineStr">
        <is>
          <t>Yes</t>
        </is>
      </c>
      <c r="G4" s="133" t="inlineStr">
        <is>
          <t>Yes</t>
        </is>
      </c>
      <c r="H4" s="133" t="inlineStr">
        <is>
          <t>Advanced Functions - Fundamental Therem of Algebra, Conjugate Theorem</t>
        </is>
      </c>
      <c r="I4" s="133" t="inlineStr">
        <is>
          <t>No</t>
        </is>
      </c>
      <c r="J4" s="133" t="inlineStr">
        <is>
          <t>QBA</t>
        </is>
      </c>
      <c r="K4" s="133" t="n">
        <v>60</v>
      </c>
    </row>
    <row r="5">
      <c r="A5" s="133" t="inlineStr">
        <is>
          <t>John Surles</t>
        </is>
      </c>
      <c r="B5" s="135" t="n">
        <v>44908</v>
      </c>
      <c r="C5" s="133" t="n">
        <v>1.5</v>
      </c>
      <c r="D5" s="134" t="n">
        <v>60</v>
      </c>
      <c r="E5" s="133" t="n">
        <v>90</v>
      </c>
      <c r="F5" s="133" t="inlineStr">
        <is>
          <t>Yes</t>
        </is>
      </c>
      <c r="G5" s="133" t="inlineStr">
        <is>
          <t>Yes</t>
        </is>
      </c>
      <c r="H5" s="133" t="inlineStr">
        <is>
          <t>Advanced Functions - Fundamental Therem of Algebra, Conjugate Theorem</t>
        </is>
      </c>
      <c r="I5" s="133" t="inlineStr">
        <is>
          <t>No</t>
        </is>
      </c>
      <c r="J5" s="133" t="inlineStr">
        <is>
          <t>QBA</t>
        </is>
      </c>
      <c r="K5" s="133" t="n">
        <v>90</v>
      </c>
    </row>
    <row r="6">
      <c r="A6" s="133" t="inlineStr">
        <is>
          <t>John Surles</t>
        </is>
      </c>
      <c r="B6" s="135" t="n">
        <v>44910</v>
      </c>
      <c r="C6" s="133" t="n">
        <v>1.5</v>
      </c>
      <c r="D6" s="133" t="n">
        <v>60</v>
      </c>
      <c r="E6" s="133" t="n">
        <v>90</v>
      </c>
      <c r="F6" s="133" t="inlineStr">
        <is>
          <t>Yes</t>
        </is>
      </c>
      <c r="G6" s="133" t="inlineStr">
        <is>
          <t>Yes</t>
        </is>
      </c>
      <c r="H6" s="133" t="inlineStr">
        <is>
          <t>Advanced Functions - Fundamental Therem of Algebra, Conjugate Theorem</t>
        </is>
      </c>
      <c r="I6" s="133" t="inlineStr">
        <is>
          <t>No</t>
        </is>
      </c>
      <c r="J6" s="133" t="inlineStr">
        <is>
          <t>QBA</t>
        </is>
      </c>
      <c r="K6" s="133" t="n">
        <v>90</v>
      </c>
    </row>
    <row r="7">
      <c r="A7" s="133" t="inlineStr">
        <is>
          <t>Leyla Aggarwal</t>
        </is>
      </c>
      <c r="B7" s="135" t="n">
        <v>44905</v>
      </c>
      <c r="C7" s="133" t="n">
        <v>1</v>
      </c>
      <c r="D7" s="134" t="n">
        <v>60</v>
      </c>
      <c r="E7" s="133" t="n">
        <v>60</v>
      </c>
      <c r="F7" s="133" t="inlineStr">
        <is>
          <t>Yes</t>
        </is>
      </c>
      <c r="G7" s="133" t="inlineStr">
        <is>
          <t>Yes</t>
        </is>
      </c>
      <c r="H7" s="133" t="inlineStr">
        <is>
          <t>Dance Private</t>
        </is>
      </c>
      <c r="I7" s="133" t="inlineStr">
        <is>
          <t>No</t>
        </is>
      </c>
      <c r="J7" s="133" t="inlineStr">
        <is>
          <t>QBA</t>
        </is>
      </c>
      <c r="K7" s="133" t="n">
        <v>60</v>
      </c>
    </row>
    <row r="8">
      <c r="A8" s="133" t="inlineStr">
        <is>
          <t>Rohan Skanda</t>
        </is>
      </c>
      <c r="B8" s="135" t="n">
        <v>44898</v>
      </c>
      <c r="C8" s="133" t="n">
        <v>1.5</v>
      </c>
      <c r="D8" s="133" t="n">
        <v>50</v>
      </c>
      <c r="E8" s="133" t="n">
        <v>75</v>
      </c>
      <c r="F8" s="133" t="inlineStr">
        <is>
          <t>Yes</t>
        </is>
      </c>
      <c r="G8" s="133" t="inlineStr">
        <is>
          <t>Yes</t>
        </is>
      </c>
      <c r="H8" s="133" t="inlineStr">
        <is>
          <t>AOS Integrated Math + Science</t>
        </is>
      </c>
      <c r="I8" s="133" t="inlineStr">
        <is>
          <t>No</t>
        </is>
      </c>
      <c r="J8" s="133" t="inlineStr">
        <is>
          <t>QBA</t>
        </is>
      </c>
      <c r="K8" s="133" t="n">
        <v>75</v>
      </c>
    </row>
    <row r="9">
      <c r="A9" s="133" t="inlineStr">
        <is>
          <t>Rohan Skanda</t>
        </is>
      </c>
      <c r="B9" s="135" t="n">
        <v>44900</v>
      </c>
      <c r="C9" s="133" t="n">
        <v>1.5</v>
      </c>
      <c r="D9" s="133" t="n">
        <v>50</v>
      </c>
      <c r="E9" s="133" t="n">
        <v>75</v>
      </c>
      <c r="F9" s="133" t="inlineStr">
        <is>
          <t>Yes</t>
        </is>
      </c>
      <c r="G9" s="133" t="inlineStr">
        <is>
          <t>Yes</t>
        </is>
      </c>
      <c r="H9" s="133" t="inlineStr">
        <is>
          <t>AOS Integrated Math + Science</t>
        </is>
      </c>
      <c r="I9" s="133" t="inlineStr">
        <is>
          <t>No</t>
        </is>
      </c>
      <c r="J9" s="133" t="inlineStr">
        <is>
          <t>QBA</t>
        </is>
      </c>
      <c r="K9" s="133" t="n">
        <v>75</v>
      </c>
    </row>
    <row r="10">
      <c r="A10" s="133" t="inlineStr">
        <is>
          <t>Rohan Skanda</t>
        </is>
      </c>
      <c r="B10" s="135" t="n">
        <v>44903</v>
      </c>
      <c r="C10" s="133" t="n">
        <v>1</v>
      </c>
      <c r="D10" s="133" t="n">
        <v>50</v>
      </c>
      <c r="E10" s="133" t="n">
        <v>50</v>
      </c>
      <c r="F10" s="133" t="inlineStr">
        <is>
          <t>Yes</t>
        </is>
      </c>
      <c r="G10" s="133" t="inlineStr">
        <is>
          <t>Yes</t>
        </is>
      </c>
      <c r="H10" s="133" t="inlineStr">
        <is>
          <t>AOS Integrated Math + Science</t>
        </is>
      </c>
      <c r="I10" s="133" t="inlineStr">
        <is>
          <t>No</t>
        </is>
      </c>
      <c r="J10" s="133" t="inlineStr">
        <is>
          <t>QBA</t>
        </is>
      </c>
      <c r="K10" s="133" t="n">
        <v>50</v>
      </c>
    </row>
    <row r="11">
      <c r="A11" s="133" t="inlineStr">
        <is>
          <t>Rohan Skanda</t>
        </is>
      </c>
      <c r="B11" s="135" t="n">
        <v>44906</v>
      </c>
      <c r="C11" s="133" t="n">
        <v>2</v>
      </c>
      <c r="D11" s="133" t="n">
        <v>50</v>
      </c>
      <c r="E11" s="133" t="n">
        <v>100</v>
      </c>
      <c r="F11" s="133" t="inlineStr">
        <is>
          <t>Yes</t>
        </is>
      </c>
      <c r="G11" s="133" t="inlineStr">
        <is>
          <t>Yes</t>
        </is>
      </c>
      <c r="H11" s="133" t="inlineStr">
        <is>
          <t>AOS Integrated Math + Science</t>
        </is>
      </c>
      <c r="I11" s="133" t="inlineStr">
        <is>
          <t>No</t>
        </is>
      </c>
      <c r="J11" s="133" t="inlineStr">
        <is>
          <t>QBA</t>
        </is>
      </c>
      <c r="K11" s="133" t="n">
        <v>100</v>
      </c>
    </row>
    <row r="12">
      <c r="A12" s="133" t="inlineStr">
        <is>
          <t>Rohan Skanda</t>
        </is>
      </c>
      <c r="B12" s="135" t="n">
        <v>44907</v>
      </c>
      <c r="C12" s="133" t="n">
        <v>1.25</v>
      </c>
      <c r="D12" s="133" t="n">
        <v>50</v>
      </c>
      <c r="E12" s="133" t="n">
        <v>62.5</v>
      </c>
      <c r="F12" s="133" t="inlineStr">
        <is>
          <t>Yes</t>
        </is>
      </c>
      <c r="G12" s="133" t="inlineStr">
        <is>
          <t>Yes</t>
        </is>
      </c>
      <c r="H12" s="133" t="inlineStr">
        <is>
          <t>AOS Integrated Math + Science</t>
        </is>
      </c>
      <c r="I12" s="133" t="inlineStr">
        <is>
          <t>No</t>
        </is>
      </c>
      <c r="J12" s="133" t="inlineStr">
        <is>
          <t>QBA</t>
        </is>
      </c>
      <c r="K12" s="133" t="n">
        <v>62.5</v>
      </c>
      <c r="XFD12" s="131" t="inlineStr">
        <is>
          <t>Yes</t>
        </is>
      </c>
    </row>
    <row r="13">
      <c r="A13" s="133" t="inlineStr">
        <is>
          <t>Rohan Skanda</t>
        </is>
      </c>
      <c r="B13" s="135" t="n">
        <v>44908</v>
      </c>
      <c r="C13" s="133" t="n">
        <v>1.5</v>
      </c>
      <c r="D13" s="133" t="n">
        <v>50</v>
      </c>
      <c r="E13" s="133" t="n">
        <v>75</v>
      </c>
      <c r="F13" s="133" t="inlineStr">
        <is>
          <t>Yes</t>
        </is>
      </c>
      <c r="G13" s="133" t="inlineStr">
        <is>
          <t>Yes</t>
        </is>
      </c>
      <c r="H13" s="133" t="inlineStr">
        <is>
          <t>AOS Integrated Math + Science</t>
        </is>
      </c>
      <c r="I13" s="133" t="inlineStr">
        <is>
          <t>No</t>
        </is>
      </c>
      <c r="J13" s="133" t="inlineStr">
        <is>
          <t>QBA</t>
        </is>
      </c>
      <c r="K13" s="133" t="n">
        <v>75</v>
      </c>
    </row>
    <row r="14">
      <c r="A14" s="133" t="inlineStr">
        <is>
          <t>Rohan Skanda</t>
        </is>
      </c>
      <c r="B14" s="135" t="n">
        <v>44909</v>
      </c>
      <c r="C14" s="133" t="n">
        <v>0.5</v>
      </c>
      <c r="D14" s="133" t="n">
        <v>50</v>
      </c>
      <c r="E14" s="133" t="n">
        <v>25</v>
      </c>
      <c r="F14" s="133" t="inlineStr">
        <is>
          <t>Yes</t>
        </is>
      </c>
      <c r="G14" s="133" t="inlineStr">
        <is>
          <t>Yes</t>
        </is>
      </c>
      <c r="H14" s="133" t="inlineStr">
        <is>
          <t>AOS Integrated Math + Science</t>
        </is>
      </c>
      <c r="I14" s="133" t="inlineStr">
        <is>
          <t>No</t>
        </is>
      </c>
      <c r="J14" s="133" t="inlineStr">
        <is>
          <t>QBA</t>
        </is>
      </c>
      <c r="K14" s="133" t="n">
        <v>25</v>
      </c>
    </row>
    <row r="15">
      <c r="A15" s="133" t="inlineStr">
        <is>
          <t>Sophia Gonzales</t>
        </is>
      </c>
      <c r="B15" s="135" t="n">
        <v>44904</v>
      </c>
      <c r="C15" s="133" t="n">
        <v>2</v>
      </c>
      <c r="D15" s="134" t="n">
        <v>60</v>
      </c>
      <c r="E15" s="133" t="n">
        <v>120</v>
      </c>
      <c r="F15" s="133" t="inlineStr">
        <is>
          <t>Yes (billed with 11-Dec invoice)</t>
        </is>
      </c>
      <c r="G15" s="133" t="inlineStr">
        <is>
          <t>Yes</t>
        </is>
      </c>
      <c r="H15" s="133" t="inlineStr">
        <is>
          <t>Physics - Centripetal force and circular motion</t>
        </is>
      </c>
      <c r="I15" s="133" t="inlineStr">
        <is>
          <t>No</t>
        </is>
      </c>
      <c r="J15" s="133" t="inlineStr">
        <is>
          <t>QBA</t>
        </is>
      </c>
      <c r="K15" s="133" t="n">
        <v>0</v>
      </c>
    </row>
    <row r="16">
      <c r="A16" s="133" t="inlineStr">
        <is>
          <t>Sophia Gonzales</t>
        </is>
      </c>
      <c r="B16" s="135" t="n">
        <v>44906</v>
      </c>
      <c r="C16" s="133" t="n">
        <v>1.25</v>
      </c>
      <c r="D16" s="134" t="n">
        <v>60</v>
      </c>
      <c r="E16" s="133" t="n">
        <v>75</v>
      </c>
      <c r="F16" s="133" t="inlineStr">
        <is>
          <t>Yes</t>
        </is>
      </c>
      <c r="G16" s="133" t="inlineStr">
        <is>
          <t>Yes</t>
        </is>
      </c>
      <c r="H16" s="133" t="inlineStr">
        <is>
          <t>Physics - Energy</t>
        </is>
      </c>
      <c r="I16" s="133" t="inlineStr">
        <is>
          <t>No</t>
        </is>
      </c>
      <c r="J16" s="133" t="inlineStr">
        <is>
          <t>QBA</t>
        </is>
      </c>
      <c r="K16" s="133" t="n">
        <v>195</v>
      </c>
    </row>
    <row r="17">
      <c r="A17" s="133" t="n"/>
      <c r="B17" s="135" t="n"/>
      <c r="C17" s="133" t="n"/>
      <c r="D17" s="133" t="n"/>
      <c r="E17" s="133" t="n"/>
      <c r="F17" s="133" t="n"/>
      <c r="G17" s="133" t="n"/>
      <c r="H17" s="133" t="n"/>
      <c r="I17" s="133" t="n"/>
      <c r="J17" s="133" t="n"/>
      <c r="K17" s="133" t="n"/>
    </row>
    <row r="18">
      <c r="A18" s="133" t="n"/>
      <c r="B18" s="133" t="n"/>
      <c r="C18" s="133" t="n"/>
      <c r="D18" s="133" t="n"/>
      <c r="E18" s="133" t="n"/>
      <c r="F18" s="133" t="n"/>
      <c r="G18" s="133" t="n"/>
      <c r="H18" s="133" t="n"/>
      <c r="I18" s="133" t="n"/>
      <c r="J18" s="133" t="n"/>
      <c r="K18" s="133">
        <f>SUM(K2:K16)</f>
        <v/>
      </c>
    </row>
  </sheetData>
  <autoFilter ref="A1:K16">
    <sortState ref="A2:K16">
      <sortCondition ref="A1:A16"/>
    </sortState>
  </autoFilter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R3" sqref="R3:R13"/>
    </sheetView>
  </sheetViews>
  <sheetFormatPr baseColWidth="8" defaultColWidth="8.7109375" defaultRowHeight="15"/>
  <cols>
    <col width="14.42578125" bestFit="1" customWidth="1" style="114" min="1" max="1"/>
    <col width="7.140625" bestFit="1" customWidth="1" style="114" min="2" max="2"/>
    <col width="8" bestFit="1" customWidth="1" style="114" min="3" max="3"/>
    <col width="12" bestFit="1" customWidth="1" style="114" min="4" max="4"/>
    <col width="6.7109375" bestFit="1" customWidth="1" style="114" min="5" max="5"/>
    <col width="8.42578125" bestFit="1" customWidth="1" style="114" min="6" max="6"/>
    <col width="19.140625" bestFit="1" customWidth="1" style="114" min="7" max="7"/>
    <col width="68.28515625" bestFit="1" customWidth="1" style="114" min="8" max="8"/>
    <col width="6.42578125" bestFit="1" customWidth="1" style="114" min="9" max="9"/>
    <col width="17.28515625" bestFit="1" customWidth="1" style="114" min="10" max="10"/>
    <col width="8.28515625" bestFit="1" customWidth="1" style="114" min="11" max="11"/>
    <col width="23.7109375" bestFit="1" customWidth="1" style="114" min="12" max="12"/>
    <col width="8.7109375" customWidth="1" style="114" min="13" max="17"/>
    <col width="14.42578125" bestFit="1" customWidth="1" style="114" min="18" max="18"/>
    <col width="12.28515625" bestFit="1" customWidth="1" style="114" min="19" max="19"/>
    <col width="11.28515625" bestFit="1" customWidth="1" style="114" min="20" max="20"/>
    <col width="8.7109375" customWidth="1" style="114" min="21" max="21"/>
    <col width="8.7109375" customWidth="1" style="114" min="22" max="16384"/>
  </cols>
  <sheetData>
    <row r="1">
      <c r="A1" s="114" t="inlineStr">
        <is>
          <t>Student</t>
        </is>
      </c>
      <c r="B1" s="114" t="inlineStr">
        <is>
          <t>Date</t>
        </is>
      </c>
      <c r="C1" s="114" t="inlineStr">
        <is>
          <t>Hours</t>
        </is>
      </c>
      <c r="D1" s="114" t="inlineStr">
        <is>
          <t>Rate ($/hr)</t>
        </is>
      </c>
      <c r="E1" s="114" t="inlineStr">
        <is>
          <t>Coin</t>
        </is>
      </c>
      <c r="F1" s="114" t="inlineStr">
        <is>
          <t>Billed?</t>
        </is>
      </c>
      <c r="G1" s="114" t="inlineStr">
        <is>
          <t>Received payment?</t>
        </is>
      </c>
      <c r="H1" s="114" t="inlineStr">
        <is>
          <t>Topic</t>
        </is>
      </c>
      <c r="I1" s="114" t="inlineStr">
        <is>
          <t>Tip?</t>
        </is>
      </c>
      <c r="J1" s="115" t="inlineStr">
        <is>
          <t>Paid via invoice?</t>
        </is>
      </c>
      <c r="K1" s="114" t="inlineStr">
        <is>
          <t>Totals</t>
        </is>
      </c>
    </row>
    <row r="2">
      <c r="A2" s="116" t="inlineStr">
        <is>
          <t>Abby Owen</t>
        </is>
      </c>
      <c r="B2" s="116" t="n">
        <v>44868</v>
      </c>
      <c r="C2" s="117" t="n">
        <v>1</v>
      </c>
      <c r="D2" s="117" t="n">
        <v>50</v>
      </c>
      <c r="E2" s="117" t="n">
        <v>50</v>
      </c>
      <c r="F2" s="117" t="inlineStr">
        <is>
          <t>Yes</t>
        </is>
      </c>
      <c r="G2" s="117" t="inlineStr">
        <is>
          <t>Yes</t>
        </is>
      </c>
      <c r="H2" s="117" t="inlineStr">
        <is>
          <t>Properties of logs and exponents; APERT</t>
        </is>
      </c>
      <c r="I2" s="117" t="inlineStr">
        <is>
          <t>No</t>
        </is>
      </c>
      <c r="J2" s="117" t="inlineStr">
        <is>
          <t>Yes</t>
        </is>
      </c>
      <c r="K2" s="117" t="n">
        <v>50</v>
      </c>
      <c r="R2" s="46" t="inlineStr">
        <is>
          <t>Row Labels</t>
        </is>
      </c>
      <c r="S2" t="inlineStr">
        <is>
          <t>Sum of Hours</t>
        </is>
      </c>
      <c r="T2" t="inlineStr">
        <is>
          <t>Sum of Coin</t>
        </is>
      </c>
    </row>
    <row r="3" customFormat="1" s="118">
      <c r="A3" s="118" t="inlineStr">
        <is>
          <t>Brayden Wulff</t>
        </is>
      </c>
      <c r="B3" s="119" t="n">
        <v>44878</v>
      </c>
      <c r="C3" s="118" t="n">
        <v>1</v>
      </c>
      <c r="D3" s="118" t="n">
        <v>60</v>
      </c>
      <c r="E3" s="118" t="n">
        <v>60</v>
      </c>
      <c r="F3" s="118" t="inlineStr">
        <is>
          <t>Yes</t>
        </is>
      </c>
      <c r="G3" s="118" t="inlineStr">
        <is>
          <t>Yes</t>
        </is>
      </c>
      <c r="H3" s="118" t="inlineStr">
        <is>
          <t>Math Analysis</t>
        </is>
      </c>
      <c r="I3" s="118" t="inlineStr">
        <is>
          <t>No</t>
        </is>
      </c>
      <c r="J3" s="118" t="inlineStr">
        <is>
          <t>QBA</t>
        </is>
      </c>
      <c r="K3" s="118" t="n">
        <v>60</v>
      </c>
      <c r="R3" s="47" t="inlineStr">
        <is>
          <t>Abby Owen</t>
        </is>
      </c>
      <c r="S3" t="n">
        <v>1</v>
      </c>
      <c r="T3" t="n">
        <v>50</v>
      </c>
    </row>
    <row r="4" customFormat="1" s="118">
      <c r="A4" s="118" t="inlineStr">
        <is>
          <t>Brayden Wulff</t>
        </is>
      </c>
      <c r="B4" s="119" t="n">
        <v>44880</v>
      </c>
      <c r="C4" s="118" t="n">
        <v>1.5</v>
      </c>
      <c r="D4" s="118" t="n">
        <v>60</v>
      </c>
      <c r="E4" s="118" t="n">
        <v>90</v>
      </c>
      <c r="F4" s="118" t="inlineStr">
        <is>
          <t>Yes</t>
        </is>
      </c>
      <c r="G4" s="118" t="inlineStr">
        <is>
          <t>Yes</t>
        </is>
      </c>
      <c r="H4" s="118" t="inlineStr">
        <is>
          <t>Math Analysis</t>
        </is>
      </c>
      <c r="I4" s="118" t="inlineStr">
        <is>
          <t>No</t>
        </is>
      </c>
      <c r="J4" s="118" t="inlineStr">
        <is>
          <t>QBA</t>
        </is>
      </c>
      <c r="K4" s="118" t="n">
        <v>90</v>
      </c>
      <c r="R4" s="47" t="inlineStr">
        <is>
          <t>Brayden Wulff</t>
        </is>
      </c>
      <c r="S4" t="n">
        <v>2.5</v>
      </c>
      <c r="T4" t="n">
        <v>150</v>
      </c>
    </row>
    <row r="5" customFormat="1" s="118">
      <c r="A5" s="118" t="inlineStr">
        <is>
          <t>Elle Mishler</t>
        </is>
      </c>
      <c r="B5" s="119" t="n">
        <v>44872</v>
      </c>
      <c r="C5" s="118" t="n">
        <v>1</v>
      </c>
      <c r="D5" s="118" t="n">
        <v>60</v>
      </c>
      <c r="E5" s="118" t="n">
        <v>60</v>
      </c>
      <c r="F5" s="118" t="inlineStr">
        <is>
          <t>Yes</t>
        </is>
      </c>
      <c r="G5" s="118" t="inlineStr">
        <is>
          <t>Yes</t>
        </is>
      </c>
      <c r="H5" s="118" t="inlineStr">
        <is>
          <t>Algebra 1 - Absolute Value Functions</t>
        </is>
      </c>
      <c r="I5" s="118" t="inlineStr">
        <is>
          <t>No</t>
        </is>
      </c>
      <c r="J5" s="118" t="inlineStr">
        <is>
          <t>QBA</t>
        </is>
      </c>
      <c r="K5" s="118" t="n">
        <v>60</v>
      </c>
      <c r="R5" s="47" t="inlineStr">
        <is>
          <t>Elle Mishler</t>
        </is>
      </c>
      <c r="S5" t="n">
        <v>2.5</v>
      </c>
      <c r="T5" t="n">
        <v>150</v>
      </c>
    </row>
    <row r="6" customFormat="1" s="120">
      <c r="A6" s="120" t="inlineStr">
        <is>
          <t>Elle Mishler</t>
        </is>
      </c>
      <c r="B6" s="121" t="n">
        <v>44892</v>
      </c>
      <c r="C6" s="120" t="n">
        <v>1.5</v>
      </c>
      <c r="D6" s="120" t="n">
        <v>60</v>
      </c>
      <c r="E6" s="120" t="n">
        <v>90</v>
      </c>
      <c r="F6" s="120" t="inlineStr">
        <is>
          <t>Yes</t>
        </is>
      </c>
      <c r="G6" s="120" t="inlineStr">
        <is>
          <t>Yes</t>
        </is>
      </c>
      <c r="H6" s="120" t="inlineStr">
        <is>
          <t>Algebra 1 - Graphing, Domain, and Range</t>
        </is>
      </c>
      <c r="I6" s="120" t="inlineStr">
        <is>
          <t>No</t>
        </is>
      </c>
      <c r="J6" s="120" t="inlineStr">
        <is>
          <t>QBA</t>
        </is>
      </c>
      <c r="K6" s="120" t="n">
        <v>90</v>
      </c>
      <c r="R6" s="47" t="inlineStr">
        <is>
          <t>Emma Thacker</t>
        </is>
      </c>
      <c r="S6" t="n">
        <v>2.5</v>
      </c>
      <c r="T6" t="n">
        <v>150</v>
      </c>
    </row>
    <row r="7">
      <c r="A7" s="117" t="inlineStr">
        <is>
          <t>Emma Thacker</t>
        </is>
      </c>
      <c r="B7" s="116" t="n">
        <v>44878</v>
      </c>
      <c r="C7" s="117" t="n">
        <v>1</v>
      </c>
      <c r="D7" s="117" t="n">
        <v>60</v>
      </c>
      <c r="E7" s="117" t="n">
        <v>60</v>
      </c>
      <c r="F7" s="117" t="inlineStr">
        <is>
          <t>Yes</t>
        </is>
      </c>
      <c r="G7" s="117" t="inlineStr">
        <is>
          <t>Yes</t>
        </is>
      </c>
      <c r="H7" s="117" t="inlineStr">
        <is>
          <t>Algebra 2 Trig</t>
        </is>
      </c>
      <c r="I7" s="117" t="inlineStr">
        <is>
          <t>No</t>
        </is>
      </c>
      <c r="J7" s="117" t="inlineStr">
        <is>
          <t>QBA</t>
        </is>
      </c>
      <c r="K7" s="117" t="n">
        <v>60</v>
      </c>
      <c r="R7" s="47" t="inlineStr">
        <is>
          <t>Julia Cecotti</t>
        </is>
      </c>
      <c r="S7" t="n">
        <v>1.5</v>
      </c>
      <c r="T7" t="n">
        <v>75</v>
      </c>
    </row>
    <row r="8" customFormat="1" s="120">
      <c r="A8" s="120" t="inlineStr">
        <is>
          <t>Emma Thacker</t>
        </is>
      </c>
      <c r="B8" s="121" t="n">
        <v>44884</v>
      </c>
      <c r="C8" s="120" t="n">
        <v>1.5</v>
      </c>
      <c r="D8" s="120" t="n">
        <v>60</v>
      </c>
      <c r="E8" s="120" t="n">
        <v>90</v>
      </c>
      <c r="F8" s="120" t="inlineStr">
        <is>
          <t>Yes</t>
        </is>
      </c>
      <c r="G8" s="120" t="inlineStr">
        <is>
          <t>Yes</t>
        </is>
      </c>
      <c r="H8" s="120" t="inlineStr">
        <is>
          <t>Algebra 2 Trig</t>
        </is>
      </c>
      <c r="I8" s="120" t="inlineStr">
        <is>
          <t>No</t>
        </is>
      </c>
      <c r="J8" s="120" t="inlineStr">
        <is>
          <t>QBA</t>
        </is>
      </c>
      <c r="K8" s="120" t="n">
        <v>90</v>
      </c>
      <c r="R8" s="47" t="inlineStr">
        <is>
          <t>Kathryn Oakford</t>
        </is>
      </c>
      <c r="S8" t="n">
        <v>1</v>
      </c>
      <c r="T8" t="n">
        <v>50</v>
      </c>
    </row>
    <row r="9">
      <c r="A9" s="117" t="inlineStr">
        <is>
          <t>Julia Cecotti</t>
        </is>
      </c>
      <c r="B9" s="116" t="n">
        <v>44875</v>
      </c>
      <c r="C9" s="117" t="n">
        <v>1.5</v>
      </c>
      <c r="D9" s="117" t="n">
        <v>50</v>
      </c>
      <c r="E9" s="117" t="n">
        <v>75</v>
      </c>
      <c r="F9" s="117" t="inlineStr">
        <is>
          <t>Yes</t>
        </is>
      </c>
      <c r="G9" s="117" t="inlineStr">
        <is>
          <t>Yes</t>
        </is>
      </c>
      <c r="H9" s="117" t="inlineStr">
        <is>
          <t>Precalc - rational functions, domain/range, holes, asymptotes, graphing, factoring</t>
        </is>
      </c>
      <c r="I9" s="117" t="inlineStr">
        <is>
          <t>No</t>
        </is>
      </c>
      <c r="J9" s="117" t="inlineStr">
        <is>
          <t>QBA</t>
        </is>
      </c>
      <c r="K9" s="117" t="n">
        <v>75</v>
      </c>
      <c r="R9" s="47" t="inlineStr">
        <is>
          <t>Naura Peters</t>
        </is>
      </c>
      <c r="S9" t="n">
        <v>0.5</v>
      </c>
      <c r="T9" t="n">
        <v>30</v>
      </c>
    </row>
    <row r="10" customFormat="1" s="120">
      <c r="A10" s="120" t="inlineStr">
        <is>
          <t>Kathryn Oakford</t>
        </is>
      </c>
      <c r="B10" s="121" t="n">
        <v>44886</v>
      </c>
      <c r="C10" s="120" t="n">
        <v>1</v>
      </c>
      <c r="D10" s="120" t="n">
        <v>50</v>
      </c>
      <c r="E10" s="120" t="n">
        <v>50</v>
      </c>
      <c r="F10" s="120" t="inlineStr">
        <is>
          <t>Yes</t>
        </is>
      </c>
      <c r="G10" s="120" t="inlineStr">
        <is>
          <t>Yes</t>
        </is>
      </c>
      <c r="H10" s="120" t="inlineStr">
        <is>
          <t>Business Calc (College)</t>
        </is>
      </c>
      <c r="I10" s="120" t="inlineStr">
        <is>
          <t>No</t>
        </is>
      </c>
      <c r="J10" s="120" t="inlineStr">
        <is>
          <t>QBA</t>
        </is>
      </c>
      <c r="K10" s="120" t="n">
        <v>50</v>
      </c>
      <c r="R10" s="47" t="inlineStr">
        <is>
          <t>Nicolette Batori</t>
        </is>
      </c>
      <c r="S10" t="n">
        <v>7.5</v>
      </c>
      <c r="T10" t="n">
        <v>375</v>
      </c>
    </row>
    <row r="11" customFormat="1" s="118">
      <c r="A11" s="119" t="inlineStr">
        <is>
          <t>Naura Peters</t>
        </is>
      </c>
      <c r="B11" s="119" t="n">
        <v>44877</v>
      </c>
      <c r="C11" s="118" t="n">
        <v>0.5</v>
      </c>
      <c r="D11" s="118" t="n">
        <v>60</v>
      </c>
      <c r="E11" s="118" t="n">
        <v>30</v>
      </c>
      <c r="F11" s="118" t="inlineStr">
        <is>
          <t>Yes</t>
        </is>
      </c>
      <c r="G11" s="118" t="inlineStr">
        <is>
          <t>Yes</t>
        </is>
      </c>
      <c r="H11" s="118" t="inlineStr">
        <is>
          <t>Dance</t>
        </is>
      </c>
      <c r="I11" s="118" t="inlineStr">
        <is>
          <t>No</t>
        </is>
      </c>
      <c r="J11" s="118" t="inlineStr">
        <is>
          <t>QBA</t>
        </is>
      </c>
      <c r="K11" s="118" t="n">
        <v>30</v>
      </c>
      <c r="R11" s="47" t="inlineStr">
        <is>
          <t>Rohan Skanda</t>
        </is>
      </c>
      <c r="S11" t="n">
        <v>9</v>
      </c>
      <c r="T11" t="n">
        <v>450</v>
      </c>
    </row>
    <row r="12">
      <c r="A12" s="117" t="inlineStr">
        <is>
          <t>Nicolette Batori</t>
        </is>
      </c>
      <c r="B12" s="116" t="n">
        <v>44871</v>
      </c>
      <c r="C12" s="117" t="n">
        <v>2</v>
      </c>
      <c r="D12" s="117" t="n">
        <v>50</v>
      </c>
      <c r="E12" s="117" t="n">
        <v>100</v>
      </c>
      <c r="F12" s="117" t="inlineStr">
        <is>
          <t>Yes</t>
        </is>
      </c>
      <c r="G12" s="117" t="inlineStr">
        <is>
          <t>Yes</t>
        </is>
      </c>
      <c r="H12" s="117" t="inlineStr">
        <is>
          <t>SAT Math (Calculator Section)</t>
        </is>
      </c>
      <c r="I12" s="117" t="inlineStr">
        <is>
          <t>No</t>
        </is>
      </c>
      <c r="J12" s="117" t="inlineStr">
        <is>
          <t>QBA</t>
        </is>
      </c>
      <c r="K12" s="117" t="n">
        <v>100</v>
      </c>
      <c r="R12" s="47" t="inlineStr">
        <is>
          <t>Sienna Cormier</t>
        </is>
      </c>
      <c r="S12" t="n">
        <v>2</v>
      </c>
      <c r="T12" t="n">
        <v>100</v>
      </c>
    </row>
    <row r="13">
      <c r="A13" s="117" t="inlineStr">
        <is>
          <t>Nicolette Batori</t>
        </is>
      </c>
      <c r="B13" s="116" t="n">
        <v>44873</v>
      </c>
      <c r="C13" s="117" t="n">
        <v>1</v>
      </c>
      <c r="D13" s="117" t="n">
        <v>50</v>
      </c>
      <c r="E13" s="117" t="n">
        <v>50</v>
      </c>
      <c r="F13" s="117" t="inlineStr">
        <is>
          <t>Yes</t>
        </is>
      </c>
      <c r="G13" s="117" t="inlineStr">
        <is>
          <t>Yes</t>
        </is>
      </c>
      <c r="H13" s="117" t="inlineStr">
        <is>
          <t>Trig Proofs</t>
        </is>
      </c>
      <c r="I13" s="117" t="inlineStr">
        <is>
          <t>No</t>
        </is>
      </c>
      <c r="J13" s="117" t="inlineStr">
        <is>
          <t>QBA</t>
        </is>
      </c>
      <c r="K13" s="117" t="n">
        <v>50</v>
      </c>
      <c r="R13" s="47" t="inlineStr">
        <is>
          <t>Sophia Gonzales</t>
        </is>
      </c>
      <c r="S13" t="n">
        <v>1</v>
      </c>
      <c r="T13" t="n">
        <v>60</v>
      </c>
    </row>
    <row r="14" customFormat="1" s="120">
      <c r="A14" s="120" t="inlineStr">
        <is>
          <t>Nicolette Batori</t>
        </is>
      </c>
      <c r="B14" s="121" t="n">
        <v>44884</v>
      </c>
      <c r="C14" s="120" t="n">
        <v>1.5</v>
      </c>
      <c r="D14" s="120" t="n">
        <v>50</v>
      </c>
      <c r="E14" s="120" t="n">
        <v>75</v>
      </c>
      <c r="F14" s="120" t="inlineStr">
        <is>
          <t>Yes</t>
        </is>
      </c>
      <c r="G14" s="120" t="inlineStr">
        <is>
          <t>Yes</t>
        </is>
      </c>
      <c r="H14" s="120" t="inlineStr">
        <is>
          <t>SAT English</t>
        </is>
      </c>
      <c r="I14" s="120" t="inlineStr">
        <is>
          <t>No</t>
        </is>
      </c>
      <c r="J14" s="120" t="inlineStr">
        <is>
          <t>QBA</t>
        </is>
      </c>
      <c r="K14" s="120" t="n">
        <v>75</v>
      </c>
      <c r="R14" s="47" t="inlineStr">
        <is>
          <t>Grand Total</t>
        </is>
      </c>
      <c r="S14" t="n">
        <v>31</v>
      </c>
      <c r="T14" t="n">
        <v>1640</v>
      </c>
    </row>
    <row r="15" customFormat="1" s="120">
      <c r="A15" s="120" t="inlineStr">
        <is>
          <t>Nicolette Batori</t>
        </is>
      </c>
      <c r="B15" s="121" t="n">
        <v>44891</v>
      </c>
      <c r="C15" s="120" t="n">
        <v>1.5</v>
      </c>
      <c r="D15" s="120" t="n">
        <v>50</v>
      </c>
      <c r="E15" s="120" t="n">
        <v>75</v>
      </c>
      <c r="F15" s="120" t="inlineStr">
        <is>
          <t>Yes</t>
        </is>
      </c>
      <c r="G15" s="120" t="inlineStr">
        <is>
          <t>Yes</t>
        </is>
      </c>
      <c r="H15" s="120" t="inlineStr">
        <is>
          <t>SAT Grammar</t>
        </is>
      </c>
      <c r="I15" s="120" t="inlineStr">
        <is>
          <t>No</t>
        </is>
      </c>
      <c r="J15" s="120" t="inlineStr">
        <is>
          <t>QBA</t>
        </is>
      </c>
      <c r="K15" s="120" t="n">
        <v>75</v>
      </c>
      <c r="L15" s="120" t="inlineStr">
        <is>
          <t>* Billed with 27 Nov invoice</t>
        </is>
      </c>
    </row>
    <row r="16" customFormat="1" s="120">
      <c r="A16" s="120" t="inlineStr">
        <is>
          <t>Nicolette Batori</t>
        </is>
      </c>
      <c r="B16" s="121" t="n">
        <v>44892</v>
      </c>
      <c r="C16" s="120" t="n">
        <v>1.5</v>
      </c>
      <c r="D16" s="120" t="n">
        <v>50</v>
      </c>
      <c r="E16" s="120" t="n">
        <v>75</v>
      </c>
      <c r="F16" s="120" t="inlineStr">
        <is>
          <t>Yes</t>
        </is>
      </c>
      <c r="G16" s="120" t="inlineStr">
        <is>
          <t>Yes</t>
        </is>
      </c>
      <c r="H16" s="120" t="inlineStr">
        <is>
          <t>SAT Reading Comprehension</t>
        </is>
      </c>
      <c r="I16" s="120" t="inlineStr">
        <is>
          <t>No</t>
        </is>
      </c>
      <c r="J16" s="120" t="inlineStr">
        <is>
          <t>QBA</t>
        </is>
      </c>
      <c r="K16" s="120" t="n">
        <v>75</v>
      </c>
    </row>
    <row r="17">
      <c r="A17" s="116" t="inlineStr">
        <is>
          <t>Rohan Skanda</t>
        </is>
      </c>
      <c r="B17" s="116" t="n">
        <v>44868</v>
      </c>
      <c r="C17" s="117" t="n">
        <v>1.25</v>
      </c>
      <c r="D17" s="117" t="n">
        <v>50</v>
      </c>
      <c r="E17" s="117" t="n">
        <v>62.5</v>
      </c>
      <c r="F17" s="117" t="inlineStr">
        <is>
          <t>Yes</t>
        </is>
      </c>
      <c r="G17" s="117" t="inlineStr">
        <is>
          <t>Yes</t>
        </is>
      </c>
      <c r="H17" s="117" t="inlineStr">
        <is>
          <t>Difference Quotient, pre-calc</t>
        </is>
      </c>
      <c r="I17" s="117" t="inlineStr">
        <is>
          <t>No</t>
        </is>
      </c>
      <c r="J17" s="117" t="inlineStr">
        <is>
          <t>Yes</t>
        </is>
      </c>
      <c r="K17" s="117" t="n">
        <v>62.5</v>
      </c>
    </row>
    <row r="18">
      <c r="A18" s="117" t="inlineStr">
        <is>
          <t>Rohan Skanda</t>
        </is>
      </c>
      <c r="B18" s="116" t="n">
        <v>44873</v>
      </c>
      <c r="C18" s="117" t="n">
        <v>1</v>
      </c>
      <c r="D18" s="117" t="n">
        <v>50</v>
      </c>
      <c r="E18" s="117" t="n">
        <v>50</v>
      </c>
      <c r="F18" s="117" t="inlineStr">
        <is>
          <t>Yes</t>
        </is>
      </c>
      <c r="G18" s="117" t="inlineStr">
        <is>
          <t>Yes</t>
        </is>
      </c>
      <c r="H18" s="117" t="inlineStr">
        <is>
          <t>AOS Integrated Math and Science</t>
        </is>
      </c>
      <c r="I18" s="117" t="inlineStr">
        <is>
          <t>No</t>
        </is>
      </c>
      <c r="J18" s="117" t="inlineStr">
        <is>
          <t>QBA</t>
        </is>
      </c>
      <c r="K18" s="117" t="n">
        <v>50</v>
      </c>
    </row>
    <row r="19">
      <c r="A19" s="117" t="inlineStr">
        <is>
          <t>Rohan Skanda</t>
        </is>
      </c>
      <c r="B19" s="116" t="n">
        <v>44875</v>
      </c>
      <c r="C19" s="117" t="n">
        <v>1.25</v>
      </c>
      <c r="D19" s="117" t="n">
        <v>50</v>
      </c>
      <c r="E19" s="117" t="n">
        <v>62.5</v>
      </c>
      <c r="F19" s="117" t="inlineStr">
        <is>
          <t>Yes</t>
        </is>
      </c>
      <c r="G19" s="117" t="inlineStr">
        <is>
          <t>Yes</t>
        </is>
      </c>
      <c r="H19" s="117" t="inlineStr">
        <is>
          <t>Physics - Position and Veloicty</t>
        </is>
      </c>
      <c r="I19" s="117" t="inlineStr">
        <is>
          <t>No</t>
        </is>
      </c>
      <c r="J19" s="117" t="inlineStr">
        <is>
          <t>QBA</t>
        </is>
      </c>
      <c r="K19" s="117" t="n">
        <v>62.5</v>
      </c>
    </row>
    <row r="20" customFormat="1" s="120">
      <c r="A20" s="120" t="inlineStr">
        <is>
          <t>Rohan Skanda</t>
        </is>
      </c>
      <c r="B20" s="121" t="n">
        <v>44886</v>
      </c>
      <c r="C20" s="120" t="n">
        <v>1.5</v>
      </c>
      <c r="D20" s="120" t="n">
        <v>50</v>
      </c>
      <c r="E20" s="120" t="n">
        <v>75</v>
      </c>
      <c r="F20" s="120" t="inlineStr">
        <is>
          <t>Yes</t>
        </is>
      </c>
      <c r="G20" s="120" t="inlineStr">
        <is>
          <t>Yes</t>
        </is>
      </c>
      <c r="H20" s="120" t="inlineStr">
        <is>
          <t>AOS Integrated Math and Science</t>
        </is>
      </c>
      <c r="I20" s="120" t="inlineStr">
        <is>
          <t>No</t>
        </is>
      </c>
      <c r="J20" s="120" t="inlineStr">
        <is>
          <t>QBA</t>
        </is>
      </c>
      <c r="K20" s="120" t="n">
        <v>75</v>
      </c>
    </row>
    <row r="21" customFormat="1" s="120">
      <c r="A21" s="120" t="inlineStr">
        <is>
          <t>Rohan Skanda</t>
        </is>
      </c>
      <c r="B21" s="121" t="n">
        <v>44891</v>
      </c>
      <c r="C21" s="120" t="n">
        <v>1</v>
      </c>
      <c r="D21" s="120" t="n">
        <v>50</v>
      </c>
      <c r="E21" s="120" t="n">
        <v>50</v>
      </c>
      <c r="F21" s="120" t="inlineStr">
        <is>
          <t>Yes</t>
        </is>
      </c>
      <c r="G21" s="120" t="inlineStr">
        <is>
          <t>Yes</t>
        </is>
      </c>
      <c r="H21" s="120" t="inlineStr">
        <is>
          <t>AOS Integrated Math and Science</t>
        </is>
      </c>
      <c r="I21" s="120" t="inlineStr">
        <is>
          <t>No</t>
        </is>
      </c>
      <c r="J21" s="120" t="inlineStr">
        <is>
          <t>QBA</t>
        </is>
      </c>
      <c r="K21" s="120" t="n">
        <v>50</v>
      </c>
      <c r="L21" s="120" t="inlineStr">
        <is>
          <t>* Billed with 27 Nov invoice</t>
        </is>
      </c>
    </row>
    <row r="22" customFormat="1" s="120">
      <c r="A22" s="120" t="inlineStr">
        <is>
          <t>Rohan Skanda</t>
        </is>
      </c>
      <c r="B22" s="121" t="n">
        <v>44892</v>
      </c>
      <c r="C22" s="120" t="n">
        <v>2</v>
      </c>
      <c r="D22" s="120" t="n">
        <v>50</v>
      </c>
      <c r="E22" s="120" t="n">
        <v>100</v>
      </c>
      <c r="F22" s="120" t="inlineStr">
        <is>
          <t>Yes</t>
        </is>
      </c>
      <c r="G22" s="120" t="inlineStr">
        <is>
          <t>Yes</t>
        </is>
      </c>
      <c r="H22" s="120" t="inlineStr">
        <is>
          <t>AOS Integrated Math and Science</t>
        </is>
      </c>
      <c r="I22" s="120" t="inlineStr">
        <is>
          <t>No</t>
        </is>
      </c>
      <c r="J22" s="120" t="inlineStr">
        <is>
          <t>QBA</t>
        </is>
      </c>
      <c r="K22" s="120" t="n">
        <v>100</v>
      </c>
    </row>
    <row r="23" customFormat="1" s="120">
      <c r="A23" s="120" t="inlineStr">
        <is>
          <t>Rohan Skanda</t>
        </is>
      </c>
      <c r="B23" s="121" t="n">
        <v>44893</v>
      </c>
      <c r="C23" s="120" t="n">
        <v>1</v>
      </c>
      <c r="D23" s="120" t="n">
        <v>50</v>
      </c>
      <c r="E23" s="120" t="n">
        <v>50</v>
      </c>
      <c r="F23" s="120" t="inlineStr">
        <is>
          <t>Yes</t>
        </is>
      </c>
      <c r="G23" s="120" t="inlineStr">
        <is>
          <t>Yes</t>
        </is>
      </c>
      <c r="H23" s="120" t="inlineStr">
        <is>
          <t>AOS Integrated Math and Science</t>
        </is>
      </c>
      <c r="I23" s="120" t="inlineStr">
        <is>
          <t>No</t>
        </is>
      </c>
      <c r="J23" s="120" t="inlineStr">
        <is>
          <t>QBA</t>
        </is>
      </c>
      <c r="K23" s="120" t="n">
        <v>50</v>
      </c>
    </row>
    <row r="24">
      <c r="A24" s="117" t="inlineStr">
        <is>
          <t>Sienna Cormier</t>
        </is>
      </c>
      <c r="B24" s="116" t="n">
        <v>44895</v>
      </c>
      <c r="C24" s="117" t="n">
        <v>2</v>
      </c>
      <c r="D24" s="117" t="n">
        <v>50</v>
      </c>
      <c r="E24" s="117" t="n">
        <v>100</v>
      </c>
      <c r="F24" s="117" t="inlineStr">
        <is>
          <t>Yes</t>
        </is>
      </c>
      <c r="G24" s="117" t="inlineStr">
        <is>
          <t>Yes</t>
        </is>
      </c>
      <c r="H24" s="117" t="inlineStr">
        <is>
          <t>Chemistry</t>
        </is>
      </c>
      <c r="I24" s="117" t="inlineStr">
        <is>
          <t>No</t>
        </is>
      </c>
      <c r="J24" s="117" t="inlineStr">
        <is>
          <t>QBA</t>
        </is>
      </c>
      <c r="K24" s="117" t="n">
        <v>100</v>
      </c>
    </row>
    <row r="25">
      <c r="A25" s="117" t="inlineStr">
        <is>
          <t>Sophia Gonzales</t>
        </is>
      </c>
      <c r="B25" s="116" t="n">
        <v>44886</v>
      </c>
      <c r="C25" s="117" t="n">
        <v>1</v>
      </c>
      <c r="D25" s="117" t="n">
        <v>60</v>
      </c>
      <c r="E25" s="117" t="n">
        <v>60</v>
      </c>
      <c r="F25" s="117" t="inlineStr">
        <is>
          <t>Yes</t>
        </is>
      </c>
      <c r="G25" s="117" t="inlineStr">
        <is>
          <t>Yes</t>
        </is>
      </c>
      <c r="H25" s="117" t="inlineStr">
        <is>
          <t>Physics - Angles, Motion</t>
        </is>
      </c>
      <c r="I25" s="117" t="n"/>
      <c r="J25" s="117" t="inlineStr">
        <is>
          <t>QBA</t>
        </is>
      </c>
      <c r="K25" s="117" t="n">
        <v>60</v>
      </c>
    </row>
    <row r="26">
      <c r="B26" s="122" t="n"/>
    </row>
    <row r="27">
      <c r="A27" s="114" t="inlineStr">
        <is>
          <t>MONTH GROSS</t>
        </is>
      </c>
      <c r="K27" s="114">
        <f>SUM(K2:K25)</f>
        <v/>
      </c>
    </row>
  </sheetData>
  <autoFilter ref="A1:L25">
    <sortState ref="A2:L25">
      <sortCondition ref="A1:A25"/>
    </sortState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45"/>
  <sheetViews>
    <sheetView topLeftCell="A22" workbookViewId="0">
      <selection activeCell="R3" sqref="R3:R13"/>
    </sheetView>
  </sheetViews>
  <sheetFormatPr baseColWidth="8" defaultColWidth="8.7109375" defaultRowHeight="15"/>
  <cols>
    <col width="8.7109375" customWidth="1" style="114" min="1" max="8"/>
    <col width="75.140625" bestFit="1" customWidth="1" style="114" min="9" max="9"/>
    <col width="8.7109375" customWidth="1" style="114" min="10" max="10"/>
    <col width="8.7109375" customWidth="1" style="114" min="11" max="16384"/>
  </cols>
  <sheetData>
    <row r="1">
      <c r="A1" s="115" t="inlineStr">
        <is>
          <t>DATE</t>
        </is>
      </c>
      <c r="B1" s="115" t="inlineStr">
        <is>
          <t>TIME</t>
        </is>
      </c>
      <c r="C1" s="115" t="inlineStr">
        <is>
          <t>MONEY</t>
        </is>
      </c>
    </row>
    <row r="2">
      <c r="A2" s="122" t="n">
        <v>44825</v>
      </c>
      <c r="B2" s="114" t="n">
        <v>0.75</v>
      </c>
      <c r="C2" s="114">
        <f>B2*50</f>
        <v/>
      </c>
      <c r="E2" s="114" t="inlineStr">
        <is>
          <t>TOTAL EARNINGS FOR THIS PD:</t>
        </is>
      </c>
      <c r="I2" s="114" t="inlineStr">
        <is>
          <t>Paying through ESTINSTITUTE venmo. Should get tax forms from them.</t>
        </is>
      </c>
    </row>
    <row r="3">
      <c r="A3" s="122" t="n">
        <v>44826</v>
      </c>
      <c r="B3" s="114" t="n">
        <v>1</v>
      </c>
      <c r="C3" s="114" t="n">
        <v>50</v>
      </c>
      <c r="E3" s="114">
        <f>C14+C15</f>
        <v/>
      </c>
      <c r="I3" s="114" t="inlineStr">
        <is>
          <t>Made xfer of total - venmo tax removal to ensure everything would be viewable on NFCU</t>
        </is>
      </c>
    </row>
    <row r="4">
      <c r="A4" s="122" t="n">
        <v>44833</v>
      </c>
      <c r="B4" s="114" t="n">
        <v>2</v>
      </c>
      <c r="C4" s="114" t="n">
        <v>100</v>
      </c>
    </row>
    <row r="5">
      <c r="A5" s="122" t="n">
        <v>44836</v>
      </c>
      <c r="B5" s="114" t="n">
        <v>1.75</v>
      </c>
      <c r="C5" s="114" t="n">
        <v>87.5</v>
      </c>
    </row>
    <row r="6">
      <c r="A6" s="122" t="n">
        <v>44837</v>
      </c>
      <c r="B6" s="114" t="n">
        <v>0.75</v>
      </c>
      <c r="C6" s="114" t="n">
        <v>37.5</v>
      </c>
    </row>
    <row r="7">
      <c r="A7" s="122" t="n">
        <v>44838</v>
      </c>
      <c r="B7" s="114" t="n">
        <v>1.25</v>
      </c>
      <c r="C7" s="114" t="n">
        <v>62.5</v>
      </c>
    </row>
    <row r="8">
      <c r="A8" s="122" t="n">
        <v>44839</v>
      </c>
      <c r="B8" s="114" t="n">
        <v>1.5</v>
      </c>
      <c r="C8" s="114" t="n">
        <v>75</v>
      </c>
    </row>
    <row r="9">
      <c r="A9" s="122" t="n">
        <v>44846</v>
      </c>
      <c r="B9" s="114" t="n">
        <v>1.5</v>
      </c>
      <c r="C9" s="114" t="n">
        <v>75</v>
      </c>
    </row>
    <row r="10">
      <c r="A10" s="122" t="n">
        <v>44850</v>
      </c>
      <c r="B10" s="114" t="n">
        <v>1.5</v>
      </c>
      <c r="C10" s="114" t="n">
        <v>75</v>
      </c>
    </row>
    <row r="11">
      <c r="A11" s="122" t="n"/>
    </row>
    <row r="12">
      <c r="A12" s="123" t="inlineStr">
        <is>
          <t>Total</t>
        </is>
      </c>
      <c r="B12" s="114">
        <f>SUM(B2:B10)</f>
        <v/>
      </c>
      <c r="C12" s="114">
        <f>B12*50</f>
        <v/>
      </c>
    </row>
    <row r="14">
      <c r="A14" s="114" t="inlineStr">
        <is>
          <t>BILLED</t>
        </is>
      </c>
      <c r="B14" s="114" t="n">
        <v>12</v>
      </c>
      <c r="C14" s="114" t="n">
        <v>600</v>
      </c>
    </row>
    <row r="15">
      <c r="A15" s="114" t="inlineStr">
        <is>
          <t>TIP</t>
        </is>
      </c>
      <c r="C15" s="124" t="n">
        <v>100</v>
      </c>
    </row>
    <row r="16">
      <c r="A16" s="114" t="inlineStr">
        <is>
          <t>BALANCE</t>
        </is>
      </c>
      <c r="B16" s="114" t="n">
        <v>0</v>
      </c>
      <c r="C16" s="114" t="n">
        <v>0</v>
      </c>
    </row>
    <row r="17" customFormat="1" s="125"/>
    <row r="18">
      <c r="A18" s="115" t="inlineStr">
        <is>
          <t>DATE</t>
        </is>
      </c>
      <c r="B18" s="115" t="inlineStr">
        <is>
          <t>TIME</t>
        </is>
      </c>
      <c r="C18" s="115" t="inlineStr">
        <is>
          <t>MONEY</t>
        </is>
      </c>
    </row>
    <row r="19">
      <c r="A19" s="122" t="n">
        <v>44852</v>
      </c>
      <c r="B19" s="114" t="n">
        <v>1</v>
      </c>
      <c r="C19" s="114" t="n">
        <v>50</v>
      </c>
    </row>
    <row r="20">
      <c r="A20" s="122" t="n">
        <v>44858</v>
      </c>
      <c r="B20" s="114" t="n">
        <v>1</v>
      </c>
      <c r="C20" s="114" t="n">
        <v>50</v>
      </c>
    </row>
    <row r="21">
      <c r="A21" s="122" t="n">
        <v>44859</v>
      </c>
      <c r="B21" s="114" t="n">
        <v>1</v>
      </c>
      <c r="C21" s="114" t="n">
        <v>50</v>
      </c>
    </row>
    <row r="22">
      <c r="A22" s="122" t="n">
        <v>44861</v>
      </c>
      <c r="B22" s="114" t="n">
        <v>2.5</v>
      </c>
      <c r="C22" s="114" t="n">
        <v>125</v>
      </c>
    </row>
    <row r="23" ht="17.25" customHeight="1" s="627">
      <c r="A23" s="122" t="n">
        <v>44862</v>
      </c>
      <c r="B23" s="114" t="n">
        <v>1</v>
      </c>
      <c r="C23" s="114" t="n">
        <v>50</v>
      </c>
    </row>
    <row r="24" ht="17.25" customHeight="1" s="627">
      <c r="A24" s="122" t="n">
        <v>44871</v>
      </c>
      <c r="B24" s="114" t="n">
        <v>1.5</v>
      </c>
      <c r="C24" s="114" t="n">
        <v>75</v>
      </c>
    </row>
    <row r="25" ht="17.25" customHeight="1" s="627">
      <c r="A25" s="122" t="n">
        <v>44872</v>
      </c>
      <c r="B25" s="114" t="n">
        <v>2</v>
      </c>
      <c r="C25" s="114" t="n">
        <v>100</v>
      </c>
    </row>
    <row r="26">
      <c r="A26" s="122" t="n">
        <v>44872</v>
      </c>
      <c r="B26" s="114" t="n">
        <v>1</v>
      </c>
      <c r="C26" s="114" t="n">
        <v>50</v>
      </c>
    </row>
    <row r="27">
      <c r="A27" s="122" t="n">
        <v>44872</v>
      </c>
      <c r="B27" s="114" t="n">
        <v>2</v>
      </c>
      <c r="C27" s="114" t="n">
        <v>100</v>
      </c>
    </row>
    <row r="28">
      <c r="A28" s="122" t="n">
        <v>44872</v>
      </c>
      <c r="B28" s="114" t="n">
        <v>1</v>
      </c>
      <c r="C28" s="114" t="n">
        <v>50</v>
      </c>
    </row>
    <row r="29">
      <c r="A29" s="122" t="n">
        <v>44873</v>
      </c>
      <c r="B29" s="114" t="n">
        <v>1.5</v>
      </c>
      <c r="C29" s="114" t="n">
        <v>75</v>
      </c>
    </row>
    <row r="30">
      <c r="A30" s="122" t="n">
        <v>44886</v>
      </c>
      <c r="B30" s="114" t="n">
        <v>1.5</v>
      </c>
      <c r="C30" s="114" t="n">
        <v>75</v>
      </c>
    </row>
    <row r="31">
      <c r="A31" s="122" t="n">
        <v>44891</v>
      </c>
      <c r="B31" s="114" t="n">
        <v>0.5</v>
      </c>
      <c r="C31" s="114" t="n">
        <v>25</v>
      </c>
    </row>
    <row r="32">
      <c r="A32" s="122" t="n">
        <v>44892</v>
      </c>
      <c r="B32" s="114" t="n">
        <v>1.5</v>
      </c>
      <c r="C32" s="114" t="n">
        <v>75</v>
      </c>
    </row>
    <row r="33">
      <c r="A33" s="122" t="n">
        <v>44893</v>
      </c>
      <c r="B33" s="114" t="n">
        <v>1</v>
      </c>
      <c r="C33" s="114" t="n">
        <v>50</v>
      </c>
    </row>
    <row r="34">
      <c r="A34" s="123" t="inlineStr">
        <is>
          <t>Total</t>
        </is>
      </c>
      <c r="B34" s="114">
        <f>SUM(B19:B33)</f>
        <v/>
      </c>
      <c r="C34" s="114">
        <f>B34*50</f>
        <v/>
      </c>
    </row>
    <row r="36">
      <c r="A36" s="114" t="inlineStr">
        <is>
          <t>BILLED</t>
        </is>
      </c>
      <c r="B36" s="114" t="n">
        <v>14</v>
      </c>
      <c r="C36" s="114" t="n">
        <v>700</v>
      </c>
      <c r="E36" s="115" t="n"/>
    </row>
    <row r="37">
      <c r="A37" s="114" t="inlineStr">
        <is>
          <t>TIP</t>
        </is>
      </c>
      <c r="C37" s="124" t="n">
        <v>100</v>
      </c>
    </row>
    <row r="38">
      <c r="A38" s="114" t="inlineStr">
        <is>
          <t>BALANCE</t>
        </is>
      </c>
      <c r="C38" s="114" t="n">
        <v>300</v>
      </c>
    </row>
    <row r="39" customFormat="1" s="125"/>
    <row r="40">
      <c r="A40" s="115" t="inlineStr">
        <is>
          <t>DATE</t>
        </is>
      </c>
      <c r="B40" s="115" t="inlineStr">
        <is>
          <t>TIME</t>
        </is>
      </c>
      <c r="C40" s="115" t="inlineStr">
        <is>
          <t>MONEY</t>
        </is>
      </c>
    </row>
    <row r="41">
      <c r="A41" s="114" t="inlineStr">
        <is>
          <t>***REMAINING BALANCE***</t>
        </is>
      </c>
      <c r="C41" s="114" t="n">
        <v>300</v>
      </c>
    </row>
    <row r="42">
      <c r="A42" s="122" t="n">
        <v>44899</v>
      </c>
      <c r="B42" s="114" t="n">
        <v>1.5</v>
      </c>
      <c r="C42" s="114" t="n">
        <v>75</v>
      </c>
    </row>
    <row r="43">
      <c r="A43" s="122" t="n"/>
    </row>
    <row r="45">
      <c r="A45" s="123" t="inlineStr">
        <is>
          <t>Total</t>
        </is>
      </c>
      <c r="C45" s="114">
        <f>SUM(C41:C42)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2022-12-01T00:32:54Z</dcterms:created>
  <dcterms:modified xmlns:dcterms="http://purl.org/dc/terms/" xmlns:xsi="http://www.w3.org/2001/XMLSchema-instance" xsi:type="dcterms:W3CDTF">2025-12-09T23:46:13Z</dcterms:modified>
  <cp:lastModifiedBy>jordan lee</cp:lastModifiedBy>
  <cp:lastPrinted>2025-11-10T19:56:58Z</cp:lastPrinted>
</cp:coreProperties>
</file>